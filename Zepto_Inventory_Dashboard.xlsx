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epto Slicer Dashboard" sheetId="1" state="visible" r:id="rId3"/>
    <sheet name="Zepto Dashboard" sheetId="2" state="visible" r:id="rId4"/>
    <sheet name="ZP_Engine" sheetId="3" state="visible" r:id="rId5"/>
    <sheet name="ZP_Lists" sheetId="4" state="visible" r:id="rId6"/>
    <sheet name="Zepto_Data" sheetId="5" state="visible" r:id="rId7"/>
    <sheet name="ZP_Pivots" sheetId="6" state="visible" r:id="rId8"/>
  </sheets>
  <definedNames>
    <definedName function="false" hidden="false" name="ZPD" vbProcedure="false">Zepto_Data!$A$2:$O$3732</definedName>
    <definedName name="Slicer_Category">#N/A</definedName>
    <definedName name="Slicer_Stock_Status">#N/A</definedName>
    <definedName name="Slicer_Weight_Category">#N/A</definedName>
    <definedName name="Slicer_Discount_Band">#N/A</definedName>
  </definedNames>
  <calcPr iterateCount="100" refMode="A1" iterate="false" iterateDelta="0.0001"/>
  <pivotCaches>
    <pivotCache cacheId="2" r:id="rId201"/>
  </pivotCaches>
  <extLst>
    <ext xmlns:loext="http://schemas.libreoffice.org/" uri="{7626C862-2A13-11E5-B345-FEFF819CDC9F}">
      <loext:extCalcPr stringRefSyntax="ExcelA1"/>
    </ext>
    <ext xmlns:x14="http://schemas.microsoft.com/office/spreadsheetml/2009/9/main" uri="{BBE1A952-AA13-448e-AADC-164F8A28A991}">
      <x14:slicerCaches>
        <x14:slicerCache r:id="rId301"/>
        <x14:slicerCache r:id="rId302"/>
        <x14:slicerCache r:id="rId303"/>
        <x14:slicerCache r:id="rId304"/>
      </x14:slicerCaches>
    </ext>
  </extLst>
</workbook>
</file>

<file path=xl/sharedStrings.xml><?xml version="1.0" encoding="utf-8"?>
<sst xmlns="http://schemas.openxmlformats.org/spreadsheetml/2006/main" count="11457" uniqueCount="1813">
  <si>
    <t xml:space="preserve">Zepto Inventory - Pivot &amp; Slicer Dashboard</t>
  </si>
  <si>
    <t xml:space="preserve">Click the slicers on the left (Ctrl+click for multi-select). Every pivot table and chart on this page updates. Built on real PivotTables.</t>
  </si>
  <si>
    <t xml:space="preserve">Zepto Inventory - Interactive Dashboard</t>
  </si>
  <si>
    <t xml:space="preserve">Pick a Group by, Value field, Aggregation, Split and filters in the yellow cells - every chart and KPI updates. Source: Zepto_v1__1_.csv (cleaned as in your SQL).</t>
  </si>
  <si>
    <t xml:space="preserve">CONTROLS</t>
  </si>
  <si>
    <t xml:space="preserve">SKUs (FILTERED)</t>
  </si>
  <si>
    <t xml:space="preserve">OUT-OF-STOCK SHARE</t>
  </si>
  <si>
    <t xml:space="preserve">AVERAGE DISCOUNT %</t>
  </si>
  <si>
    <t xml:space="preserve">ESTIMATED REVENUE (Rs)</t>
  </si>
  <si>
    <t xml:space="preserve">Group by (X axis)</t>
  </si>
  <si>
    <t xml:space="preserve">Category</t>
  </si>
  <si>
    <t xml:space="preserve">Value field (Y axis)</t>
  </si>
  <si>
    <t xml:space="preserve">Revenue (Rs)</t>
  </si>
  <si>
    <t xml:space="preserve">Aggregation</t>
  </si>
  <si>
    <t xml:space="preserve">Sum</t>
  </si>
  <si>
    <t xml:space="preserve">Split by (legend)</t>
  </si>
  <si>
    <t xml:space="preserve">None</t>
  </si>
  <si>
    <t xml:space="preserve">Sort</t>
  </si>
  <si>
    <t xml:space="preserve">Value: high to low</t>
  </si>
  <si>
    <t xml:space="preserve">Show top N</t>
  </si>
  <si>
    <t xml:space="preserve">FILTERS</t>
  </si>
  <si>
    <t xml:space="preserve">All</t>
  </si>
  <si>
    <t xml:space="preserve">Stock status</t>
  </si>
  <si>
    <t xml:space="preserve">Weight category</t>
  </si>
  <si>
    <t xml:space="preserve">Discount band</t>
  </si>
  <si>
    <t xml:space="preserve">TOP-N BREAKDOWN (current selection)</t>
  </si>
  <si>
    <t xml:space="preserve">Item</t>
  </si>
  <si>
    <t xml:space="preserve">Value</t>
  </si>
  <si>
    <t xml:space="preserve">Share</t>
  </si>
  <si>
    <t xml:space="preserve">How to use</t>
  </si>
  <si>
    <t xml:space="preserve">1. Change the yellow cells; charts, KPIs and the table recalculate.</t>
  </si>
  <si>
    <t xml:space="preserve">2. "Group by" is the X axis; "Value field" + "Aggregation" is the Y axis.</t>
  </si>
  <si>
    <t xml:space="preserve">3. "Split by" stacks the second chart by a second dimension.</t>
  </si>
  <si>
    <t xml:space="preserve">4. Filters apply to every chart and KPI on this page.</t>
  </si>
  <si>
    <t xml:space="preserve">5. Long lists (Country, City, Owner, Product) show the 20 most</t>
  </si>
  <si>
    <t xml:space="preserve">    frequent items only. Dimensions with fewer items leave gaps.</t>
  </si>
  <si>
    <t xml:space="preserve">Calculation engine - do not edit. Drives the dashboard from the dropdown choices.</t>
  </si>
  <si>
    <t xml:space="preserve">dim #</t>
  </si>
  <si>
    <t xml:space="preserve">dim data col</t>
  </si>
  <si>
    <t xml:space="preserve">measure #</t>
  </si>
  <si>
    <t xml:space="preserve">measure data col</t>
  </si>
  <si>
    <t xml:space="preserve">aggregation</t>
  </si>
  <si>
    <t xml:space="preserve">split #</t>
  </si>
  <si>
    <t xml:space="preserve">split data col</t>
  </si>
  <si>
    <t xml:space="preserve">top N</t>
  </si>
  <si>
    <t xml:space="preserve">sort</t>
  </si>
  <si>
    <t xml:space="preserve">crit: Category</t>
  </si>
  <si>
    <t xml:space="preserve">crit: Stock status</t>
  </si>
  <si>
    <t xml:space="preserve">crit: Weight category</t>
  </si>
  <si>
    <t xml:space="preserve">crit: Discount band</t>
  </si>
  <si>
    <t xml:space="preserve">split criteria</t>
  </si>
  <si>
    <t xml:space="preserve">members -&gt;</t>
  </si>
  <si>
    <t xml:space="preserve">member</t>
  </si>
  <si>
    <t xml:space="preserve">value</t>
  </si>
  <si>
    <t xml:space="preserve">rank</t>
  </si>
  <si>
    <t xml:space="preserve">k</t>
  </si>
  <si>
    <t xml:space="preserve">pos</t>
  </si>
  <si>
    <t xml:space="preserve">label</t>
  </si>
  <si>
    <t xml:space="preserve">share</t>
  </si>
  <si>
    <t xml:space="preserve">stock status</t>
  </si>
  <si>
    <t xml:space="preserve">SKUs</t>
  </si>
  <si>
    <t xml:space="preserve">In stock</t>
  </si>
  <si>
    <t xml:space="preserve">Out of stock</t>
  </si>
  <si>
    <t xml:space="preserve">Dimension</t>
  </si>
  <si>
    <t xml:space="preserve">Data column #</t>
  </si>
  <si>
    <t xml:space="preserve">Value field</t>
  </si>
  <si>
    <t xml:space="preserve">Top N</t>
  </si>
  <si>
    <t xml:space="preserve">Split by</t>
  </si>
  <si>
    <t xml:space="preserve">Product (top 20 by revenue)</t>
  </si>
  <si>
    <t xml:space="preserve">Price band</t>
  </si>
  <si>
    <t xml:space="preserve">Category options</t>
  </si>
  <si>
    <t xml:space="preserve">Stock status options</t>
  </si>
  <si>
    <t xml:space="preserve">Weight category options</t>
  </si>
  <si>
    <t xml:space="preserve">Discount band options</t>
  </si>
  <si>
    <t xml:space="preserve">Beverages</t>
  </si>
  <si>
    <t xml:space="preserve">Borges Extra Light Olive Oil Bottle </t>
  </si>
  <si>
    <t xml:space="preserve">1-Low</t>
  </si>
  <si>
    <t xml:space="preserve">1) Under 5%</t>
  </si>
  <si>
    <t xml:space="preserve">1) Under Rs 50</t>
  </si>
  <si>
    <t xml:space="preserve">MRP (Rs)</t>
  </si>
  <si>
    <t xml:space="preserve">Average</t>
  </si>
  <si>
    <t xml:space="preserve">Value: low to high</t>
  </si>
  <si>
    <t xml:space="preserve">Biscuits</t>
  </si>
  <si>
    <t xml:space="preserve">Dhara Filtered Groundnut Oil (Jar)</t>
  </si>
  <si>
    <t xml:space="preserve">2-Medium</t>
  </si>
  <si>
    <t xml:space="preserve">2) 5-9%</t>
  </si>
  <si>
    <t xml:space="preserve">2) Rs 50-99</t>
  </si>
  <si>
    <t xml:space="preserve">Discount %</t>
  </si>
  <si>
    <t xml:space="preserve">Count</t>
  </si>
  <si>
    <t xml:space="preserve">Natural order</t>
  </si>
  <si>
    <t xml:space="preserve">Chocolates &amp; Candies</t>
  </si>
  <si>
    <t xml:space="preserve">Praakritik Natural Desi Gir Cow A2 Ghee</t>
  </si>
  <si>
    <t xml:space="preserve">3-Bulk</t>
  </si>
  <si>
    <t xml:space="preserve">3) 10-14%</t>
  </si>
  <si>
    <t xml:space="preserve">3) Rs 100-199</t>
  </si>
  <si>
    <t xml:space="preserve">Available quantity</t>
  </si>
  <si>
    <t xml:space="preserve">Cooking Essentials</t>
  </si>
  <si>
    <t xml:space="preserve">Saffola Gold (Jar)</t>
  </si>
  <si>
    <t xml:space="preserve">4) 15-24%</t>
  </si>
  <si>
    <t xml:space="preserve">4) Rs 200-499</t>
  </si>
  <si>
    <t xml:space="preserve">Selling price (Rs)</t>
  </si>
  <si>
    <t xml:space="preserve">Dairy, Bread &amp; Batter</t>
  </si>
  <si>
    <t xml:space="preserve">Dhara Kachi Ghani Mustard Oil Jar</t>
  </si>
  <si>
    <t xml:space="preserve">5) 25%+</t>
  </si>
  <si>
    <t xml:space="preserve">5) Rs 500+</t>
  </si>
  <si>
    <t xml:space="preserve">Weight (g)</t>
  </si>
  <si>
    <t xml:space="preserve">Fruits &amp; Vegetables</t>
  </si>
  <si>
    <t xml:space="preserve">Fortune Rice Bran Health Oil (Jar)</t>
  </si>
  <si>
    <t xml:space="preserve">Inventory weight (kg)</t>
  </si>
  <si>
    <t xml:space="preserve">Health &amp; Hygiene</t>
  </si>
  <si>
    <t xml:space="preserve">Fortune Soyabean Oil</t>
  </si>
  <si>
    <t xml:space="preserve">Home &amp; Cleaning</t>
  </si>
  <si>
    <t xml:space="preserve">Dhara Health Refined Sun Flower Oil Jar</t>
  </si>
  <si>
    <t xml:space="preserve">Ice Cream &amp; Desserts</t>
  </si>
  <si>
    <t xml:space="preserve">Nestle Nestle Nan Pro Follow-Up Formula</t>
  </si>
  <si>
    <t xml:space="preserve">Meats, Fish &amp; Eggs</t>
  </si>
  <si>
    <t xml:space="preserve">Fortune Sunlite Refined Sunflower (Jar)</t>
  </si>
  <si>
    <t xml:space="preserve">Munchies</t>
  </si>
  <si>
    <t xml:space="preserve">Pampers Premium Care Pants - Medium</t>
  </si>
  <si>
    <t xml:space="preserve">Paan Corner</t>
  </si>
  <si>
    <t xml:space="preserve">Kellogg's Real Almond &amp; Honey Corn Flakes</t>
  </si>
  <si>
    <t xml:space="preserve">Packaged Food</t>
  </si>
  <si>
    <t xml:space="preserve">Godrej Yummiez Chicken Punjabi Tikka </t>
  </si>
  <si>
    <t xml:space="preserve">Personal Care</t>
  </si>
  <si>
    <t xml:space="preserve">Sunsilk Lusciously Thick &amp; Long Shampoo</t>
  </si>
  <si>
    <t xml:space="preserve">Bagrry's Fruit Fibre Muesli Mixed Fruit </t>
  </si>
  <si>
    <t xml:space="preserve">Popular Essentials Californian Almond</t>
  </si>
  <si>
    <t xml:space="preserve">Kellogg's Original Corn Flakes</t>
  </si>
  <si>
    <t xml:space="preserve">Pedigree Puppy Dry Dog Food Food Chicken &amp; Milk</t>
  </si>
  <si>
    <t xml:space="preserve">Kellogg’s Chocos Protein And Fibre Of 1 Roti</t>
  </si>
  <si>
    <t xml:space="preserve">Japanese Choice Udon Noodles</t>
  </si>
  <si>
    <t xml:space="preserve">name</t>
  </si>
  <si>
    <t xml:space="preserve">mrp</t>
  </si>
  <si>
    <t xml:space="preserve">discountPercent</t>
  </si>
  <si>
    <t xml:space="preserve">availableQuantity</t>
  </si>
  <si>
    <t xml:space="preserve">discountedSellingPrice</t>
  </si>
  <si>
    <t xml:space="preserve">weightInGms</t>
  </si>
  <si>
    <t xml:space="preserve">outOfStock</t>
  </si>
  <si>
    <t xml:space="preserve">quantity</t>
  </si>
  <si>
    <t xml:space="preserve">Weight_Category</t>
  </si>
  <si>
    <t xml:space="preserve">Stock_Status</t>
  </si>
  <si>
    <t xml:space="preserve">Discount_Band</t>
  </si>
  <si>
    <t xml:space="preserve">Price_Band</t>
  </si>
  <si>
    <t xml:space="preserve">Inventory_Weight_kg</t>
  </si>
  <si>
    <t xml:space="preserve">Onion</t>
  </si>
  <si>
    <t xml:space="preserve">FALSE</t>
  </si>
  <si>
    <t xml:space="preserve">Tomato Hybrid</t>
  </si>
  <si>
    <t xml:space="preserve">Tender Coconut</t>
  </si>
  <si>
    <t xml:space="preserve">Coriander Leaves</t>
  </si>
  <si>
    <t xml:space="preserve">Ladies Finger </t>
  </si>
  <si>
    <t xml:space="preserve">Potato</t>
  </si>
  <si>
    <t xml:space="preserve">Lemon</t>
  </si>
  <si>
    <t xml:space="preserve">Watermelon </t>
  </si>
  <si>
    <t xml:space="preserve">Capsicum Green </t>
  </si>
  <si>
    <t xml:space="preserve">Chilli Green </t>
  </si>
  <si>
    <t xml:space="preserve">Banana Robusta</t>
  </si>
  <si>
    <t xml:space="preserve">Garlic Indian </t>
  </si>
  <si>
    <t xml:space="preserve">Cauliflower</t>
  </si>
  <si>
    <t xml:space="preserve">Ginger</t>
  </si>
  <si>
    <t xml:space="preserve">Spinach</t>
  </si>
  <si>
    <t xml:space="preserve">Muskmelon</t>
  </si>
  <si>
    <t xml:space="preserve">Cabbage </t>
  </si>
  <si>
    <t xml:space="preserve">Methi</t>
  </si>
  <si>
    <t xml:space="preserve">Broccoli</t>
  </si>
  <si>
    <t xml:space="preserve">Sapota</t>
  </si>
  <si>
    <t xml:space="preserve">Orange Nagpur</t>
  </si>
  <si>
    <t xml:space="preserve">Mint Leaves </t>
  </si>
  <si>
    <t xml:space="preserve">Beans French</t>
  </si>
  <si>
    <t xml:space="preserve">Bottle Gourd </t>
  </si>
  <si>
    <t xml:space="preserve">Banana Elaichi </t>
  </si>
  <si>
    <t xml:space="preserve">Coconut Big</t>
  </si>
  <si>
    <t xml:space="preserve">Curry Leaves</t>
  </si>
  <si>
    <t xml:space="preserve">Brinjal Bharta</t>
  </si>
  <si>
    <t xml:space="preserve">Lettuce Iceberg</t>
  </si>
  <si>
    <t xml:space="preserve">Papaya</t>
  </si>
  <si>
    <t xml:space="preserve">Apple Shimla</t>
  </si>
  <si>
    <t xml:space="preserve">Bitter Gourd</t>
  </si>
  <si>
    <t xml:space="preserve">Brinjal Small</t>
  </si>
  <si>
    <t xml:space="preserve">Sweet Corn</t>
  </si>
  <si>
    <t xml:space="preserve">Spring Onion </t>
  </si>
  <si>
    <t xml:space="preserve">Bell Peppers Red &amp; Yellow </t>
  </si>
  <si>
    <t xml:space="preserve">Pomegranate </t>
  </si>
  <si>
    <t xml:space="preserve">Sweet Lime</t>
  </si>
  <si>
    <t xml:space="preserve">Baby Potato</t>
  </si>
  <si>
    <t xml:space="preserve">Coccinia</t>
  </si>
  <si>
    <t xml:space="preserve">Guava</t>
  </si>
  <si>
    <t xml:space="preserve">Apple Washington</t>
  </si>
  <si>
    <t xml:space="preserve">Amla</t>
  </si>
  <si>
    <t xml:space="preserve">Beans Cluster</t>
  </si>
  <si>
    <t xml:space="preserve">Apple Royal Gala</t>
  </si>
  <si>
    <t xml:space="preserve">Chilli Bhaji</t>
  </si>
  <si>
    <t xml:space="preserve">Lettuce Green</t>
  </si>
  <si>
    <t xml:space="preserve">Baby Corn Peeled</t>
  </si>
  <si>
    <t xml:space="preserve">Mixed Sprouts</t>
  </si>
  <si>
    <t xml:space="preserve">Zucchini Green</t>
  </si>
  <si>
    <t xml:space="preserve">Beans Broad</t>
  </si>
  <si>
    <t xml:space="preserve">Raw Banana</t>
  </si>
  <si>
    <t xml:space="preserve">Colocasia </t>
  </si>
  <si>
    <t xml:space="preserve">Tomato Cherry </t>
  </si>
  <si>
    <t xml:space="preserve">Sweet Potato </t>
  </si>
  <si>
    <t xml:space="preserve">Pineapple Slice</t>
  </si>
  <si>
    <t xml:space="preserve">Orange</t>
  </si>
  <si>
    <t xml:space="preserve">Dragon Fruit Imported</t>
  </si>
  <si>
    <t xml:space="preserve">Zucchini Yellow</t>
  </si>
  <si>
    <t xml:space="preserve">Apple Kinnaur</t>
  </si>
  <si>
    <t xml:space="preserve">Pineapple</t>
  </si>
  <si>
    <t xml:space="preserve">Basil</t>
  </si>
  <si>
    <t xml:space="preserve">Parsley</t>
  </si>
  <si>
    <t xml:space="preserve">Ridge Gourd</t>
  </si>
  <si>
    <t xml:space="preserve">Papaya Cut</t>
  </si>
  <si>
    <t xml:space="preserve">Pomegranate Peeled</t>
  </si>
  <si>
    <t xml:space="preserve">Pear Green Imported</t>
  </si>
  <si>
    <t xml:space="preserve">Guava Thai</t>
  </si>
  <si>
    <t xml:space="preserve">Lettuce Red</t>
  </si>
  <si>
    <t xml:space="preserve">Mango Raw</t>
  </si>
  <si>
    <t xml:space="preserve">Biryani /Pulav Mix</t>
  </si>
  <si>
    <t xml:space="preserve">Banana Nendran</t>
  </si>
  <si>
    <t xml:space="preserve">Pumpkin Cut</t>
  </si>
  <si>
    <t xml:space="preserve">Banana Red</t>
  </si>
  <si>
    <t xml:space="preserve">Radish White</t>
  </si>
  <si>
    <t xml:space="preserve">Avocado Indian Premium</t>
  </si>
  <si>
    <t xml:space="preserve">Banana Leaf</t>
  </si>
  <si>
    <t xml:space="preserve">Sponge Gourd</t>
  </si>
  <si>
    <t xml:space="preserve">Zama Organics Carrot</t>
  </si>
  <si>
    <t xml:space="preserve">Safal Frozen - Mixed Vegetables</t>
  </si>
  <si>
    <t xml:space="preserve">Zama Organics Sweet Potato</t>
  </si>
  <si>
    <t xml:space="preserve">Beetroot</t>
  </si>
  <si>
    <t xml:space="preserve">Capsicum</t>
  </si>
  <si>
    <t xml:space="preserve">Carrot</t>
  </si>
  <si>
    <t xml:space="preserve">Garlic</t>
  </si>
  <si>
    <t xml:space="preserve">TRUE</t>
  </si>
  <si>
    <t xml:space="preserve">Moong Sprouts</t>
  </si>
  <si>
    <t xml:space="preserve">Safal Frozen Mixed Vegetables</t>
  </si>
  <si>
    <t xml:space="preserve">Safal Frozen Corn</t>
  </si>
  <si>
    <t xml:space="preserve">Safal Frozen - Sweet Corn</t>
  </si>
  <si>
    <t xml:space="preserve">Maggi 2 Minute Masala Noodles</t>
  </si>
  <si>
    <t xml:space="preserve">iD Idli &amp; Dosa Batter </t>
  </si>
  <si>
    <t xml:space="preserve">Tata Salt</t>
  </si>
  <si>
    <t xml:space="preserve">Arden Eggs White</t>
  </si>
  <si>
    <t xml:space="preserve">Fortune Sunlite Refined Sunflower (Pouch)</t>
  </si>
  <si>
    <t xml:space="preserve">Aashirvaad Superior MP Atta</t>
  </si>
  <si>
    <t xml:space="preserve">Amul Pure Ghee (Pouch)</t>
  </si>
  <si>
    <t xml:space="preserve">Arden Eggs Brown</t>
  </si>
  <si>
    <t xml:space="preserve">Tata Salt Lite</t>
  </si>
  <si>
    <t xml:space="preserve">Saffola Gold Oil (Pouch)</t>
  </si>
  <si>
    <t xml:space="preserve">Fortune Rice Bran (Pouch)</t>
  </si>
  <si>
    <t xml:space="preserve">Saffola Active Oil</t>
  </si>
  <si>
    <t xml:space="preserve">Aashirvaad Atta</t>
  </si>
  <si>
    <t xml:space="preserve">Popular Essentials Toor Dal (Un-Polished)</t>
  </si>
  <si>
    <t xml:space="preserve">Amul Ghee (Tin)</t>
  </si>
  <si>
    <t xml:space="preserve">Amul Fresh Cream</t>
  </si>
  <si>
    <t xml:space="preserve">Popular Essentials Pure Jaggery</t>
  </si>
  <si>
    <t xml:space="preserve">Aashirvaad Multigrain Atta</t>
  </si>
  <si>
    <t xml:space="preserve">Popular Essentials Sunflower Seeds</t>
  </si>
  <si>
    <t xml:space="preserve">Tata Sampann kabuli chana</t>
  </si>
  <si>
    <t xml:space="preserve">Dhara Groundnut Oil (Pouch)</t>
  </si>
  <si>
    <t xml:space="preserve">24 Mantra Organic Jaggery Powder</t>
  </si>
  <si>
    <t xml:space="preserve">Tata Sampann High Protien Kabuli Chana</t>
  </si>
  <si>
    <t xml:space="preserve">D'lecta Dairy Cream</t>
  </si>
  <si>
    <t xml:space="preserve">Ching's Secret Instant Hot Garlic Noodles</t>
  </si>
  <si>
    <t xml:space="preserve">Dabur Ginger Garlic Paste</t>
  </si>
  <si>
    <t xml:space="preserve">Ching's Secret Instant Schezwan Noodles</t>
  </si>
  <si>
    <t xml:space="preserve">Gowardhan Ghee/Tuppa Jar</t>
  </si>
  <si>
    <t xml:space="preserve">Tata Sampann Unpolished Moong Dal </t>
  </si>
  <si>
    <t xml:space="preserve">Aashirvaad Select Atta</t>
  </si>
  <si>
    <t xml:space="preserve">Popular Essentials Misri Dana (Diamond Sugar) </t>
  </si>
  <si>
    <t xml:space="preserve">Gowardhan Ghee Jar</t>
  </si>
  <si>
    <t xml:space="preserve">Top Ramen  Noodles Curry Veg Pouch</t>
  </si>
  <si>
    <t xml:space="preserve">Popular Essentials Refined Sugar</t>
  </si>
  <si>
    <t xml:space="preserve">Fortune Kachi Ghani Mustard Oil Bottle</t>
  </si>
  <si>
    <t xml:space="preserve">Saffola Veggie Twist Masala Oats</t>
  </si>
  <si>
    <t xml:space="preserve">Satyam Puffed Rice Kurmura (R)</t>
  </si>
  <si>
    <t xml:space="preserve">Quaker Oats</t>
  </si>
  <si>
    <t xml:space="preserve">Aashirvaad Select Sharbati Atta</t>
  </si>
  <si>
    <t xml:space="preserve">Gowardhan Cow Ghee Pouch</t>
  </si>
  <si>
    <t xml:space="preserve">Dhara Nourish Refined Sunflower Oil Pouch</t>
  </si>
  <si>
    <t xml:space="preserve">Parachute Oil </t>
  </si>
  <si>
    <t xml:space="preserve">Popular Essentials Plain Puffed Rice (Murmura/Muri)</t>
  </si>
  <si>
    <t xml:space="preserve">Amul Mithai Mate Condensed Sweetened Milk</t>
  </si>
  <si>
    <t xml:space="preserve">McCain New Mini Samosa with Cheese Pizza Style Filling</t>
  </si>
  <si>
    <t xml:space="preserve">Arden Desi Eggs</t>
  </si>
  <si>
    <t xml:space="preserve">Fortune Rozana Basmati Rice</t>
  </si>
  <si>
    <t xml:space="preserve">Fortune Biriyani Special Basmati Rice</t>
  </si>
  <si>
    <t xml:space="preserve">Everest Garam Masala</t>
  </si>
  <si>
    <t xml:space="preserve">Popular Essentials Pumpkin Seeds</t>
  </si>
  <si>
    <t xml:space="preserve">Fortune Soya Health Refined Soybean Oil</t>
  </si>
  <si>
    <t xml:space="preserve">Gowardhan Pure Ghee Pouch</t>
  </si>
  <si>
    <t xml:space="preserve">Popular Essentials Jeera/Cumin Seeds</t>
  </si>
  <si>
    <t xml:space="preserve">Weikfield Baking Soda</t>
  </si>
  <si>
    <t xml:space="preserve">Everest Pav Bhaji Masala</t>
  </si>
  <si>
    <t xml:space="preserve">Tata Sampann Unpolished Chana Dal</t>
  </si>
  <si>
    <t xml:space="preserve">Amul Mithai Mate EOE Tin</t>
  </si>
  <si>
    <t xml:space="preserve">Pillsbury Chakki Fresh Atta</t>
  </si>
  <si>
    <t xml:space="preserve">Everest Chicken Masala</t>
  </si>
  <si>
    <t xml:space="preserve">Dhara Life Refined Ricebran Oil (Pouch)</t>
  </si>
  <si>
    <t xml:space="preserve">Borges Extra Virgin Olive Oil</t>
  </si>
  <si>
    <t xml:space="preserve">Everest Shahi Biryani Masala</t>
  </si>
  <si>
    <t xml:space="preserve">Popular Essentials Ajwain Whole</t>
  </si>
  <si>
    <t xml:space="preserve">Everest Tikhalal Chilli Powder</t>
  </si>
  <si>
    <t xml:space="preserve">Popular Essentials Kabuli Chana Regular</t>
  </si>
  <si>
    <t xml:space="preserve">Popular Essentials Saunf/Fennel Seeds</t>
  </si>
  <si>
    <t xml:space="preserve">Popular Essentials Bansi Sooji</t>
  </si>
  <si>
    <t xml:space="preserve">Happilo Premium International Queen Kalmi Dates</t>
  </si>
  <si>
    <t xml:space="preserve">Tata Sampann Unpolished Urad Whole</t>
  </si>
  <si>
    <t xml:space="preserve">Popular Essentials Cashew Split</t>
  </si>
  <si>
    <t xml:space="preserve">Popular Essentials Chana Dal (Un-Polished)</t>
  </si>
  <si>
    <t xml:space="preserve">Tata Sampann Unpolished Rajma (Chitra)</t>
  </si>
  <si>
    <t xml:space="preserve">Everest Kitchen King Masala</t>
  </si>
  <si>
    <t xml:space="preserve">24 Mantra Organic Cumin</t>
  </si>
  <si>
    <t xml:space="preserve">Nestle Milkmaid</t>
  </si>
  <si>
    <t xml:space="preserve">Popular Essentials Sona Masouri Steam Rice</t>
  </si>
  <si>
    <t xml:space="preserve">24 Mantra Organic Tur Dal</t>
  </si>
  <si>
    <t xml:space="preserve">Gits Gulab Jamun Instant Dessert Mix</t>
  </si>
  <si>
    <t xml:space="preserve">Popular Essentials Black Masoor Whole (Un-Polished)</t>
  </si>
  <si>
    <t xml:space="preserve">24 Mantra Organic Peanuts</t>
  </si>
  <si>
    <t xml:space="preserve">Everest Hingraj Powder</t>
  </si>
  <si>
    <t xml:space="preserve">Everest Black Pepper Powder</t>
  </si>
  <si>
    <t xml:space="preserve">Tata Sampann Masoor Dal Stand</t>
  </si>
  <si>
    <t xml:space="preserve">24 Mantra Organic Besan</t>
  </si>
  <si>
    <t xml:space="preserve">Saffola Gold Refined Cooking Oil (Jar)</t>
  </si>
  <si>
    <t xml:space="preserve">Nestle Everyday Dairy Whitener</t>
  </si>
  <si>
    <t xml:space="preserve">24 Mantra Organic Red Poha</t>
  </si>
  <si>
    <t xml:space="preserve">Everest Powder - Tea Masala</t>
  </si>
  <si>
    <t xml:space="preserve">Tata Sampann Urad Dal Split</t>
  </si>
  <si>
    <t xml:space="preserve">Popular Essentials Idli Sooji </t>
  </si>
  <si>
    <t xml:space="preserve">Popular Essentials Dessicated Coconut</t>
  </si>
  <si>
    <t xml:space="preserve">Sunfeast Yippee! Mood Masala Noodles</t>
  </si>
  <si>
    <t xml:space="preserve">Chef's Basket Durum Wheat Elbow Pasta</t>
  </si>
  <si>
    <t xml:space="preserve">MTR Breakfast Khatta Meetha Poha Mix</t>
  </si>
  <si>
    <t xml:space="preserve">Satyam Khobra</t>
  </si>
  <si>
    <t xml:space="preserve">Betty Crocker Complete Pancake Mix Original</t>
  </si>
  <si>
    <t xml:space="preserve">Borges Durum Wheat Fusilli Pasta </t>
  </si>
  <si>
    <t xml:space="preserve">24 Mantra Organic Green Moong Dal - Split</t>
  </si>
  <si>
    <t xml:space="preserve">Weikfield Vanilla Flavoured Custard Powder</t>
  </si>
  <si>
    <t xml:space="preserve">Tata Sampann Moong Dal Split</t>
  </si>
  <si>
    <t xml:space="preserve">Tata Sampann Kala Chana</t>
  </si>
  <si>
    <t xml:space="preserve">Saffola Soya Chunks Mealmaker</t>
  </si>
  <si>
    <t xml:space="preserve">24 Mantra Bura Sugar (Demerara)</t>
  </si>
  <si>
    <t xml:space="preserve">Popular Essentials Green Cardamom (Elaichi)</t>
  </si>
  <si>
    <t xml:space="preserve">Hershey's Syrup Delicious Strawberry</t>
  </si>
  <si>
    <t xml:space="preserve">Popular Essentials Anjeer</t>
  </si>
  <si>
    <t xml:space="preserve">Popular Essentials Mustard Seeds Rai Small</t>
  </si>
  <si>
    <t xml:space="preserve">Weikfield Baking Powder</t>
  </si>
  <si>
    <t xml:space="preserve">Dabur Honey Squeezy</t>
  </si>
  <si>
    <t xml:space="preserve">Tata Sampann High Protein Kali Urad</t>
  </si>
  <si>
    <t xml:space="preserve">Chef's Basket Durum Wheat Fusilli Pasta</t>
  </si>
  <si>
    <t xml:space="preserve">TilSona Til Oil</t>
  </si>
  <si>
    <t xml:space="preserve">Top Ramen Chicken Noodles</t>
  </si>
  <si>
    <t xml:space="preserve">Everest Chaat Masala</t>
  </si>
  <si>
    <t xml:space="preserve">Keya Wonder Red Hot Chilli Flakes</t>
  </si>
  <si>
    <t xml:space="preserve">Popular Essentials White Peas (Un-Polished)</t>
  </si>
  <si>
    <t xml:space="preserve">Ching’s Secret Chowmein Hakka Noodles Masala </t>
  </si>
  <si>
    <t xml:space="preserve">Pillsbury Choco Chip Pancake Mix</t>
  </si>
  <si>
    <t xml:space="preserve">Hershey's Caramel Syrup</t>
  </si>
  <si>
    <t xml:space="preserve">Pillsbury Multi Grain Atta</t>
  </si>
  <si>
    <t xml:space="preserve">McCain New Mini Samosa with Cheese Corn Style Filling</t>
  </si>
  <si>
    <t xml:space="preserve">Satyam Puffed Rice Kurmura (A)</t>
  </si>
  <si>
    <t xml:space="preserve">MTR 3 Min Poha</t>
  </si>
  <si>
    <t xml:space="preserve">Ching's Manchurian Instant Noodles</t>
  </si>
  <si>
    <t xml:space="preserve">Hershey's Chocolate Flavour Syrup</t>
  </si>
  <si>
    <t xml:space="preserve">Popular Essentials Dhania (Coriander Seeds)</t>
  </si>
  <si>
    <t xml:space="preserve">24 Mantra Red Chilly Whole</t>
  </si>
  <si>
    <t xml:space="preserve">Dabur Honey - World's No.1</t>
  </si>
  <si>
    <t xml:space="preserve">24 Mantra Organic Puffed Rice</t>
  </si>
  <si>
    <t xml:space="preserve">24 Mantra Organic Wheat Daliya </t>
  </si>
  <si>
    <t xml:space="preserve">24 Mantra Organic Ragi Flour</t>
  </si>
  <si>
    <t xml:space="preserve">Popular Essentials Cinnamon Whole (Dalchini)</t>
  </si>
  <si>
    <t xml:space="preserve">Sundrop Super Lite Advanced - Sunflower Oil</t>
  </si>
  <si>
    <t xml:space="preserve">Pillsbury Atta/Godihittu - Chakki Fresh</t>
  </si>
  <si>
    <t xml:space="preserve">Popular Essentials Green Moong Chilka/Chilka (Un-Polished)</t>
  </si>
  <si>
    <t xml:space="preserve">Popular Essentials HMT Kolam Steam</t>
  </si>
  <si>
    <t xml:space="preserve">Popular Essentials Black Urad Split</t>
  </si>
  <si>
    <t xml:space="preserve">Keya Oregano</t>
  </si>
  <si>
    <t xml:space="preserve">Popular Essentials Pink Rajma</t>
  </si>
  <si>
    <t xml:space="preserve">Everest Shahi Paneer Masala</t>
  </si>
  <si>
    <t xml:space="preserve">Godrej Yummiez Chicken Nuggets</t>
  </si>
  <si>
    <t xml:space="preserve">Flying Bird Vanilla Essence</t>
  </si>
  <si>
    <t xml:space="preserve">Everest Sabji Masala</t>
  </si>
  <si>
    <t xml:space="preserve">Cornitos Cornitos Taco Shells - 4 Inches</t>
  </si>
  <si>
    <t xml:space="preserve">Everest Rajma Masala</t>
  </si>
  <si>
    <t xml:space="preserve">Popular Essentials White Til</t>
  </si>
  <si>
    <t xml:space="preserve">Amul Dark Compound Chocolate Slab</t>
  </si>
  <si>
    <t xml:space="preserve">Mothers Recipe Papad Chana Masala</t>
  </si>
  <si>
    <t xml:space="preserve">Ching's Schezwan Masala Instant Noodles</t>
  </si>
  <si>
    <t xml:space="preserve">Amul Milk Compound Chocolate Slab</t>
  </si>
  <si>
    <t xml:space="preserve">Eastern Chicken Masala</t>
  </si>
  <si>
    <t xml:space="preserve">Popular Essentials Methi Seeds</t>
  </si>
  <si>
    <t xml:space="preserve">Saffola Yummy Masala Noodles </t>
  </si>
  <si>
    <t xml:space="preserve">Cadbury Hot Chocolate</t>
  </si>
  <si>
    <t xml:space="preserve">Ching's Chicken Chilli Masala</t>
  </si>
  <si>
    <t xml:space="preserve">Dabur Keora water - Authentic flavour for Biryani's and Desserts</t>
  </si>
  <si>
    <t xml:space="preserve">Popular Essentials Black Cardamom/Elaichi </t>
  </si>
  <si>
    <t xml:space="preserve">Popular Essentials Idli Rice</t>
  </si>
  <si>
    <t xml:space="preserve">Everest Chole Masala</t>
  </si>
  <si>
    <t xml:space="preserve">Dabur Hommade Tamarind Paste</t>
  </si>
  <si>
    <t xml:space="preserve">"Maggi Magic Cubes, Vegetarian Masala (Free 2 Cubes Inside)"</t>
  </si>
  <si>
    <t xml:space="preserve">Popular Essentials Cooking Soda</t>
  </si>
  <si>
    <t xml:space="preserve">RRO Primio Refined Groundnut Oil Pet Bottle</t>
  </si>
  <si>
    <t xml:space="preserve">Everest Pani Puri Masala</t>
  </si>
  <si>
    <t xml:space="preserve">Nissin Cup Noodles Tangy Tomato</t>
  </si>
  <si>
    <t xml:space="preserve">Ching's Veg Manchurian Masala</t>
  </si>
  <si>
    <t xml:space="preserve">Ceres Foods Fish Mustard Instant Liquid Masala</t>
  </si>
  <si>
    <t xml:space="preserve">24 Mantra Organic Jowar Flour</t>
  </si>
  <si>
    <t xml:space="preserve">Maggi Coconut Milkpowder</t>
  </si>
  <si>
    <t xml:space="preserve">On1y Pepper Grinder</t>
  </si>
  <si>
    <t xml:space="preserve">Popular Essentials Rice Flour</t>
  </si>
  <si>
    <t xml:space="preserve">Sunfeast Yippee! Pasta Treat - Sour Cream Onion</t>
  </si>
  <si>
    <t xml:space="preserve">24 Mantra Organic Brown Sona Masoori Rice</t>
  </si>
  <si>
    <t xml:space="preserve">Happilo Premium Afghani Anjeer</t>
  </si>
  <si>
    <t xml:space="preserve">Popular Essentials Chiroti Sooji</t>
  </si>
  <si>
    <t xml:space="preserve">RRO Til Dil Premium Til Oil Bottle</t>
  </si>
  <si>
    <t xml:space="preserve">Popular Essentials Red Rajma</t>
  </si>
  <si>
    <t xml:space="preserve">Cornitos Peanut - Premium Salted </t>
  </si>
  <si>
    <t xml:space="preserve">Popular Essentials Black Pepper</t>
  </si>
  <si>
    <t xml:space="preserve">24 Mantra Organic Tur Dal - Split</t>
  </si>
  <si>
    <t xml:space="preserve">Sugarfree Gold Low Calorie Sweetner</t>
  </si>
  <si>
    <t xml:space="preserve">Ching's Secret Paneer Chilli Masala</t>
  </si>
  <si>
    <t xml:space="preserve">Dabur Honey </t>
  </si>
  <si>
    <t xml:space="preserve">Everest Tea Masala</t>
  </si>
  <si>
    <t xml:space="preserve">Ching's Paneer Chilli Masala</t>
  </si>
  <si>
    <t xml:space="preserve">Sunfeast YiPPee! Magic Masala Noodles</t>
  </si>
  <si>
    <t xml:space="preserve">Everest Meat Masala Powder</t>
  </si>
  <si>
    <t xml:space="preserve">Pillsbury Atta With Multigrains Wheat Grains</t>
  </si>
  <si>
    <t xml:space="preserve">Mother's Recipe Tamarind Paste</t>
  </si>
  <si>
    <t xml:space="preserve">Quaker Oats Breakfast Cereals - With Flavour Mix Nutritious Rich Source Of Energy</t>
  </si>
  <si>
    <t xml:space="preserve">Popular Essentials Cloves (Lavang)</t>
  </si>
  <si>
    <t xml:space="preserve">Sunfeast Yippee! Power Up Atta Noodles</t>
  </si>
  <si>
    <t xml:space="preserve">Suhana Paneer Tikka Masala Mix</t>
  </si>
  <si>
    <t xml:space="preserve">24 Mantra Turmeric Powder</t>
  </si>
  <si>
    <t xml:space="preserve">24 Mantra Super Grain Quinoa</t>
  </si>
  <si>
    <t xml:space="preserve">Everest Powder - Egg Curry Masala</t>
  </si>
  <si>
    <t xml:space="preserve">Popular Essentials Pe Shah Jeera </t>
  </si>
  <si>
    <t xml:space="preserve">24 Mantra Organic Sattu Atta</t>
  </si>
  <si>
    <t xml:space="preserve">Smith &amp; Jones Pasta Masala</t>
  </si>
  <si>
    <t xml:space="preserve">Weikfield Vanilla Custard Powder</t>
  </si>
  <si>
    <t xml:space="preserve">Sugarfree Natura Low Calorie Sweetner </t>
  </si>
  <si>
    <t xml:space="preserve">Pillsbury Vanilla Custard Powder</t>
  </si>
  <si>
    <t xml:space="preserve">24 Mantra Organic Rajma</t>
  </si>
  <si>
    <t xml:space="preserve">Popular Essentials Broken Wheat/Daliya</t>
  </si>
  <si>
    <t xml:space="preserve">Zorabian Chicken Smoked Ham</t>
  </si>
  <si>
    <t xml:space="preserve">Smith &amp; Jones Peri Peri Masala</t>
  </si>
  <si>
    <t xml:space="preserve">Popular Essentials Urad Dal Split (Un-Polished)</t>
  </si>
  <si>
    <t xml:space="preserve">Popular Essentials Bajra Whole</t>
  </si>
  <si>
    <t xml:space="preserve">Weikfield Veg Jelly Crystals - Strawberry</t>
  </si>
  <si>
    <t xml:space="preserve">Weikfield Veg Jelly Crystals - Raspberry</t>
  </si>
  <si>
    <t xml:space="preserve">Popular Essentials Masoor Dal Split (Un-Polished)</t>
  </si>
  <si>
    <t xml:space="preserve">Popular Essentials Pista Salted (With Shell)</t>
  </si>
  <si>
    <t xml:space="preserve">The Bake Shop Bread Crumbs</t>
  </si>
  <si>
    <t xml:space="preserve">Popular Essentials Horse Gram</t>
  </si>
  <si>
    <t xml:space="preserve">Hershey's Chocolate Syrup</t>
  </si>
  <si>
    <t xml:space="preserve">Godrej Yummiez Chilli Chicken Sausages </t>
  </si>
  <si>
    <t xml:space="preserve">Everest Kasuri Methi</t>
  </si>
  <si>
    <t xml:space="preserve">Satyam Makhana</t>
  </si>
  <si>
    <t xml:space="preserve">Everest Tandoori Chicken Masala</t>
  </si>
  <si>
    <t xml:space="preserve">Weikfield Falooda Mix - Kesar Pista</t>
  </si>
  <si>
    <t xml:space="preserve">Weikfield Cocoa Powder</t>
  </si>
  <si>
    <t xml:space="preserve">Pantai Coconut Cream</t>
  </si>
  <si>
    <t xml:space="preserve">Popular Essentials Coriander Seeds</t>
  </si>
  <si>
    <t xml:space="preserve">Ching's Singapore Curry Instant Noodles</t>
  </si>
  <si>
    <t xml:space="preserve">Eastern Fish Masala</t>
  </si>
  <si>
    <t xml:space="preserve">Oleev Smart Oil Fortified with VIT A, D, E &amp; K (Pouch)</t>
  </si>
  <si>
    <t xml:space="preserve">Everest Dry Ginger Powder</t>
  </si>
  <si>
    <t xml:space="preserve">Pillsbury Cooker Cake Mix - Choco</t>
  </si>
  <si>
    <t xml:space="preserve">Hersheys Chocolate Almond Syrup</t>
  </si>
  <si>
    <t xml:space="preserve">Satyam Nighties Spices  Chilli Pandi</t>
  </si>
  <si>
    <t xml:space="preserve">Popular Essentials Popular Essential Pista Salted (With Shell)</t>
  </si>
  <si>
    <t xml:space="preserve">Popular Essentials Rozana Sona Masuri Raw Rice</t>
  </si>
  <si>
    <t xml:space="preserve">24 Mantra Mustard Oil (Cold Pressed) </t>
  </si>
  <si>
    <t xml:space="preserve">24 Mantra Organic Black Pepper</t>
  </si>
  <si>
    <t xml:space="preserve">Popular Essentials Green Moong Whole</t>
  </si>
  <si>
    <t xml:space="preserve">24 Mantra Organic Masoor Dal - Split</t>
  </si>
  <si>
    <t xml:space="preserve">Praakritik Organic Natural Rock Salt</t>
  </si>
  <si>
    <t xml:space="preserve">24 Mantra Sunflower Oil (Cold Pressed) Pet Bottle</t>
  </si>
  <si>
    <t xml:space="preserve">Ching's Secret Instant Noodles, Hot Garlic</t>
  </si>
  <si>
    <t xml:space="preserve">Saffola Everyday Peppy Tomato Masala Oats</t>
  </si>
  <si>
    <t xml:space="preserve">Dabur 100% Pure Honey - Worlds No.1</t>
  </si>
  <si>
    <t xml:space="preserve">Popular Essentials Star Anise</t>
  </si>
  <si>
    <t xml:space="preserve">Ching's Secret Chicken 65 Masala - Chicken</t>
  </si>
  <si>
    <t xml:space="preserve">Cadbury Cocoa Powder</t>
  </si>
  <si>
    <t xml:space="preserve">Praakritik Organic Poha</t>
  </si>
  <si>
    <t xml:space="preserve">Praakritik Organic Natural Wild Forest Honey</t>
  </si>
  <si>
    <t xml:space="preserve">Popular Essentials Dry Dates (Kharak)</t>
  </si>
  <si>
    <t xml:space="preserve">Popular Essentials Kashmiri Red Rajma</t>
  </si>
  <si>
    <t xml:space="preserve">Dabur Hommade - Garlic Paste</t>
  </si>
  <si>
    <t xml:space="preserve">Dabur 100% Pure Honey</t>
  </si>
  <si>
    <t xml:space="preserve">Ching's Schezwan Fried Rice(Miracle Masala)</t>
  </si>
  <si>
    <t xml:space="preserve">"Maggi Magic Cubes, Vegetarian Masala"</t>
  </si>
  <si>
    <t xml:space="preserve">Popular Essentials Red Poha</t>
  </si>
  <si>
    <t xml:space="preserve">Pillsbury Oven Cake Mix - Rich Chocolate</t>
  </si>
  <si>
    <t xml:space="preserve">Eastern Super Garam Masala</t>
  </si>
  <si>
    <t xml:space="preserve">Maggi Magic Cubes Extra Chicken</t>
  </si>
  <si>
    <t xml:space="preserve">Satyam Nighties Spices  Chilli Kashmiri</t>
  </si>
  <si>
    <t xml:space="preserve">Eastern Cumin Powder</t>
  </si>
  <si>
    <t xml:space="preserve">Popular Essentials Urad Gola White(Un-Polished)</t>
  </si>
  <si>
    <t xml:space="preserve">24 Mantra Organic Chana Dal</t>
  </si>
  <si>
    <t xml:space="preserve">Delight Nuts Cashew Roasted &amp; Salted</t>
  </si>
  <si>
    <t xml:space="preserve">Popular Essentials Mace/Javitri</t>
  </si>
  <si>
    <t xml:space="preserve">Dlicia Whip Topping Bottle</t>
  </si>
  <si>
    <t xml:space="preserve">Mother's Recipe Paste Ginger &amp; Garlic</t>
  </si>
  <si>
    <t xml:space="preserve">24 Mantra Groundnut Oil (Cold Pressed) Pet Bottle</t>
  </si>
  <si>
    <t xml:space="preserve">Satyam Pulses Masur Dal</t>
  </si>
  <si>
    <t xml:space="preserve">Delight Nuts Pista Roasted &amp; Salted</t>
  </si>
  <si>
    <t xml:space="preserve">Top Ramen Noodles, Atta</t>
  </si>
  <si>
    <t xml:space="preserve">Hershey's Cocoa Powder</t>
  </si>
  <si>
    <t xml:space="preserve">Praakritik Organic Singhara Atta</t>
  </si>
  <si>
    <t xml:space="preserve">Gits Veg Biryani Ready to Eat</t>
  </si>
  <si>
    <t xml:space="preserve">Delight Nuts Cranberries Sliced </t>
  </si>
  <si>
    <t xml:space="preserve">Borges Durum Wheat Pasta Superior Quality</t>
  </si>
  <si>
    <t xml:space="preserve">Ceres Foods Laal Maas Instant Liquid Masala</t>
  </si>
  <si>
    <t xml:space="preserve">Popular Essentials Sattu Atta</t>
  </si>
  <si>
    <t xml:space="preserve">Popular Essentials Mustard Seeds Rai Yellow</t>
  </si>
  <si>
    <t xml:space="preserve">Praakritik Organic Extra Virgin Coconut Oil</t>
  </si>
  <si>
    <t xml:space="preserve">Praakritik Organic Garlic Powder</t>
  </si>
  <si>
    <t xml:space="preserve">Sugarfree Gold Low Calorie Sweetner </t>
  </si>
  <si>
    <t xml:space="preserve">Aashirvaad Breakfast Instant Mix - Rice Idli</t>
  </si>
  <si>
    <t xml:space="preserve">Kitchens Of India Mutter Paneer</t>
  </si>
  <si>
    <t xml:space="preserve">Ching's Secret Veg Manchurian Masala</t>
  </si>
  <si>
    <t xml:space="preserve">Popular Essentials Jowa Flour</t>
  </si>
  <si>
    <t xml:space="preserve">Popular Essentials Black Til</t>
  </si>
  <si>
    <t xml:space="preserve">Popular Essentials Pancharatna Dal</t>
  </si>
  <si>
    <t xml:space="preserve">Saffola 100% Pure Honey</t>
  </si>
  <si>
    <t xml:space="preserve">Popular Essentials Tamarind</t>
  </si>
  <si>
    <t xml:space="preserve">Gits Rice Dosa Instant Breakfast Mix</t>
  </si>
  <si>
    <t xml:space="preserve">Popular Essentials Poppy Seeds (Gasagase)</t>
  </si>
  <si>
    <t xml:space="preserve">Hershey's Hot Chocolate Powder</t>
  </si>
  <si>
    <t xml:space="preserve">Borges Farfalle Durum Wheat Pasta </t>
  </si>
  <si>
    <t xml:space="preserve">Satyam Chilli  Bedgi</t>
  </si>
  <si>
    <t xml:space="preserve">Aashirvaad Instant Mix - Rice Dosa</t>
  </si>
  <si>
    <t xml:space="preserve">Hershey's Cocoa - Natural Unsweetened</t>
  </si>
  <si>
    <t xml:space="preserve">Weikfield Veg Jelly Crystals - Mango</t>
  </si>
  <si>
    <t xml:space="preserve">Praakritik Orrganic Cold Pressed Sesame Oil</t>
  </si>
  <si>
    <t xml:space="preserve">Amulya Dairy Whitener </t>
  </si>
  <si>
    <t xml:space="preserve">ITC Master Chef Hyderabadi Biryani</t>
  </si>
  <si>
    <t xml:space="preserve">Flying Bird Butter Scotch Essence</t>
  </si>
  <si>
    <t xml:space="preserve">Dabur Hommade - Ginger Paste</t>
  </si>
  <si>
    <t xml:space="preserve">Popular Essentials Green Peas (Un-Polished)</t>
  </si>
  <si>
    <t xml:space="preserve">Quaker Oats Pouch</t>
  </si>
  <si>
    <t xml:space="preserve">24 Mantra Organic Urad White Whole</t>
  </si>
  <si>
    <t xml:space="preserve">Popular Essentials Guntur Chilli Stemless</t>
  </si>
  <si>
    <t xml:space="preserve">Popular Essentials Moth Whole</t>
  </si>
  <si>
    <t xml:space="preserve">Keya Pizza Seasoning</t>
  </si>
  <si>
    <t xml:space="preserve">Keya Piri Piri | Exotic Spices Mix</t>
  </si>
  <si>
    <t xml:space="preserve">24 Mantra Organic Moong Dal</t>
  </si>
  <si>
    <t xml:space="preserve">Betty Crocker French Vanilla Cake Mix</t>
  </si>
  <si>
    <t xml:space="preserve">Delight Nuts Dried Cranberries </t>
  </si>
  <si>
    <t xml:space="preserve">Everest Kesari Milk Masala</t>
  </si>
  <si>
    <t xml:space="preserve">Tong Garden Salted Cocktail Nuts</t>
  </si>
  <si>
    <t xml:space="preserve">MTR Uttapam Mix</t>
  </si>
  <si>
    <t xml:space="preserve">Gits Khaman Dhokla Instant Snack Mix</t>
  </si>
  <si>
    <t xml:space="preserve">Happilo Premium 100% Natural Whole Cashews</t>
  </si>
  <si>
    <t xml:space="preserve">Everest Dry Mango Powder</t>
  </si>
  <si>
    <t xml:space="preserve">Dabur Hommade - Ginger Garlic Past Tub</t>
  </si>
  <si>
    <t xml:space="preserve">Gits Medu Vada Instant Snack Mix</t>
  </si>
  <si>
    <t xml:space="preserve">Weikfield Drinking Chocolate Powder</t>
  </si>
  <si>
    <t xml:space="preserve">Popular Essentials Regular White Lobia</t>
  </si>
  <si>
    <t xml:space="preserve">Puro Healthy Salt Crystal</t>
  </si>
  <si>
    <t xml:space="preserve">Popular Essentials Premium Jeera Rice</t>
  </si>
  <si>
    <t xml:space="preserve">Smith &amp; Jones Shahi Paneer Masala Mix</t>
  </si>
  <si>
    <t xml:space="preserve">Betty Crocker Mug Treats - Chocolate Mix - Pack of 4</t>
  </si>
  <si>
    <t xml:space="preserve">Catch Black Pepper Sprinkler</t>
  </si>
  <si>
    <t xml:space="preserve">Weikfield Cooker Cake Mix - Chocolate</t>
  </si>
  <si>
    <t xml:space="preserve">ITC Master Chef Butter Chicken</t>
  </si>
  <si>
    <t xml:space="preserve">Masala Oats Masala &amp; Coriander </t>
  </si>
  <si>
    <t xml:space="preserve">Smith &amp; Jones Mutter Paneer Masala</t>
  </si>
  <si>
    <t xml:space="preserve">Kitchens of India Dal Bukhara Gravy Mix</t>
  </si>
  <si>
    <t xml:space="preserve">Popular Essentials Fried Gram (Bengal Gram)</t>
  </si>
  <si>
    <t xml:space="preserve">Gits Jalebi with Maker Dessert Mix</t>
  </si>
  <si>
    <t xml:space="preserve">Popular Essentials Soya Beans </t>
  </si>
  <si>
    <t xml:space="preserve">24 Mantra Organic Roasted Bengal Gram Dal</t>
  </si>
  <si>
    <t xml:space="preserve">Keya Italian Seasoning</t>
  </si>
  <si>
    <t xml:space="preserve">MTR Idli/Dosa/Chilly Chutney Powder</t>
  </si>
  <si>
    <t xml:space="preserve">Delight Nuts Trail Mix </t>
  </si>
  <si>
    <t xml:space="preserve">Praakritik Organic Chilka Moong Dal</t>
  </si>
  <si>
    <t xml:space="preserve">Smith &amp; Jones Garlic &amp; Herbs Masala Mix</t>
  </si>
  <si>
    <t xml:space="preserve">Eastern Tamarind</t>
  </si>
  <si>
    <t xml:space="preserve">Tong Garden Wasabi Coated Greenpeas Tin</t>
  </si>
  <si>
    <t xml:space="preserve">Flying Bird Pineapple Artifical Food Essence</t>
  </si>
  <si>
    <t xml:space="preserve">Pantai Coconut Milk</t>
  </si>
  <si>
    <t xml:space="preserve">Praakritik Organic Masoor Dal</t>
  </si>
  <si>
    <t xml:space="preserve">Popular Essentials Classic Sona Masuri Rice</t>
  </si>
  <si>
    <t xml:space="preserve">Popular Essentials Salted Murmure </t>
  </si>
  <si>
    <t xml:space="preserve">Oleev Active Oil (Pouch)</t>
  </si>
  <si>
    <t xml:space="preserve">Delight Nuts Dried Blueberries </t>
  </si>
  <si>
    <t xml:space="preserve">Popular Essentials Double Beans White</t>
  </si>
  <si>
    <t xml:space="preserve">Delight Nuts Almond Natural </t>
  </si>
  <si>
    <t xml:space="preserve">Praakritik Organic Jaggery</t>
  </si>
  <si>
    <t xml:space="preserve">Praakritik Organic Raw Sugar</t>
  </si>
  <si>
    <t xml:space="preserve">MTR Masala - Sambar Powder</t>
  </si>
  <si>
    <t xml:space="preserve">ITC Master Chef Vegetable Biryani Cooking Paste</t>
  </si>
  <si>
    <t xml:space="preserve">Jivana Jaggery</t>
  </si>
  <si>
    <t xml:space="preserve">Praakritik Organic Besan</t>
  </si>
  <si>
    <t xml:space="preserve">MTR Instant Gulab Jamun Mix</t>
  </si>
  <si>
    <t xml:space="preserve">On1y Mixed Herbs</t>
  </si>
  <si>
    <t xml:space="preserve">Popular Essentials Urad Gola Black (Un-Polished)</t>
  </si>
  <si>
    <t xml:space="preserve">Gits Dessert Mix China Grass Bombay Halwa</t>
  </si>
  <si>
    <t xml:space="preserve">Praakritik Organic Basmati Rice</t>
  </si>
  <si>
    <t xml:space="preserve">Ceres Foods Nalli Nihari Instant Liquid Masala</t>
  </si>
  <si>
    <t xml:space="preserve">Borges Canola Oil Pet Bottle</t>
  </si>
  <si>
    <t xml:space="preserve">Suhana Biryani Masala</t>
  </si>
  <si>
    <t xml:space="preserve">On1y Black Salt Grinder</t>
  </si>
  <si>
    <t xml:space="preserve">Popular Essentials Nylon Til</t>
  </si>
  <si>
    <t xml:space="preserve">Pillsbury Rich Choco Oven Cake Mix - Egg Free</t>
  </si>
  <si>
    <t xml:space="preserve">Weikfield Tomato Salsa Instant Pasta</t>
  </si>
  <si>
    <t xml:space="preserve">Praakritik Organic Jowar Atta</t>
  </si>
  <si>
    <t xml:space="preserve">Epicurea Thai Jasmine Rice</t>
  </si>
  <si>
    <t xml:space="preserve">Yummiez Chicken Garlic Fingers Pouch</t>
  </si>
  <si>
    <t xml:space="preserve">RRO Primio Refined Groundnut (Jar)</t>
  </si>
  <si>
    <t xml:space="preserve">Praakritik Organic Tuvar Dal</t>
  </si>
  <si>
    <t xml:space="preserve">Cantina Beans Mexican Beans</t>
  </si>
  <si>
    <t xml:space="preserve">Pillsbury Oven Cake Mix - Vanilla</t>
  </si>
  <si>
    <t xml:space="preserve">Hershey's Chocolate Milk Booster</t>
  </si>
  <si>
    <t xml:space="preserve">Popular Essentials Byadagi Chilli Stemless</t>
  </si>
  <si>
    <t xml:space="preserve">Suhana Spice Mix - Chicken Biryani</t>
  </si>
  <si>
    <t xml:space="preserve">Praakritik Organic Yellow Moon Dal</t>
  </si>
  <si>
    <t xml:space="preserve">24 Mantra Sona Masuri Brown Rice</t>
  </si>
  <si>
    <t xml:space="preserve">24 Mantra Organic Pancharatna Dal - Split</t>
  </si>
  <si>
    <t xml:space="preserve">24 Mantra Organic Cumin Powder</t>
  </si>
  <si>
    <t xml:space="preserve">Popular Essentials Samba Broken Wheat</t>
  </si>
  <si>
    <t xml:space="preserve">Betty Crocker Chocolate Fudge Cake Mix</t>
  </si>
  <si>
    <t xml:space="preserve">Flying Bird Premium Orange Artificial Food Essence</t>
  </si>
  <si>
    <t xml:space="preserve">Popular Essentials Red Cherry/Gundu Chilli</t>
  </si>
  <si>
    <t xml:space="preserve">Super Saver Kolam Rice Sortex Clean </t>
  </si>
  <si>
    <t xml:space="preserve">Flying Bird Food Essence - Kewra</t>
  </si>
  <si>
    <t xml:space="preserve">MTR Vada Breakfast</t>
  </si>
  <si>
    <t xml:space="preserve">On1y Pasta Seasoning</t>
  </si>
  <si>
    <t xml:space="preserve">Praakritik Organic Indrayani Rice</t>
  </si>
  <si>
    <t xml:space="preserve">On1y Pizza Seasoning</t>
  </si>
  <si>
    <t xml:space="preserve">Kitchens of India Mutter Paneer Mix</t>
  </si>
  <si>
    <t xml:space="preserve">Aashirvaad Svasti Cow Ghee Tetra Pack</t>
  </si>
  <si>
    <t xml:space="preserve">Weikfield Cooker Cake Mix - Vanilla</t>
  </si>
  <si>
    <t xml:space="preserve">Praakritik Organic Kapli Wheat Atta</t>
  </si>
  <si>
    <t xml:space="preserve">Epicurea Sushi Rice</t>
  </si>
  <si>
    <t xml:space="preserve">Sugarfree Natural Green Stevia Leaves Zero Calorie</t>
  </si>
  <si>
    <t xml:space="preserve">Smith &amp; Jones Italian Spices Masala Mix</t>
  </si>
  <si>
    <t xml:space="preserve">Satyam Nighties Spices  Chilli Bore</t>
  </si>
  <si>
    <t xml:space="preserve">Weikfield Veg Jelly Crystals - Orange</t>
  </si>
  <si>
    <t xml:space="preserve">Praakritik Organic Jumbo Rolled Oats</t>
  </si>
  <si>
    <t xml:space="preserve">On1y Sea Salt Grinder</t>
  </si>
  <si>
    <t xml:space="preserve">Delight Nuts Berries Mix </t>
  </si>
  <si>
    <t xml:space="preserve">Praakritik Organic Ginger Powder</t>
  </si>
  <si>
    <t xml:space="preserve">Suhana Mutton Gravy Mix</t>
  </si>
  <si>
    <t xml:space="preserve">On1y Salad Seasoning Grinder</t>
  </si>
  <si>
    <t xml:space="preserve">Figaro Pure Olive Oil</t>
  </si>
  <si>
    <t xml:space="preserve">Madhur Sugar</t>
  </si>
  <si>
    <t xml:space="preserve">Madhur Pure And Hygienic Sugar</t>
  </si>
  <si>
    <t xml:space="preserve">Satyam Poha Jada</t>
  </si>
  <si>
    <t xml:space="preserve">Aashirvaad Superior MP Whole Wheat Atta</t>
  </si>
  <si>
    <t xml:space="preserve">Maggi Masala Ae Magic</t>
  </si>
  <si>
    <t xml:space="preserve">Aashirvaad Iodised Salt </t>
  </si>
  <si>
    <t xml:space="preserve">Maggi 2-Minute Instant Noodles - Masala</t>
  </si>
  <si>
    <t xml:space="preserve">Popular Essentials Phool Makhana (Jumbo Size)</t>
  </si>
  <si>
    <t xml:space="preserve">Aashirvaad Atta With Mutigrains</t>
  </si>
  <si>
    <t xml:space="preserve">Tata Sampann Poha</t>
  </si>
  <si>
    <t xml:space="preserve">Fortune Besan Flour</t>
  </si>
  <si>
    <t xml:space="preserve">Everest Tikhalal Hot &amp; Red Chilly Powder</t>
  </si>
  <si>
    <t xml:space="preserve">Popular Essentials Chia Seeds</t>
  </si>
  <si>
    <t xml:space="preserve">Tata Sampann Unpolished Toor Dal/Arhar Dal</t>
  </si>
  <si>
    <t xml:space="preserve">Everest Coriander Powder</t>
  </si>
  <si>
    <t xml:space="preserve">Satyam Thin Poha Patla</t>
  </si>
  <si>
    <t xml:space="preserve">Popular Essentials Sona Masouri Raw Rice</t>
  </si>
  <si>
    <t xml:space="preserve">Tata Sampann High Protien Chana Dal - Split</t>
  </si>
  <si>
    <t xml:space="preserve">Satyam Singdana </t>
  </si>
  <si>
    <t xml:space="preserve">Tata Sampann Moong Chilka </t>
  </si>
  <si>
    <t xml:space="preserve">Tata Sampann High Protien Toor Dal - Split</t>
  </si>
  <si>
    <t xml:space="preserve">Ching's Chow Mein Hakka Noodles Masala</t>
  </si>
  <si>
    <t xml:space="preserve">Everest Chat Masala</t>
  </si>
  <si>
    <t xml:space="preserve">Popular Essentials Black Brown Chana (Un-Polished)</t>
  </si>
  <si>
    <t xml:space="preserve">Ching's Secret Veg Hakka Noodles</t>
  </si>
  <si>
    <t xml:space="preserve">Saffola Oats 100 % Natural</t>
  </si>
  <si>
    <t xml:space="preserve">Everest Kashmiri Lal Chilli Powder</t>
  </si>
  <si>
    <t xml:space="preserve">Popular Essentials Black Raisins Seedless</t>
  </si>
  <si>
    <t xml:space="preserve">Daawat Rozana Super Basmati Rice</t>
  </si>
  <si>
    <t xml:space="preserve">Everest Cumin Powder (Jeera)</t>
  </si>
  <si>
    <t xml:space="preserve">Everest Sambhar Masala</t>
  </si>
  <si>
    <t xml:space="preserve">Maggi Chilly Chow Cuppa Noodles</t>
  </si>
  <si>
    <t xml:space="preserve">Popular Essentials Mustard Seeds Rai Big</t>
  </si>
  <si>
    <t xml:space="preserve">Patanjali Cow's Ghee</t>
  </si>
  <si>
    <t xml:space="preserve">Everest Amchur Powder</t>
  </si>
  <si>
    <t xml:space="preserve">Daawat Super Basmati Rice</t>
  </si>
  <si>
    <t xml:space="preserve">Popular Essentials Sabudana</t>
  </si>
  <si>
    <t xml:space="preserve">Popular Essentials Brown Sugar</t>
  </si>
  <si>
    <t xml:space="preserve">Sunfeast Yippee! Magic Masala Noodles</t>
  </si>
  <si>
    <t xml:space="preserve">Tata Tea Gold</t>
  </si>
  <si>
    <t xml:space="preserve">Daawat Rozana Gold Basmati Rice</t>
  </si>
  <si>
    <t xml:space="preserve">Top Ramen Masala</t>
  </si>
  <si>
    <t xml:space="preserve">Everest Turmeric Powder</t>
  </si>
  <si>
    <t xml:space="preserve">Popular Essentials Buckwheat Flour (Kuttu Atta)</t>
  </si>
  <si>
    <t xml:space="preserve">Keya Italian Pizza Oregano</t>
  </si>
  <si>
    <t xml:space="preserve">Chef's Basket Durum Wheat Penne Pasta</t>
  </si>
  <si>
    <t xml:space="preserve">India Gate Basmati Rice</t>
  </si>
  <si>
    <t xml:space="preserve">24 Mantra Organic Whole Wheat Atta</t>
  </si>
  <si>
    <t xml:space="preserve">Zorabian Chicken Kheema Parathas</t>
  </si>
  <si>
    <t xml:space="preserve">Sunfeast Pasta Treat Pack of Tomato Cheese</t>
  </si>
  <si>
    <t xml:space="preserve">Sugarlite 50% Less Calories Sugar Pouch</t>
  </si>
  <si>
    <t xml:space="preserve">Popular Essentials Sabja/Basil Seeds</t>
  </si>
  <si>
    <t xml:space="preserve">Patanjali Pure Honey</t>
  </si>
  <si>
    <t xml:space="preserve">Weikfield Falooda Mix - Mango</t>
  </si>
  <si>
    <t xml:space="preserve">Pro Nature Organic Sonamasoori Brown Rice</t>
  </si>
  <si>
    <t xml:space="preserve">Maggi Special Masala Spicy Yummy Noodles</t>
  </si>
  <si>
    <t xml:space="preserve">Godrej Yummiez Chicken Breakfast Salami</t>
  </si>
  <si>
    <t xml:space="preserve">Everest Saffron Kesar</t>
  </si>
  <si>
    <t xml:space="preserve">Mother Dairy Toned Milk Pouch</t>
  </si>
  <si>
    <t xml:space="preserve">Mother Dairy Classic Curd</t>
  </si>
  <si>
    <t xml:space="preserve">Mother Dairy Ultra Full Cream Milk</t>
  </si>
  <si>
    <t xml:space="preserve">Amul Butter - Pasteurised</t>
  </si>
  <si>
    <t xml:space="preserve">Britannia Sandwich White Bread</t>
  </si>
  <si>
    <t xml:space="preserve">iD Curd Pouch</t>
  </si>
  <si>
    <t xml:space="preserve">Britannia 100% Whole Wheat Bread</t>
  </si>
  <si>
    <t xml:space="preserve">Britannia Healthy Slice Sandwich Bread</t>
  </si>
  <si>
    <t xml:space="preserve">Gowardhan Classic Block Fresh Paneer</t>
  </si>
  <si>
    <t xml:space="preserve">Amul Processed Cheese Cubes</t>
  </si>
  <si>
    <t xml:space="preserve">Britannia Pav</t>
  </si>
  <si>
    <t xml:space="preserve">Nestle A+ Nourish Dahi</t>
  </si>
  <si>
    <t xml:space="preserve">Britannia Burger Bun with Sesame Seed</t>
  </si>
  <si>
    <t xml:space="preserve">Amul Frozen Malai Paneer</t>
  </si>
  <si>
    <t xml:space="preserve">iD Natural Paneer</t>
  </si>
  <si>
    <t xml:space="preserve">Britannia Fruit Bun</t>
  </si>
  <si>
    <t xml:space="preserve">Amul Cheese - Processed Slices</t>
  </si>
  <si>
    <t xml:space="preserve">iD Curd Cup</t>
  </si>
  <si>
    <t xml:space="preserve">The Bake Shop Premium White Sandwich Bread</t>
  </si>
  <si>
    <t xml:space="preserve">Britannia Multigrain Bread </t>
  </si>
  <si>
    <t xml:space="preserve">Amul Processed Cheese Block</t>
  </si>
  <si>
    <t xml:space="preserve">Epigamia Misti Doi</t>
  </si>
  <si>
    <t xml:space="preserve">Amul Cheese - Block</t>
  </si>
  <si>
    <t xml:space="preserve">Amul Butter - Pasteurised (School Pack)</t>
  </si>
  <si>
    <t xml:space="preserve">Britannia Brown Bread </t>
  </si>
  <si>
    <t xml:space="preserve">Epigamia Natural Greek Yogurt</t>
  </si>
  <si>
    <t xml:space="preserve">The Bake Shop Pizza Base</t>
  </si>
  <si>
    <t xml:space="preserve">Amul Delicious Fat Spread - Cholesterol Free</t>
  </si>
  <si>
    <t xml:space="preserve">Nestle A+ Actiplus Probiotic Dahi Plain Curd</t>
  </si>
  <si>
    <t xml:space="preserve">Bio Nutrients Pure Diet Tofu Gold </t>
  </si>
  <si>
    <t xml:space="preserve">Amul Cheese - Pepper</t>
  </si>
  <si>
    <t xml:space="preserve">Amul Cheese Spread Creamy</t>
  </si>
  <si>
    <t xml:space="preserve">The Bake Shop Foot Long</t>
  </si>
  <si>
    <t xml:space="preserve">Amul Cheese Slices</t>
  </si>
  <si>
    <t xml:space="preserve">Suguna Sharp Egg </t>
  </si>
  <si>
    <t xml:space="preserve">Amul Cheese Sauce Mexican Salsa</t>
  </si>
  <si>
    <t xml:space="preserve">Amul Pizza Cheese Processed</t>
  </si>
  <si>
    <t xml:space="preserve">Amul Lite Spread</t>
  </si>
  <si>
    <t xml:space="preserve">Go Cheese Slice - Plain</t>
  </si>
  <si>
    <t xml:space="preserve">RRO Sour Cream</t>
  </si>
  <si>
    <t xml:space="preserve">D'lecta Natural Feta Cheese Block</t>
  </si>
  <si>
    <t xml:space="preserve">Suguna Active - DHA</t>
  </si>
  <si>
    <t xml:space="preserve">Go Cheese Processed Angles Plain</t>
  </si>
  <si>
    <t xml:space="preserve">Epigamia Greek Yogurt - Natural</t>
  </si>
  <si>
    <t xml:space="preserve">Amul Unsalted Cooking Butter</t>
  </si>
  <si>
    <t xml:space="preserve">The Whole Truth Dark Chocolate Peanut Butter - Creamy</t>
  </si>
  <si>
    <t xml:space="preserve">The Laughing Cow Cheese Slices</t>
  </si>
  <si>
    <t xml:space="preserve">Epigamia Almond Milk Unsweetened Dairy Free</t>
  </si>
  <si>
    <t xml:space="preserve">Go Cheese  Spread Plain</t>
  </si>
  <si>
    <t xml:space="preserve">So Good Almond Milk - Natural Unsweetened</t>
  </si>
  <si>
    <t xml:space="preserve">Amul Cheese Sauce Jalapeno</t>
  </si>
  <si>
    <t xml:space="preserve">D'lecta Cream Cheese</t>
  </si>
  <si>
    <t xml:space="preserve">Dlecta Natural Cheddar Slices</t>
  </si>
  <si>
    <t xml:space="preserve">Suguna Heart- Omega3</t>
  </si>
  <si>
    <t xml:space="preserve">Go Cheese Spread - Garlic</t>
  </si>
  <si>
    <t xml:space="preserve">Go Pizza Cheese</t>
  </si>
  <si>
    <t xml:space="preserve">RRO Cheddar Block Cheese</t>
  </si>
  <si>
    <t xml:space="preserve">The Whole Truth Peanut Butter With Dates - Creamy No Sugar</t>
  </si>
  <si>
    <t xml:space="preserve">Suguna Fit Egg</t>
  </si>
  <si>
    <t xml:space="preserve">RRO Fresh Ricotta</t>
  </si>
  <si>
    <t xml:space="preserve">Dlecta Cheese Cubes 2</t>
  </si>
  <si>
    <t xml:space="preserve">RRO Mozzarella Pizza Cheese</t>
  </si>
  <si>
    <t xml:space="preserve">The Laughing Cow Cheese Cubes</t>
  </si>
  <si>
    <t xml:space="preserve">Yogabar 100% Pure Peanut Butter Creamy &amp; Yummy Unsweetened</t>
  </si>
  <si>
    <t xml:space="preserve">RRO Burrata Cheese</t>
  </si>
  <si>
    <t xml:space="preserve">The Whole Truth Dark Chocolate Peanut Butter - Crunchy</t>
  </si>
  <si>
    <t xml:space="preserve">Go Cheese Processed Squares</t>
  </si>
  <si>
    <t xml:space="preserve">Funfoods Peanut Butter Crunchy</t>
  </si>
  <si>
    <t xml:space="preserve">Amul Safed Makkhan</t>
  </si>
  <si>
    <t xml:space="preserve">Go Cheese Spread - Four Pepper (Soft &amp; Creamy)</t>
  </si>
  <si>
    <t xml:space="preserve">Laughing Cow Cheese 8 Portion 120Gm Imported</t>
  </si>
  <si>
    <t xml:space="preserve">The Whole Truth Peanut Butter - Sweetened &amp; Crunchy</t>
  </si>
  <si>
    <t xml:space="preserve">Go Processed Cheese Block</t>
  </si>
  <si>
    <t xml:space="preserve">Go Cheese Processed Block</t>
  </si>
  <si>
    <t xml:space="preserve">RRO Goat Milk Fetta Cheee</t>
  </si>
  <si>
    <t xml:space="preserve">RRO Mascarpone Cheese</t>
  </si>
  <si>
    <t xml:space="preserve">D'lecta Cheddar Cheese</t>
  </si>
  <si>
    <t xml:space="preserve">Funfoods Peanut Butter Creamy</t>
  </si>
  <si>
    <t xml:space="preserve">Dlecta Cheese Block</t>
  </si>
  <si>
    <t xml:space="preserve">President Butter - Salted</t>
  </si>
  <si>
    <t xml:space="preserve">The Laughing Cow Plain Processed Cheese Block</t>
  </si>
  <si>
    <t xml:space="preserve">Yoga Bar Peanut Butter Dark Chocolate Jar</t>
  </si>
  <si>
    <t xml:space="preserve">The Laughing Cow Cheese Spread Plain</t>
  </si>
  <si>
    <t xml:space="preserve">Amul Malai Paneer Fresh </t>
  </si>
  <si>
    <t xml:space="preserve">Amul Taaza Toned Homogenised Milk</t>
  </si>
  <si>
    <t xml:space="preserve">Amul Lactose Free Milk</t>
  </si>
  <si>
    <t xml:space="preserve">The Bake Shop Whole Wheat Bread</t>
  </si>
  <si>
    <t xml:space="preserve">Amul Slim Trim Skimmed Milk</t>
  </si>
  <si>
    <t xml:space="preserve">Amul Pizza Cheese - Mozzarella</t>
  </si>
  <si>
    <t xml:space="preserve">The Bake Shop Pizza Base Whole Wheat</t>
  </si>
  <si>
    <t xml:space="preserve">Nestle A+ Slim Dahi - Low Fat</t>
  </si>
  <si>
    <t xml:space="preserve">Britannia Cheese Garlic Bread</t>
  </si>
  <si>
    <t xml:space="preserve">The Bake Shop Whole Wheat Ladi Pav</t>
  </si>
  <si>
    <t xml:space="preserve">Amul Cheese Spread Yummy Plain</t>
  </si>
  <si>
    <t xml:space="preserve">Britannia Atta Kulcha</t>
  </si>
  <si>
    <t xml:space="preserve">Suguna Nourish Egg</t>
  </si>
  <si>
    <t xml:space="preserve">The Bake Shop Multi Grain Bread</t>
  </si>
  <si>
    <t xml:space="preserve">Nestle A+ Slim Milk</t>
  </si>
  <si>
    <t xml:space="preserve">Go Cheese Pizza Blend Mozzarella + Cheddar</t>
  </si>
  <si>
    <t xml:space="preserve">The Whole Truth Peanut Butter - Unsweetened &amp; Crunchy</t>
  </si>
  <si>
    <t xml:space="preserve">Amul Cheese Spread Spicy Garlic</t>
  </si>
  <si>
    <t xml:space="preserve">The Bake Shop Burger Buns</t>
  </si>
  <si>
    <t xml:space="preserve">D'lecta Shredded Mozzarella Cheese</t>
  </si>
  <si>
    <t xml:space="preserve">Suguna Vitamin D Egg</t>
  </si>
  <si>
    <t xml:space="preserve">Pillsbury Pancake Mix - Funfetti</t>
  </si>
  <si>
    <t xml:space="preserve">Prabhat Malai Paneer Pouch</t>
  </si>
  <si>
    <t xml:space="preserve">Suguna Nourish Egg </t>
  </si>
  <si>
    <t xml:space="preserve">RRO Mozzarella Block Cheese</t>
  </si>
  <si>
    <t xml:space="preserve">iD Malabar Parota </t>
  </si>
  <si>
    <t xml:space="preserve">iD Wheat Lachha Paratha</t>
  </si>
  <si>
    <t xml:space="preserve">McCain Aloo Tikki</t>
  </si>
  <si>
    <t xml:space="preserve">McCain Smiles Cripsy Happy Potatoes</t>
  </si>
  <si>
    <t xml:space="preserve">McCain Veggie Burger Patty</t>
  </si>
  <si>
    <t xml:space="preserve">McCain Veggie Fingers</t>
  </si>
  <si>
    <t xml:space="preserve">Whiskas Wet  Meal (Adult - Cat Food)  Chicken in Gravy</t>
  </si>
  <si>
    <t xml:space="preserve">McCain Chilli Garlic Potato Bites Crunchy Potato Nuggets</t>
  </si>
  <si>
    <t xml:space="preserve">Veeba Eggless Mayonnaise</t>
  </si>
  <si>
    <t xml:space="preserve">Veeba Pasta And Pizza Sauce</t>
  </si>
  <si>
    <t xml:space="preserve">Unibic Almond &amp; Oats Protein Bar</t>
  </si>
  <si>
    <t xml:space="preserve">McCain French Fries</t>
  </si>
  <si>
    <t xml:space="preserve">Ching's Secret Manchow Instant Soup</t>
  </si>
  <si>
    <t xml:space="preserve">McCain Potato Cheese Shotz</t>
  </si>
  <si>
    <t xml:space="preserve">McCain Masala - Fries</t>
  </si>
  <si>
    <t xml:space="preserve">Ching's Secret Schezwan Fried Rice Masala</t>
  </si>
  <si>
    <t xml:space="preserve">McCain Chilli Cheesy Nuggets</t>
  </si>
  <si>
    <t xml:space="preserve">Whiskas Adult (+1 Year) Dry Cat Food, Ocean Fish Flavour</t>
  </si>
  <si>
    <t xml:space="preserve">Chings Instant Soup - Hot &amp; Sour</t>
  </si>
  <si>
    <t xml:space="preserve">Amul Spray Infant Milk Food</t>
  </si>
  <si>
    <t xml:space="preserve">McCain Smiles - Pudina Chatka</t>
  </si>
  <si>
    <t xml:space="preserve">McCain French Fries Crisp &amp; Delicious</t>
  </si>
  <si>
    <t xml:space="preserve">Ferrero Nutella Hazelnut Spread</t>
  </si>
  <si>
    <t xml:space="preserve">Lijjat Garlic Papad</t>
  </si>
  <si>
    <t xml:space="preserve">Switz Samosa Dough Sheets</t>
  </si>
  <si>
    <t xml:space="preserve">Maggi Imli Sauce Pichkoo</t>
  </si>
  <si>
    <t xml:space="preserve">Whiskas Kitten (2-12 months) Dry Cat Food Food Ocean Fish</t>
  </si>
  <si>
    <t xml:space="preserve">Chings Instant Soup - Sweet Corn Veg</t>
  </si>
  <si>
    <t xml:space="preserve">Whiskas Wet  Meal (Kitten - Cat Food)  Chicken in Gravy</t>
  </si>
  <si>
    <t xml:space="preserve">McCain Crazy Fries Masala MixHot 'n' Tangy</t>
  </si>
  <si>
    <t xml:space="preserve">The Whole Truth Double Cocoa Protein Bar No Sugar</t>
  </si>
  <si>
    <t xml:space="preserve">Amul Happy Treats French Fries</t>
  </si>
  <si>
    <t xml:space="preserve">Ferrero Nutella Hazeulnut Spread</t>
  </si>
  <si>
    <t xml:space="preserve">Veeba Chipolte Southwest Dressing</t>
  </si>
  <si>
    <t xml:space="preserve">Ching's Secret Manchow Noodles Instant Soup</t>
  </si>
  <si>
    <t xml:space="preserve">Yoga Bar Breakfast Protein Bar - Blueberry Pie</t>
  </si>
  <si>
    <t xml:space="preserve">The Whole Truth Mini Protein Bar - Coconut Cocoa No Added Sugar</t>
  </si>
  <si>
    <t xml:space="preserve">Switz Spring Roll Dough Sheets</t>
  </si>
  <si>
    <t xml:space="preserve">Unibic Fruit &amp; Nut Real Cranberries &amp; Almonds Protein Bar</t>
  </si>
  <si>
    <t xml:space="preserve">Ching's Secret Tomato Instant Soup</t>
  </si>
  <si>
    <t xml:space="preserve">Kellogg's Crunchy Fruit &amp; Nut Breakfast Cereals Muesli</t>
  </si>
  <si>
    <t xml:space="preserve">Ching's Secret Chilli Vinegar</t>
  </si>
  <si>
    <t xml:space="preserve">Ching's Red Chilli Sauce</t>
  </si>
  <si>
    <t xml:space="preserve">The Whole Truth Cranberry Mini Protein Bar No Sugar</t>
  </si>
  <si>
    <t xml:space="preserve">The Whole Truth Mini Protein Bar - Coffee Cocoa No Added Sugar</t>
  </si>
  <si>
    <t xml:space="preserve">Maggi Hot &amp; Sweet Tomato Chilli Sauce</t>
  </si>
  <si>
    <t xml:space="preserve">Sunfeast YiPPee! Noodles - Magic Masala</t>
  </si>
  <si>
    <t xml:space="preserve">Veeba Cheese and Chilli Sandwich Spread</t>
  </si>
  <si>
    <t xml:space="preserve">The Whole Truth Peanut Cocoa Mini Protein Bar No Sugar </t>
  </si>
  <si>
    <t xml:space="preserve">Gits Pav Bhaji Ready to Eat</t>
  </si>
  <si>
    <t xml:space="preserve">Lijjat Udad Mini Papad</t>
  </si>
  <si>
    <t xml:space="preserve">McCain Herb &amp; Garlic Crazy Fries Masala Mix </t>
  </si>
  <si>
    <t xml:space="preserve">Yoga Bar Multigrain Energy Bar Nuts And Seeds</t>
  </si>
  <si>
    <t xml:space="preserve">Ching's Secret Sauce, Green Chilli</t>
  </si>
  <si>
    <t xml:space="preserve">Veeba Pizza Topping</t>
  </si>
  <si>
    <t xml:space="preserve">Switz Paratha Puff</t>
  </si>
  <si>
    <t xml:space="preserve">New Kellogg's Muesli with 21% Fruit, Nut &amp; Seeds</t>
  </si>
  <si>
    <t xml:space="preserve">The Whole Truth Double Cocoa Mini Protein Bar No Sugar</t>
  </si>
  <si>
    <t xml:space="preserve">Sunfeast Yippee Tricolor Pasta Seasoning</t>
  </si>
  <si>
    <t xml:space="preserve">Wingreens Cheesy Chipotle Sauce</t>
  </si>
  <si>
    <t xml:space="preserve">Maggi Rich Tomato Ketchup</t>
  </si>
  <si>
    <t xml:space="preserve">The Whole Truth Vegan Almond Choco Fudge Energy Bar No Sugar</t>
  </si>
  <si>
    <t xml:space="preserve">Prasuma Vegetable Momos</t>
  </si>
  <si>
    <t xml:space="preserve">MTR Upma</t>
  </si>
  <si>
    <t xml:space="preserve">The Whole Truth Cranberry Protein Bar No Sugar</t>
  </si>
  <si>
    <t xml:space="preserve">Veeba English Mustard</t>
  </si>
  <si>
    <t xml:space="preserve">Yoga Bar Breakfast Muesli - Almond Caramel (No Added Sugar)</t>
  </si>
  <si>
    <t xml:space="preserve">The Whole Truth Mini Protein Bar - Peanut Butter No Added Sugar</t>
  </si>
  <si>
    <t xml:space="preserve">ITC Master Chef Crispy Chicken Fries </t>
  </si>
  <si>
    <t xml:space="preserve">Kelloggs Corn Flakes</t>
  </si>
  <si>
    <t xml:space="preserve">Smith &amp; Jones White Pasta Sauce Mix</t>
  </si>
  <si>
    <t xml:space="preserve">Mothers Recipe Tamrind Date Chutney </t>
  </si>
  <si>
    <t xml:space="preserve">Veeba Mint Mayonnaise</t>
  </si>
  <si>
    <t xml:space="preserve">Mccain Emotibites - Crispy Happy Potato Snack</t>
  </si>
  <si>
    <t xml:space="preserve">The Whole Truth Energy Bar Choco Cranberry Fudge</t>
  </si>
  <si>
    <t xml:space="preserve">Godrej Yummiez Chicken Lucknowi Seekh Kebab</t>
  </si>
  <si>
    <t xml:space="preserve">Mother's Recipe Mixed Pickle</t>
  </si>
  <si>
    <t xml:space="preserve">The Whole Truth Peanut Cocoa Protein Bar No Sugar</t>
  </si>
  <si>
    <t xml:space="preserve">Yoga Bar Breakfast Muesli - Chocolate &amp; Cranberry </t>
  </si>
  <si>
    <t xml:space="preserve">Veeba Sweet Onion Sauce</t>
  </si>
  <si>
    <t xml:space="preserve">Yogabar No Added Sugar Protein Bar Brownie</t>
  </si>
  <si>
    <t xml:space="preserve">Bambino Popular Vermicelli </t>
  </si>
  <si>
    <t xml:space="preserve">Ching's Secret Mix Veg Instant Soup</t>
  </si>
  <si>
    <t xml:space="preserve">Mother's Recipe Pickle - Red Stuffed Chilli</t>
  </si>
  <si>
    <t xml:space="preserve">Kellogg's No Added Sugar Muesli</t>
  </si>
  <si>
    <t xml:space="preserve">Veeba Salsa Dip</t>
  </si>
  <si>
    <t xml:space="preserve">Veeba Thousand Island Dressing</t>
  </si>
  <si>
    <t xml:space="preserve">Baggry's Crunchy Muesli Almond Raisins &amp; Honey</t>
  </si>
  <si>
    <t xml:space="preserve">Knorr Chinese Hot And Sour Veg Soup</t>
  </si>
  <si>
    <t xml:space="preserve">Kissan Pineapple Jam</t>
  </si>
  <si>
    <t xml:space="preserve">Smith &amp; Jones Masala Noodles</t>
  </si>
  <si>
    <t xml:space="preserve">McCain Super Wedges</t>
  </si>
  <si>
    <t xml:space="preserve">Kellogg's Crunchy Granola Honey, Almonds, Strawberries &amp; Pumpkin Seeds</t>
  </si>
  <si>
    <t xml:space="preserve">Kellogg's Chocos</t>
  </si>
  <si>
    <t xml:space="preserve">Ching's Secret Just Soak - Whole Wheat Veg Hakka Noodle</t>
  </si>
  <si>
    <t xml:space="preserve">The Whole Truth Vegan Fig Apricot &amp; Orange Energy Bar No Sugar</t>
  </si>
  <si>
    <t xml:space="preserve">ITC Master Chef Classic Aloo Tikki</t>
  </si>
  <si>
    <t xml:space="preserve">Smith &amp; Jones Pink Pasta Sauce Mix</t>
  </si>
  <si>
    <t xml:space="preserve">Wingreens Farms Chipotle Dip</t>
  </si>
  <si>
    <t xml:space="preserve">Kellogg's Crunchy Granola Chocolate &amp; Almonds</t>
  </si>
  <si>
    <t xml:space="preserve">Cornitos Cornitos Taco Shells - 6 Inches</t>
  </si>
  <si>
    <t xml:space="preserve">Ching's Secret Singapore Curry Instant Noodles</t>
  </si>
  <si>
    <t xml:space="preserve">Mother's Recipe Pickle - Mango</t>
  </si>
  <si>
    <t xml:space="preserve">Pedigree Dentastix  Dog Treat Oral Care for Adult Medium Breed </t>
  </si>
  <si>
    <t xml:space="preserve">Maggi Hot &amp; Sweet - Tomato Chilli Sauce</t>
  </si>
  <si>
    <t xml:space="preserve">Ching's Secret Asian Hot Instant Soup</t>
  </si>
  <si>
    <t xml:space="preserve">Chings Secret Manchurian Instant Noodle</t>
  </si>
  <si>
    <t xml:space="preserve">Kellogg's Almonds And Cranberries Granola</t>
  </si>
  <si>
    <t xml:space="preserve">Nestle Ceregrow Multigrain Cereal with Milk and Fruits - 3 to 6 years</t>
  </si>
  <si>
    <t xml:space="preserve">MTR 3 Minute Breakfast - Magic Masala Upma</t>
  </si>
  <si>
    <t xml:space="preserve">Knorr Classic Tomato Soup With 100% Real Vegetabls, No Added Preservatives</t>
  </si>
  <si>
    <t xml:space="preserve">Kellogg's Corn Flakes</t>
  </si>
  <si>
    <t xml:space="preserve">Kelloggs Chocos</t>
  </si>
  <si>
    <t xml:space="preserve">Ching's Secret Lemon Coriander Instant Soup</t>
  </si>
  <si>
    <t xml:space="preserve">Nestle Cerelac Baby Cereal With Milk Wheat-Rice Mixed Fruit</t>
  </si>
  <si>
    <t xml:space="preserve">Kelloggs Chocos - Moons &amp; Stars</t>
  </si>
  <si>
    <t xml:space="preserve">ITC Master Chef Chicken Galouti Kebab</t>
  </si>
  <si>
    <t xml:space="preserve">Kitchens Of India Palak Paneer</t>
  </si>
  <si>
    <t xml:space="preserve">Kelloggs Chocos Fills Double Chocolat</t>
  </si>
  <si>
    <t xml:space="preserve">Soulfull Ragi Bites Choco Fills</t>
  </si>
  <si>
    <t xml:space="preserve">Figaro Sliced Black Olive </t>
  </si>
  <si>
    <t xml:space="preserve">Veeba Barbeque Sauce</t>
  </si>
  <si>
    <t xml:space="preserve">The Whole Truth Vegan Mocha Almond Fudge Energy Bar No Sugar</t>
  </si>
  <si>
    <t xml:space="preserve">The Whole Truth - Nuts, Fruits &amp; Seeds Muesli</t>
  </si>
  <si>
    <t xml:space="preserve">Pantai Green Curry Paste</t>
  </si>
  <si>
    <t xml:space="preserve">Kelloggs Special K</t>
  </si>
  <si>
    <t xml:space="preserve">Moi Soi Sichuan Chilli Oil- For Stir Fry Marinade Spread &amp; Dip</t>
  </si>
  <si>
    <t xml:space="preserve">Mother's Recipe Madras Appalam</t>
  </si>
  <si>
    <t xml:space="preserve">Top Ramen Masala Oat Masala</t>
  </si>
  <si>
    <t xml:space="preserve">Kitchens Of India Chicken Chettinad</t>
  </si>
  <si>
    <t xml:space="preserve">Nestle Cerelac Wheat - Stage 1</t>
  </si>
  <si>
    <t xml:space="preserve">Sumeru Aloo Paratha</t>
  </si>
  <si>
    <t xml:space="preserve">ITC Master Chef Veggie Pizza Pocket</t>
  </si>
  <si>
    <t xml:space="preserve">Wingreens Farms Tangy Cheese Pita Chips &amp; Mexican Salsa Dip</t>
  </si>
  <si>
    <t xml:space="preserve">Ching's Secret Manchow Soup</t>
  </si>
  <si>
    <t xml:space="preserve">Veeba Carrot &amp; Cucumber Sandwich Spread</t>
  </si>
  <si>
    <t xml:space="preserve">Kitchens Of India Mughlai Paneer</t>
  </si>
  <si>
    <t xml:space="preserve">Ching's Secret Just Soak - Veg Hakka Noodles</t>
  </si>
  <si>
    <t xml:space="preserve">Ching's Secret Chowmein Hakka Noodles Masala</t>
  </si>
  <si>
    <t xml:space="preserve">Mother's Recipe Bhel Puri Chutney</t>
  </si>
  <si>
    <t xml:space="preserve">Kelloggs Chocos Moon &amp; Stars</t>
  </si>
  <si>
    <t xml:space="preserve">Mother's Recipe Lime Pickle </t>
  </si>
  <si>
    <t xml:space="preserve">Kitchens of India Dal Makhani</t>
  </si>
  <si>
    <t xml:space="preserve">Pantai Light Soy Sauce</t>
  </si>
  <si>
    <t xml:space="preserve">Ching's Secret Sweet Corn Soup</t>
  </si>
  <si>
    <t xml:space="preserve">Cantina Tortilla Dip Sauce Sour Creamy Tex Mex</t>
  </si>
  <si>
    <t xml:space="preserve">Dabur Hommade - Rajasthan Ki Garlic Chutne</t>
  </si>
  <si>
    <t xml:space="preserve">MTR Seviyan Vermicelli </t>
  </si>
  <si>
    <t xml:space="preserve">Pantai Oyster Sauce</t>
  </si>
  <si>
    <t xml:space="preserve">MTR Ready To Eat Paneer Butter Masala</t>
  </si>
  <si>
    <t xml:space="preserve">Nestle Lactogen Stage 2 Follow-up Formula Powder</t>
  </si>
  <si>
    <t xml:space="preserve">Kellogg's Crunchy Bites Chocos</t>
  </si>
  <si>
    <t xml:space="preserve">Veeba Hot Sweet Tomato Chilli Sauce</t>
  </si>
  <si>
    <t xml:space="preserve">Pantai Red Curry Paste</t>
  </si>
  <si>
    <t xml:space="preserve">ITC Master Chef Chicken Seekh Kabab</t>
  </si>
  <si>
    <t xml:space="preserve">Del Monte Pizza &amp; Pasta Sauce Spout Pack</t>
  </si>
  <si>
    <t xml:space="preserve">Pantai Sriracha Red Chilli Sauce</t>
  </si>
  <si>
    <t xml:space="preserve">Hershey's Cocoa Spread</t>
  </si>
  <si>
    <t xml:space="preserve">Maggi Ghee Tadka Upma Express Pouch</t>
  </si>
  <si>
    <t xml:space="preserve">Ching's Secret Manchurian Noodles</t>
  </si>
  <si>
    <t xml:space="preserve">Kellogg's All Bran Wheat Flakes</t>
  </si>
  <si>
    <t xml:space="preserve">Yummiez Chicken Breakfast Sausages</t>
  </si>
  <si>
    <t xml:space="preserve">Bagrrys Muesli Crunchy Fruit &amp; Nut With Cranberries</t>
  </si>
  <si>
    <t xml:space="preserve">Prasuma Momos -  Cheesy Spicy Veg</t>
  </si>
  <si>
    <t xml:space="preserve">Veeba Sriracha Chilli Garlic Sauce</t>
  </si>
  <si>
    <t xml:space="preserve">Moi Soi Kung Pao Sauce - For Stir Fry Marinade Spread &amp; Dip</t>
  </si>
  <si>
    <t xml:space="preserve">Figaro Plain Green Olive </t>
  </si>
  <si>
    <t xml:space="preserve">Mother's Recipe Gujrati Gorkeri Pickle</t>
  </si>
  <si>
    <t xml:space="preserve">Kellogg's Muesli 20% Nuts Delight</t>
  </si>
  <si>
    <t xml:space="preserve">Nestle Nan Pro 4 Follow Up Formula Powder For Older Infants </t>
  </si>
  <si>
    <t xml:space="preserve">Veeba Truly Tomato Ketchup</t>
  </si>
  <si>
    <t xml:space="preserve">Ching's Secret Green Chilli Sauce</t>
  </si>
  <si>
    <t xml:space="preserve">MTR Roasted Vermicelli </t>
  </si>
  <si>
    <t xml:space="preserve">Mother's Recipe Punjabi Teekha Mang Pickle</t>
  </si>
  <si>
    <t xml:space="preserve">Ching's Secret Hot Garlic Instant Noodles</t>
  </si>
  <si>
    <t xml:space="preserve">Kellogg's Real Honey Corn Flakes</t>
  </si>
  <si>
    <t xml:space="preserve">ITC Master Chef Lebanese Falafel Kebab</t>
  </si>
  <si>
    <t xml:space="preserve">Kelloggs Chocos Fills Double Chocolaty</t>
  </si>
  <si>
    <t xml:space="preserve">Organic India Apple Cider Vinegar</t>
  </si>
  <si>
    <t xml:space="preserve">Ching's Secret  Noodles - Pad Thai Lemongras</t>
  </si>
  <si>
    <t xml:space="preserve">Bagrrys Fruit and Nut Muesli with Cranberries</t>
  </si>
  <si>
    <t xml:space="preserve">Kitchens Of India Yellow Dal Tadka</t>
  </si>
  <si>
    <t xml:space="preserve">Soulfull Vanilla Fills - Ragi Bites</t>
  </si>
  <si>
    <t xml:space="preserve">Pantai Teriyaki Sauce with Garlic</t>
  </si>
  <si>
    <t xml:space="preserve">Whiskas Adult Pocket Tuna Cat Food</t>
  </si>
  <si>
    <t xml:space="preserve">Kitchens Of India Chicken Darbari </t>
  </si>
  <si>
    <t xml:space="preserve">Soulfull Millet Muesli Fruit &amp; Nut Almonds &amp; Real Fruits</t>
  </si>
  <si>
    <t xml:space="preserve">Smith &amp; Jones Red Pasta Sauce Mix</t>
  </si>
  <si>
    <t xml:space="preserve">Kellogg's Muesli Nuts Delight</t>
  </si>
  <si>
    <t xml:space="preserve">Remia Mayonnaise</t>
  </si>
  <si>
    <t xml:space="preserve">Bagrrys Fruit N Fibre Muesli - Strawberry</t>
  </si>
  <si>
    <t xml:space="preserve">Ching's Secret Tomato Oats Instant Soup</t>
  </si>
  <si>
    <t xml:space="preserve">Kellogg's Special K Original Corn Flakes</t>
  </si>
  <si>
    <t xml:space="preserve">Moi Soi  Black Bean Sauce - Dip Spread Stir Fry &amp; Marinade</t>
  </si>
  <si>
    <t xml:space="preserve">Tong Garden Wasabi Green Peas</t>
  </si>
  <si>
    <t xml:space="preserve">Ching's Secret Red Chilli Sauce</t>
  </si>
  <si>
    <t xml:space="preserve">Ching's Instant Hot and Sour Soup</t>
  </si>
  <si>
    <t xml:space="preserve">Ching's Secret Noodles - Pad Thai Original</t>
  </si>
  <si>
    <t xml:space="preserve">Aashirvaad Instant Meals - Khatta Meetha Pohaa With Millets</t>
  </si>
  <si>
    <t xml:space="preserve">Del Monte Black Sliced Olives</t>
  </si>
  <si>
    <t xml:space="preserve">Kitchens Of India Murgh Methi</t>
  </si>
  <si>
    <t xml:space="preserve">Nestle Cerelac 5 Grains &amp; Fruits Cereal</t>
  </si>
  <si>
    <t xml:space="preserve">The Whole Truth - 5 Grain Muesli No Added Sugar</t>
  </si>
  <si>
    <t xml:space="preserve">Ching's Secret  Pad Thai Noodles Green Curry</t>
  </si>
  <si>
    <t xml:space="preserve">Aashirvaad Suji Halwa With Jaggery</t>
  </si>
  <si>
    <t xml:space="preserve">Mother's Recipe Mango Pickle </t>
  </si>
  <si>
    <t xml:space="preserve">Ching's Secret Pad Thai Noodles - Extra Hot Thai Chilli</t>
  </si>
  <si>
    <t xml:space="preserve">Knorr Sweet Corn Chicken Soup</t>
  </si>
  <si>
    <t xml:space="preserve">Ching's Secret Tomato Soup</t>
  </si>
  <si>
    <t xml:space="preserve">Kelloggs Muesli - With 22% Fruit Magic</t>
  </si>
  <si>
    <t xml:space="preserve">Dabur Hommade - Kalonji Tamatar Ki Chutney</t>
  </si>
  <si>
    <t xml:space="preserve">Kitchens Of India Dal Makhani</t>
  </si>
  <si>
    <t xml:space="preserve">Del Monte Green Chili Sauce</t>
  </si>
  <si>
    <t xml:space="preserve">Pedigree Dog Food Adult Chicken &amp; Veg</t>
  </si>
  <si>
    <t xml:space="preserve">Kitchens Of India Rajma Masala</t>
  </si>
  <si>
    <t xml:space="preserve">Kitchen Of India Ready-To-Eat Pindi Channa</t>
  </si>
  <si>
    <t xml:space="preserve">Figaro Pitted Black Olive </t>
  </si>
  <si>
    <t xml:space="preserve">Cantina Tabasco Red Sauce</t>
  </si>
  <si>
    <t xml:space="preserve">Mother's Recipe Pickle - Mixed</t>
  </si>
  <si>
    <t xml:space="preserve">Nestle Cerelac Baby Cereal with Milk 5 Grains &amp; Vegetables from 18 to 24 Month</t>
  </si>
  <si>
    <t xml:space="preserve">Pedigree Meat Jerky Adult Dog Treat Barbecued Chicken</t>
  </si>
  <si>
    <t xml:space="preserve">Veeba Peri Peri Sauce</t>
  </si>
  <si>
    <t xml:space="preserve">Pantai Sriracha Yellow Chilli Sauce</t>
  </si>
  <si>
    <t xml:space="preserve">Ching's Secret Just Soak - Whole Wheat Veg Hakka Noodles</t>
  </si>
  <si>
    <t xml:space="preserve">Pantai Spring Roll Sauce</t>
  </si>
  <si>
    <t xml:space="preserve">MTR Vermicelli Payasam</t>
  </si>
  <si>
    <t xml:space="preserve">Bagrrys Corn Flakes</t>
  </si>
  <si>
    <t xml:space="preserve">MTR Ready To Eat Palak Paneer </t>
  </si>
  <si>
    <t xml:space="preserve">Del Monte Red Chili Sauce</t>
  </si>
  <si>
    <t xml:space="preserve">MTR Dal Fry</t>
  </si>
  <si>
    <t xml:space="preserve">Pantai Fish Sauce</t>
  </si>
  <si>
    <t xml:space="preserve">Ching's Secret Manchurian Instant Noodle</t>
  </si>
  <si>
    <t xml:space="preserve">Remia Salad Italian Dressing </t>
  </si>
  <si>
    <t xml:space="preserve">Yummiez Veg Cheese Fingers Pouch</t>
  </si>
  <si>
    <t xml:space="preserve">MTR Dal Makhani</t>
  </si>
  <si>
    <t xml:space="preserve">MTR Ready to Eat Pav Bhaji</t>
  </si>
  <si>
    <t xml:space="preserve">Nestlé CERELAC Baby Cereal with Milk</t>
  </si>
  <si>
    <t xml:space="preserve">Remia Salad Caesar Dressing</t>
  </si>
  <si>
    <t xml:space="preserve">Bagrrys Fruit N Fibre Muesli Mixed Fruit</t>
  </si>
  <si>
    <t xml:space="preserve">MTR Paneer Butter Masala &amp; Veg Pulao</t>
  </si>
  <si>
    <t xml:space="preserve">Sundrop Cocoa Nut Hazelnut Chocolatey Spread</t>
  </si>
  <si>
    <t xml:space="preserve">Moi Soi Manchurian Sauce - For Stir Fry Marinade Spread &amp; Dip</t>
  </si>
  <si>
    <t xml:space="preserve">Pedigree Dog Food Adult Meat &amp; Rice</t>
  </si>
  <si>
    <t xml:space="preserve">Pantai Sriracha Green Chilli Sauce</t>
  </si>
  <si>
    <t xml:space="preserve">Pantai Chilli Garlic Sauce</t>
  </si>
  <si>
    <t xml:space="preserve">Pantai Dark Soy Sauce</t>
  </si>
  <si>
    <t xml:space="preserve">Cantina Tabasco Green Sauce</t>
  </si>
  <si>
    <t xml:space="preserve">Pantai Pad Thai Sauce (Non-Veg)</t>
  </si>
  <si>
    <t xml:space="preserve">Pantai Sweet Chilli Sauce</t>
  </si>
  <si>
    <t xml:space="preserve">Ching's Secret Schezwan Instant Noodle</t>
  </si>
  <si>
    <t xml:space="preserve">Pediasure Premium Chocolate Powdered Health Drink</t>
  </si>
  <si>
    <t xml:space="preserve">Chings Secret Hot Garlic Instant Noodles</t>
  </si>
  <si>
    <t xml:space="preserve">Godrej Yummiez Cheese Corn Nuggets </t>
  </si>
  <si>
    <t xml:space="preserve">Pantai Hot Chilli Sauce</t>
  </si>
  <si>
    <t xml:space="preserve">Knorr International Mexican Tomato Corn Soup </t>
  </si>
  <si>
    <t xml:space="preserve">Kurkure Green Chutney, Rajasthani Style</t>
  </si>
  <si>
    <t xml:space="preserve">Kellogg's Chocos Combo Pack</t>
  </si>
  <si>
    <t xml:space="preserve">Kissan Mixed Fruit Jam </t>
  </si>
  <si>
    <t xml:space="preserve">Lijjat Urad Papad</t>
  </si>
  <si>
    <t xml:space="preserve">Mother's Recipe Ginger And Garlic Paste</t>
  </si>
  <si>
    <t xml:space="preserve">Maggi Magic Cubes Chicken</t>
  </si>
  <si>
    <t xml:space="preserve">Pedigree Puppy Chicken Chunks in Gravy </t>
  </si>
  <si>
    <t xml:space="preserve">Lijjat Moong Papad</t>
  </si>
  <si>
    <t xml:space="preserve">Mothers Recipe Papad - Sabudana With Rock Salt</t>
  </si>
  <si>
    <t xml:space="preserve">Veeba Favourites Eggless Burger Mayonnaise</t>
  </si>
  <si>
    <t xml:space="preserve">Kelloggs Corn Flakes With Real Strawberry Pure</t>
  </si>
  <si>
    <t xml:space="preserve">Mother's Recipe Potato Papad</t>
  </si>
  <si>
    <t xml:space="preserve">Mothers Recipe Rice Papad Ajwain</t>
  </si>
  <si>
    <t xml:space="preserve">Dabur Hommade - Imli Sauce Saunth</t>
  </si>
  <si>
    <t xml:space="preserve">MTR Vegetable Upma</t>
  </si>
  <si>
    <t xml:space="preserve">Del Monte Original Blend Tomato Ketchup Pouch</t>
  </si>
  <si>
    <t xml:space="preserve">Del Monte Natural Vinegar </t>
  </si>
  <si>
    <t xml:space="preserve">Del Monte Eggless Mayo</t>
  </si>
  <si>
    <t xml:space="preserve">ITC Master Chef Cheesy Corn Triangles</t>
  </si>
  <si>
    <t xml:space="preserve">Mother's Recipe Mixed Pickle </t>
  </si>
  <si>
    <t xml:space="preserve">Hershey's Cocoa + Almond Spread</t>
  </si>
  <si>
    <t xml:space="preserve">Del Monte Schezwan Sauce</t>
  </si>
  <si>
    <t xml:space="preserve">Yummiez Green Peas</t>
  </si>
  <si>
    <t xml:space="preserve">Yummiez American Sweet Corn</t>
  </si>
  <si>
    <t xml:space="preserve">Dr Oetker Cucumber &amp; Carrot Sandwich Spread Veg</t>
  </si>
  <si>
    <t xml:space="preserve">Del Monte Pitted Green Olives</t>
  </si>
  <si>
    <t xml:space="preserve">Godrej Real Good Chicken Whole Pre-Cut</t>
  </si>
  <si>
    <t xml:space="preserve">Zorabian Chicken Breast Boneless</t>
  </si>
  <si>
    <t xml:space="preserve">Godrej Real Good Chicken Curry Cut</t>
  </si>
  <si>
    <t xml:space="preserve">TGFC Chicken Curry Cut Fresh</t>
  </si>
  <si>
    <t xml:space="preserve">Godrej Real Good Chicken Breast Boneless</t>
  </si>
  <si>
    <t xml:space="preserve">Fresh Chicken Boneless Cubes (Halal)</t>
  </si>
  <si>
    <t xml:space="preserve">Godrej Real Good Chicken Kheema</t>
  </si>
  <si>
    <t xml:space="preserve">TGFC Bombay Duck Whole Cleaned</t>
  </si>
  <si>
    <t xml:space="preserve">Zorabian Pre Cut Chicken Skinless (Half)</t>
  </si>
  <si>
    <t xml:space="preserve">Godrej Real Good Chicken Drumstick </t>
  </si>
  <si>
    <t xml:space="preserve">Godrej Real Good Chicken Marinated Lollipop </t>
  </si>
  <si>
    <t xml:space="preserve">Fresh Chicken Whole Leg - Skinless (Halal)</t>
  </si>
  <si>
    <t xml:space="preserve">TGFC Tilapia Curry Cut</t>
  </si>
  <si>
    <t xml:space="preserve">Godrej Real Good Marinated Hot &amp; Grill Chicken</t>
  </si>
  <si>
    <t xml:space="preserve">TGFC Chicken Boneless Fresh Whole</t>
  </si>
  <si>
    <t xml:space="preserve">TGFC Catla Bengali Cut</t>
  </si>
  <si>
    <t xml:space="preserve">Godrej Real Good Chicken Leg Boneless</t>
  </si>
  <si>
    <t xml:space="preserve">TGFC Rohu Bengali Cut</t>
  </si>
  <si>
    <t xml:space="preserve">Godrej Real Good Chicken Lollypop</t>
  </si>
  <si>
    <t xml:space="preserve">Godrej Real Good Chicken Liver Sealed </t>
  </si>
  <si>
    <t xml:space="preserve">Fresh Mutton Mince - Kheema (Halal)</t>
  </si>
  <si>
    <t xml:space="preserve">Fresh Mutton Curry Cut Cubes (Halal)</t>
  </si>
  <si>
    <t xml:space="preserve">Godrej Real Good Chicken Legs </t>
  </si>
  <si>
    <t xml:space="preserve">TGFC Basa Fillets</t>
  </si>
  <si>
    <t xml:space="preserve">Zorabian Chicken Legs Skinless</t>
  </si>
  <si>
    <t xml:space="preserve">Fresh Chicken Curry Cut - Skinless (Halal)</t>
  </si>
  <si>
    <t xml:space="preserve">Zorabian Chicken Breast Boneless </t>
  </si>
  <si>
    <t xml:space="preserve">Fresh Chicken Mince - Kheema (Halal)</t>
  </si>
  <si>
    <t xml:space="preserve">Godrej Real Good Chicken Boneless Cubes </t>
  </si>
  <si>
    <t xml:space="preserve">Zorabian Chicken Mince</t>
  </si>
  <si>
    <t xml:space="preserve">Zorabian Chicken Leg Boneless </t>
  </si>
  <si>
    <t xml:space="preserve">Zorabian Chicken Cubes</t>
  </si>
  <si>
    <t xml:space="preserve">Britannia Good Day Cashew Cookies</t>
  </si>
  <si>
    <t xml:space="preserve">Britannia 50-50 Maska Chaska Biscuits</t>
  </si>
  <si>
    <t xml:space="preserve">Dukes Waffy Chocolate Wafers</t>
  </si>
  <si>
    <t xml:space="preserve">Britannia Nutri Choice Digestive Biscuit</t>
  </si>
  <si>
    <t xml:space="preserve">Britannia Goodday Chocochip Cookies</t>
  </si>
  <si>
    <t xml:space="preserve">Britannia Good Day Pista Badam</t>
  </si>
  <si>
    <t xml:space="preserve">Cadbury Chocobakes Chocolate Filled Cookies </t>
  </si>
  <si>
    <t xml:space="preserve">Dukes Waffy Strawberry Roll</t>
  </si>
  <si>
    <t xml:space="preserve">Parle Monaco Classic Salty Biscuits</t>
  </si>
  <si>
    <t xml:space="preserve">Dukes Waffy Orange Wafers</t>
  </si>
  <si>
    <t xml:space="preserve">Britannia Milk Bikis Biscuits Packet</t>
  </si>
  <si>
    <t xml:space="preserve">Britannia Toastea (Premium Bake Rusk)</t>
  </si>
  <si>
    <t xml:space="preserve">Dukes Waffy Strawberry Wafers</t>
  </si>
  <si>
    <t xml:space="preserve">Britannia Toastea Premium Bake Rusk</t>
  </si>
  <si>
    <t xml:space="preserve">Lotte Choco Pie </t>
  </si>
  <si>
    <t xml:space="preserve">Bauli Moonfils Choco Veg Puff Roll</t>
  </si>
  <si>
    <t xml:space="preserve">Sunfeast Dark Fantasy Choco Fills Cookies Packet</t>
  </si>
  <si>
    <t xml:space="preserve">Britannia 50-50 Maska Chaska Biscuit</t>
  </si>
  <si>
    <t xml:space="preserve">Britannnia 50-50 Sweet &amp; Salty Biscuit</t>
  </si>
  <si>
    <t xml:space="preserve">Britannia Good Day Chunky Cookies</t>
  </si>
  <si>
    <t xml:space="preserve">Sunfeast Marie Light</t>
  </si>
  <si>
    <t xml:space="preserve">Britannia Bourbon Biscuit Buy 4 Get 1 Free</t>
  </si>
  <si>
    <t xml:space="preserve">The Bake Shop Whole Wheat Oats Khari</t>
  </si>
  <si>
    <t xml:space="preserve">Britannia Nutri Choice Oats Milk Almond Biscuit</t>
  </si>
  <si>
    <t xml:space="preserve">Sunfeast Dark Fantasy Choco Creme</t>
  </si>
  <si>
    <t xml:space="preserve">Lotte Choco Pie Chocolate Cake</t>
  </si>
  <si>
    <t xml:space="preserve">Sunfeast Mom's Magic Cashew &amp; Almond Cookies Packet</t>
  </si>
  <si>
    <t xml:space="preserve">Unibic SugarFree - Oatmeal Cookies</t>
  </si>
  <si>
    <t xml:space="preserve">Parle Hide &amp; Seek Cookies With Added Almonds</t>
  </si>
  <si>
    <t xml:space="preserve">Unibic Fruit &amp; Nut Cookies</t>
  </si>
  <si>
    <t xml:space="preserve">Sunfeast Yumfills Whoopie Pie</t>
  </si>
  <si>
    <t xml:space="preserve">McVitie's Marie biscuits with Goodness of Calcium</t>
  </si>
  <si>
    <t xml:space="preserve">Britannia Treat Croissant Vanilla Creme Roll</t>
  </si>
  <si>
    <t xml:space="preserve">Unibic Honey Oatmeal Cookies</t>
  </si>
  <si>
    <t xml:space="preserve">Britannia Good Day Choco Chip Cookies</t>
  </si>
  <si>
    <t xml:space="preserve">The Bake Shop Masala Cheese Crackers</t>
  </si>
  <si>
    <t xml:space="preserve">Britannia Pure Magic Vanilla Creme Biscuit</t>
  </si>
  <si>
    <t xml:space="preserve">Open Secret Assorted Story Box</t>
  </si>
  <si>
    <t xml:space="preserve">Cadbury Oreo Dipped Biscuit</t>
  </si>
  <si>
    <t xml:space="preserve">Sunfeast Farmlite Oats &amp; Almonds Biscuits Packet</t>
  </si>
  <si>
    <t xml:space="preserve">Unibic SugarFree - Butter Cookies</t>
  </si>
  <si>
    <t xml:space="preserve">Britannia Good Day Cashew Cookies Packet</t>
  </si>
  <si>
    <t xml:space="preserve">Dukes Sour &amp; Cream Onion Nibbles Baked</t>
  </si>
  <si>
    <t xml:space="preserve">Parle Hide &amp; Seek Choco Rolls</t>
  </si>
  <si>
    <t xml:space="preserve">Britannia Treat Creme Wafers - Vanilla</t>
  </si>
  <si>
    <t xml:space="preserve">Parle Rusk Elaichi</t>
  </si>
  <si>
    <t xml:space="preserve">Sunfeast Mom's Magic Cashew &amp; Almond Biscuits</t>
  </si>
  <si>
    <t xml:space="preserve">Unibic Cashew Cookies</t>
  </si>
  <si>
    <t xml:space="preserve">Parle Monaco Jeffs Zeera Biscuit</t>
  </si>
  <si>
    <t xml:space="preserve">Unibic Snack Bar - Multigrain, Choco</t>
  </si>
  <si>
    <t xml:space="preserve">The Bake Shop Methi Khari Simply Delicious</t>
  </si>
  <si>
    <t xml:space="preserve">Britannia Treat Jimjam Family Pack (Buy 4 Get 1 Free)</t>
  </si>
  <si>
    <t xml:space="preserve">Open Secret Choco Almond Tiffin Pack</t>
  </si>
  <si>
    <t xml:space="preserve">Baker Street Suji Rusk Large Pack</t>
  </si>
  <si>
    <t xml:space="preserve">Sunfeast Dark Fantasy Vanilla Creme</t>
  </si>
  <si>
    <t xml:space="preserve">Britannia Treat Burst Choco Creme Fills</t>
  </si>
  <si>
    <t xml:space="preserve">Parle Milano Mixed Berries Cookies</t>
  </si>
  <si>
    <t xml:space="preserve">Karachi Bakery Cashew Biscuits </t>
  </si>
  <si>
    <t xml:space="preserve">Britannia Pure Magic Choco Lush Cookies</t>
  </si>
  <si>
    <t xml:space="preserve">Britannia Treart Creme Wafers Chocolate</t>
  </si>
  <si>
    <t xml:space="preserve">Unibic Daily Digestive (Multigrain Cookies)</t>
  </si>
  <si>
    <t xml:space="preserve">Cadbury Chocobakes Choc Filled Cookies</t>
  </si>
  <si>
    <t xml:space="preserve">The Bake Shop Whole Wheat Multigrain Toast (Rusk)</t>
  </si>
  <si>
    <t xml:space="preserve">Unibic Choco Kiss Cookies</t>
  </si>
  <si>
    <t xml:space="preserve">Britannia Treat Creme Wafers - Orange</t>
  </si>
  <si>
    <t xml:space="preserve">Bauli Moonfills Pack of 4</t>
  </si>
  <si>
    <t xml:space="preserve">Unibic Oatmeal Digestive Cookies </t>
  </si>
  <si>
    <t xml:space="preserve">Orion Choco Pie - Chocolate Coated Soft Biscuit</t>
  </si>
  <si>
    <t xml:space="preserve">Britannia Good Day Cashew Cookies Pack Of 6</t>
  </si>
  <si>
    <t xml:space="preserve">Parle Fab Bourbon</t>
  </si>
  <si>
    <t xml:space="preserve">Open Secret White Choco Tiffin Pack</t>
  </si>
  <si>
    <t xml:space="preserve">The Bake Shop Whole Wheat Bread Sticks</t>
  </si>
  <si>
    <t xml:space="preserve">Unibic Assorted Cookies </t>
  </si>
  <si>
    <t xml:space="preserve">The Bake Shop Milk &amp; Raisin Toast (Rusk)</t>
  </si>
  <si>
    <t xml:space="preserve">Lotte Choco Pie Cocoa Pie</t>
  </si>
  <si>
    <t xml:space="preserve">Bauli Moonfils Veg - Strawberry</t>
  </si>
  <si>
    <t xml:space="preserve">The Bake Shop Masala Lavash</t>
  </si>
  <si>
    <t xml:space="preserve">Britannia Good Day Nut Cookies</t>
  </si>
  <si>
    <t xml:space="preserve">Sunfeast Mom's Magic Rich Butter Cookies</t>
  </si>
  <si>
    <t xml:space="preserve">The Bake Shop Whole Wheat Toast (Rusk) </t>
  </si>
  <si>
    <t xml:space="preserve">Open Secret Peanut Butter Story Box</t>
  </si>
  <si>
    <t xml:space="preserve">Open Secret White Choco Story Box</t>
  </si>
  <si>
    <t xml:space="preserve">The Bake Shop Whole Wheat Multigrain Lavash</t>
  </si>
  <si>
    <t xml:space="preserve">McVitie's Oat Cookies</t>
  </si>
  <si>
    <t xml:space="preserve">Britannia Tiger Krunch Biscuits</t>
  </si>
  <si>
    <t xml:space="preserve">McVitie's Butter Cookies</t>
  </si>
  <si>
    <t xml:space="preserve">Bauli Moonfils Strawberry</t>
  </si>
  <si>
    <t xml:space="preserve">Britannia Good Day Butter Cookies</t>
  </si>
  <si>
    <t xml:space="preserve">The Bake Shop Jeera Ajwain Bread Sticks</t>
  </si>
  <si>
    <t xml:space="preserve">Parle Fab!o Vanilla Creme Sandwich Biscuit</t>
  </si>
  <si>
    <t xml:space="preserve">Sunfeast Farmlite Nuts Digestive</t>
  </si>
  <si>
    <t xml:space="preserve">Britannia Pure Magic - Chocolush</t>
  </si>
  <si>
    <t xml:space="preserve">The Bake Shop Maska &amp; Multigrain Cheese Crackers</t>
  </si>
  <si>
    <t xml:space="preserve">Britannia Nutri Choice Ragi Cookies</t>
  </si>
  <si>
    <t xml:space="preserve">Sunfeast Farmlite 5 Seed Digestive</t>
  </si>
  <si>
    <t xml:space="preserve">Dukes Nibbles - Ranch Crackers</t>
  </si>
  <si>
    <t xml:space="preserve">Danish Butter Cookies</t>
  </si>
  <si>
    <t xml:space="preserve">The Bake Shop Sesame Seed Crackers</t>
  </si>
  <si>
    <t xml:space="preserve">Good Day Butter Cookies</t>
  </si>
  <si>
    <t xml:space="preserve">Britannia Marie Gold Biscuits Packet</t>
  </si>
  <si>
    <t xml:space="preserve">Sunfeast Dark Fantasy Choco Fills</t>
  </si>
  <si>
    <t xml:space="preserve">Britannia Nutri Choice Digestive Biscuits Packet</t>
  </si>
  <si>
    <t xml:space="preserve">Britannia Classic Little Hearts </t>
  </si>
  <si>
    <t xml:space="preserve">Britannia Nice Time Biscuit</t>
  </si>
  <si>
    <t xml:space="preserve">Britannia Milk Bikis Cream Biscuit</t>
  </si>
  <si>
    <t xml:space="preserve">Britannia Bourbon Chocolate Cream Biscuits</t>
  </si>
  <si>
    <t xml:space="preserve">Dukes Waffy Chocolate Wafer Rolls </t>
  </si>
  <si>
    <t xml:space="preserve">Britannia Milk Bikis Milky Sandwich</t>
  </si>
  <si>
    <t xml:space="preserve">Britannia Marie Gold Biscuit</t>
  </si>
  <si>
    <t xml:space="preserve">Britannia Marie Gold (Buy 4 Get 1 Free)</t>
  </si>
  <si>
    <t xml:space="preserve">Unibic Choco Nut Cookies</t>
  </si>
  <si>
    <t xml:space="preserve">Britannia Vita Marie Gold Biscuit</t>
  </si>
  <si>
    <t xml:space="preserve">The Bake Shop Maska Khari</t>
  </si>
  <si>
    <t xml:space="preserve">Parle Fab! Jam-In Cream Filled </t>
  </si>
  <si>
    <t xml:space="preserve">Sunfeast Nice Biscuit</t>
  </si>
  <si>
    <t xml:space="preserve">Britannia Nutrichoice 5 Grain Digestive Biscuits</t>
  </si>
  <si>
    <t xml:space="preserve">Cadbury Oreo Strawberry Bicuits</t>
  </si>
  <si>
    <t xml:space="preserve">Sunfeast Mom's Magic Cashew &amp; Almond Biscuit</t>
  </si>
  <si>
    <t xml:space="preserve">Britannia Roll Yo! Strawberry Swiss Roll</t>
  </si>
  <si>
    <t xml:space="preserve">Bauli Moonfils Choco Cream (With Egg)</t>
  </si>
  <si>
    <t xml:space="preserve">Britannia Nutri Choice Oats Choco Almond Biscuit</t>
  </si>
  <si>
    <t xml:space="preserve">Britannia Nutri Choice Cracker Sugar Free Biscuit</t>
  </si>
  <si>
    <t xml:space="preserve">Cadbury Oreo Chocolatey Sandwich Biscuits Family Pack</t>
  </si>
  <si>
    <t xml:space="preserve">Bauli Moonfils Orange Puff Roll</t>
  </si>
  <si>
    <t xml:space="preserve">Britannia Treat Jimjam Cream Biscuits </t>
  </si>
  <si>
    <t xml:space="preserve">The Bake Shop Jeera Khari</t>
  </si>
  <si>
    <t xml:space="preserve">Cadbury Oreo Creme Biscuit - Vanilla, Original 120 g</t>
  </si>
  <si>
    <t xml:space="preserve">Bauli Moonfils - Vanilla</t>
  </si>
  <si>
    <t xml:space="preserve">Britannia Roll Yo! Choco Swiss Roll (With Egg)</t>
  </si>
  <si>
    <t xml:space="preserve">Open Secret Choco Almond Story Box</t>
  </si>
  <si>
    <t xml:space="preserve">Parle Monaco Sixer Salted Biscuits </t>
  </si>
  <si>
    <t xml:space="preserve">Sunfeast Dark Fantasy Bourbon Bliss</t>
  </si>
  <si>
    <t xml:space="preserve">Patanjali Atta Doodh Rusk</t>
  </si>
  <si>
    <t xml:space="preserve">Clove Sensitive Toothpaste with Anti-Sensitivity &amp; Fluoride Formulation</t>
  </si>
  <si>
    <t xml:space="preserve">Dettol Original Germ Protection Alcohol Based Hand Sanitizer</t>
  </si>
  <si>
    <t xml:space="preserve">Colgate Visible White Toothpaste</t>
  </si>
  <si>
    <t xml:space="preserve">Dettol SKincare Handwash Value Refill</t>
  </si>
  <si>
    <t xml:space="preserve">Savlon Herbal Sensitive Liquid Handwash Refill Pouch</t>
  </si>
  <si>
    <t xml:space="preserve">Colgate Total 12 Whole Mouth Protection Toothpaste</t>
  </si>
  <si>
    <t xml:space="preserve">Lux International Creamy White Soap Bar</t>
  </si>
  <si>
    <t xml:space="preserve">Colgate Herbal Toothpaste</t>
  </si>
  <si>
    <t xml:space="preserve">Nivea Men Deodorant Fresh Active 48h Long lasting Freshness</t>
  </si>
  <si>
    <t xml:space="preserve">Dabur Meswak Toothpaste</t>
  </si>
  <si>
    <t xml:space="preserve">Colgate Max Fresh Cooling Crystals Toothpaste</t>
  </si>
  <si>
    <t xml:space="preserve">Indulekha Bhringa Hair Oil</t>
  </si>
  <si>
    <t xml:space="preserve">Colgate Sensitive Soft Bristles Toothbrush</t>
  </si>
  <si>
    <t xml:space="preserve">Pears Pure &amp; Gentle Glycerin Bath Soap</t>
  </si>
  <si>
    <t xml:space="preserve">Vaseline Skin Protecting Jelly</t>
  </si>
  <si>
    <t xml:space="preserve">Dettol Original Germ Protection Bathing Soap Bar</t>
  </si>
  <si>
    <t xml:space="preserve">Dettol Intense Cool Soap (B4G1)</t>
  </si>
  <si>
    <t xml:space="preserve">Livon Anti-Frizz Serum</t>
  </si>
  <si>
    <t xml:space="preserve">Lifebuoy Germ Protection Care Soap Bar</t>
  </si>
  <si>
    <t xml:space="preserve">Godrej Nupur – 100% Pure Henna (Mehendi)</t>
  </si>
  <si>
    <t xml:space="preserve">Glow &amp; Lovely Advanced Multivitamin Face Cream</t>
  </si>
  <si>
    <t xml:space="preserve">Set Wet Style Vertical Hold Hair Gel</t>
  </si>
  <si>
    <t xml:space="preserve">Godrej Expert Rich Crème, Natural Black</t>
  </si>
  <si>
    <t xml:space="preserve">Nycil Germ Expert Cool Herbal Talc</t>
  </si>
  <si>
    <t xml:space="preserve">Godrej Expert Creme Hair Natural Brown Colour </t>
  </si>
  <si>
    <t xml:space="preserve">Veet Sensitive Skin Hair Removal Cream</t>
  </si>
  <si>
    <t xml:space="preserve">Closeup Everfresh+ Anti-Germ Gel Toothpaste Red Hot</t>
  </si>
  <si>
    <t xml:space="preserve">Pears Pure And Gentle Value Pack Of 3 Bathing Soap</t>
  </si>
  <si>
    <t xml:space="preserve">Gillette Presto Ready Shaver 5 Cartridges </t>
  </si>
  <si>
    <t xml:space="preserve">Godrej Expert Rich Crème, Dark Brown</t>
  </si>
  <si>
    <t xml:space="preserve">Nivea Soft Light Moisturizer for Face Hand &amp; Body Non-Sticky Cream with Vitamin E &amp; Jojoba Oil </t>
  </si>
  <si>
    <t xml:space="preserve">Fiama Gel Bar Celebration Pack Buy 4 Get 1 Free</t>
  </si>
  <si>
    <t xml:space="preserve">Gillette Sensitive Shaving Foam</t>
  </si>
  <si>
    <t xml:space="preserve">Dove Hair Fall Rescue Shampoo</t>
  </si>
  <si>
    <t xml:space="preserve">Gillette Mach 3 Mens Razor Blades</t>
  </si>
  <si>
    <t xml:space="preserve">Palmolive Aroma Absolute Relax Shower Gel</t>
  </si>
  <si>
    <t xml:space="preserve">Godrej Protekt Germ Fighter Handwash</t>
  </si>
  <si>
    <t xml:space="preserve">Dettol Hand Sanitizer</t>
  </si>
  <si>
    <t xml:space="preserve">Dabur Amla Hair Oil</t>
  </si>
  <si>
    <t xml:space="preserve">Dettol Original Liquid Handwash</t>
  </si>
  <si>
    <t xml:space="preserve">L'Oreal Paris Total Repair 5 Conditioner</t>
  </si>
  <si>
    <t xml:space="preserve">Patanjali Saundarya Aloe Vera Gel</t>
  </si>
  <si>
    <t xml:space="preserve">Head &amp; Shoulders 2 In 1 Anti Dandruff Shampoo Conditioner </t>
  </si>
  <si>
    <t xml:space="preserve">Clean &amp; Clear Pimple Clearing Face Wash</t>
  </si>
  <si>
    <t xml:space="preserve">Himalaya Anti Dandruff Shampoo</t>
  </si>
  <si>
    <t xml:space="preserve">Stayfree Secure Dry Cover Regular Sanitary Pad With Wings</t>
  </si>
  <si>
    <t xml:space="preserve">Savlon Moisture Shield Hand Wash</t>
  </si>
  <si>
    <t xml:space="preserve">Dove Intense Repair Conditioner</t>
  </si>
  <si>
    <t xml:space="preserve">Dabur Gulabari Rose Glow Face Cleanse</t>
  </si>
  <si>
    <t xml:space="preserve">Parachute Jasmine Hair Oil</t>
  </si>
  <si>
    <t xml:space="preserve">Johnson's Baby Skincare Wipes</t>
  </si>
  <si>
    <t xml:space="preserve">Dettol Skincare Liquid Hand Wash</t>
  </si>
  <si>
    <t xml:space="preserve">Old Spice Original Lather Shaving Cream</t>
  </si>
  <si>
    <t xml:space="preserve">Veet Hair Removal Cream Dry Skin</t>
  </si>
  <si>
    <t xml:space="preserve">L'Oreal Paris Total Repair 5 Shampoo</t>
  </si>
  <si>
    <t xml:space="preserve">Fiama Menthol &amp; Magnolia Cooling Gel Bar Soap</t>
  </si>
  <si>
    <t xml:space="preserve">Nivea Lip Balm Original Care for 24h Moisture with Shea Butter &amp; Natural Oils</t>
  </si>
  <si>
    <t xml:space="preserve">Oral-B Charcoal Deep Clean Stain Removal Toothbrush Soft</t>
  </si>
  <si>
    <t xml:space="preserve">Neutrogena Ultra Sheer Dry Touch SPF 50+ Sunblock Sunscreen Lotion</t>
  </si>
  <si>
    <t xml:space="preserve">Clinic Plus Strong &amp; Long Health Shampoo</t>
  </si>
  <si>
    <t xml:space="preserve">Johnson's Baby No More Tears Baby Shampoo</t>
  </si>
  <si>
    <t xml:space="preserve">Colgate Zig Zag Toothbrush</t>
  </si>
  <si>
    <t xml:space="preserve">Savlon Moisture Shield Germ Protection Handwash Refill (Buy 1 Get 1 Free)</t>
  </si>
  <si>
    <t xml:space="preserve">Colgate Sensitive Everyday Protection Anticavity Toothpaste</t>
  </si>
  <si>
    <t xml:space="preserve">Whisper Ultra Soft XL+ Sanitary Pads</t>
  </si>
  <si>
    <t xml:space="preserve">Garnier Colour Naturals Hair Colour - 1 Natural Black</t>
  </si>
  <si>
    <t xml:space="preserve">Axe Pulse Men's Deodorant</t>
  </si>
  <si>
    <t xml:space="preserve">Colgate Zigzag Charcoal Soft Bristle Toothbrush - 4 Pcs</t>
  </si>
  <si>
    <t xml:space="preserve">Whisper Ultra Clean Wings XL+  Pouch</t>
  </si>
  <si>
    <t xml:space="preserve">Whisper Choice Regular Sanitary Pads</t>
  </si>
  <si>
    <t xml:space="preserve">Axe Dark Temptation Men's Deodorant</t>
  </si>
  <si>
    <t xml:space="preserve">Head &amp; Shoulders Anti-Dandruff Smooth &amp; Silky Shampoo</t>
  </si>
  <si>
    <t xml:space="preserve">Clinic Plus Strength &amp; Shine Shampoo With Egg Protein </t>
  </si>
  <si>
    <t xml:space="preserve">Engage M1 Perfume Spray for Men </t>
  </si>
  <si>
    <t xml:space="preserve">Tresemme Keratin Smooth Conditioner</t>
  </si>
  <si>
    <t xml:space="preserve">Garnier Color Naturals Crème Hair Color, Shade 5 Light Brown</t>
  </si>
  <si>
    <t xml:space="preserve">Origami Aloe Vera Wipes</t>
  </si>
  <si>
    <t xml:space="preserve">Engage Drizzle Deodorant For Women, Floral And Lavender, Skin Friendly</t>
  </si>
  <si>
    <t xml:space="preserve">Gellette Presto Ready Shaver</t>
  </si>
  <si>
    <t xml:space="preserve">Colgate Max Fresh Plax Mouthwash - Fresh Mint</t>
  </si>
  <si>
    <t xml:space="preserve">Colgate Zig Zag Charcoal Medium Toothbrush 4 Pcs</t>
  </si>
  <si>
    <t xml:space="preserve">Godrej Protekt</t>
  </si>
  <si>
    <t xml:space="preserve">Colgate Total Charcoal Anticavity Toothpaste</t>
  </si>
  <si>
    <t xml:space="preserve">Colgate Kids 0-2 Extra Soft Tooth Brush</t>
  </si>
  <si>
    <t xml:space="preserve">Gillete Mach3 </t>
  </si>
  <si>
    <t xml:space="preserve">Maybelline New York Colossal Kajal Black</t>
  </si>
  <si>
    <t xml:space="preserve">Godrej Cinthol Lime Talc</t>
  </si>
  <si>
    <t xml:space="preserve">Hamam Soap Bar Neem Tulsi and Aloe Vera</t>
  </si>
  <si>
    <t xml:space="preserve">Godrej Expert Rich Crème, Burgundy</t>
  </si>
  <si>
    <t xml:space="preserve">Colgate Gentle Sensitive+ Toothbrush Pack Of 4</t>
  </si>
  <si>
    <t xml:space="preserve">Nivea Creme All Season Multi-Purpose Cream </t>
  </si>
  <si>
    <t xml:space="preserve">Oral-B Charcoal Deep Clean Stain Removal Toothbrush Medium</t>
  </si>
  <si>
    <t xml:space="preserve">Mamaearth 100% Natural Berry Blast Kids Toothpaste</t>
  </si>
  <si>
    <t xml:space="preserve">HImalaya Gentle Baby Wipes</t>
  </si>
  <si>
    <t xml:space="preserve">Stayfree Dry Max All Night XL Dry Cover Sanitary Pads</t>
  </si>
  <si>
    <t xml:space="preserve">L'Oreal Paris Excellence Creme Hair Color, 1 Black</t>
  </si>
  <si>
    <t xml:space="preserve">Fem Fairness Naturals Saffron Skin Bleach</t>
  </si>
  <si>
    <t xml:space="preserve">Engage Woman Blush Body Deo Spray</t>
  </si>
  <si>
    <t xml:space="preserve">Dove Pink Rosa Beauty Bathinhg Bar</t>
  </si>
  <si>
    <t xml:space="preserve">Sebamed Cleansing Bar</t>
  </si>
  <si>
    <t xml:space="preserve">Pampers Premium Care Pants - Large</t>
  </si>
  <si>
    <t xml:space="preserve">Nivea Women Deodorant Fresh Natural Long Lasting Freshness &amp; 48h Protection</t>
  </si>
  <si>
    <t xml:space="preserve">L'Oreal Paris Excellence Creme Hair Color, 3 Dark Brown/Natural Darkest Brown</t>
  </si>
  <si>
    <t xml:space="preserve">Patanjali Kesh Kanti Natural Hair Cleanser</t>
  </si>
  <si>
    <t xml:space="preserve">Godrej No.1 Bathing Soap – Lime &amp; Aloe Vera</t>
  </si>
  <si>
    <t xml:space="preserve">Pantene Advanced Control Hair Fall Solution Shampoo</t>
  </si>
  <si>
    <t xml:space="preserve">Veet Full Body Waxing Kit For Dry Skin</t>
  </si>
  <si>
    <t xml:space="preserve">Gillette Lemon Lime Shaving Foam</t>
  </si>
  <si>
    <t xml:space="preserve">Old Spice After Shave Lotion Musk</t>
  </si>
  <si>
    <t xml:space="preserve">Whisper Ultra Soft Air Fresh Sanitary Pads (XL) with Wings</t>
  </si>
  <si>
    <t xml:space="preserve">Himalaya Baby Powder</t>
  </si>
  <si>
    <t xml:space="preserve">Fiama Men's Refreshing Pulse Shower Gel</t>
  </si>
  <si>
    <t xml:space="preserve">Whisper Ultra Clean XL Plus Sanitary Pad</t>
  </si>
  <si>
    <t xml:space="preserve">Johnson's Baby Powder</t>
  </si>
  <si>
    <t xml:space="preserve">Dove Cream Beauty Bathing Bar</t>
  </si>
  <si>
    <t xml:space="preserve">Patanjali Kesh Kanti Shikakai Hair Cleanser</t>
  </si>
  <si>
    <t xml:space="preserve">L'Oreal Paris Color Protect Conditioner</t>
  </si>
  <si>
    <t xml:space="preserve">Nivea Men Active Clean with Active Charcoal Shower Gel for Body Face &amp; Hair</t>
  </si>
  <si>
    <t xml:space="preserve">L'Oreal 6 Oil Nourish Conditioner</t>
  </si>
  <si>
    <t xml:space="preserve">Godrej Easy Natural Black Hair Colour</t>
  </si>
  <si>
    <t xml:space="preserve">Dabur Gulabari Rose Water Daily Glow</t>
  </si>
  <si>
    <t xml:space="preserve">Himalaya Purifying Neem Face Wash</t>
  </si>
  <si>
    <t xml:space="preserve">Fem Fairness Naturals Gold Skin Bleach</t>
  </si>
  <si>
    <t xml:space="preserve">Whisper Choice Ultra XL Sanitary Pad</t>
  </si>
  <si>
    <t xml:space="preserve">Dove Dandruff Care Shampoo</t>
  </si>
  <si>
    <t xml:space="preserve">Head &amp; Shoulders Anti Dandruff Anti Hairfall Shampoo</t>
  </si>
  <si>
    <t xml:space="preserve">L'Oreal Casting Creme Ebony Black Hair Color</t>
  </si>
  <si>
    <t xml:space="preserve">Mamaearth Onion Hair Oil</t>
  </si>
  <si>
    <t xml:space="preserve">L'Oreal Paris Casting Creme Gloss Hair Color (Dark Brown 400)</t>
  </si>
  <si>
    <t xml:space="preserve">Palmolive Naturals Sea Minerals Liquid Hand Wash</t>
  </si>
  <si>
    <t xml:space="preserve">Oral-B Extra Soft Bristles Sensitive </t>
  </si>
  <si>
    <t xml:space="preserve">Engage M3 Perfume Spray for Men</t>
  </si>
  <si>
    <t xml:space="preserve">Mamaearth Deeply Nourishing wash for Babies</t>
  </si>
  <si>
    <t xml:space="preserve">Dettol Original Soap (B4G1)</t>
  </si>
  <si>
    <t xml:space="preserve">Woodward's Gripe Water</t>
  </si>
  <si>
    <t xml:space="preserve">MamyPoko Pants Extra Absorb Diapers, New Born</t>
  </si>
  <si>
    <t xml:space="preserve">Johnson's Baby Soap</t>
  </si>
  <si>
    <t xml:space="preserve">Engage M4 Perfume Spray For Men</t>
  </si>
  <si>
    <t xml:space="preserve">Fem Fairness Naturals Hair Removal Cream Fair &amp; Soft - Gold</t>
  </si>
  <si>
    <t xml:space="preserve">Dove Hair Fall Rescue Conditioner</t>
  </si>
  <si>
    <t xml:space="preserve">Himalaya Anti Hair Fall Shampoo</t>
  </si>
  <si>
    <t xml:space="preserve">Fiama Peach &amp; Avocado Gel Bar</t>
  </si>
  <si>
    <t xml:space="preserve">Pears Pure &amp; Gentle Value Pack Of 4 Bathing Soap </t>
  </si>
  <si>
    <t xml:space="preserve">Fiama Fresh Hand Wash</t>
  </si>
  <si>
    <t xml:space="preserve">Palmolive Black Orchid And Milk Liquid Hand Wash</t>
  </si>
  <si>
    <t xml:space="preserve">Oral-B Criss Cross Medium Toothbrush (Buy 2 Get 2 Free)</t>
  </si>
  <si>
    <t xml:space="preserve">Gillette Mach 3 Turbo Razor</t>
  </si>
  <si>
    <t xml:space="preserve">Himalaya Baby Lotion</t>
  </si>
  <si>
    <t xml:space="preserve">Head &amp; Shoulders 2-in-1 Cool Menthol Anti Dandruff Shampoo + Conditioner</t>
  </si>
  <si>
    <t xml:space="preserve">Fiama Di Wills Men's Refreshing Pulse Shower Gel</t>
  </si>
  <si>
    <t xml:space="preserve">Sebamed Anti - Dandruff Shampoo</t>
  </si>
  <si>
    <t xml:space="preserve">Listerine Cool Mint Mouthwash - Mild Taste</t>
  </si>
  <si>
    <t xml:space="preserve">L'Oreal Paris Excellence Creme Hair Color, 4.25 Aishwarya's Brown</t>
  </si>
  <si>
    <t xml:space="preserve">Himalaya Gentle Baby Bath</t>
  </si>
  <si>
    <t xml:space="preserve">L'Oreal Paris Casting Creme Gloss Hair Color, Medium Brown 500</t>
  </si>
  <si>
    <t xml:space="preserve">L'Oreal Paris Color Protect Shampoo</t>
  </si>
  <si>
    <t xml:space="preserve">Fiama Di Wills Lemongrass &amp; Jojoba Gel Bar</t>
  </si>
  <si>
    <t xml:space="preserve">Colgate Plax Peppermint Mouthwash</t>
  </si>
  <si>
    <t xml:space="preserve">Dove Daily Shine Conditioner</t>
  </si>
  <si>
    <t xml:space="preserve">Patanjali Kesh Kanti Anti Dandruff Hair Cleanser</t>
  </si>
  <si>
    <t xml:space="preserve">Old Spice Original After Shave Lotion</t>
  </si>
  <si>
    <t xml:space="preserve">Dettol Clinical Strength Hand Sanitizer Liquid</t>
  </si>
  <si>
    <t xml:space="preserve">Nivea Soft Light Moisturizer for Face Hand &amp; Body Non-Sticky Cream with Vitamin E &amp; Jojoba Oil</t>
  </si>
  <si>
    <t xml:space="preserve">Comfy Baby Pants XL 12-17 kg</t>
  </si>
  <si>
    <t xml:space="preserve">Dettol Liquid Handwash With Free Liquid</t>
  </si>
  <si>
    <t xml:space="preserve">Nivea Body Milk Lotion for Very Dry Skin</t>
  </si>
  <si>
    <t xml:space="preserve">Lakme Sun Expert</t>
  </si>
  <si>
    <t xml:space="preserve">Head &amp; shoulders Anti Dandruff Shampoo Cool Menthol</t>
  </si>
  <si>
    <t xml:space="preserve">Godrej Nupur Henna</t>
  </si>
  <si>
    <t xml:space="preserve">Johnson's Baby Lotion</t>
  </si>
  <si>
    <t xml:space="preserve">Maybelline New York Colossal Kajal Super Black</t>
  </si>
  <si>
    <t xml:space="preserve">Stayfree Dry-Max All Night Ultra-Dry Sanitary Pad</t>
  </si>
  <si>
    <t xml:space="preserve">Dove Daily Shine Shampoo</t>
  </si>
  <si>
    <t xml:space="preserve">Godrej Easy 5 Minute Natural Brown 4 Hair Colour</t>
  </si>
  <si>
    <t xml:space="preserve">Colgate Sensitive Plus Enamel Toothpaste Tube</t>
  </si>
  <si>
    <t xml:space="preserve">Colgate Max Fresh Peppermint Toothpaste </t>
  </si>
  <si>
    <t xml:space="preserve">Pond's Light Moisturiser</t>
  </si>
  <si>
    <t xml:space="preserve">Engage Mate For Man Deo Spray</t>
  </si>
  <si>
    <t xml:space="preserve">Pantene Advanced Hair Fall Solution Shampoo - Total Damage Care</t>
  </si>
  <si>
    <t xml:space="preserve">Whisper Choice Regular Wing Sanitary Pad</t>
  </si>
  <si>
    <t xml:space="preserve">Colgate Slim Soft Charcoal Toothbrush</t>
  </si>
  <si>
    <t xml:space="preserve">Fiama Scents Juniper &amp; Geranium Body Wash</t>
  </si>
  <si>
    <t xml:space="preserve">Mamaearth Ubtan Body Lotion</t>
  </si>
  <si>
    <t xml:space="preserve">Godrej Aer Power Pocket - Long Lasting Bathroom Fragrance Floral Delight</t>
  </si>
  <si>
    <t xml:space="preserve">Himalaya Anti-Hair Fall Shampoo</t>
  </si>
  <si>
    <t xml:space="preserve">Engage M2 Perfume Spray For Men</t>
  </si>
  <si>
    <t xml:space="preserve">Mamaearth Ubtan Face Scrub Turmeric &amp; Walnut</t>
  </si>
  <si>
    <t xml:space="preserve">Himalaya Purifying Neem Face Wash Tube</t>
  </si>
  <si>
    <t xml:space="preserve">Johnson's Baby Top To Toe Bath Body Wash</t>
  </si>
  <si>
    <t xml:space="preserve">Gillette Mach 3 Start</t>
  </si>
  <si>
    <t xml:space="preserve">Scalpe Pro Anti dandruff Shampoo 100ml</t>
  </si>
  <si>
    <t xml:space="preserve">Johnson's Baby Cream</t>
  </si>
  <si>
    <t xml:space="preserve">Himalaya Gentle Baby Shampoo</t>
  </si>
  <si>
    <t xml:space="preserve">L'Oreal Paris Shine Masque Royal Jelly Hair Colour</t>
  </si>
  <si>
    <t xml:space="preserve">Engage Rush Deodorant For Men</t>
  </si>
  <si>
    <t xml:space="preserve">Clean &amp; Clear Foaming Face Wash</t>
  </si>
  <si>
    <t xml:space="preserve">Dettol Lather Shaving Cream</t>
  </si>
  <si>
    <t xml:space="preserve">Gillette Classic Regular Pre Shave Foam</t>
  </si>
  <si>
    <t xml:space="preserve">Johnson's Baby Shampoo</t>
  </si>
  <si>
    <t xml:space="preserve">Park Avenue Beer Shampoo </t>
  </si>
  <si>
    <t xml:space="preserve">Pantene Advanced Hair Fall Solution Silky Smooth Care Shampoo</t>
  </si>
  <si>
    <t xml:space="preserve">Fem Fairness Naturals Hair Removal Cream Fair &amp; Soft - Rose</t>
  </si>
  <si>
    <t xml:space="preserve">Sunsilk Stunning Black Shine Shampoo</t>
  </si>
  <si>
    <t xml:space="preserve">Patanjali Kesh Kanti Reetha Hair Cleanser</t>
  </si>
  <si>
    <t xml:space="preserve">Nivea Lip Balm Soft Rose for 24h Moisture with Natural Oils Delicate Rose Shine</t>
  </si>
  <si>
    <t xml:space="preserve">Santoor Total Skin Care Soap With Sandal &amp; Turmeric</t>
  </si>
  <si>
    <t xml:space="preserve">L'Oreal Paris Excellence Creme Hair Color, 4 Natural Brown/Natural Dark Brown</t>
  </si>
  <si>
    <t xml:space="preserve">Gillette Pre Shave Foam - Classic Regular Skin</t>
  </si>
  <si>
    <t xml:space="preserve">Fiama Di Wills Shower Gel Patchouli &amp; Macadamia</t>
  </si>
  <si>
    <t xml:space="preserve">Listerine Fresh Burst Mouthwash</t>
  </si>
  <si>
    <t xml:space="preserve">Nivea Cocoa Nourish Body Lotion With Coconut Oil &amp; Cocoa Butter For Very Dry Skin </t>
  </si>
  <si>
    <t xml:space="preserve">Pantene Hair Fall Control Shampoo</t>
  </si>
  <si>
    <t xml:space="preserve">Fogg Master - Royal Intense</t>
  </si>
  <si>
    <t xml:space="preserve">TRESemme Smooth And Shine Conditioner</t>
  </si>
  <si>
    <t xml:space="preserve">Colgate Kids Toothpaste - 6+ Years, Strawberry Flavour</t>
  </si>
  <si>
    <t xml:space="preserve">Nivea Soft Moisturizing Cream</t>
  </si>
  <si>
    <t xml:space="preserve">Patanjali Kesh Kanti Aloe Vera Hair Cleanser</t>
  </si>
  <si>
    <t xml:space="preserve">Neutrogena Deep Clean Foaming Cleanser</t>
  </si>
  <si>
    <t xml:space="preserve">Clean &amp; Clear Morning Energy Berry Face Wash</t>
  </si>
  <si>
    <t xml:space="preserve">Pampers Premium Care New Baby Pants</t>
  </si>
  <si>
    <t xml:space="preserve">Vaseline Intensive Care Aloe Fresh</t>
  </si>
  <si>
    <t xml:space="preserve">L'Oreal Paris Dream Lengths Shampoo</t>
  </si>
  <si>
    <t xml:space="preserve">Johnson's Baby Oil</t>
  </si>
  <si>
    <t xml:space="preserve">Engage Man Rush Deodorant</t>
  </si>
  <si>
    <t xml:space="preserve">Whisper Daily Liners Clean and Fresh</t>
  </si>
  <si>
    <t xml:space="preserve">Himalaya Men Pimple Clear Neem Face Wash</t>
  </si>
  <si>
    <t xml:space="preserve">Pantene Adv Hairfall Solution Conditioner Silky Smooth</t>
  </si>
  <si>
    <t xml:space="preserve">Himalaya Prickly Heat Baby Powder</t>
  </si>
  <si>
    <t xml:space="preserve">Mamaearth Daily Moisturizing Lotion For Babies</t>
  </si>
  <si>
    <t xml:space="preserve">Stayfree Advanced XL Ultra Comfort Sanitary napkins with Wings</t>
  </si>
  <si>
    <t xml:space="preserve">Vaseline Original Skin Protecting Jelly</t>
  </si>
  <si>
    <t xml:space="preserve">Fiama Lemongrass and Jojoba Shower Gel</t>
  </si>
  <si>
    <t xml:space="preserve">Oral-B Charcoal Cross Cross Extra Soft Toothbrush (Buy 2 Get 1 Free)</t>
  </si>
  <si>
    <t xml:space="preserve">Veet Full Body Waxing Kit</t>
  </si>
  <si>
    <t xml:space="preserve">Listerine Original Mouthwash</t>
  </si>
  <si>
    <t xml:space="preserve">Santoor Almond Soft With Sandal &amp; Almond Milk</t>
  </si>
  <si>
    <t xml:space="preserve">Nivea Body Shea Smooth with Shea Butter for Dry Skin</t>
  </si>
  <si>
    <t xml:space="preserve">Neutrogena Deep Clean Facial Cleanser</t>
  </si>
  <si>
    <t xml:space="preserve">L'Oreal Paris Excellence Creme Hair Color, 3.16 Burgundy</t>
  </si>
  <si>
    <t xml:space="preserve">Bombay Shaving Company Charcoal Face Wash</t>
  </si>
  <si>
    <t xml:space="preserve">Colgate Kids 2+ Years Extra Soft Toothbrush</t>
  </si>
  <si>
    <t xml:space="preserve">Veet Hair Removal Cream (Normal Skin)</t>
  </si>
  <si>
    <t xml:space="preserve">L'Oreal Anti Hair Fall Conditioner</t>
  </si>
  <si>
    <t xml:space="preserve">Nivea Body Lotion Aloe Hydration For Normal Skin </t>
  </si>
  <si>
    <t xml:space="preserve">Pampers Pants - Large</t>
  </si>
  <si>
    <t xml:space="preserve">Engage Urge Deodorant For Men, Citrus And Woody, Skin Friendly</t>
  </si>
  <si>
    <t xml:space="preserve">Head &amp; Shoulders 2 In 1 Anti Dandruff Smooth &amp; Silky Shampoo+Conditioner</t>
  </si>
  <si>
    <t xml:space="preserve">Fem Fairness Natural Gold Skin Bleach</t>
  </si>
  <si>
    <t xml:space="preserve">Engage Deo Frost</t>
  </si>
  <si>
    <t xml:space="preserve">Stayfree Secure XL Size Sanitary Napkins</t>
  </si>
  <si>
    <t xml:space="preserve">Pampers Pants - Medium</t>
  </si>
  <si>
    <t xml:space="preserve">Pampers Active Baby Diapers New Born Extra Small </t>
  </si>
  <si>
    <t xml:space="preserve">Nivea Creme, All Season Multi-Purpose Cream</t>
  </si>
  <si>
    <t xml:space="preserve">Woodwards Gripe Water </t>
  </si>
  <si>
    <t xml:space="preserve">Clean &amp; Clear Morning Energy Aqua Splash Face Wash</t>
  </si>
  <si>
    <t xml:space="preserve">Mamaearth Skin Correct Face Serum</t>
  </si>
  <si>
    <t xml:space="preserve">Chik Hairfall Prevent Egg Shampoo</t>
  </si>
  <si>
    <t xml:space="preserve">Pantene Silky Smooth Care Shampoo</t>
  </si>
  <si>
    <t xml:space="preserve">Garnier Skin Naturals, Micellar Cleansing Water</t>
  </si>
  <si>
    <t xml:space="preserve">Set Wet Swag Avatar Deodorant &amp; Body Spray Perfume For Men</t>
  </si>
  <si>
    <t xml:space="preserve">Pampers All Round Protection Pants - Medium</t>
  </si>
  <si>
    <t xml:space="preserve">Set Wet Deodrant Charm Avatar</t>
  </si>
  <si>
    <t xml:space="preserve">Nupur Heena Mehandi</t>
  </si>
  <si>
    <t xml:space="preserve">Head &amp; Shoulders 2-in-1 Active Protect Shampoo</t>
  </si>
  <si>
    <t xml:space="preserve">Gillette Mach 3 Turbo Cartridges</t>
  </si>
  <si>
    <t xml:space="preserve">Bombay Shaving Company Sensitive Cartridges</t>
  </si>
  <si>
    <t xml:space="preserve">Old Spice Lime Lather Shaving Cream</t>
  </si>
  <si>
    <t xml:space="preserve">Colgate Sensitive Plus Anticavity Toothpaste </t>
  </si>
  <si>
    <t xml:space="preserve">Colgate Toothpaste For Kids Motu Oatlu</t>
  </si>
  <si>
    <t xml:space="preserve">Pantene Total Damage Care Shampoo</t>
  </si>
  <si>
    <t xml:space="preserve">Himalaya Moisturising Aloe Vera Facial Wipes</t>
  </si>
  <si>
    <t xml:space="preserve">Pampers Active Baby Diapers New Born Extra Small</t>
  </si>
  <si>
    <t xml:space="preserve">Vaseline Intensive Care Deep Moisture Body Lotion</t>
  </si>
  <si>
    <t xml:space="preserve">L'Oreal Paris Dream Lengths Conditioner</t>
  </si>
  <si>
    <t xml:space="preserve">Nivea Soft Light Moisturizing Cream</t>
  </si>
  <si>
    <t xml:space="preserve">Palmolive Feel The Massage Shower Gel</t>
  </si>
  <si>
    <t xml:space="preserve">Mamaearth Moisturizing Baby Bath Soap</t>
  </si>
  <si>
    <t xml:space="preserve">Dove Dryness Care Shampoo</t>
  </si>
  <si>
    <t xml:space="preserve">Head &amp; Shoulders Anti Dandruff Shampoo Cool Menthol</t>
  </si>
  <si>
    <t xml:space="preserve">Bombay Shaving Company Defender Razor</t>
  </si>
  <si>
    <t xml:space="preserve">Head &amp; Shoulders Shampoo + Conditioner - 2-In-1, Cool Menthol</t>
  </si>
  <si>
    <t xml:space="preserve">Himalaya Baby Nourishing Massage Oil</t>
  </si>
  <si>
    <t xml:space="preserve">Fogg Paradise Fragrant Body Spray For Women </t>
  </si>
  <si>
    <t xml:space="preserve">Revive Revive Liquid</t>
  </si>
  <si>
    <t xml:space="preserve">Pantene Hairfall Control Conditioner</t>
  </si>
  <si>
    <t xml:space="preserve">Mamaearth Vitamin C Face Toner</t>
  </si>
  <si>
    <t xml:space="preserve">Himalaya Diaper Rash Cream</t>
  </si>
  <si>
    <t xml:space="preserve">Fogg Royal Fragrance Spray</t>
  </si>
  <si>
    <t xml:space="preserve">Dove Pink Rosa Beauty Bathing Bar</t>
  </si>
  <si>
    <t xml:space="preserve">Dove Dryness Care Conditioner Frizzy &amp; Dry Hair</t>
  </si>
  <si>
    <t xml:space="preserve">Dettol Original Liquid Handwash Refill</t>
  </si>
  <si>
    <t xml:space="preserve">Parachute 100% Pure Coconut Oil</t>
  </si>
  <si>
    <t xml:space="preserve">Stayfree Secure Cottony Soft Cover Sanitary Pad (Regular) with Wings</t>
  </si>
  <si>
    <t xml:space="preserve">Dabur Gulabari Premium Rose Water</t>
  </si>
  <si>
    <t xml:space="preserve">Parachute Advansed Gold Coconut Hair Oil</t>
  </si>
  <si>
    <t xml:space="preserve">Sensodyne Sensitive Fresh Gel Toothpaste</t>
  </si>
  <si>
    <t xml:space="preserve">Whisper Bindazzz Nights XL + Sanitary Pad</t>
  </si>
  <si>
    <t xml:space="preserve">Whisper Choice Sanitary Pad </t>
  </si>
  <si>
    <t xml:space="preserve">Godrej No.1 Bathing Soap, Jasmine</t>
  </si>
  <si>
    <t xml:space="preserve">Gillette Venus Close &amp; Clean Razor </t>
  </si>
  <si>
    <t xml:space="preserve">Stayfree Secure Dry Cover Extra Large Sanitary Pad</t>
  </si>
  <si>
    <t xml:space="preserve">Oxylife Natural Radiance 5 Creme Bleach - With Active Oxygen</t>
  </si>
  <si>
    <t xml:space="preserve">Clean &amp; Clear Morning Energy Lemon Face Wash</t>
  </si>
  <si>
    <t xml:space="preserve">Bajaj Almond Drops Hair Oil</t>
  </si>
  <si>
    <t xml:space="preserve">Bajaj Almond Drops Hair Oil Bottle</t>
  </si>
  <si>
    <t xml:space="preserve">Whisper Bindazzz Night Sanitary Pads XL Plus</t>
  </si>
  <si>
    <t xml:space="preserve">Godrej Cinthol Lime Refreshing Deo Soap</t>
  </si>
  <si>
    <t xml:space="preserve">MamyPoko Pants Standard Diapers, Extra Large (12 - 17 kg)</t>
  </si>
  <si>
    <t xml:space="preserve">Surf Excel Stain Eraser</t>
  </si>
  <si>
    <t xml:space="preserve">Colin Glass and Surface Cleaner Liquid Spray Regular</t>
  </si>
  <si>
    <t xml:space="preserve">A1 Biodegradable Garbage Dustbin Bags</t>
  </si>
  <si>
    <t xml:space="preserve">Mortein Cockroach Killer Spray, Crawling insect killer with Deep-Reach Nozzle</t>
  </si>
  <si>
    <t xml:space="preserve">Pril Perfect Lime Dishwash Liquid</t>
  </si>
  <si>
    <t xml:space="preserve">Dettol Antiseptic Disinfectant Liquid</t>
  </si>
  <si>
    <t xml:space="preserve">Godrej Aer Power Pocket Berry Rush</t>
  </si>
  <si>
    <t xml:space="preserve">Hit Cockroach Killer Spray </t>
  </si>
  <si>
    <t xml:space="preserve">Vim Dishwash Liquid Gel Lemon</t>
  </si>
  <si>
    <t xml:space="preserve">Harpic Disinfectant Toilet Cleaner Liquid, Original - 1 L</t>
  </si>
  <si>
    <t xml:space="preserve">Odomos Mosquito Repellent Cream </t>
  </si>
  <si>
    <t xml:space="preserve">Harpic Disinfectant Bathroom Cleaner Liquid Lemon</t>
  </si>
  <si>
    <t xml:space="preserve">Eveready AA pack of 10 </t>
  </si>
  <si>
    <t xml:space="preserve">Cherry Blossom Liquid Wax Polish</t>
  </si>
  <si>
    <t xml:space="preserve">Gala Scrubber Cleaner Home Everyday Scrub</t>
  </si>
  <si>
    <t xml:space="preserve">Hit Flower Lime Fragrance Insect Killer Spray</t>
  </si>
  <si>
    <t xml:space="preserve">Harpic Hygienic Toilet Cleaner Rim Block Jasmine</t>
  </si>
  <si>
    <t xml:space="preserve">Om Bhakti - Pancha Deepa Oil </t>
  </si>
  <si>
    <t xml:space="preserve">Ariel Complete Detergent Washing Powder 500 g  + 200 g Free</t>
  </si>
  <si>
    <t xml:space="preserve">Surf Excel Matic Top Load Detergent Powder</t>
  </si>
  <si>
    <t xml:space="preserve">Harpic Flushmatic In-Cistern Toilet Cleaner Blocks Marine</t>
  </si>
  <si>
    <t xml:space="preserve">Eveready 1012 Carbon Zinc AAA Battery</t>
  </si>
  <si>
    <t xml:space="preserve">Surf Excel Matic Front Load Detergent Liquid</t>
  </si>
  <si>
    <t xml:space="preserve">Origami Kitchen Towels 2 In 1 Quilted 2ply</t>
  </si>
  <si>
    <t xml:space="preserve">Oxi Green Phenyl - Pine </t>
  </si>
  <si>
    <t xml:space="preserve">Surf Excel Easy Wash Detergent Liquid</t>
  </si>
  <si>
    <t xml:space="preserve">Uno Playing Card Game</t>
  </si>
  <si>
    <t xml:space="preserve">Chakaachak Mini Cloth Brush</t>
  </si>
  <si>
    <t xml:space="preserve">Chakaachak Super Scrub Pad (Pack of 3)</t>
  </si>
  <si>
    <t xml:space="preserve">Colin Glass and Surface Cleaner Liquid Spray Regular</t>
  </si>
  <si>
    <t xml:space="preserve">Om Bhakti Cow Dung Cakes </t>
  </si>
  <si>
    <t xml:space="preserve">Dettol Antiseptic Liquid</t>
  </si>
  <si>
    <t xml:space="preserve">Harpic Hygienic Toilet Cleaner Rim Block Citrus</t>
  </si>
  <si>
    <t xml:space="preserve">Eveready Ultima Alkaline AA Cell Battery-6 Pc Pack</t>
  </si>
  <si>
    <t xml:space="preserve">Mangaldeep Rose Puja Agarbatti </t>
  </si>
  <si>
    <t xml:space="preserve">Ariel Matic Top Load Detergent Washing Powder</t>
  </si>
  <si>
    <t xml:space="preserve">Gala Cloth Poccha/Mop</t>
  </si>
  <si>
    <t xml:space="preserve">Chakaachak Floor Cleaning Pocha</t>
  </si>
  <si>
    <t xml:space="preserve">Oxi Green Floor Cleaner - Floral</t>
  </si>
  <si>
    <t xml:space="preserve">Godrej Aer Pocket, Bathroom Air Fragrance - Assorted Pack Of 3</t>
  </si>
  <si>
    <t xml:space="preserve">Ariel Complete Detergent Washing Powder 1 kg + 500 g Free</t>
  </si>
  <si>
    <t xml:space="preserve">Chakaachak Sponge Scrubber (Pack of 2)</t>
  </si>
  <si>
    <t xml:space="preserve">Lizol Disinfectant Surface &amp; Floor Cleaner Liquid Floral</t>
  </si>
  <si>
    <t xml:space="preserve">Harpic Germ &amp; Stain Blaster Disinfectant Toilet Cleaner Floral</t>
  </si>
  <si>
    <t xml:space="preserve">Hit Lime Fresh Flying Insect Killer</t>
  </si>
  <si>
    <t xml:space="preserve">Fevistik Super Glue Stick</t>
  </si>
  <si>
    <t xml:space="preserve">Godrej Ezee Liquid Detergent</t>
  </si>
  <si>
    <t xml:space="preserve">Odonil Air Fresher Buy 3 Get 1 Free</t>
  </si>
  <si>
    <t xml:space="preserve">"Godrej Aer Power Pocket - Long Lasting Bathroom Fragrance Fresh Blossom"</t>
  </si>
  <si>
    <t xml:space="preserve">Genteel Liquid Detegrent</t>
  </si>
  <si>
    <t xml:space="preserve">Scotch Brite Scrub Pad</t>
  </si>
  <si>
    <t xml:space="preserve">Shubh kart - Nirmal Eco Box Chandan Agarbatti - 100g</t>
  </si>
  <si>
    <t xml:space="preserve">Surf Excel Quick Wash</t>
  </si>
  <si>
    <t xml:space="preserve">Hem Mantra Masala Agarbatti</t>
  </si>
  <si>
    <t xml:space="preserve">Odonil Room Air Freshener Spray Lavender Mist</t>
  </si>
  <si>
    <t xml:space="preserve">Chakaachak Mega Star Toilet Brush</t>
  </si>
  <si>
    <t xml:space="preserve">Om Bhakti Wick for Diya - Cotton Long Batti </t>
  </si>
  <si>
    <t xml:space="preserve">Origami Non-Woven Kitchen Towel</t>
  </si>
  <si>
    <t xml:space="preserve">Shubh kart - Nirmal 5 in 1 Agarbatti Zipper - 150g</t>
  </si>
  <si>
    <t xml:space="preserve">Harpic Lemon Bathroom Cleaner </t>
  </si>
  <si>
    <t xml:space="preserve">Scotch Brite Sponge Wipes</t>
  </si>
  <si>
    <t xml:space="preserve">Godrej Aer Spray Fresh Lush Green</t>
  </si>
  <si>
    <t xml:space="preserve">Oxi Green Phenyl Concentrate</t>
  </si>
  <si>
    <t xml:space="preserve">Oxi Green Max Force Green Concentrate</t>
  </si>
  <si>
    <t xml:space="preserve">Godrej Aer Morning Misty Meadows Home Air Freshener</t>
  </si>
  <si>
    <t xml:space="preserve">Kiwi Dranex Drain Cleaner</t>
  </si>
  <si>
    <t xml:space="preserve">Origami Disposable Spoons</t>
  </si>
  <si>
    <t xml:space="preserve">Pril Bar Tub</t>
  </si>
  <si>
    <t xml:space="preserve">Om Bhakti Wick for Diya - Cotton Flower Batti </t>
  </si>
  <si>
    <t xml:space="preserve">Chakaachak Deluxe Dustpan Grey</t>
  </si>
  <si>
    <t xml:space="preserve">Lizol Disinfectant Surface &amp; Floor Cleaner Liquid Citrus</t>
  </si>
  <si>
    <t xml:space="preserve">ScotchBrite Premium Kitchen Towels</t>
  </si>
  <si>
    <t xml:space="preserve">Vanish All in One Powder Detergent Booster</t>
  </si>
  <si>
    <t xml:space="preserve">Good Knight Fabric Personal Mosquito Repellent Roll On</t>
  </si>
  <si>
    <t xml:space="preserve">Gala Iron Bull Scrub Pad</t>
  </si>
  <si>
    <t xml:space="preserve">Tide Plus Extra Power Lemon &amp; Mint Detergent Powder</t>
  </si>
  <si>
    <t xml:space="preserve">Chakaachak Dustpan Grey</t>
  </si>
  <si>
    <t xml:space="preserve">Mortein PowerGard Rat Kill Cake</t>
  </si>
  <si>
    <t xml:space="preserve">Odomos Mosquito Repellent Cream</t>
  </si>
  <si>
    <t xml:space="preserve">Shubh kart - Nirmal Eco Box Sugandhi Mogra Agarbatti - 100g</t>
  </si>
  <si>
    <t xml:space="preserve">Cherry Blossom Wax Shoe Polish Black</t>
  </si>
  <si>
    <t xml:space="preserve">Origami Paper Plates</t>
  </si>
  <si>
    <t xml:space="preserve">Gala Microfiber Magic Cloth 2-In-1</t>
  </si>
  <si>
    <t xml:space="preserve">Mr Muscle Dranex Drain Cleaner Kiwi</t>
  </si>
  <si>
    <t xml:space="preserve">Lizol Disinfectant Surface &amp; Floor Cleaner Liquid Jasmine</t>
  </si>
  <si>
    <t xml:space="preserve">Odonil Room Spray Air Freshener Citrus Fres</t>
  </si>
  <si>
    <t xml:space="preserve">Scotch Brite Power Scrub Pad</t>
  </si>
  <si>
    <t xml:space="preserve">Origami Good Karma Toilet Roll</t>
  </si>
  <si>
    <t xml:space="preserve">Shubh kart - Shubhkart Sambrani Cup Black 12n</t>
  </si>
  <si>
    <t xml:space="preserve">Gala Scrubber Pad</t>
  </si>
  <si>
    <t xml:space="preserve">Origami So Soft Tissue Roll Single - 340 Pulls 3 Ply</t>
  </si>
  <si>
    <t xml:space="preserve">Odomos lotion - Mosquito Repellent</t>
  </si>
  <si>
    <t xml:space="preserve">Surf Excel Matic Front Load Detergent Powder</t>
  </si>
  <si>
    <t xml:space="preserve">Fevicol Mr.Original General Purpose White Glue </t>
  </si>
  <si>
    <t xml:space="preserve">Aro Aluminium Container with Lid 230 ml</t>
  </si>
  <si>
    <t xml:space="preserve">Harpic Power Fresh 6 Toilet Cleaner Rim Block Floral Delight</t>
  </si>
  <si>
    <t xml:space="preserve">Origami So Soft Tissue Roll 3 Ply</t>
  </si>
  <si>
    <t xml:space="preserve">Ariel Matic Front Load Detergent Washing Powder</t>
  </si>
  <si>
    <t xml:space="preserve">Gala Double Hockey Toilet Brush</t>
  </si>
  <si>
    <t xml:space="preserve">Surf Excel Detergent Bar Value Pack</t>
  </si>
  <si>
    <t xml:space="preserve">Odonil Zipper Blissful Citrus</t>
  </si>
  <si>
    <t xml:space="preserve">Eveready Base B22 9-Watt LED Bulb</t>
  </si>
  <si>
    <t xml:space="preserve">Scotch Brite Sponge Wipe</t>
  </si>
  <si>
    <t xml:space="preserve">Domex Disinfectant Floor Cleaner</t>
  </si>
  <si>
    <t xml:space="preserve">Surf Excel Matic Powder Front Load </t>
  </si>
  <si>
    <t xml:space="preserve">Scotch Brite Silver Sparks Scrub Pad</t>
  </si>
  <si>
    <t xml:space="preserve">Airwick Room Air Freshener Spray Cool Water &amp; Aloe Vera</t>
  </si>
  <si>
    <t xml:space="preserve">Shubh kart - Surabhi Camphor Pouch 50g</t>
  </si>
  <si>
    <t xml:space="preserve">Pril Power Of Active Boosters</t>
  </si>
  <si>
    <t xml:space="preserve">Scotch Brite Tough Scrubber Brush</t>
  </si>
  <si>
    <t xml:space="preserve">Mortein Dual All Insect Killer Spray</t>
  </si>
  <si>
    <t xml:space="preserve">Lizol Double Concentrate Disinfectant Floor Cleaner Lavender</t>
  </si>
  <si>
    <t xml:space="preserve">Eveready Ultima Alkaline Battery AAA</t>
  </si>
  <si>
    <t xml:space="preserve">Shubh kart - Tejas Twisted Cotton Wicks 1000n</t>
  </si>
  <si>
    <t xml:space="preserve">Lizol Double Concentrate Disinfectant Floor Cleaner Citrus</t>
  </si>
  <si>
    <t xml:space="preserve">Surf Excel Matic Top Load</t>
  </si>
  <si>
    <t xml:space="preserve">Oxi Green Dish Wash Liquid - Lemon</t>
  </si>
  <si>
    <t xml:space="preserve">Mangalam Camphor</t>
  </si>
  <si>
    <t xml:space="preserve">Cherry Blossom Liquid Wax Polish (Dark Tan)</t>
  </si>
  <si>
    <t xml:space="preserve">Gala EzeeSqueegee Wiper</t>
  </si>
  <si>
    <t xml:space="preserve">Lizol Disinfectant Surface &amp; Floor Cleaner Liquid Pine</t>
  </si>
  <si>
    <t xml:space="preserve">Philips Stellar Bright 16W Light Bulb</t>
  </si>
  <si>
    <t xml:space="preserve">Airwick EverFresh Gel Bathroom Air Freshener - Lavender Dew</t>
  </si>
  <si>
    <t xml:space="preserve">Origami Cups Plain 100 units</t>
  </si>
  <si>
    <t xml:space="preserve">Airwick EverFresh Gel Bathroom Air Freshener - Citrus Splash</t>
  </si>
  <si>
    <t xml:space="preserve">Ariel Matic Liquid Detergent Front Load</t>
  </si>
  <si>
    <t xml:space="preserve">Om Bhakti Gangajal Packed At Gangotri</t>
  </si>
  <si>
    <t xml:space="preserve">Odonil Air Freshner Lavender Meadows</t>
  </si>
  <si>
    <t xml:space="preserve">Om Bhakti Haldi </t>
  </si>
  <si>
    <t xml:space="preserve">Cherry Blossom Wax Shoe Polish Dark Tan</t>
  </si>
  <si>
    <t xml:space="preserve">Dabur Odomos Naturals Mosquito Repellant Gel</t>
  </si>
  <si>
    <t xml:space="preserve">Shubh kart - Nirmal sugandhi mogra wet dhoop zipper 20 sticks</t>
  </si>
  <si>
    <t xml:space="preserve">Om Bhakti Wick for Diya - Ghee Cotton Wicks Big </t>
  </si>
  <si>
    <t xml:space="preserve">Air Wick Room Air Freshener Spray - Lavender &amp; Lotus</t>
  </si>
  <si>
    <t xml:space="preserve">Scotch Brite Kitchen Sink Brush</t>
  </si>
  <si>
    <t xml:space="preserve">Odonil Room Air Freshener Spray - Lavender Mist</t>
  </si>
  <si>
    <t xml:space="preserve">Godrej Aer Power Pocket - Long Lasting Bathroom Fragrance Lavender Bloom</t>
  </si>
  <si>
    <t xml:space="preserve">Origami Good Karma Paper Serviettes </t>
  </si>
  <si>
    <t xml:space="preserve">Scotch Magic Tape</t>
  </si>
  <si>
    <t xml:space="preserve">Ambi Pur Car Freshener Gel - Relaxing Lavender</t>
  </si>
  <si>
    <t xml:space="preserve">Origami Kitchen Towels 4 in 1 60 Pulls 2 Ply</t>
  </si>
  <si>
    <t xml:space="preserve">Om Bhakti Wick for Diya - Ghee Cotton Wicks Small </t>
  </si>
  <si>
    <t xml:space="preserve">Chakaachak Super Strong Scrub</t>
  </si>
  <si>
    <t xml:space="preserve">Nimyle Lemongrass Floor Cleaner</t>
  </si>
  <si>
    <t xml:space="preserve">Oxi Green Floor Cleaner - Citrus </t>
  </si>
  <si>
    <t xml:space="preserve">Airwick Room Air Freshener Spray - Rose &amp; Saffron</t>
  </si>
  <si>
    <t xml:space="preserve">Origami Luxuria Kitchen Towel 300 Pulls Single</t>
  </si>
  <si>
    <t xml:space="preserve">Philips EyePro 10.5W Light Bulb</t>
  </si>
  <si>
    <t xml:space="preserve">Mangalam Camphor Tablet Jar</t>
  </si>
  <si>
    <t xml:space="preserve">Chakaachak Super Sponge Wipes (Pack of 3)</t>
  </si>
  <si>
    <t xml:space="preserve">"Origami Good Karma Paper Serviettes - 100 napkins (1 ply)"</t>
  </si>
  <si>
    <t xml:space="preserve">Robin Dazzling Liquid Blue After Wash</t>
  </si>
  <si>
    <t xml:space="preserve">Om Bhakti Camphor Big</t>
  </si>
  <si>
    <t xml:space="preserve">Om Bhakti Camphor Small</t>
  </si>
  <si>
    <t xml:space="preserve">Scotch Brite Multi-Purpose Sponge Wipes</t>
  </si>
  <si>
    <t xml:space="preserve">Surabhi Pure Camphor</t>
  </si>
  <si>
    <t xml:space="preserve">Chakaachak Floor Pocha Large</t>
  </si>
  <si>
    <t xml:space="preserve">Ariel Matic Front Load Liquid Detergent</t>
  </si>
  <si>
    <t xml:space="preserve">Harpic Power Fresh 6 Toilet Cleaner Rim Block Marine Splash</t>
  </si>
  <si>
    <t xml:space="preserve">Chakaachak Dust Proof Broom</t>
  </si>
  <si>
    <t xml:space="preserve">Om Bhakti Kumkum </t>
  </si>
  <si>
    <t xml:space="preserve">Apsara Non Dust Eraser</t>
  </si>
  <si>
    <t xml:space="preserve">Chakaachak Power Scrub (Pack of 2)</t>
  </si>
  <si>
    <t xml:space="preserve">Om Bhakti Wick for Diya - Vanaspati Ghee Cotton Wicks Small </t>
  </si>
  <si>
    <t xml:space="preserve">Whiskas Adult +1 year Salmon in Gravy</t>
  </si>
  <si>
    <t xml:space="preserve">Origami Paper Party Plates</t>
  </si>
  <si>
    <t xml:space="preserve">Gala Microfiber Multipurpose Cloth</t>
  </si>
  <si>
    <t xml:space="preserve">Ariel Matic Front Load Detergent Powder</t>
  </si>
  <si>
    <t xml:space="preserve">Vim Dishwash Bar</t>
  </si>
  <si>
    <t xml:space="preserve">Dettol Effective Protection Antiseptic Liquid</t>
  </si>
  <si>
    <t xml:space="preserve">Godrej Good Night Gold Flash Liquid Vapouriser</t>
  </si>
  <si>
    <t xml:space="preserve">Rin Detergent Powder</t>
  </si>
  <si>
    <t xml:space="preserve">Surf Excel Easy Wash Detergent Powder</t>
  </si>
  <si>
    <t xml:space="preserve">Rin Detergent Bar</t>
  </si>
  <si>
    <t xml:space="preserve">Odomos Mosquito Repellent Spray</t>
  </si>
  <si>
    <t xml:space="preserve">Chakaachak Super Steel Scrubber</t>
  </si>
  <si>
    <t xml:space="preserve">Scotch-Brite Scrub Sponge Ideal For Dishwash Liquid</t>
  </si>
  <si>
    <t xml:space="preserve">Gala No Dust Broom</t>
  </si>
  <si>
    <t xml:space="preserve">Chakaachak Eazo Grass Broom New </t>
  </si>
  <si>
    <t xml:space="preserve">Rin Fabric Whitener Detergent</t>
  </si>
  <si>
    <t xml:space="preserve">Comfort After Wash Fabric Conditioner Lily Fresh </t>
  </si>
  <si>
    <t xml:space="preserve">Ujala Superme For Super Whiteness Of Clothes</t>
  </si>
  <si>
    <t xml:space="preserve">Scotch BOPP Packaging Tape</t>
  </si>
  <si>
    <t xml:space="preserve">Origami Plates Plain</t>
  </si>
  <si>
    <t xml:space="preserve">Epigamia Fruit Yogurt Alphonso Mango</t>
  </si>
  <si>
    <t xml:space="preserve">Epigamia Fruit Yogurt Vanilla</t>
  </si>
  <si>
    <t xml:space="preserve">Durex Air Ultra Thin Condoms</t>
  </si>
  <si>
    <t xml:space="preserve">Durex Air Ultra Thin Condom</t>
  </si>
  <si>
    <t xml:space="preserve">Dabur Regular Hajmola</t>
  </si>
  <si>
    <t xml:space="preserve">Hajmola Anardana Digestive Tablets</t>
  </si>
  <si>
    <t xml:space="preserve">Zandu Balm</t>
  </si>
  <si>
    <t xml:space="preserve">Vicks Cough Drops Menthol</t>
  </si>
  <si>
    <t xml:space="preserve">Durex Extra Time Condoms</t>
  </si>
  <si>
    <t xml:space="preserve">Vicks Vaporub</t>
  </si>
  <si>
    <t xml:space="preserve">Vicks VapoRub</t>
  </si>
  <si>
    <t xml:space="preserve">Dabur Hajmola Imli Digestive Tablets</t>
  </si>
  <si>
    <t xml:space="preserve">Dettol Antiseptic Liquid + Disinfectant Spray - Original</t>
  </si>
  <si>
    <t xml:space="preserve">Iodex Body Pain Expert </t>
  </si>
  <si>
    <t xml:space="preserve">Patanjali Hing Goli</t>
  </si>
  <si>
    <t xml:space="preserve">Moov Fast Pain Relief Cream</t>
  </si>
  <si>
    <t xml:space="preserve">Savlon Surface Disinfectant Spray</t>
  </si>
  <si>
    <t xml:space="preserve">Durex Extra Thin Condoms</t>
  </si>
  <si>
    <t xml:space="preserve">Eno Fruit Salt Lemon Flavour Energy Powder</t>
  </si>
  <si>
    <t xml:space="preserve">Moov Pain Relief Specialist Spray</t>
  </si>
  <si>
    <t xml:space="preserve">Savlon Germ Protection Wipes</t>
  </si>
  <si>
    <t xml:space="preserve">Durex Extra Ribbed Condoms</t>
  </si>
  <si>
    <t xml:space="preserve">Eno Regular Fruit Salt Energy Powder</t>
  </si>
  <si>
    <t xml:space="preserve">Durex Extra Thin Bubblegum Condom</t>
  </si>
  <si>
    <t xml:space="preserve">Dabur Hajmola Pudina - Digestive Tablets</t>
  </si>
  <si>
    <t xml:space="preserve">Baidyanath Isabgol</t>
  </si>
  <si>
    <t xml:space="preserve">Kapiva Thar Aloe Vera Juice</t>
  </si>
  <si>
    <t xml:space="preserve">Fine Life Cotton Balls</t>
  </si>
  <si>
    <t xml:space="preserve">Moov Pain Releiver Spray</t>
  </si>
  <si>
    <t xml:space="preserve">Durex Condoms Mutual Climax</t>
  </si>
  <si>
    <t xml:space="preserve">Durex Extra Dots Condoms</t>
  </si>
  <si>
    <t xml:space="preserve">Zandu Balm Ulter Power For Strong Headache Bodyache &amp; Cold</t>
  </si>
  <si>
    <t xml:space="preserve">Dabur Hajmola Maha Candy - Aam+Imli</t>
  </si>
  <si>
    <t xml:space="preserve">Dabur Chyawanprakash - Sugar Free</t>
  </si>
  <si>
    <t xml:space="preserve">Himalaya Cold Balm</t>
  </si>
  <si>
    <t xml:space="preserve">Kapiva Wild Amla Juice</t>
  </si>
  <si>
    <t xml:space="preserve">Dabur Chyawanprash</t>
  </si>
  <si>
    <t xml:space="preserve">Amrutanjan Pain Balm Extra Power</t>
  </si>
  <si>
    <t xml:space="preserve">Durex Mutual Climax Condoms</t>
  </si>
  <si>
    <t xml:space="preserve">Moov Cream Regular</t>
  </si>
  <si>
    <t xml:space="preserve">Moov Pain Relief Specialist</t>
  </si>
  <si>
    <t xml:space="preserve">Dabur Chyawanprakash Sugar Free</t>
  </si>
  <si>
    <t xml:space="preserve">Savlon Clothes Disinfectant &amp; Refreshing Spray Fresh Breeze</t>
  </si>
  <si>
    <t xml:space="preserve">Dabur Chyawanprash Immunity Booster</t>
  </si>
  <si>
    <t xml:space="preserve">Vicks Inhaler with Keychain</t>
  </si>
  <si>
    <t xml:space="preserve">Dabur Ayurvedic Tulsi Drops (Immunity Booster)</t>
  </si>
  <si>
    <t xml:space="preserve">Organic India Wheat Grass</t>
  </si>
  <si>
    <t xml:space="preserve">Organic India Organic Chyawanprash</t>
  </si>
  <si>
    <t xml:space="preserve">Organic India Sugar Balance 60 Capsules Bottle</t>
  </si>
  <si>
    <t xml:space="preserve">Dabur - Chyawanprash</t>
  </si>
  <si>
    <t xml:space="preserve">Vicks BabyRub</t>
  </si>
  <si>
    <t xml:space="preserve">Organic India Brahmi Bottle</t>
  </si>
  <si>
    <t xml:space="preserve">Horlicks Protein Plus Chocolate</t>
  </si>
  <si>
    <t xml:space="preserve">Dabur Nature Care Isabgol - Double Action</t>
  </si>
  <si>
    <t xml:space="preserve">Kapiva Wild Tulsi Giloy Juice |</t>
  </si>
  <si>
    <t xml:space="preserve">Dabur Amla Juice</t>
  </si>
  <si>
    <t xml:space="preserve">Epigamia Fruit Yogurt Strawberry</t>
  </si>
  <si>
    <t xml:space="preserve">Eno Cooling Sachets - Cool Mint, 6 Pieces Carton</t>
  </si>
  <si>
    <t xml:space="preserve">Dabur Honitus Herbal Cough Remedy Ayurvedic Syrup</t>
  </si>
  <si>
    <t xml:space="preserve">Pivot tables behind the slicer dashboard. They refresh when the file opens in Excel; do not move or delete them.</t>
  </si>
  <si>
    <t xml:space="preserve">(All)</t>
  </si>
  <si>
    <t xml:space="preserve">Row Labels</t>
  </si>
  <si>
    <t xml:space="preserve">Total Revenue (Rs)</t>
  </si>
  <si>
    <t xml:space="preserve">Average Discount %</t>
  </si>
  <si>
    <t xml:space="preserve">Grand Total</t>
  </si>
  <si>
    <t xml:space="preserve">Inventory Weight (kg)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</si>
</sst>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.0"/>
    <numFmt numFmtId="168" formatCode="#,##0.00"/>
    <numFmt numFmtId="169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name val="Arial"/>
      <family val="0"/>
      <charset val="1"/>
    </font>
    <font>
      <sz val="9"/>
      <color rgb="FF595959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00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FBFBF"/>
      <rgbColor rgb="FF808080"/>
      <rgbColor rgb="FF93A9CE"/>
      <rgbColor rgb="FFAB4744"/>
      <rgbColor rgb="FFFFF2CC"/>
      <rgbColor rgb="FFDDEBF7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8CD97"/>
      <rgbColor rgb="FFFFFF99"/>
      <rgbColor rgb="FF92C3D5"/>
      <rgbColor rgb="FFD09493"/>
      <rgbColor rgb="FFA99BBD"/>
      <rgbColor rgb="FFF8B590"/>
      <rgbColor rgb="FF4672A8"/>
      <rgbColor rgb="FF4BACC6"/>
      <rgbColor rgb="FF9BBB59"/>
      <rgbColor rgb="FFFFCC00"/>
      <rgbColor rgb="FFFF9900"/>
      <rgbColor rgb="FFFF6600"/>
      <rgbColor rgb="FF725990"/>
      <rgbColor rgb="FF878787"/>
      <rgbColor rgb="FF1F3864"/>
      <rgbColor rgb="FF4299B0"/>
      <rgbColor rgb="FF003300"/>
      <rgbColor rgb="FF333300"/>
      <rgbColor rgb="FF993300"/>
      <rgbColor rgb="FFC0504D"/>
      <rgbColor rgb="FF8064A2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Relationship Id="rId201" Type="http://schemas.openxmlformats.org/officeDocument/2006/relationships/pivotCacheDefinition" Target="pivotCache/pivotCacheDefinition1.xml"/><Relationship Id="rId301" Type="http://schemas.microsoft.com/office/2007/relationships/slicerCache" Target="slicerCaches/slicerCache1.xml"/><Relationship Id="rId302" Type="http://schemas.microsoft.com/office/2007/relationships/slicerCache" Target="slicerCaches/slicerCache2.xml"/><Relationship Id="rId303" Type="http://schemas.microsoft.com/office/2007/relationships/slicerCache" Target="slicerCaches/slicerCache3.xml"/><Relationship Id="rId304" Type="http://schemas.microsoft.com/office/2007/relationships/slicerCache" Target="slicerCaches/slicerCach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Estimated revenue by category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ZP_Pivots!B7</c:f>
              <c:strCache>
                <c:ptCount val="1"/>
                <c:pt idx="0">
                  <c:v>Total Revenue (Rs)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ZP_Pivots!$A$8:$A$21</c:f>
              <c:strCache>
                <c:ptCount val="14"/>
                <c:pt idx="0">
                  <c:v>Beverages</c:v>
                </c:pt>
                <c:pt idx="1">
                  <c:v>Biscuits</c:v>
                </c:pt>
                <c:pt idx="2">
                  <c:v>Chocolates &amp; Candies</c:v>
                </c:pt>
                <c:pt idx="3">
                  <c:v>Cooking Essentials</c:v>
                </c:pt>
                <c:pt idx="4">
                  <c:v>Dairy, Bread &amp; Batter</c:v>
                </c:pt>
                <c:pt idx="5">
                  <c:v>Fruits &amp; Vegetables</c:v>
                </c:pt>
                <c:pt idx="6">
                  <c:v>Health &amp; Hygiene</c:v>
                </c:pt>
                <c:pt idx="7">
                  <c:v>Home &amp; Cleaning</c:v>
                </c:pt>
                <c:pt idx="8">
                  <c:v>Ice Cream &amp; Desserts</c:v>
                </c:pt>
                <c:pt idx="9">
                  <c:v>Meats, Fish &amp; Eggs</c:v>
                </c:pt>
                <c:pt idx="10">
                  <c:v>Munchies</c:v>
                </c:pt>
                <c:pt idx="11">
                  <c:v>Paan Corner</c:v>
                </c:pt>
                <c:pt idx="12">
                  <c:v>Packaged Food</c:v>
                </c:pt>
                <c:pt idx="13">
                  <c:v>Personal Care</c:v>
                </c:pt>
              </c:strCache>
            </c:strRef>
          </c:cat>
          <c:val>
            <c:numRef>
              <c:f>ZP_Pivots!$B$8:$B$21</c:f>
              <c:numCache>
                <c:formatCode>#,##0</c:formatCode>
                <c:ptCount val="14"/>
                <c:pt idx="0">
                  <c:v>55051</c:v>
                </c:pt>
                <c:pt idx="1">
                  <c:v>25007.6</c:v>
                </c:pt>
                <c:pt idx="2">
                  <c:v>224385</c:v>
                </c:pt>
                <c:pt idx="3">
                  <c:v>337369</c:v>
                </c:pt>
                <c:pt idx="4">
                  <c:v>55051</c:v>
                </c:pt>
                <c:pt idx="5">
                  <c:v>10846</c:v>
                </c:pt>
                <c:pt idx="6">
                  <c:v>64180</c:v>
                </c:pt>
                <c:pt idx="7">
                  <c:v>122661</c:v>
                </c:pt>
                <c:pt idx="8">
                  <c:v>224385</c:v>
                </c:pt>
                <c:pt idx="9">
                  <c:v>20693</c:v>
                </c:pt>
                <c:pt idx="10">
                  <c:v>337369</c:v>
                </c:pt>
                <c:pt idx="11">
                  <c:v>270849</c:v>
                </c:pt>
                <c:pt idx="12">
                  <c:v>224385</c:v>
                </c:pt>
                <c:pt idx="13">
                  <c:v>270849</c:v>
                </c:pt>
              </c:numCache>
            </c:numRef>
          </c:val>
        </c:ser>
        <c:gapWidth val="150"/>
        <c:overlap val="0"/>
        <c:axId val="68892880"/>
        <c:axId val="99614665"/>
      </c:barChart>
      <c:catAx>
        <c:axId val="6889288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614665"/>
        <c:crosses val="autoZero"/>
        <c:auto val="1"/>
        <c:lblAlgn val="ctr"/>
        <c:lblOffset val="100"/>
        <c:noMultiLvlLbl val="0"/>
      </c:catAx>
      <c:valAx>
        <c:axId val="996146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8928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discount %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ZP_Pivots!C7</c:f>
              <c:strCache>
                <c:ptCount val="1"/>
                <c:pt idx="0">
                  <c:v>Average Discount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ZP_Pivots!$A$8:$A$21</c:f>
              <c:strCache>
                <c:ptCount val="14"/>
                <c:pt idx="0">
                  <c:v>Beverages</c:v>
                </c:pt>
                <c:pt idx="1">
                  <c:v>Biscuits</c:v>
                </c:pt>
                <c:pt idx="2">
                  <c:v>Chocolates &amp; Candies</c:v>
                </c:pt>
                <c:pt idx="3">
                  <c:v>Cooking Essentials</c:v>
                </c:pt>
                <c:pt idx="4">
                  <c:v>Dairy, Bread &amp; Batter</c:v>
                </c:pt>
                <c:pt idx="5">
                  <c:v>Fruits &amp; Vegetables</c:v>
                </c:pt>
                <c:pt idx="6">
                  <c:v>Health &amp; Hygiene</c:v>
                </c:pt>
                <c:pt idx="7">
                  <c:v>Home &amp; Cleaning</c:v>
                </c:pt>
                <c:pt idx="8">
                  <c:v>Ice Cream &amp; Desserts</c:v>
                </c:pt>
                <c:pt idx="9">
                  <c:v>Meats, Fish &amp; Eggs</c:v>
                </c:pt>
                <c:pt idx="10">
                  <c:v>Munchies</c:v>
                </c:pt>
                <c:pt idx="11">
                  <c:v>Paan Corner</c:v>
                </c:pt>
                <c:pt idx="12">
                  <c:v>Packaged Food</c:v>
                </c:pt>
                <c:pt idx="13">
                  <c:v>Personal Care</c:v>
                </c:pt>
              </c:strCache>
            </c:strRef>
          </c:cat>
          <c:val>
            <c:numRef>
              <c:f>ZP_Pivots!$C$8:$C$21</c:f>
              <c:numCache>
                <c:formatCode>0.00</c:formatCode>
                <c:ptCount val="14"/>
                <c:pt idx="0">
                  <c:v>7.15503875968992</c:v>
                </c:pt>
                <c:pt idx="1">
                  <c:v>8.24489795918367</c:v>
                </c:pt>
                <c:pt idx="2">
                  <c:v>8.32474226804124</c:v>
                </c:pt>
                <c:pt idx="3">
                  <c:v>7.16342412451362</c:v>
                </c:pt>
                <c:pt idx="4">
                  <c:v>7.15503875968992</c:v>
                </c:pt>
                <c:pt idx="5">
                  <c:v>15.4623655913979</c:v>
                </c:pt>
                <c:pt idx="6">
                  <c:v>8.05154639175258</c:v>
                </c:pt>
                <c:pt idx="7">
                  <c:v>5.70466321243523</c:v>
                </c:pt>
                <c:pt idx="8">
                  <c:v>8.32474226804124</c:v>
                </c:pt>
                <c:pt idx="9">
                  <c:v>11.031746031746</c:v>
                </c:pt>
                <c:pt idx="10">
                  <c:v>7.16342412451362</c:v>
                </c:pt>
                <c:pt idx="11">
                  <c:v>6.25</c:v>
                </c:pt>
                <c:pt idx="12">
                  <c:v>8.32474226804124</c:v>
                </c:pt>
                <c:pt idx="13">
                  <c:v>6.25</c:v>
                </c:pt>
              </c:numCache>
            </c:numRef>
          </c:val>
        </c:ser>
        <c:gapWidth val="150"/>
        <c:overlap val="0"/>
        <c:axId val="81969182"/>
        <c:axId val="15721992"/>
      </c:barChart>
      <c:catAx>
        <c:axId val="8196918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721992"/>
        <c:crosses val="autoZero"/>
        <c:auto val="1"/>
        <c:lblAlgn val="ctr"/>
        <c:lblOffset val="100"/>
        <c:noMultiLvlLbl val="0"/>
      </c:catAx>
      <c:valAx>
        <c:axId val="157219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691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SKUs: in stock vs out of stock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ZP_Pivots!B29</c:f>
              <c:strCache>
                <c:ptCount val="1"/>
                <c:pt idx="0">
                  <c:v>SKUs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ZP_Pivots!$A$30:$A$31</c:f>
              <c:strCache>
                <c:ptCount val="2"/>
                <c:pt idx="0">
                  <c:v>In stock</c:v>
                </c:pt>
                <c:pt idx="1">
                  <c:v>Out of stock</c:v>
                </c:pt>
              </c:strCache>
            </c:strRef>
          </c:cat>
          <c:val>
            <c:numRef>
              <c:f>ZP_Pivots!$B$30:$B$31</c:f>
              <c:numCache>
                <c:formatCode>#,##0</c:formatCode>
                <c:ptCount val="2"/>
                <c:pt idx="0">
                  <c:v>3278</c:v>
                </c:pt>
                <c:pt idx="1">
                  <c:v>453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Inventory weight by weight category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ZP_Pivots!B39</c:f>
              <c:strCache>
                <c:ptCount val="1"/>
                <c:pt idx="0">
                  <c:v>Inventory Weight (kg)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ZP_Pivots!$A$40:$A$42</c:f>
              <c:strCache>
                <c:ptCount val="3"/>
                <c:pt idx="0">
                  <c:v>1-Low</c:v>
                </c:pt>
                <c:pt idx="1">
                  <c:v>2-Medium</c:v>
                </c:pt>
                <c:pt idx="2">
                  <c:v>3-Bulk</c:v>
                </c:pt>
              </c:strCache>
            </c:strRef>
          </c:cat>
          <c:val>
            <c:numRef>
              <c:f>ZP_Pivots!$B$40:$B$42</c:f>
              <c:numCache>
                <c:formatCode>#,##0</c:formatCode>
                <c:ptCount val="3"/>
                <c:pt idx="0">
                  <c:v>3359.749</c:v>
                </c:pt>
                <c:pt idx="1">
                  <c:v>1346.1</c:v>
                </c:pt>
                <c:pt idx="2">
                  <c:v>1300</c:v>
                </c:pt>
              </c:numCache>
            </c:numRef>
          </c:val>
        </c:ser>
        <c:gapWidth val="150"/>
        <c:overlap val="0"/>
        <c:axId val="67380880"/>
        <c:axId val="59448139"/>
      </c:barChart>
      <c:catAx>
        <c:axId val="6738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48139"/>
        <c:crosses val="autoZero"/>
        <c:auto val="1"/>
        <c:lblAlgn val="ctr"/>
        <c:lblOffset val="100"/>
        <c:noMultiLvlLbl val="0"/>
      </c:catAx>
      <c:valAx>
        <c:axId val="594481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808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SKUs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ZP_Pivots!B50</c:f>
              <c:strCache>
                <c:ptCount val="1"/>
                <c:pt idx="0">
                  <c:v>SKUs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ZP_Pivots!$A$51:$A$55</c:f>
              <c:strCache>
                <c:ptCount val="5"/>
                <c:pt idx="0">
                  <c:v>1) Under 5%</c:v>
                </c:pt>
                <c:pt idx="1">
                  <c:v>2) 5-9%</c:v>
                </c:pt>
                <c:pt idx="2">
                  <c:v>3) 10-14%</c:v>
                </c:pt>
                <c:pt idx="3">
                  <c:v>4) 15-24%</c:v>
                </c:pt>
                <c:pt idx="4">
                  <c:v>5) 25%+</c:v>
                </c:pt>
              </c:strCache>
            </c:strRef>
          </c:cat>
          <c:val>
            <c:numRef>
              <c:f>ZP_Pivots!$B$51:$B$55</c:f>
              <c:numCache>
                <c:formatCode>#,##0</c:formatCode>
                <c:ptCount val="5"/>
                <c:pt idx="0">
                  <c:v>1615</c:v>
                </c:pt>
                <c:pt idx="1">
                  <c:v>836</c:v>
                </c:pt>
                <c:pt idx="2">
                  <c:v>680</c:v>
                </c:pt>
                <c:pt idx="3">
                  <c:v>394</c:v>
                </c:pt>
                <c:pt idx="4">
                  <c:v>206</c:v>
                </c:pt>
              </c:numCache>
            </c:numRef>
          </c:val>
        </c:ser>
        <c:gapWidth val="150"/>
        <c:overlap val="0"/>
        <c:axId val="33846056"/>
        <c:axId val="87268192"/>
      </c:barChart>
      <c:catAx>
        <c:axId val="33846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268192"/>
        <c:crosses val="autoZero"/>
        <c:auto val="1"/>
        <c:lblAlgn val="ctr"/>
        <c:lblOffset val="100"/>
        <c:noMultiLvlLbl val="0"/>
      </c:catAx>
      <c:valAx>
        <c:axId val="872681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8460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ZP_Engine!D44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ZP_Engine!$C$45:$C$56</c:f>
              <c:strCache>
                <c:ptCount val="12"/>
                <c:pt idx="0">
                  <c:v>Cooking Essentials</c:v>
                </c:pt>
                <c:pt idx="1">
                  <c:v>Munchies</c:v>
                </c:pt>
                <c:pt idx="2">
                  <c:v>Paan Corner</c:v>
                </c:pt>
                <c:pt idx="3">
                  <c:v>Personal Care</c:v>
                </c:pt>
                <c:pt idx="4">
                  <c:v>Chocolates &amp; Candies</c:v>
                </c:pt>
                <c:pt idx="5">
                  <c:v>Ice Cream &amp; Desserts</c:v>
                </c:pt>
                <c:pt idx="6">
                  <c:v>Packaged Food</c:v>
                </c:pt>
                <c:pt idx="7">
                  <c:v>Home &amp; Cleaning</c:v>
                </c:pt>
                <c:pt idx="8">
                  <c:v>Health &amp; Hygiene</c:v>
                </c:pt>
                <c:pt idx="9">
                  <c:v>Beverages</c:v>
                </c:pt>
                <c:pt idx="10">
                  <c:v>Dairy, Bread &amp; Batter</c:v>
                </c:pt>
                <c:pt idx="11">
                  <c:v>Biscuits</c:v>
                </c:pt>
              </c:strCache>
            </c:strRef>
          </c:cat>
          <c:val>
            <c:numRef>
              <c:f>ZP_Engine!$D$45:$D$56</c:f>
              <c:numCache>
                <c:formatCode>General</c:formatCode>
                <c:ptCount val="12"/>
                <c:pt idx="0">
                  <c:v>337369</c:v>
                </c:pt>
                <c:pt idx="1">
                  <c:v>337369</c:v>
                </c:pt>
                <c:pt idx="2">
                  <c:v>270849</c:v>
                </c:pt>
                <c:pt idx="3">
                  <c:v>270849</c:v>
                </c:pt>
                <c:pt idx="4">
                  <c:v>224385</c:v>
                </c:pt>
                <c:pt idx="5">
                  <c:v>224385</c:v>
                </c:pt>
                <c:pt idx="6">
                  <c:v>224385</c:v>
                </c:pt>
                <c:pt idx="7">
                  <c:v>122661</c:v>
                </c:pt>
                <c:pt idx="8">
                  <c:v>64180</c:v>
                </c:pt>
                <c:pt idx="9">
                  <c:v>55051</c:v>
                </c:pt>
                <c:pt idx="10">
                  <c:v>55051</c:v>
                </c:pt>
                <c:pt idx="11">
                  <c:v>25007.6</c:v>
                </c:pt>
              </c:numCache>
            </c:numRef>
          </c:val>
        </c:ser>
        <c:gapWidth val="150"/>
        <c:overlap val="0"/>
        <c:axId val="50373597"/>
        <c:axId val="55856007"/>
      </c:barChart>
      <c:catAx>
        <c:axId val="503735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56007"/>
        <c:crosses val="autoZero"/>
        <c:auto val="1"/>
        <c:lblAlgn val="ctr"/>
        <c:lblOffset val="100"/>
        <c:noMultiLvlLbl val="0"/>
      </c:catAx>
      <c:valAx>
        <c:axId val="55856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3735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ZP_Engine!F44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ZP_Engine!$C$45:$C$56</c:f>
              <c:strCache>
                <c:ptCount val="12"/>
                <c:pt idx="0">
                  <c:v>Cooking Essentials</c:v>
                </c:pt>
                <c:pt idx="1">
                  <c:v>Munchies</c:v>
                </c:pt>
                <c:pt idx="2">
                  <c:v>Paan Corner</c:v>
                </c:pt>
                <c:pt idx="3">
                  <c:v>Personal Care</c:v>
                </c:pt>
                <c:pt idx="4">
                  <c:v>Chocolates &amp; Candies</c:v>
                </c:pt>
                <c:pt idx="5">
                  <c:v>Ice Cream &amp; Desserts</c:v>
                </c:pt>
                <c:pt idx="6">
                  <c:v>Packaged Food</c:v>
                </c:pt>
                <c:pt idx="7">
                  <c:v>Home &amp; Cleaning</c:v>
                </c:pt>
                <c:pt idx="8">
                  <c:v>Health &amp; Hygiene</c:v>
                </c:pt>
                <c:pt idx="9">
                  <c:v>Beverages</c:v>
                </c:pt>
                <c:pt idx="10">
                  <c:v>Dairy, Bread &amp; Batter</c:v>
                </c:pt>
                <c:pt idx="11">
                  <c:v>Biscuits</c:v>
                </c:pt>
              </c:strCache>
            </c:strRef>
          </c:cat>
          <c:val>
            <c:numRef>
              <c:f>ZP_Engine!$F$45:$F$56</c:f>
              <c:numCache>
                <c:formatCode>General</c:formatCode>
                <c:ptCount val="12"/>
                <c:pt idx="0">
                  <c:v>337369</c:v>
                </c:pt>
                <c:pt idx="1">
                  <c:v>337369</c:v>
                </c:pt>
                <c:pt idx="2">
                  <c:v>270849</c:v>
                </c:pt>
                <c:pt idx="3">
                  <c:v>270849</c:v>
                </c:pt>
                <c:pt idx="4">
                  <c:v>224385</c:v>
                </c:pt>
                <c:pt idx="5">
                  <c:v>224385</c:v>
                </c:pt>
                <c:pt idx="6">
                  <c:v>224385</c:v>
                </c:pt>
                <c:pt idx="7">
                  <c:v>122661</c:v>
                </c:pt>
                <c:pt idx="8">
                  <c:v>64180</c:v>
                </c:pt>
                <c:pt idx="9">
                  <c:v>55051</c:v>
                </c:pt>
                <c:pt idx="10">
                  <c:v>55051</c:v>
                </c:pt>
                <c:pt idx="11">
                  <c:v>25007.6</c:v>
                </c:pt>
              </c:numCache>
            </c:numRef>
          </c:val>
        </c:ser>
        <c:ser>
          <c:idx val="1"/>
          <c:order val="1"/>
          <c:tx>
            <c:strRef>
              <c:f>ZP_Engine!G44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ZP_Engine!$C$45:$C$56</c:f>
              <c:strCache>
                <c:ptCount val="12"/>
                <c:pt idx="0">
                  <c:v>Cooking Essentials</c:v>
                </c:pt>
                <c:pt idx="1">
                  <c:v>Munchies</c:v>
                </c:pt>
                <c:pt idx="2">
                  <c:v>Paan Corner</c:v>
                </c:pt>
                <c:pt idx="3">
                  <c:v>Personal Care</c:v>
                </c:pt>
                <c:pt idx="4">
                  <c:v>Chocolates &amp; Candies</c:v>
                </c:pt>
                <c:pt idx="5">
                  <c:v>Ice Cream &amp; Desserts</c:v>
                </c:pt>
                <c:pt idx="6">
                  <c:v>Packaged Food</c:v>
                </c:pt>
                <c:pt idx="7">
                  <c:v>Home &amp; Cleaning</c:v>
                </c:pt>
                <c:pt idx="8">
                  <c:v>Health &amp; Hygiene</c:v>
                </c:pt>
                <c:pt idx="9">
                  <c:v>Beverages</c:v>
                </c:pt>
                <c:pt idx="10">
                  <c:v>Dairy, Bread &amp; Batter</c:v>
                </c:pt>
                <c:pt idx="11">
                  <c:v>Biscuits</c:v>
                </c:pt>
              </c:strCache>
            </c:strRef>
          </c:cat>
          <c:val>
            <c:numRef>
              <c:f>ZP_Engine!$G$45:$G$56</c:f>
              <c:numCache>
                <c:formatCode>General</c:formatCode>
                <c:ptCount val="12"/>
              </c:numCache>
            </c:numRef>
          </c:val>
        </c:ser>
        <c:ser>
          <c:idx val="2"/>
          <c:order val="2"/>
          <c:tx>
            <c:strRef>
              <c:f>ZP_Engine!H44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ZP_Engine!$C$45:$C$56</c:f>
              <c:strCache>
                <c:ptCount val="12"/>
                <c:pt idx="0">
                  <c:v>Cooking Essentials</c:v>
                </c:pt>
                <c:pt idx="1">
                  <c:v>Munchies</c:v>
                </c:pt>
                <c:pt idx="2">
                  <c:v>Paan Corner</c:v>
                </c:pt>
                <c:pt idx="3">
                  <c:v>Personal Care</c:v>
                </c:pt>
                <c:pt idx="4">
                  <c:v>Chocolates &amp; Candies</c:v>
                </c:pt>
                <c:pt idx="5">
                  <c:v>Ice Cream &amp; Desserts</c:v>
                </c:pt>
                <c:pt idx="6">
                  <c:v>Packaged Food</c:v>
                </c:pt>
                <c:pt idx="7">
                  <c:v>Home &amp; Cleaning</c:v>
                </c:pt>
                <c:pt idx="8">
                  <c:v>Health &amp; Hygiene</c:v>
                </c:pt>
                <c:pt idx="9">
                  <c:v>Beverages</c:v>
                </c:pt>
                <c:pt idx="10">
                  <c:v>Dairy, Bread &amp; Batter</c:v>
                </c:pt>
                <c:pt idx="11">
                  <c:v>Biscuits</c:v>
                </c:pt>
              </c:strCache>
            </c:strRef>
          </c:cat>
          <c:val>
            <c:numRef>
              <c:f>ZP_Engine!$H$45:$H$56</c:f>
              <c:numCache>
                <c:formatCode>General</c:formatCode>
                <c:ptCount val="12"/>
              </c:numCache>
            </c:numRef>
          </c:val>
        </c:ser>
        <c:ser>
          <c:idx val="3"/>
          <c:order val="3"/>
          <c:tx>
            <c:strRef>
              <c:f>ZP_Engine!I44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ZP_Engine!$C$45:$C$56</c:f>
              <c:strCache>
                <c:ptCount val="12"/>
                <c:pt idx="0">
                  <c:v>Cooking Essentials</c:v>
                </c:pt>
                <c:pt idx="1">
                  <c:v>Munchies</c:v>
                </c:pt>
                <c:pt idx="2">
                  <c:v>Paan Corner</c:v>
                </c:pt>
                <c:pt idx="3">
                  <c:v>Personal Care</c:v>
                </c:pt>
                <c:pt idx="4">
                  <c:v>Chocolates &amp; Candies</c:v>
                </c:pt>
                <c:pt idx="5">
                  <c:v>Ice Cream &amp; Desserts</c:v>
                </c:pt>
                <c:pt idx="6">
                  <c:v>Packaged Food</c:v>
                </c:pt>
                <c:pt idx="7">
                  <c:v>Home &amp; Cleaning</c:v>
                </c:pt>
                <c:pt idx="8">
                  <c:v>Health &amp; Hygiene</c:v>
                </c:pt>
                <c:pt idx="9">
                  <c:v>Beverages</c:v>
                </c:pt>
                <c:pt idx="10">
                  <c:v>Dairy, Bread &amp; Batter</c:v>
                </c:pt>
                <c:pt idx="11">
                  <c:v>Biscuits</c:v>
                </c:pt>
              </c:strCache>
            </c:strRef>
          </c:cat>
          <c:val>
            <c:numRef>
              <c:f>ZP_Engine!$I$45:$I$56</c:f>
              <c:numCache>
                <c:formatCode>General</c:formatCode>
                <c:ptCount val="12"/>
              </c:numCache>
            </c:numRef>
          </c:val>
        </c:ser>
        <c:ser>
          <c:idx val="4"/>
          <c:order val="4"/>
          <c:tx>
            <c:strRef>
              <c:f>ZP_Engine!J44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ZP_Engine!$C$45:$C$56</c:f>
              <c:strCache>
                <c:ptCount val="12"/>
                <c:pt idx="0">
                  <c:v>Cooking Essentials</c:v>
                </c:pt>
                <c:pt idx="1">
                  <c:v>Munchies</c:v>
                </c:pt>
                <c:pt idx="2">
                  <c:v>Paan Corner</c:v>
                </c:pt>
                <c:pt idx="3">
                  <c:v>Personal Care</c:v>
                </c:pt>
                <c:pt idx="4">
                  <c:v>Chocolates &amp; Candies</c:v>
                </c:pt>
                <c:pt idx="5">
                  <c:v>Ice Cream &amp; Desserts</c:v>
                </c:pt>
                <c:pt idx="6">
                  <c:v>Packaged Food</c:v>
                </c:pt>
                <c:pt idx="7">
                  <c:v>Home &amp; Cleaning</c:v>
                </c:pt>
                <c:pt idx="8">
                  <c:v>Health &amp; Hygiene</c:v>
                </c:pt>
                <c:pt idx="9">
                  <c:v>Beverages</c:v>
                </c:pt>
                <c:pt idx="10">
                  <c:v>Dairy, Bread &amp; Batter</c:v>
                </c:pt>
                <c:pt idx="11">
                  <c:v>Biscuits</c:v>
                </c:pt>
              </c:strCache>
            </c:strRef>
          </c:cat>
          <c:val>
            <c:numRef>
              <c:f>ZP_Engine!$J$45:$J$56</c:f>
              <c:numCache>
                <c:formatCode>General</c:formatCode>
                <c:ptCount val="12"/>
              </c:numCache>
            </c:numRef>
          </c:val>
        </c:ser>
        <c:gapWidth val="150"/>
        <c:overlap val="100"/>
        <c:axId val="49295908"/>
        <c:axId val="56026819"/>
      </c:barChart>
      <c:catAx>
        <c:axId val="492959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26819"/>
        <c:crosses val="autoZero"/>
        <c:auto val="1"/>
        <c:lblAlgn val="ctr"/>
        <c:lblOffset val="100"/>
        <c:noMultiLvlLbl val="0"/>
      </c:catAx>
      <c:valAx>
        <c:axId val="560268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29590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ZP_Engine!D44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f8b59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ZP_Engine!$C$45:$C$56</c:f>
              <c:strCache>
                <c:ptCount val="12"/>
                <c:pt idx="0">
                  <c:v>Cooking Essentials</c:v>
                </c:pt>
                <c:pt idx="1">
                  <c:v>Munchies</c:v>
                </c:pt>
                <c:pt idx="2">
                  <c:v>Paan Corner</c:v>
                </c:pt>
                <c:pt idx="3">
                  <c:v>Personal Care</c:v>
                </c:pt>
                <c:pt idx="4">
                  <c:v>Chocolates &amp; Candies</c:v>
                </c:pt>
                <c:pt idx="5">
                  <c:v>Ice Cream &amp; Desserts</c:v>
                </c:pt>
                <c:pt idx="6">
                  <c:v>Packaged Food</c:v>
                </c:pt>
                <c:pt idx="7">
                  <c:v>Home &amp; Cleaning</c:v>
                </c:pt>
                <c:pt idx="8">
                  <c:v>Health &amp; Hygiene</c:v>
                </c:pt>
                <c:pt idx="9">
                  <c:v>Beverages</c:v>
                </c:pt>
                <c:pt idx="10">
                  <c:v>Dairy, Bread &amp; Batter</c:v>
                </c:pt>
                <c:pt idx="11">
                  <c:v>Biscuits</c:v>
                </c:pt>
              </c:strCache>
            </c:strRef>
          </c:cat>
          <c:val>
            <c:numRef>
              <c:f>ZP_Engine!$D$45:$D$56</c:f>
              <c:numCache>
                <c:formatCode>General</c:formatCode>
                <c:ptCount val="12"/>
                <c:pt idx="0">
                  <c:v>337369</c:v>
                </c:pt>
                <c:pt idx="1">
                  <c:v>337369</c:v>
                </c:pt>
                <c:pt idx="2">
                  <c:v>270849</c:v>
                </c:pt>
                <c:pt idx="3">
                  <c:v>270849</c:v>
                </c:pt>
                <c:pt idx="4">
                  <c:v>224385</c:v>
                </c:pt>
                <c:pt idx="5">
                  <c:v>224385</c:v>
                </c:pt>
                <c:pt idx="6">
                  <c:v>224385</c:v>
                </c:pt>
                <c:pt idx="7">
                  <c:v>122661</c:v>
                </c:pt>
                <c:pt idx="8">
                  <c:v>64180</c:v>
                </c:pt>
                <c:pt idx="9">
                  <c:v>55051</c:v>
                </c:pt>
                <c:pt idx="10">
                  <c:v>55051</c:v>
                </c:pt>
                <c:pt idx="11">
                  <c:v>25007.6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ZP_Engine!B59</c:f>
              <c:strCache>
                <c:ptCount val="1"/>
                <c:pt idx="0">
                  <c:v>SKUs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ZP_Engine!$A$60:$A$61</c:f>
              <c:strCache>
                <c:ptCount val="2"/>
                <c:pt idx="0">
                  <c:v>In stock</c:v>
                </c:pt>
                <c:pt idx="1">
                  <c:v>Out of stock</c:v>
                </c:pt>
              </c:strCache>
            </c:strRef>
          </c:cat>
          <c:val>
            <c:numRef>
              <c:f>ZP_Engine!$B$60:$B$61</c:f>
              <c:numCache>
                <c:formatCode>General</c:formatCode>
                <c:ptCount val="2"/>
                <c:pt idx="0">
                  <c:v>3278</c:v>
                </c:pt>
                <c:pt idx="1">
                  <c:v>453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70560</xdr:rowOff>
    </xdr:from>
    <xdr:to>
      <xdr:col>14</xdr:col>
      <xdr:colOff>40320</xdr:colOff>
      <xdr:row>21</xdr:row>
      <xdr:rowOff>50760</xdr:rowOff>
    </xdr:to>
    <xdr:graphicFrame>
      <xdr:nvGraphicFramePr>
        <xdr:cNvPr id="0" name="Chart 1"/>
        <xdr:cNvGraphicFramePr/>
      </xdr:nvGraphicFramePr>
      <xdr:xfrm>
        <a:off x="3101400" y="57168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</xdr:row>
      <xdr:rowOff>70560</xdr:rowOff>
    </xdr:from>
    <xdr:to>
      <xdr:col>23</xdr:col>
      <xdr:colOff>40320</xdr:colOff>
      <xdr:row>21</xdr:row>
      <xdr:rowOff>50760</xdr:rowOff>
    </xdr:to>
    <xdr:graphicFrame>
      <xdr:nvGraphicFramePr>
        <xdr:cNvPr id="1" name="Chart 2"/>
        <xdr:cNvGraphicFramePr/>
      </xdr:nvGraphicFramePr>
      <xdr:xfrm>
        <a:off x="9130680" y="57168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23</xdr:row>
      <xdr:rowOff>70560</xdr:rowOff>
    </xdr:from>
    <xdr:to>
      <xdr:col>14</xdr:col>
      <xdr:colOff>40320</xdr:colOff>
      <xdr:row>39</xdr:row>
      <xdr:rowOff>82080</xdr:rowOff>
    </xdr:to>
    <xdr:graphicFrame>
      <xdr:nvGraphicFramePr>
        <xdr:cNvPr id="2" name="Chart 3"/>
        <xdr:cNvGraphicFramePr/>
      </xdr:nvGraphicFramePr>
      <xdr:xfrm>
        <a:off x="3101400" y="45720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23</xdr:row>
      <xdr:rowOff>70560</xdr:rowOff>
    </xdr:from>
    <xdr:to>
      <xdr:col>23</xdr:col>
      <xdr:colOff>40320</xdr:colOff>
      <xdr:row>39</xdr:row>
      <xdr:rowOff>82080</xdr:rowOff>
    </xdr:to>
    <xdr:graphicFrame>
      <xdr:nvGraphicFramePr>
        <xdr:cNvPr id="3" name="Chart 4"/>
        <xdr:cNvGraphicFramePr/>
      </xdr:nvGraphicFramePr>
      <xdr:xfrm>
        <a:off x="9130680" y="45720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40</xdr:row>
      <xdr:rowOff>70560</xdr:rowOff>
    </xdr:from>
    <xdr:to>
      <xdr:col>14</xdr:col>
      <xdr:colOff>40320</xdr:colOff>
      <xdr:row>56</xdr:row>
      <xdr:rowOff>82080</xdr:rowOff>
    </xdr:to>
    <xdr:graphicFrame>
      <xdr:nvGraphicFramePr>
        <xdr:cNvPr id="4" name="Chart 5"/>
        <xdr:cNvGraphicFramePr/>
      </xdr:nvGraphicFramePr>
      <xdr:xfrm>
        <a:off x="3101400" y="78105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3</xdr:row>
      <xdr:rowOff>0</xdr:rowOff>
    </xdr:from>
    <xdr:to>
      <xdr:col>5</xdr:col>
      <xdr:colOff>0</xdr:colOff>
      <xdr:row>16</xdr:row>
      <xdr:rowOff>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1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17</xdr:row>
      <xdr:rowOff>0</xdr:rowOff>
    </xdr:from>
    <xdr:to>
      <xdr:col>5</xdr:col>
      <xdr:colOff>0</xdr:colOff>
      <xdr:row>23</xdr:row>
      <xdr:rowOff>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2" name="Stock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ck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24</xdr:row>
      <xdr:rowOff>0</xdr:rowOff>
    </xdr:from>
    <xdr:to>
      <xdr:col>5</xdr:col>
      <xdr:colOff>0</xdr:colOff>
      <xdr:row>32</xdr:row>
      <xdr:rowOff>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3" name="Weight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ight 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33</xdr:row>
      <xdr:rowOff>0</xdr:rowOff>
    </xdr:from>
    <xdr:to>
      <xdr:col>5</xdr:col>
      <xdr:colOff>0</xdr:colOff>
      <xdr:row>43</xdr:row>
      <xdr:rowOff>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4" name="Discount ban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count ban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6</xdr:row>
      <xdr:rowOff>10800</xdr:rowOff>
    </xdr:from>
    <xdr:to>
      <xdr:col>13</xdr:col>
      <xdr:colOff>40320</xdr:colOff>
      <xdr:row>22</xdr:row>
      <xdr:rowOff>22320</xdr:rowOff>
    </xdr:to>
    <xdr:graphicFrame>
      <xdr:nvGraphicFramePr>
        <xdr:cNvPr id="5" name="Chart 1"/>
        <xdr:cNvGraphicFramePr/>
      </xdr:nvGraphicFramePr>
      <xdr:xfrm>
        <a:off x="4440600" y="13334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6</xdr:row>
      <xdr:rowOff>10800</xdr:rowOff>
    </xdr:from>
    <xdr:to>
      <xdr:col>22</xdr:col>
      <xdr:colOff>40320</xdr:colOff>
      <xdr:row>22</xdr:row>
      <xdr:rowOff>22320</xdr:rowOff>
    </xdr:to>
    <xdr:graphicFrame>
      <xdr:nvGraphicFramePr>
        <xdr:cNvPr id="6" name="Chart 2"/>
        <xdr:cNvGraphicFramePr/>
      </xdr:nvGraphicFramePr>
      <xdr:xfrm>
        <a:off x="10469880" y="13334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24</xdr:row>
      <xdr:rowOff>10800</xdr:rowOff>
    </xdr:from>
    <xdr:to>
      <xdr:col>13</xdr:col>
      <xdr:colOff>40320</xdr:colOff>
      <xdr:row>40</xdr:row>
      <xdr:rowOff>22320</xdr:rowOff>
    </xdr:to>
    <xdr:graphicFrame>
      <xdr:nvGraphicFramePr>
        <xdr:cNvPr id="7" name="Chart 3"/>
        <xdr:cNvGraphicFramePr/>
      </xdr:nvGraphicFramePr>
      <xdr:xfrm>
        <a:off x="4440600" y="47624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24</xdr:row>
      <xdr:rowOff>10800</xdr:rowOff>
    </xdr:from>
    <xdr:to>
      <xdr:col>22</xdr:col>
      <xdr:colOff>40320</xdr:colOff>
      <xdr:row>40</xdr:row>
      <xdr:rowOff>22320</xdr:rowOff>
    </xdr:to>
    <xdr:graphicFrame>
      <xdr:nvGraphicFramePr>
        <xdr:cNvPr id="8" name="Chart 4"/>
        <xdr:cNvGraphicFramePr/>
      </xdr:nvGraphicFramePr>
      <xdr:xfrm>
        <a:off x="10469880" y="47624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refreshOnLoad="1" refreshedBy="Claude" saveData="0" createdVersion="6" refreshedVersion="6" minRefreshableVersion="3">
  <cacheSource type="worksheet">
    <worksheetSource ref="A1:O3732" sheet="Zepto_Data"/>
  </cacheSource>
  <cacheFields count="15">
    <cacheField name="Category" numFmtId="0">
      <sharedItems count="14">
        <s v="Beverages"/>
        <s v="Biscuits"/>
        <s v="Chocolates &amp; Candies"/>
        <s v="Cooking Essentials"/>
        <s v="Dairy, Bread &amp; Batter"/>
        <s v="Fruits &amp; Vegetables"/>
        <s v="Health &amp; Hygiene"/>
        <s v="Home &amp; Cleaning"/>
        <s v="Ice Cream &amp; Desserts"/>
        <s v="Meats, Fish &amp; Eggs"/>
        <s v="Munchies"/>
        <s v="Paan Corner"/>
        <s v="Packaged Food"/>
        <s v="Personal Care"/>
      </sharedItems>
    </cacheField>
    <cacheField name="name" numFmtId="0">
      <sharedItems/>
    </cacheField>
    <cacheField name="mrp" numFmtId="0">
      <sharedItems containsSemiMixedTypes="0" containsString="0" containsNumber="1" minValue="10.0" maxValue="2600.0"/>
    </cacheField>
    <cacheField name="discountPercent" numFmtId="0">
      <sharedItems containsSemiMixedTypes="0" containsString="0" containsNumber="1" containsInteger="1" minValue="0.0" maxValue="51.0"/>
    </cacheField>
    <cacheField name="availableQuantity" numFmtId="0">
      <sharedItems containsSemiMixedTypes="0" containsString="0" containsNumber="1" containsInteger="1" minValue="0.0" maxValue="6.0"/>
    </cacheField>
    <cacheField name="discountedSellingPrice" numFmtId="0">
      <sharedItems containsSemiMixedTypes="0" containsString="0" containsNumber="1" minValue="9.0" maxValue="1399.0"/>
    </cacheField>
    <cacheField name="weightInGms" numFmtId="0">
      <sharedItems containsSemiMixedTypes="0" containsString="0" containsNumber="1" containsInteger="1" minValue="0.0" maxValue="10000.0"/>
    </cacheField>
    <cacheField name="outOfStock" numFmtId="0">
      <sharedItems/>
    </cacheField>
    <cacheField name="quantity" numFmtId="0">
      <sharedItems containsSemiMixedTypes="0" containsString="0" containsNumber="1" containsInteger="1" minValue="0.0" maxValue="1500.0"/>
    </cacheField>
    <cacheField name="Revenue (Rs)" numFmtId="0">
      <sharedItems containsSemiMixedTypes="0" containsString="0" containsNumber="1" minValue="0.0" maxValue="8394.0"/>
    </cacheField>
    <cacheField name="Weight_Category" numFmtId="0">
      <sharedItems count="3">
        <s v="1-Low"/>
        <s v="2-Medium"/>
        <s v="3-Bulk"/>
      </sharedItems>
    </cacheField>
    <cacheField name="Stock_Status" numFmtId="0">
      <sharedItems count="2">
        <s v="In stock"/>
        <s v="Out of stock"/>
      </sharedItems>
    </cacheField>
    <cacheField name="Discount_Band" numFmtId="0">
      <sharedItems count="5">
        <s v="1) Under 5%"/>
        <s v="2) 5-9%"/>
        <s v="3) 10-14%"/>
        <s v="4) 15-24%"/>
        <s v="5) 25%+"/>
      </sharedItems>
    </cacheField>
    <cacheField name="Price_Band" numFmtId="0">
      <sharedItems/>
    </cacheField>
    <cacheField name="Inventory_Weight_kg" numFmtId="0">
      <sharedItems containsSemiMixedTypes="0" containsString="0" containsNumber="1" minValue="0.0" maxValue="60.0"/>
    </cacheField>
  </cacheFields>
  <extLst>
    <ext xmlns:x14="http://schemas.microsoft.com/office/spreadsheetml/2009/9/main" uri="{725AE2AE-9491-48be-B2B4-4EB974FC3084}">
      <x14:pivotCacheDefinition pivotCacheId="1002"/>
    </ext>
  </extLst>
</pivotCacheDefinition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_ZP_Category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7:C22" firstHeaderRow="0" firstDataRow="1" firstDataCol="1" rowPageCount="3" colPageCount="1"/>
  <pivotFields count="15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axis="axisPage" multipleItemSelectionAllowed="1" showAll="0">
      <items count="4">
        <item x="0"/>
        <item x="1"/>
        <item x="2"/>
        <item t="default"/>
      </items>
    </pivotField>
    <pivotField axis="axisPage" multipleItemSelectionAllowed="1" showAll="0">
      <items count="3">
        <item x="0"/>
        <item x="1"/>
        <item t="default"/>
      </items>
    </pivotField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pageFields count="3">
    <pageField fld="11" hier="-1"/>
    <pageField fld="10" hier="-1"/>
    <pageField fld="12" hier="-1"/>
  </pageFields>
  <dataFields count="2">
    <dataField name="Total Revenue (Rs)" fld="9" baseField="0" baseItem="0" numFmtId="3"/>
    <dataField name="Average Discount %" fld="3" subtotal="average" baseField="0" baseItem="0" numFmtId="2"/>
  </dataFields>
  <pivotTableStyleInfo name="PivotStyleMedium2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T_ZP_Stock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9:B32" firstHeaderRow="1" firstDataRow="1" firstDataCol="1" rowPageCount="3" colPageCount="1"/>
  <pivotFields count="15"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pageFields count="3">
    <pageField fld="0" hier="-1"/>
    <pageField fld="10" hier="-1"/>
    <pageField fld="12" hier="-1"/>
  </pageFields>
  <dataFields count="1">
    <dataField name="SKUs" fld="1" subtotal="count" baseField="0" baseItem="0" numFmtId="3"/>
  </dataFields>
  <pivotTableStyleInfo name="PivotStyleMedium2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T_ZP_Weight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9:B43" firstHeaderRow="1" firstDataRow="1" firstDataCol="1" rowPageCount="3" colPageCount="1"/>
  <pivotFields count="15"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Page" multipleItemSelectionAllowed="1" showAll="0">
      <items count="3">
        <item x="0"/>
        <item x="1"/>
        <item t="default"/>
      </items>
    </pivotField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pageFields count="3">
    <pageField fld="0" hier="-1"/>
    <pageField fld="11" hier="-1"/>
    <pageField fld="12" hier="-1"/>
  </pageFields>
  <dataFields count="1">
    <dataField name="Inventory Weight (kg)" fld="14" baseField="0" baseItem="0" numFmtId="3"/>
  </dataFields>
  <pivotTableStyleInfo name="PivotStyleMedium2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T_ZP_Band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0:B56" firstHeaderRow="1" firstDataRow="1" firstDataCol="1" rowPageCount="3" colPageCount="1"/>
  <pivotFields count="15"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0"/>
        <item x="1"/>
        <item x="2"/>
        <item t="default"/>
      </items>
    </pivotField>
    <pivotField axis="axisPage" multipleItemSelectionAllowed="1" showAll="0">
      <items count="3">
        <item x="0"/>
        <item x="1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3">
    <pageField fld="0" hier="-1"/>
    <pageField fld="11" hier="-1"/>
    <pageField fld="10" hier="-1"/>
  </pageFields>
  <dataFields count="1">
    <dataField name="SKUs" fld="1" subtotal="count" baseField="0" baseItem="0" numFmtId="3"/>
  </dataFields>
  <pivotTableStyleInfo name="PivotStyleMedium2" showRowHeaders="1" showColHeaders="1" showRowStripes="0" showColStripes="0" showLastColumn="1"/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6" name="PT_ZP_Category"/>
    <pivotTable tabId="6" name="PT_ZP_Stock"/>
    <pivotTable tabId="6" name="PT_ZP_Weight"/>
    <pivotTable tabId="6" name="PT_ZP_Band"/>
  </pivotTables>
  <data>
    <tabular pivotCacheId="1002">
      <items count="14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ock_Status" sourceName="Stock_Status">
  <pivotTables>
    <pivotTable tabId="6" name="PT_ZP_Category"/>
    <pivotTable tabId="6" name="PT_ZP_Stock"/>
    <pivotTable tabId="6" name="PT_ZP_Weight"/>
    <pivotTable tabId="6" name="PT_ZP_Band"/>
  </pivotTables>
  <data>
    <tabular pivotCacheId="1002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Weight_Category" sourceName="Weight_Category">
  <pivotTables>
    <pivotTable tabId="6" name="PT_ZP_Category"/>
    <pivotTable tabId="6" name="PT_ZP_Stock"/>
    <pivotTable tabId="6" name="PT_ZP_Weight"/>
    <pivotTable tabId="6" name="PT_ZP_Band"/>
  </pivotTables>
  <data>
    <tabular pivotCacheId="1002">
      <items count="3">
        <i x="0" s="1"/>
        <i x="1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iscount_Band" sourceName="Discount_Band">
  <pivotTables>
    <pivotTable tabId="6" name="PT_ZP_Category"/>
    <pivotTable tabId="6" name="PT_ZP_Stock"/>
    <pivotTable tabId="6" name="PT_ZP_Weight"/>
    <pivotTable tabId="6" name="PT_ZP_Band"/>
  </pivotTables>
  <data>
    <tabular pivotCacheId="1002">
      <items count="5">
        <i x="0" s="1"/>
        <i x="1" s="1"/>
        <i x="2" s="1"/>
        <i x="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" cache="Slicer_Category" caption="Category" columnCount="2" style="SlicerStyleLight1" rowHeight="241300"/>
  <slicer name="Stock status" cache="Slicer_Stock_Status" caption="Stock status" columnCount="1" style="SlicerStyleLight1" rowHeight="241300"/>
  <slicer name="Weight category" cache="Slicer_Weight_Category" caption="Weight category" columnCount="1" style="SlicerStyleLight1" rowHeight="241300"/>
  <slicer name="Discount band" cache="Slicer_Discount_Band" caption="Discount band" columnCount="1" style="SlicerStyleLight1" rowHeight="241300"/>
</slicer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Relationship Id="rIdSL1" Type="http://schemas.microsoft.com/office/2007/relationships/slicer" Target="../slicers/slicer1.xml"/>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 standalone="yes"?>
<Relationships xmlns="http://schemas.openxmlformats.org/package/2006/relationships"><Relationship Id="rIdP1" Type="http://schemas.openxmlformats.org/officeDocument/2006/relationships/pivotTable" Target="../pivotTables/pivotTable1.xml"/><Relationship Id="rIdP2" Type="http://schemas.openxmlformats.org/officeDocument/2006/relationships/pivotTable" Target="../pivotTables/pivotTable2.xml"/><Relationship Id="rIdP3" Type="http://schemas.openxmlformats.org/officeDocument/2006/relationships/pivotTable" Target="../pivotTables/pivotTable3.xml"/><Relationship Id="rIdP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1:B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5" min="2" style="0" width="10"/>
    <col collapsed="false" customWidth="true" hidden="false" outlineLevel="0" max="6" min="6" style="0" width="2"/>
    <col collapsed="false" customWidth="true" hidden="false" outlineLevel="0" max="25" min="7" style="0" width="9.51"/>
  </cols>
  <sheetData>
    <row r="1" customFormat="false" ht="24.4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A8765BA9-456A-4dab-B4F3-ACF838C121DE}">
      <x14:slicerList>
        <x14:slicer r:id="rIdSL1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W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24"/>
    <col collapsed="false" customWidth="true" hidden="false" outlineLevel="0" max="4" min="4" style="0" width="11"/>
    <col collapsed="false" customWidth="true" hidden="false" outlineLevel="0" max="5" min="5" style="0" width="2"/>
    <col collapsed="false" customWidth="true" hidden="false" outlineLevel="0" max="23" min="6" style="0" width="9.51"/>
  </cols>
  <sheetData>
    <row r="1" customFormat="false" ht="24.45" hidden="false" customHeight="false" outlineLevel="0" collapsed="false">
      <c r="B1" s="1" t="s">
        <v>2</v>
      </c>
    </row>
    <row r="2" customFormat="false" ht="15" hidden="false" customHeight="false" outlineLevel="0" collapsed="false">
      <c r="B2" s="2" t="s">
        <v>3</v>
      </c>
    </row>
    <row r="4" customFormat="false" ht="15" hidden="false" customHeight="true" outlineLevel="0" collapsed="false">
      <c r="B4" s="3" t="s">
        <v>4</v>
      </c>
      <c r="C4" s="3"/>
      <c r="D4" s="3"/>
      <c r="F4" s="4" t="s">
        <v>5</v>
      </c>
      <c r="G4" s="4"/>
      <c r="H4" s="4"/>
      <c r="I4" s="4" t="s">
        <v>6</v>
      </c>
      <c r="J4" s="4"/>
      <c r="K4" s="4"/>
      <c r="L4" s="4" t="s">
        <v>7</v>
      </c>
      <c r="M4" s="4"/>
      <c r="N4" s="4"/>
      <c r="O4" s="4" t="s">
        <v>8</v>
      </c>
      <c r="P4" s="4"/>
      <c r="Q4" s="4"/>
    </row>
    <row r="5" customFormat="false" ht="19.7" hidden="false" customHeight="false" outlineLevel="0" collapsed="false">
      <c r="B5" s="5" t="s">
        <v>9</v>
      </c>
      <c r="C5" s="6" t="s">
        <v>10</v>
      </c>
      <c r="F5" s="7" t="n">
        <f aca="false">COUNTIFS(Zepto_Data!$A$2:$A$3732,ZP_Engine!$B$11,Zepto_Data!$L$2:$L$3732,ZP_Engine!$B$12,Zepto_Data!$K$2:$K$3732,ZP_Engine!$B$13,Zepto_Data!$M$2:$M$3732,ZP_Engine!$B$14)</f>
        <v>3731</v>
      </c>
      <c r="G5" s="7"/>
      <c r="H5" s="7"/>
      <c r="I5" s="8" t="n">
        <f aca="false">IFERROR(COUNTIFS(Zepto_Data!$L$2:$L$3732,"Out of stock",Zepto_Data!$A$2:$A$3732,ZP_Engine!$B$11,Zepto_Data!$L$2:$L$3732,ZP_Engine!$B$12,Zepto_Data!$K$2:$K$3732,ZP_Engine!$B$13,Zepto_Data!$M$2:$M$3732,ZP_Engine!$B$14)/COUNTIFS(Zepto_Data!$A$2:$A$3732,ZP_Engine!$B$11,Zepto_Data!$L$2:$L$3732,ZP_Engine!$B$12,Zepto_Data!$K$2:$K$3732,ZP_Engine!$B$13,Zepto_Data!$M$2:$M$3732,ZP_Engine!$B$14),0)</f>
        <v>0.121415170195658</v>
      </c>
      <c r="J5" s="8"/>
      <c r="K5" s="8"/>
      <c r="L5" s="9" t="n">
        <f aca="false">IFERROR(AVERAGEIFS(Zepto_Data!$D$2:$D$3732,Zepto_Data!$A$2:$A$3732,ZP_Engine!$B$11,Zepto_Data!$L$2:$L$3732,ZP_Engine!$B$12,Zepto_Data!$K$2:$K$3732,ZP_Engine!$B$13,Zepto_Data!$M$2:$M$3732,ZP_Engine!$B$14),0)</f>
        <v>7.61913696060038</v>
      </c>
      <c r="M5" s="9"/>
      <c r="N5" s="9"/>
      <c r="O5" s="7" t="n">
        <f aca="false">SUMIFS(Zepto_Data!$J$2:$J$3732,Zepto_Data!$A$2:$A$3732,ZP_Engine!$B$11,Zepto_Data!$L$2:$L$3732,ZP_Engine!$B$12,Zepto_Data!$K$2:$K$3732,ZP_Engine!$B$13,Zepto_Data!$M$2:$M$3732,ZP_Engine!$B$14)</f>
        <v>2243080.6</v>
      </c>
      <c r="P5" s="7"/>
      <c r="Q5" s="7"/>
    </row>
    <row r="6" customFormat="false" ht="15" hidden="false" customHeight="false" outlineLevel="0" collapsed="false">
      <c r="B6" s="5" t="s">
        <v>11</v>
      </c>
      <c r="C6" s="6" t="s">
        <v>12</v>
      </c>
    </row>
    <row r="7" customFormat="false" ht="15" hidden="false" customHeight="false" outlineLevel="0" collapsed="false">
      <c r="B7" s="5" t="s">
        <v>13</v>
      </c>
      <c r="C7" s="6" t="s">
        <v>14</v>
      </c>
      <c r="F7" s="10" t="str">
        <f aca="false">IF('Zepto Dashboard'!$C$7="Count","Count of records",'Zepto Dashboard'!$C$7&amp;" of "&amp;'Zepto Dashboard'!$C$6)&amp;" by "&amp;'Zepto Dashboard'!$C$5</f>
        <v>Sum of Revenue (Rs) by Category</v>
      </c>
      <c r="G7" s="10"/>
      <c r="H7" s="10"/>
      <c r="I7" s="10"/>
      <c r="J7" s="10"/>
      <c r="K7" s="10"/>
      <c r="L7" s="10"/>
      <c r="M7" s="10"/>
      <c r="N7" s="10"/>
      <c r="O7" s="10" t="str">
        <f aca="false">"Split: "&amp;IF('Zepto Dashboard'!$C$7="Count","Count of records",'Zepto Dashboard'!$C$7&amp;" of "&amp;'Zepto Dashboard'!$C$6)&amp;" by "&amp;'Zepto Dashboard'!$C$5&amp;IF('Zepto Dashboard'!$C$8="None",""," and "&amp;'Zepto Dashboard'!$C$8)</f>
        <v>Split: Sum of Revenue (Rs) by Category</v>
      </c>
      <c r="P7" s="10"/>
      <c r="Q7" s="10"/>
      <c r="R7" s="10"/>
      <c r="S7" s="10"/>
      <c r="T7" s="10"/>
      <c r="U7" s="10"/>
      <c r="V7" s="10"/>
      <c r="W7" s="10"/>
    </row>
    <row r="8" customFormat="false" ht="15" hidden="false" customHeight="false" outlineLevel="0" collapsed="false">
      <c r="B8" s="5" t="s">
        <v>15</v>
      </c>
      <c r="C8" s="6" t="s">
        <v>16</v>
      </c>
    </row>
    <row r="9" customFormat="false" ht="15" hidden="false" customHeight="false" outlineLevel="0" collapsed="false">
      <c r="B9" s="5" t="s">
        <v>17</v>
      </c>
      <c r="C9" s="6" t="s">
        <v>18</v>
      </c>
    </row>
    <row r="10" customFormat="false" ht="15" hidden="false" customHeight="false" outlineLevel="0" collapsed="false">
      <c r="B10" s="5" t="s">
        <v>19</v>
      </c>
      <c r="C10" s="6" t="n">
        <v>12</v>
      </c>
    </row>
    <row r="11" customFormat="false" ht="15" hidden="false" customHeight="true" outlineLevel="0" collapsed="false">
      <c r="B11" s="3" t="s">
        <v>20</v>
      </c>
      <c r="C11" s="3"/>
      <c r="D11" s="3"/>
    </row>
    <row r="12" customFormat="false" ht="15" hidden="false" customHeight="false" outlineLevel="0" collapsed="false">
      <c r="B12" s="5" t="s">
        <v>10</v>
      </c>
      <c r="C12" s="6" t="s">
        <v>21</v>
      </c>
    </row>
    <row r="13" customFormat="false" ht="15" hidden="false" customHeight="false" outlineLevel="0" collapsed="false">
      <c r="B13" s="5" t="s">
        <v>22</v>
      </c>
      <c r="C13" s="6" t="s">
        <v>21</v>
      </c>
    </row>
    <row r="14" customFormat="false" ht="15" hidden="false" customHeight="false" outlineLevel="0" collapsed="false">
      <c r="B14" s="5" t="s">
        <v>23</v>
      </c>
      <c r="C14" s="6" t="s">
        <v>21</v>
      </c>
    </row>
    <row r="15" customFormat="false" ht="15" hidden="false" customHeight="false" outlineLevel="0" collapsed="false">
      <c r="B15" s="5" t="s">
        <v>24</v>
      </c>
      <c r="C15" s="6" t="s">
        <v>21</v>
      </c>
    </row>
    <row r="19" customFormat="false" ht="15" hidden="false" customHeight="true" outlineLevel="0" collapsed="false">
      <c r="B19" s="3" t="s">
        <v>25</v>
      </c>
      <c r="C19" s="3"/>
      <c r="D19" s="3"/>
    </row>
    <row r="20" customFormat="false" ht="15" hidden="false" customHeight="false" outlineLevel="0" collapsed="false">
      <c r="B20" s="11" t="s">
        <v>26</v>
      </c>
      <c r="C20" s="11" t="s">
        <v>27</v>
      </c>
      <c r="D20" s="11" t="s">
        <v>28</v>
      </c>
    </row>
    <row r="21" customFormat="false" ht="15" hidden="false" customHeight="false" outlineLevel="0" collapsed="false">
      <c r="B21" s="12" t="str">
        <f aca="false">IF(ZP_Engine!C45="","",ZP_Engine!C45)</f>
        <v>Cooking Essentials</v>
      </c>
      <c r="C21" s="13" t="n">
        <f aca="false">IF(ZP_Engine!C45="","",ZP_Engine!D45)</f>
        <v>337369</v>
      </c>
      <c r="D21" s="14" t="n">
        <f aca="false">IF(ZP_Engine!E45="","",ZP_Engine!E45)</f>
        <v>0.150404314494985</v>
      </c>
    </row>
    <row r="22" customFormat="false" ht="15" hidden="false" customHeight="false" outlineLevel="0" collapsed="false">
      <c r="B22" s="12" t="str">
        <f aca="false">IF(ZP_Engine!C46="","",ZP_Engine!C46)</f>
        <v>Munchies</v>
      </c>
      <c r="C22" s="13" t="n">
        <f aca="false">IF(ZP_Engine!C46="","",ZP_Engine!D46)</f>
        <v>337369</v>
      </c>
      <c r="D22" s="14" t="n">
        <f aca="false">IF(ZP_Engine!E46="","",ZP_Engine!E46)</f>
        <v>0.150404314494985</v>
      </c>
    </row>
    <row r="23" customFormat="false" ht="15" hidden="false" customHeight="false" outlineLevel="0" collapsed="false">
      <c r="B23" s="12" t="str">
        <f aca="false">IF(ZP_Engine!C47="","",ZP_Engine!C47)</f>
        <v>Paan Corner</v>
      </c>
      <c r="C23" s="13" t="n">
        <f aca="false">IF(ZP_Engine!C47="","",ZP_Engine!D47)</f>
        <v>270849</v>
      </c>
      <c r="D23" s="14" t="n">
        <f aca="false">IF(ZP_Engine!E47="","",ZP_Engine!E47)</f>
        <v>0.120748670377694</v>
      </c>
    </row>
    <row r="24" customFormat="false" ht="15" hidden="false" customHeight="false" outlineLevel="0" collapsed="false">
      <c r="B24" s="12" t="str">
        <f aca="false">IF(ZP_Engine!C48="","",ZP_Engine!C48)</f>
        <v>Personal Care</v>
      </c>
      <c r="C24" s="13" t="n">
        <f aca="false">IF(ZP_Engine!C48="","",ZP_Engine!D48)</f>
        <v>270849</v>
      </c>
      <c r="D24" s="14" t="n">
        <f aca="false">IF(ZP_Engine!E48="","",ZP_Engine!E48)</f>
        <v>0.120748670377694</v>
      </c>
    </row>
    <row r="25" customFormat="false" ht="15" hidden="false" customHeight="false" outlineLevel="0" collapsed="false">
      <c r="B25" s="12" t="str">
        <f aca="false">IF(ZP_Engine!C49="","",ZP_Engine!C49)</f>
        <v>Chocolates &amp; Candies</v>
      </c>
      <c r="C25" s="13" t="n">
        <f aca="false">IF(ZP_Engine!C49="","",ZP_Engine!D49)</f>
        <v>224385</v>
      </c>
      <c r="D25" s="14" t="n">
        <f aca="false">IF(ZP_Engine!E49="","",ZP_Engine!E49)</f>
        <v>0.100034301041166</v>
      </c>
      <c r="F25" s="10" t="str">
        <f aca="false">"Share of "&amp;'Zepto Dashboard'!$C$6&amp;" by "&amp;'Zepto Dashboard'!$C$5&amp;" (top N)"</f>
        <v>Share of Revenue (Rs) by Category (top N)</v>
      </c>
      <c r="G25" s="10"/>
      <c r="H25" s="10"/>
      <c r="I25" s="10"/>
      <c r="J25" s="10"/>
      <c r="K25" s="10"/>
      <c r="L25" s="10"/>
      <c r="M25" s="10"/>
      <c r="N25" s="10"/>
      <c r="O25" s="10" t="str">
        <f aca="false">"SKUs: in stock vs out of stock (filters applied)"</f>
        <v>SKUs: in stock vs out of stock (filters applied)</v>
      </c>
      <c r="P25" s="10"/>
      <c r="Q25" s="10"/>
      <c r="R25" s="10"/>
      <c r="S25" s="10"/>
      <c r="T25" s="10"/>
      <c r="U25" s="10"/>
      <c r="V25" s="10"/>
      <c r="W25" s="10"/>
    </row>
    <row r="26" customFormat="false" ht="15" hidden="false" customHeight="false" outlineLevel="0" collapsed="false">
      <c r="B26" s="12" t="str">
        <f aca="false">IF(ZP_Engine!C50="","",ZP_Engine!C50)</f>
        <v>Ice Cream &amp; Desserts</v>
      </c>
      <c r="C26" s="13" t="n">
        <f aca="false">IF(ZP_Engine!C50="","",ZP_Engine!D50)</f>
        <v>224385</v>
      </c>
      <c r="D26" s="14" t="n">
        <f aca="false">IF(ZP_Engine!E50="","",ZP_Engine!E50)</f>
        <v>0.100034301041166</v>
      </c>
    </row>
    <row r="27" customFormat="false" ht="15" hidden="false" customHeight="false" outlineLevel="0" collapsed="false">
      <c r="B27" s="12" t="str">
        <f aca="false">IF(ZP_Engine!C51="","",ZP_Engine!C51)</f>
        <v>Packaged Food</v>
      </c>
      <c r="C27" s="13" t="n">
        <f aca="false">IF(ZP_Engine!C51="","",ZP_Engine!D51)</f>
        <v>224385</v>
      </c>
      <c r="D27" s="14" t="n">
        <f aca="false">IF(ZP_Engine!E51="","",ZP_Engine!E51)</f>
        <v>0.100034301041166</v>
      </c>
    </row>
    <row r="28" customFormat="false" ht="15" hidden="false" customHeight="false" outlineLevel="0" collapsed="false">
      <c r="B28" s="12" t="str">
        <f aca="false">IF(ZP_Engine!C52="","",ZP_Engine!C52)</f>
        <v>Home &amp; Cleaning</v>
      </c>
      <c r="C28" s="13" t="n">
        <f aca="false">IF(ZP_Engine!C52="","",ZP_Engine!D52)</f>
        <v>122661</v>
      </c>
      <c r="D28" s="14" t="n">
        <f aca="false">IF(ZP_Engine!E52="","",ZP_Engine!E52)</f>
        <v>0.0546841696192281</v>
      </c>
    </row>
    <row r="29" customFormat="false" ht="15" hidden="false" customHeight="false" outlineLevel="0" collapsed="false">
      <c r="B29" s="12" t="str">
        <f aca="false">IF(ZP_Engine!C53="","",ZP_Engine!C53)</f>
        <v>Health &amp; Hygiene</v>
      </c>
      <c r="C29" s="13" t="n">
        <f aca="false">IF(ZP_Engine!C53="","",ZP_Engine!D53)</f>
        <v>64180</v>
      </c>
      <c r="D29" s="14" t="n">
        <f aca="false">IF(ZP_Engine!E53="","",ZP_Engine!E53)</f>
        <v>0.028612435950808</v>
      </c>
    </row>
    <row r="30" customFormat="false" ht="15" hidden="false" customHeight="false" outlineLevel="0" collapsed="false">
      <c r="B30" s="12" t="str">
        <f aca="false">IF(ZP_Engine!C54="","",ZP_Engine!C54)</f>
        <v>Beverages</v>
      </c>
      <c r="C30" s="13" t="n">
        <f aca="false">IF(ZP_Engine!C54="","",ZP_Engine!D54)</f>
        <v>55051</v>
      </c>
      <c r="D30" s="14" t="n">
        <f aca="false">IF(ZP_Engine!E54="","",ZP_Engine!E54)</f>
        <v>0.0245425866551563</v>
      </c>
    </row>
    <row r="31" customFormat="false" ht="15" hidden="false" customHeight="false" outlineLevel="0" collapsed="false">
      <c r="B31" s="12" t="str">
        <f aca="false">IF(ZP_Engine!C55="","",ZP_Engine!C55)</f>
        <v>Dairy, Bread &amp; Batter</v>
      </c>
      <c r="C31" s="13" t="n">
        <f aca="false">IF(ZP_Engine!C55="","",ZP_Engine!D55)</f>
        <v>55051</v>
      </c>
      <c r="D31" s="14" t="n">
        <f aca="false">IF(ZP_Engine!E55="","",ZP_Engine!E55)</f>
        <v>0.0245425866551563</v>
      </c>
    </row>
    <row r="32" customFormat="false" ht="15" hidden="false" customHeight="false" outlineLevel="0" collapsed="false">
      <c r="B32" s="12" t="str">
        <f aca="false">IF(ZP_Engine!C56="","",ZP_Engine!C56)</f>
        <v>Biscuits</v>
      </c>
      <c r="C32" s="13" t="n">
        <f aca="false">IF(ZP_Engine!C56="","",ZP_Engine!D56)</f>
        <v>25007.6</v>
      </c>
      <c r="D32" s="14" t="n">
        <f aca="false">IF(ZP_Engine!E56="","",ZP_Engine!E56)</f>
        <v>0.0111487745915149</v>
      </c>
    </row>
    <row r="34" customFormat="false" ht="15" hidden="false" customHeight="false" outlineLevel="0" collapsed="false">
      <c r="B34" s="5" t="s">
        <v>29</v>
      </c>
    </row>
    <row r="35" customFormat="false" ht="15" hidden="false" customHeight="false" outlineLevel="0" collapsed="false">
      <c r="B35" s="15" t="s">
        <v>30</v>
      </c>
    </row>
    <row r="36" customFormat="false" ht="15" hidden="false" customHeight="false" outlineLevel="0" collapsed="false">
      <c r="B36" s="15" t="s">
        <v>31</v>
      </c>
    </row>
    <row r="37" customFormat="false" ht="15" hidden="false" customHeight="false" outlineLevel="0" collapsed="false">
      <c r="B37" s="15" t="s">
        <v>32</v>
      </c>
    </row>
    <row r="38" customFormat="false" ht="15" hidden="false" customHeight="false" outlineLevel="0" collapsed="false">
      <c r="B38" s="15" t="s">
        <v>33</v>
      </c>
    </row>
    <row r="39" customFormat="false" ht="15" hidden="false" customHeight="false" outlineLevel="0" collapsed="false">
      <c r="B39" s="15" t="s">
        <v>34</v>
      </c>
    </row>
    <row r="40" customFormat="false" ht="15" hidden="false" customHeight="false" outlineLevel="0" collapsed="false">
      <c r="B40" s="15" t="s">
        <v>35</v>
      </c>
    </row>
  </sheetData>
  <mergeCells count="15">
    <mergeCell ref="B4:D4"/>
    <mergeCell ref="F4:H4"/>
    <mergeCell ref="I4:K4"/>
    <mergeCell ref="L4:N4"/>
    <mergeCell ref="O4:Q4"/>
    <mergeCell ref="F5:H5"/>
    <mergeCell ref="I5:K5"/>
    <mergeCell ref="L5:N5"/>
    <mergeCell ref="O5:Q5"/>
    <mergeCell ref="F7:N7"/>
    <mergeCell ref="O7:W7"/>
    <mergeCell ref="B11:D11"/>
    <mergeCell ref="B19:D19"/>
    <mergeCell ref="F25:N25"/>
    <mergeCell ref="O25:W25"/>
  </mergeCells>
  <conditionalFormatting sqref="C21:C32">
    <cfRule type="dataBar" priority="2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{46E6CA36-FFD1-4D3D-954A-FAB5A4CE50D8}</x14:id>
        </ext>
      </extLst>
    </cfRule>
  </conditionalFormatting>
  <dataValidations count="10">
    <dataValidation allowBlank="false" error="Please choose a value from the dropdown." errorStyle="stop" errorTitle="Pick from the list" operator="between" showDropDown="false" showErrorMessage="true" showInputMessage="false" sqref="C5" type="list">
      <formula1>ZP_Lists!$A$2:$A$7</formula1>
      <formula2>0</formula2>
    </dataValidation>
    <dataValidation allowBlank="false" error="Please choose a value from the dropdown." errorStyle="stop" errorTitle="Pick from the list" operator="between" showDropDown="false" showErrorMessage="true" showInputMessage="false" sqref="C6" type="list">
      <formula1>ZP_Lists!$D$2:$D$8</formula1>
      <formula2>0</formula2>
    </dataValidation>
    <dataValidation allowBlank="false" error="Please choose a value from the dropdown." errorStyle="stop" errorTitle="Pick from the list" operator="between" showDropDown="false" showErrorMessage="true" showInputMessage="false" sqref="C7" type="list">
      <formula1>ZP_Lists!$G$2:$G$4</formula1>
      <formula2>0</formula2>
    </dataValidation>
    <dataValidation allowBlank="false" error="Please choose a value from the dropdown." errorStyle="stop" errorTitle="Pick from the list" operator="between" showDropDown="false" showErrorMessage="true" showInputMessage="false" sqref="C8" type="list">
      <formula1>ZP_Lists!$J$2:$J$6</formula1>
      <formula2>0</formula2>
    </dataValidation>
    <dataValidation allowBlank="false" error="Please choose a value from the dropdown." errorStyle="stop" errorTitle="Pick from the list" operator="between" showDropDown="false" showErrorMessage="true" showInputMessage="false" sqref="C9" type="list">
      <formula1>ZP_Lists!$H$2:$H$4</formula1>
      <formula2>0</formula2>
    </dataValidation>
    <dataValidation allowBlank="false" error="Please choose a value from the dropdown." errorStyle="stop" errorTitle="Pick from the list" operator="between" showDropDown="false" showErrorMessage="true" showInputMessage="false" sqref="C10" type="list">
      <formula1>ZP_Lists!$I$2:$I$5</formula1>
      <formula2>0</formula2>
    </dataValidation>
    <dataValidation allowBlank="false" errorStyle="stop" operator="between" showDropDown="false" showErrorMessage="true" showInputMessage="false" sqref="C12" type="list">
      <formula1>ZP_Lists!$S$2:$S$16</formula1>
      <formula2>0</formula2>
    </dataValidation>
    <dataValidation allowBlank="false" errorStyle="stop" operator="between" showDropDown="false" showErrorMessage="true" showInputMessage="false" sqref="C13" type="list">
      <formula1>ZP_Lists!$T$2:$T$4</formula1>
      <formula2>0</formula2>
    </dataValidation>
    <dataValidation allowBlank="false" errorStyle="stop" operator="between" showDropDown="false" showErrorMessage="true" showInputMessage="false" sqref="C14" type="list">
      <formula1>ZP_Lists!$U$2:$U$5</formula1>
      <formula2>0</formula2>
    </dataValidation>
    <dataValidation allowBlank="false" errorStyle="stop" operator="between" showDropDown="false" showErrorMessage="true" showInputMessage="false" sqref="C15" type="list">
      <formula1>ZP_Lists!$V$2:$V$7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E6CA36-FFD1-4D3D-954A-FAB5A4CE50D8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C21:C32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6"/>
  </cols>
  <sheetData>
    <row r="1" customFormat="false" ht="15" hidden="false" customHeight="false" outlineLevel="0" collapsed="false">
      <c r="A1" s="5" t="s">
        <v>36</v>
      </c>
    </row>
    <row r="2" customFormat="false" ht="15" hidden="false" customHeight="false" outlineLevel="0" collapsed="false">
      <c r="A2" s="16" t="s">
        <v>37</v>
      </c>
      <c r="B2" s="16" t="n">
        <f aca="false">MATCH('Zepto Dashboard'!$C$5,ZP_Lists!$A$2:$A$7,0)</f>
        <v>1</v>
      </c>
    </row>
    <row r="3" customFormat="false" ht="15" hidden="false" customHeight="false" outlineLevel="0" collapsed="false">
      <c r="A3" s="16" t="s">
        <v>38</v>
      </c>
      <c r="B3" s="16" t="n">
        <f aca="false">INDEX(ZP_Lists!$B$2:$B$7,B2)</f>
        <v>1</v>
      </c>
    </row>
    <row r="4" customFormat="false" ht="15" hidden="false" customHeight="false" outlineLevel="0" collapsed="false">
      <c r="A4" s="16" t="s">
        <v>39</v>
      </c>
      <c r="B4" s="16" t="n">
        <f aca="false">MATCH('Zepto Dashboard'!$C$6,ZP_Lists!$D$2:$D$8,0)</f>
        <v>1</v>
      </c>
    </row>
    <row r="5" customFormat="false" ht="15" hidden="false" customHeight="false" outlineLevel="0" collapsed="false">
      <c r="A5" s="16" t="s">
        <v>40</v>
      </c>
      <c r="B5" s="16" t="n">
        <f aca="false">INDEX(ZP_Lists!$E$2:$E$8,B4)</f>
        <v>10</v>
      </c>
    </row>
    <row r="6" customFormat="false" ht="15" hidden="false" customHeight="false" outlineLevel="0" collapsed="false">
      <c r="A6" s="16" t="s">
        <v>41</v>
      </c>
      <c r="B6" s="16" t="str">
        <f aca="false">'Zepto Dashboard'!$C$7</f>
        <v>Sum</v>
      </c>
    </row>
    <row r="7" customFormat="false" ht="15" hidden="false" customHeight="false" outlineLevel="0" collapsed="false">
      <c r="A7" s="16" t="s">
        <v>42</v>
      </c>
      <c r="B7" s="16" t="n">
        <f aca="false">IF('Zepto Dashboard'!$C$8="None",0,MATCH('Zepto Dashboard'!$C$8,ZP_Lists!$A$2:$A$7,0))</f>
        <v>0</v>
      </c>
    </row>
    <row r="8" customFormat="false" ht="15" hidden="false" customHeight="false" outlineLevel="0" collapsed="false">
      <c r="A8" s="16" t="s">
        <v>43</v>
      </c>
      <c r="B8" s="16" t="n">
        <f aca="false">IF(B7=0,1,INDEX(ZP_Lists!$B$2:$B$7,B7))</f>
        <v>1</v>
      </c>
    </row>
    <row r="9" customFormat="false" ht="15" hidden="false" customHeight="false" outlineLevel="0" collapsed="false">
      <c r="A9" s="16" t="s">
        <v>44</v>
      </c>
      <c r="B9" s="16" t="n">
        <f aca="false">'Zepto Dashboard'!$C$10</f>
        <v>12</v>
      </c>
    </row>
    <row r="10" customFormat="false" ht="15" hidden="false" customHeight="false" outlineLevel="0" collapsed="false">
      <c r="A10" s="16" t="s">
        <v>45</v>
      </c>
      <c r="B10" s="16" t="str">
        <f aca="false">'Zepto Dashboard'!$C$9</f>
        <v>Value: high to low</v>
      </c>
    </row>
    <row r="11" customFormat="false" ht="15" hidden="false" customHeight="false" outlineLevel="0" collapsed="false">
      <c r="A11" s="16" t="s">
        <v>46</v>
      </c>
      <c r="B11" s="16" t="str">
        <f aca="false">IF('Zepto Dashboard'!$C$12="All","*",'Zepto Dashboard'!$C$12)</f>
        <v>*</v>
      </c>
    </row>
    <row r="12" customFormat="false" ht="15" hidden="false" customHeight="false" outlineLevel="0" collapsed="false">
      <c r="A12" s="16" t="s">
        <v>47</v>
      </c>
      <c r="B12" s="16" t="str">
        <f aca="false">IF('Zepto Dashboard'!$C$13="All","*",'Zepto Dashboard'!$C$13)</f>
        <v>*</v>
      </c>
    </row>
    <row r="13" customFormat="false" ht="15" hidden="false" customHeight="false" outlineLevel="0" collapsed="false">
      <c r="A13" s="16" t="s">
        <v>48</v>
      </c>
      <c r="B13" s="16" t="str">
        <f aca="false">IF('Zepto Dashboard'!$C$14="All","*",'Zepto Dashboard'!$C$14)</f>
        <v>*</v>
      </c>
    </row>
    <row r="14" customFormat="false" ht="15" hidden="false" customHeight="false" outlineLevel="0" collapsed="false">
      <c r="A14" s="16" t="s">
        <v>49</v>
      </c>
      <c r="B14" s="16" t="str">
        <f aca="false">IF('Zepto Dashboard'!$C$15="All","*",'Zepto Dashboard'!$C$15)</f>
        <v>*</v>
      </c>
    </row>
    <row r="18" customFormat="false" ht="15" hidden="false" customHeight="false" outlineLevel="0" collapsed="false">
      <c r="A18" s="16" t="s">
        <v>50</v>
      </c>
      <c r="F18" s="16" t="str">
        <f aca="false">IF($B$7=0,"*",IF(INDEX(ZP_Lists!$L$2:$Q$21,1,$B$7)="","",INDEX(ZP_Lists!$L$2:$Q$21,1,$B$7)))</f>
        <v>*</v>
      </c>
      <c r="G18" s="16" t="str">
        <f aca="false">IF($B$7=0,"",IF(INDEX(ZP_Lists!$L$2:$Q$21,2,$B$7)="","",INDEX(ZP_Lists!$L$2:$Q$21,2,$B$7)))</f>
        <v/>
      </c>
      <c r="H18" s="16" t="str">
        <f aca="false">IF($B$7=0,"",IF(INDEX(ZP_Lists!$L$2:$Q$21,3,$B$7)="","",INDEX(ZP_Lists!$L$2:$Q$21,3,$B$7)))</f>
        <v/>
      </c>
      <c r="I18" s="16" t="str">
        <f aca="false">IF($B$7=0,"",IF(INDEX(ZP_Lists!$L$2:$Q$21,4,$B$7)="","",INDEX(ZP_Lists!$L$2:$Q$21,4,$B$7)))</f>
        <v/>
      </c>
      <c r="J18" s="16" t="str">
        <f aca="false">IF($B$7=0,"",IF(INDEX(ZP_Lists!$L$2:$Q$21,5,$B$7)="","",INDEX(ZP_Lists!$L$2:$Q$21,5,$B$7)))</f>
        <v/>
      </c>
    </row>
    <row r="19" customFormat="false" ht="15" hidden="false" customHeight="false" outlineLevel="0" collapsed="false">
      <c r="A19" s="16" t="s">
        <v>51</v>
      </c>
      <c r="B19" s="16" t="s">
        <v>52</v>
      </c>
      <c r="C19" s="16" t="s">
        <v>53</v>
      </c>
      <c r="D19" s="16" t="s">
        <v>54</v>
      </c>
      <c r="F19" s="16" t="str">
        <f aca="false">IF(F18="*","All",F18)</f>
        <v>All</v>
      </c>
      <c r="G19" s="16" t="str">
        <f aca="false">IF(G18="*","All",G18)</f>
        <v/>
      </c>
      <c r="H19" s="16" t="str">
        <f aca="false">IF(H18="*","All",H18)</f>
        <v/>
      </c>
      <c r="I19" s="16" t="str">
        <f aca="false">IF(I18="*","All",I18)</f>
        <v/>
      </c>
      <c r="J19" s="16" t="str">
        <f aca="false">IF(J18="*","All",J18)</f>
        <v/>
      </c>
    </row>
    <row r="20" customFormat="false" ht="15" hidden="false" customHeight="false" outlineLevel="0" collapsed="false">
      <c r="A20" s="16" t="n">
        <v>1</v>
      </c>
      <c r="B20" s="16" t="str">
        <f aca="false">IF(INDEX(ZP_Lists!$L$2:$Q$21,A20,$B$2)="","",INDEX(ZP_Lists!$L$2:$Q$21,A20,$B$2))</f>
        <v>Beverages</v>
      </c>
      <c r="C20" s="16" t="n">
        <f aca="false">IF(B20="","",IF($B$6="Count",COUNTIFS(INDEX(ZPD,0,$B$3),B20,Zepto_Data!$A$2:$A$3732,$B$11,Zepto_Data!$L$2:$L$3732,$B$12,Zepto_Data!$K$2:$K$3732,$B$13,Zepto_Data!$M$2:$M$3732,$B$14),IF($B$6="Sum",SUMIFS(INDEX(ZPD,0,$B$5),INDEX(ZPD,0,$B$3),B20,Zepto_Data!$A$2:$A$3732,$B$11,Zepto_Data!$L$2:$L$3732,$B$12,Zepto_Data!$K$2:$K$3732,$B$13,Zepto_Data!$M$2:$M$3732,$B$14),IFERROR(SUMIFS(INDEX(ZPD,0,$B$5),INDEX(ZPD,0,$B$3),B20,Zepto_Data!$A$2:$A$3732,$B$11,Zepto_Data!$L$2:$L$3732,$B$12,Zepto_Data!$K$2:$K$3732,$B$13,Zepto_Data!$M$2:$M$3732,$B$14)/COUNTIFS(INDEX(ZPD,0,$B$3),B20,Zepto_Data!$A$2:$A$3732,$B$11,Zepto_Data!$L$2:$L$3732,$B$12,Zepto_Data!$K$2:$K$3732,$B$13,Zepto_Data!$M$2:$M$3732,$B$14),0))))</f>
        <v>55051</v>
      </c>
      <c r="D20" s="16" t="n">
        <f aca="false">IF(B20="","",IF($B$10="Natural order",A20,IF($B$10="Value: high to low",SUMPRODUCT(($B$20:$B$39&lt;&gt;"")*($C$20:$C$39&gt;C20))+SUMPRODUCT(($B$20:B20&lt;&gt;"")*($C$20:C20=C20)),SUMPRODUCT(($B$20:$B$39&lt;&gt;"")*($C$20:$C$39&lt;C20))+SUMPRODUCT(($B$20:B20&lt;&gt;"")*($C$20:C20=C20)))))</f>
        <v>10</v>
      </c>
      <c r="F20" s="16" t="n">
        <f aca="false">IF(OR($B20="",F$18=""),"",IF($B$6="Count",COUNTIFS(INDEX(ZPD,0,$B$3),$B20,INDEX(ZPD,0,$B$8),F$18,Zepto_Data!$A$2:$A$3732,$B$11,Zepto_Data!$L$2:$L$3732,$B$12,Zepto_Data!$K$2:$K$3732,$B$13,Zepto_Data!$M$2:$M$3732,$B$14),IF($B$6="Sum",SUMIFS(INDEX(ZPD,0,$B$5),INDEX(ZPD,0,$B$3),$B20,INDEX(ZPD,0,$B$8),F$18,Zepto_Data!$A$2:$A$3732,$B$11,Zepto_Data!$L$2:$L$3732,$B$12,Zepto_Data!$K$2:$K$3732,$B$13,Zepto_Data!$M$2:$M$3732,$B$14),IFERROR(SUMIFS(INDEX(ZPD,0,$B$5),INDEX(ZPD,0,$B$3),$B20,INDEX(ZPD,0,$B$8),F$18,Zepto_Data!$A$2:$A$3732,$B$11,Zepto_Data!$L$2:$L$3732,$B$12,Zepto_Data!$K$2:$K$3732,$B$13,Zepto_Data!$M$2:$M$3732,$B$14)/COUNTIFS(INDEX(ZPD,0,$B$3),$B20,INDEX(ZPD,0,$B$8),F$18,Zepto_Data!$A$2:$A$3732,$B$11,Zepto_Data!$L$2:$L$3732,$B$12,Zepto_Data!$K$2:$K$3732,$B$13,Zepto_Data!$M$2:$M$3732,$B$14),0))))</f>
        <v>55051</v>
      </c>
      <c r="G20" s="16" t="str">
        <f aca="false">IF(OR($B20="",G$18=""),"",IF($B$6="Count",COUNTIFS(INDEX(ZPD,0,$B$3),$B20,INDEX(ZPD,0,$B$8),G$18,Zepto_Data!$A$2:$A$3732,$B$11,Zepto_Data!$L$2:$L$3732,$B$12,Zepto_Data!$K$2:$K$3732,$B$13,Zepto_Data!$M$2:$M$3732,$B$14),IF($B$6="Sum",SUMIFS(INDEX(ZPD,0,$B$5),INDEX(ZPD,0,$B$3),$B20,INDEX(ZPD,0,$B$8),G$18,Zepto_Data!$A$2:$A$3732,$B$11,Zepto_Data!$L$2:$L$3732,$B$12,Zepto_Data!$K$2:$K$3732,$B$13,Zepto_Data!$M$2:$M$3732,$B$14),IFERROR(SUMIFS(INDEX(ZPD,0,$B$5),INDEX(ZPD,0,$B$3),$B20,INDEX(ZPD,0,$B$8),G$18,Zepto_Data!$A$2:$A$3732,$B$11,Zepto_Data!$L$2:$L$3732,$B$12,Zepto_Data!$K$2:$K$3732,$B$13,Zepto_Data!$M$2:$M$3732,$B$14)/COUNTIFS(INDEX(ZPD,0,$B$3),$B20,INDEX(ZPD,0,$B$8),G$18,Zepto_Data!$A$2:$A$3732,$B$11,Zepto_Data!$L$2:$L$3732,$B$12,Zepto_Data!$K$2:$K$3732,$B$13,Zepto_Data!$M$2:$M$3732,$B$14),0))))</f>
        <v/>
      </c>
      <c r="H20" s="16" t="str">
        <f aca="false">IF(OR($B20="",H$18=""),"",IF($B$6="Count",COUNTIFS(INDEX(ZPD,0,$B$3),$B20,INDEX(ZPD,0,$B$8),H$18,Zepto_Data!$A$2:$A$3732,$B$11,Zepto_Data!$L$2:$L$3732,$B$12,Zepto_Data!$K$2:$K$3732,$B$13,Zepto_Data!$M$2:$M$3732,$B$14),IF($B$6="Sum",SUMIFS(INDEX(ZPD,0,$B$5),INDEX(ZPD,0,$B$3),$B20,INDEX(ZPD,0,$B$8),H$18,Zepto_Data!$A$2:$A$3732,$B$11,Zepto_Data!$L$2:$L$3732,$B$12,Zepto_Data!$K$2:$K$3732,$B$13,Zepto_Data!$M$2:$M$3732,$B$14),IFERROR(SUMIFS(INDEX(ZPD,0,$B$5),INDEX(ZPD,0,$B$3),$B20,INDEX(ZPD,0,$B$8),H$18,Zepto_Data!$A$2:$A$3732,$B$11,Zepto_Data!$L$2:$L$3732,$B$12,Zepto_Data!$K$2:$K$3732,$B$13,Zepto_Data!$M$2:$M$3732,$B$14)/COUNTIFS(INDEX(ZPD,0,$B$3),$B20,INDEX(ZPD,0,$B$8),H$18,Zepto_Data!$A$2:$A$3732,$B$11,Zepto_Data!$L$2:$L$3732,$B$12,Zepto_Data!$K$2:$K$3732,$B$13,Zepto_Data!$M$2:$M$3732,$B$14),0))))</f>
        <v/>
      </c>
      <c r="I20" s="16" t="str">
        <f aca="false">IF(OR($B20="",I$18=""),"",IF($B$6="Count",COUNTIFS(INDEX(ZPD,0,$B$3),$B20,INDEX(ZPD,0,$B$8),I$18,Zepto_Data!$A$2:$A$3732,$B$11,Zepto_Data!$L$2:$L$3732,$B$12,Zepto_Data!$K$2:$K$3732,$B$13,Zepto_Data!$M$2:$M$3732,$B$14),IF($B$6="Sum",SUMIFS(INDEX(ZPD,0,$B$5),INDEX(ZPD,0,$B$3),$B20,INDEX(ZPD,0,$B$8),I$18,Zepto_Data!$A$2:$A$3732,$B$11,Zepto_Data!$L$2:$L$3732,$B$12,Zepto_Data!$K$2:$K$3732,$B$13,Zepto_Data!$M$2:$M$3732,$B$14),IFERROR(SUMIFS(INDEX(ZPD,0,$B$5),INDEX(ZPD,0,$B$3),$B20,INDEX(ZPD,0,$B$8),I$18,Zepto_Data!$A$2:$A$3732,$B$11,Zepto_Data!$L$2:$L$3732,$B$12,Zepto_Data!$K$2:$K$3732,$B$13,Zepto_Data!$M$2:$M$3732,$B$14)/COUNTIFS(INDEX(ZPD,0,$B$3),$B20,INDEX(ZPD,0,$B$8),I$18,Zepto_Data!$A$2:$A$3732,$B$11,Zepto_Data!$L$2:$L$3732,$B$12,Zepto_Data!$K$2:$K$3732,$B$13,Zepto_Data!$M$2:$M$3732,$B$14),0))))</f>
        <v/>
      </c>
      <c r="J20" s="16" t="str">
        <f aca="false">IF(OR($B20="",J$18=""),"",IF($B$6="Count",COUNTIFS(INDEX(ZPD,0,$B$3),$B20,INDEX(ZPD,0,$B$8),J$18,Zepto_Data!$A$2:$A$3732,$B$11,Zepto_Data!$L$2:$L$3732,$B$12,Zepto_Data!$K$2:$K$3732,$B$13,Zepto_Data!$M$2:$M$3732,$B$14),IF($B$6="Sum",SUMIFS(INDEX(ZPD,0,$B$5),INDEX(ZPD,0,$B$3),$B20,INDEX(ZPD,0,$B$8),J$18,Zepto_Data!$A$2:$A$3732,$B$11,Zepto_Data!$L$2:$L$3732,$B$12,Zepto_Data!$K$2:$K$3732,$B$13,Zepto_Data!$M$2:$M$3732,$B$14),IFERROR(SUMIFS(INDEX(ZPD,0,$B$5),INDEX(ZPD,0,$B$3),$B20,INDEX(ZPD,0,$B$8),J$18,Zepto_Data!$A$2:$A$3732,$B$11,Zepto_Data!$L$2:$L$3732,$B$12,Zepto_Data!$K$2:$K$3732,$B$13,Zepto_Data!$M$2:$M$3732,$B$14)/COUNTIFS(INDEX(ZPD,0,$B$3),$B20,INDEX(ZPD,0,$B$8),J$18,Zepto_Data!$A$2:$A$3732,$B$11,Zepto_Data!$L$2:$L$3732,$B$12,Zepto_Data!$K$2:$K$3732,$B$13,Zepto_Data!$M$2:$M$3732,$B$14),0))))</f>
        <v/>
      </c>
    </row>
    <row r="21" customFormat="false" ht="15" hidden="false" customHeight="false" outlineLevel="0" collapsed="false">
      <c r="A21" s="16" t="n">
        <v>2</v>
      </c>
      <c r="B21" s="16" t="str">
        <f aca="false">IF(INDEX(ZP_Lists!$L$2:$Q$21,A21,$B$2)="","",INDEX(ZP_Lists!$L$2:$Q$21,A21,$B$2))</f>
        <v>Biscuits</v>
      </c>
      <c r="C21" s="16" t="n">
        <f aca="false">IF(B21="","",IF($B$6="Count",COUNTIFS(INDEX(ZPD,0,$B$3),B21,Zepto_Data!$A$2:$A$3732,$B$11,Zepto_Data!$L$2:$L$3732,$B$12,Zepto_Data!$K$2:$K$3732,$B$13,Zepto_Data!$M$2:$M$3732,$B$14),IF($B$6="Sum",SUMIFS(INDEX(ZPD,0,$B$5),INDEX(ZPD,0,$B$3),B21,Zepto_Data!$A$2:$A$3732,$B$11,Zepto_Data!$L$2:$L$3732,$B$12,Zepto_Data!$K$2:$K$3732,$B$13,Zepto_Data!$M$2:$M$3732,$B$14),IFERROR(SUMIFS(INDEX(ZPD,0,$B$5),INDEX(ZPD,0,$B$3),B21,Zepto_Data!$A$2:$A$3732,$B$11,Zepto_Data!$L$2:$L$3732,$B$12,Zepto_Data!$K$2:$K$3732,$B$13,Zepto_Data!$M$2:$M$3732,$B$14)/COUNTIFS(INDEX(ZPD,0,$B$3),B21,Zepto_Data!$A$2:$A$3732,$B$11,Zepto_Data!$L$2:$L$3732,$B$12,Zepto_Data!$K$2:$K$3732,$B$13,Zepto_Data!$M$2:$M$3732,$B$14),0))))</f>
        <v>25007.6</v>
      </c>
      <c r="D21" s="16" t="n">
        <f aca="false">IF(B21="","",IF($B$10="Natural order",A21,IF($B$10="Value: high to low",SUMPRODUCT(($B$20:$B$39&lt;&gt;"")*($C$20:$C$39&gt;C21))+SUMPRODUCT(($B$20:B21&lt;&gt;"")*($C$20:C21=C21)),SUMPRODUCT(($B$20:$B$39&lt;&gt;"")*($C$20:$C$39&lt;C21))+SUMPRODUCT(($B$20:B21&lt;&gt;"")*($C$20:C21=C21)))))</f>
        <v>12</v>
      </c>
      <c r="F21" s="16" t="n">
        <f aca="false">IF(OR($B21="",F$18=""),"",IF($B$6="Count",COUNTIFS(INDEX(ZPD,0,$B$3),$B21,INDEX(ZPD,0,$B$8),F$18,Zepto_Data!$A$2:$A$3732,$B$11,Zepto_Data!$L$2:$L$3732,$B$12,Zepto_Data!$K$2:$K$3732,$B$13,Zepto_Data!$M$2:$M$3732,$B$14),IF($B$6="Sum",SUMIFS(INDEX(ZPD,0,$B$5),INDEX(ZPD,0,$B$3),$B21,INDEX(ZPD,0,$B$8),F$18,Zepto_Data!$A$2:$A$3732,$B$11,Zepto_Data!$L$2:$L$3732,$B$12,Zepto_Data!$K$2:$K$3732,$B$13,Zepto_Data!$M$2:$M$3732,$B$14),IFERROR(SUMIFS(INDEX(ZPD,0,$B$5),INDEX(ZPD,0,$B$3),$B21,INDEX(ZPD,0,$B$8),F$18,Zepto_Data!$A$2:$A$3732,$B$11,Zepto_Data!$L$2:$L$3732,$B$12,Zepto_Data!$K$2:$K$3732,$B$13,Zepto_Data!$M$2:$M$3732,$B$14)/COUNTIFS(INDEX(ZPD,0,$B$3),$B21,INDEX(ZPD,0,$B$8),F$18,Zepto_Data!$A$2:$A$3732,$B$11,Zepto_Data!$L$2:$L$3732,$B$12,Zepto_Data!$K$2:$K$3732,$B$13,Zepto_Data!$M$2:$M$3732,$B$14),0))))</f>
        <v>25007.6</v>
      </c>
      <c r="G21" s="16" t="str">
        <f aca="false">IF(OR($B21="",G$18=""),"",IF($B$6="Count",COUNTIFS(INDEX(ZPD,0,$B$3),$B21,INDEX(ZPD,0,$B$8),G$18,Zepto_Data!$A$2:$A$3732,$B$11,Zepto_Data!$L$2:$L$3732,$B$12,Zepto_Data!$K$2:$K$3732,$B$13,Zepto_Data!$M$2:$M$3732,$B$14),IF($B$6="Sum",SUMIFS(INDEX(ZPD,0,$B$5),INDEX(ZPD,0,$B$3),$B21,INDEX(ZPD,0,$B$8),G$18,Zepto_Data!$A$2:$A$3732,$B$11,Zepto_Data!$L$2:$L$3732,$B$12,Zepto_Data!$K$2:$K$3732,$B$13,Zepto_Data!$M$2:$M$3732,$B$14),IFERROR(SUMIFS(INDEX(ZPD,0,$B$5),INDEX(ZPD,0,$B$3),$B21,INDEX(ZPD,0,$B$8),G$18,Zepto_Data!$A$2:$A$3732,$B$11,Zepto_Data!$L$2:$L$3732,$B$12,Zepto_Data!$K$2:$K$3732,$B$13,Zepto_Data!$M$2:$M$3732,$B$14)/COUNTIFS(INDEX(ZPD,0,$B$3),$B21,INDEX(ZPD,0,$B$8),G$18,Zepto_Data!$A$2:$A$3732,$B$11,Zepto_Data!$L$2:$L$3732,$B$12,Zepto_Data!$K$2:$K$3732,$B$13,Zepto_Data!$M$2:$M$3732,$B$14),0))))</f>
        <v/>
      </c>
      <c r="H21" s="16" t="str">
        <f aca="false">IF(OR($B21="",H$18=""),"",IF($B$6="Count",COUNTIFS(INDEX(ZPD,0,$B$3),$B21,INDEX(ZPD,0,$B$8),H$18,Zepto_Data!$A$2:$A$3732,$B$11,Zepto_Data!$L$2:$L$3732,$B$12,Zepto_Data!$K$2:$K$3732,$B$13,Zepto_Data!$M$2:$M$3732,$B$14),IF($B$6="Sum",SUMIFS(INDEX(ZPD,0,$B$5),INDEX(ZPD,0,$B$3),$B21,INDEX(ZPD,0,$B$8),H$18,Zepto_Data!$A$2:$A$3732,$B$11,Zepto_Data!$L$2:$L$3732,$B$12,Zepto_Data!$K$2:$K$3732,$B$13,Zepto_Data!$M$2:$M$3732,$B$14),IFERROR(SUMIFS(INDEX(ZPD,0,$B$5),INDEX(ZPD,0,$B$3),$B21,INDEX(ZPD,0,$B$8),H$18,Zepto_Data!$A$2:$A$3732,$B$11,Zepto_Data!$L$2:$L$3732,$B$12,Zepto_Data!$K$2:$K$3732,$B$13,Zepto_Data!$M$2:$M$3732,$B$14)/COUNTIFS(INDEX(ZPD,0,$B$3),$B21,INDEX(ZPD,0,$B$8),H$18,Zepto_Data!$A$2:$A$3732,$B$11,Zepto_Data!$L$2:$L$3732,$B$12,Zepto_Data!$K$2:$K$3732,$B$13,Zepto_Data!$M$2:$M$3732,$B$14),0))))</f>
        <v/>
      </c>
      <c r="I21" s="16" t="str">
        <f aca="false">IF(OR($B21="",I$18=""),"",IF($B$6="Count",COUNTIFS(INDEX(ZPD,0,$B$3),$B21,INDEX(ZPD,0,$B$8),I$18,Zepto_Data!$A$2:$A$3732,$B$11,Zepto_Data!$L$2:$L$3732,$B$12,Zepto_Data!$K$2:$K$3732,$B$13,Zepto_Data!$M$2:$M$3732,$B$14),IF($B$6="Sum",SUMIFS(INDEX(ZPD,0,$B$5),INDEX(ZPD,0,$B$3),$B21,INDEX(ZPD,0,$B$8),I$18,Zepto_Data!$A$2:$A$3732,$B$11,Zepto_Data!$L$2:$L$3732,$B$12,Zepto_Data!$K$2:$K$3732,$B$13,Zepto_Data!$M$2:$M$3732,$B$14),IFERROR(SUMIFS(INDEX(ZPD,0,$B$5),INDEX(ZPD,0,$B$3),$B21,INDEX(ZPD,0,$B$8),I$18,Zepto_Data!$A$2:$A$3732,$B$11,Zepto_Data!$L$2:$L$3732,$B$12,Zepto_Data!$K$2:$K$3732,$B$13,Zepto_Data!$M$2:$M$3732,$B$14)/COUNTIFS(INDEX(ZPD,0,$B$3),$B21,INDEX(ZPD,0,$B$8),I$18,Zepto_Data!$A$2:$A$3732,$B$11,Zepto_Data!$L$2:$L$3732,$B$12,Zepto_Data!$K$2:$K$3732,$B$13,Zepto_Data!$M$2:$M$3732,$B$14),0))))</f>
        <v/>
      </c>
      <c r="J21" s="16" t="str">
        <f aca="false">IF(OR($B21="",J$18=""),"",IF($B$6="Count",COUNTIFS(INDEX(ZPD,0,$B$3),$B21,INDEX(ZPD,0,$B$8),J$18,Zepto_Data!$A$2:$A$3732,$B$11,Zepto_Data!$L$2:$L$3732,$B$12,Zepto_Data!$K$2:$K$3732,$B$13,Zepto_Data!$M$2:$M$3732,$B$14),IF($B$6="Sum",SUMIFS(INDEX(ZPD,0,$B$5),INDEX(ZPD,0,$B$3),$B21,INDEX(ZPD,0,$B$8),J$18,Zepto_Data!$A$2:$A$3732,$B$11,Zepto_Data!$L$2:$L$3732,$B$12,Zepto_Data!$K$2:$K$3732,$B$13,Zepto_Data!$M$2:$M$3732,$B$14),IFERROR(SUMIFS(INDEX(ZPD,0,$B$5),INDEX(ZPD,0,$B$3),$B21,INDEX(ZPD,0,$B$8),J$18,Zepto_Data!$A$2:$A$3732,$B$11,Zepto_Data!$L$2:$L$3732,$B$12,Zepto_Data!$K$2:$K$3732,$B$13,Zepto_Data!$M$2:$M$3732,$B$14)/COUNTIFS(INDEX(ZPD,0,$B$3),$B21,INDEX(ZPD,0,$B$8),J$18,Zepto_Data!$A$2:$A$3732,$B$11,Zepto_Data!$L$2:$L$3732,$B$12,Zepto_Data!$K$2:$K$3732,$B$13,Zepto_Data!$M$2:$M$3732,$B$14),0))))</f>
        <v/>
      </c>
    </row>
    <row r="22" customFormat="false" ht="15" hidden="false" customHeight="false" outlineLevel="0" collapsed="false">
      <c r="A22" s="16" t="n">
        <v>3</v>
      </c>
      <c r="B22" s="16" t="str">
        <f aca="false">IF(INDEX(ZP_Lists!$L$2:$Q$21,A22,$B$2)="","",INDEX(ZP_Lists!$L$2:$Q$21,A22,$B$2))</f>
        <v>Chocolates &amp; Candies</v>
      </c>
      <c r="C22" s="16" t="n">
        <f aca="false">IF(B22="","",IF($B$6="Count",COUNTIFS(INDEX(ZPD,0,$B$3),B22,Zepto_Data!$A$2:$A$3732,$B$11,Zepto_Data!$L$2:$L$3732,$B$12,Zepto_Data!$K$2:$K$3732,$B$13,Zepto_Data!$M$2:$M$3732,$B$14),IF($B$6="Sum",SUMIFS(INDEX(ZPD,0,$B$5),INDEX(ZPD,0,$B$3),B22,Zepto_Data!$A$2:$A$3732,$B$11,Zepto_Data!$L$2:$L$3732,$B$12,Zepto_Data!$K$2:$K$3732,$B$13,Zepto_Data!$M$2:$M$3732,$B$14),IFERROR(SUMIFS(INDEX(ZPD,0,$B$5),INDEX(ZPD,0,$B$3),B22,Zepto_Data!$A$2:$A$3732,$B$11,Zepto_Data!$L$2:$L$3732,$B$12,Zepto_Data!$K$2:$K$3732,$B$13,Zepto_Data!$M$2:$M$3732,$B$14)/COUNTIFS(INDEX(ZPD,0,$B$3),B22,Zepto_Data!$A$2:$A$3732,$B$11,Zepto_Data!$L$2:$L$3732,$B$12,Zepto_Data!$K$2:$K$3732,$B$13,Zepto_Data!$M$2:$M$3732,$B$14),0))))</f>
        <v>224385</v>
      </c>
      <c r="D22" s="16" t="n">
        <f aca="false">IF(B22="","",IF($B$10="Natural order",A22,IF($B$10="Value: high to low",SUMPRODUCT(($B$20:$B$39&lt;&gt;"")*($C$20:$C$39&gt;C22))+SUMPRODUCT(($B$20:B22&lt;&gt;"")*($C$20:C22=C22)),SUMPRODUCT(($B$20:$B$39&lt;&gt;"")*($C$20:$C$39&lt;C22))+SUMPRODUCT(($B$20:B22&lt;&gt;"")*($C$20:C22=C22)))))</f>
        <v>5</v>
      </c>
      <c r="F22" s="16" t="n">
        <f aca="false">IF(OR($B22="",F$18=""),"",IF($B$6="Count",COUNTIFS(INDEX(ZPD,0,$B$3),$B22,INDEX(ZPD,0,$B$8),F$18,Zepto_Data!$A$2:$A$3732,$B$11,Zepto_Data!$L$2:$L$3732,$B$12,Zepto_Data!$K$2:$K$3732,$B$13,Zepto_Data!$M$2:$M$3732,$B$14),IF($B$6="Sum",SUMIFS(INDEX(ZPD,0,$B$5),INDEX(ZPD,0,$B$3),$B22,INDEX(ZPD,0,$B$8),F$18,Zepto_Data!$A$2:$A$3732,$B$11,Zepto_Data!$L$2:$L$3732,$B$12,Zepto_Data!$K$2:$K$3732,$B$13,Zepto_Data!$M$2:$M$3732,$B$14),IFERROR(SUMIFS(INDEX(ZPD,0,$B$5),INDEX(ZPD,0,$B$3),$B22,INDEX(ZPD,0,$B$8),F$18,Zepto_Data!$A$2:$A$3732,$B$11,Zepto_Data!$L$2:$L$3732,$B$12,Zepto_Data!$K$2:$K$3732,$B$13,Zepto_Data!$M$2:$M$3732,$B$14)/COUNTIFS(INDEX(ZPD,0,$B$3),$B22,INDEX(ZPD,0,$B$8),F$18,Zepto_Data!$A$2:$A$3732,$B$11,Zepto_Data!$L$2:$L$3732,$B$12,Zepto_Data!$K$2:$K$3732,$B$13,Zepto_Data!$M$2:$M$3732,$B$14),0))))</f>
        <v>224385</v>
      </c>
      <c r="G22" s="16" t="str">
        <f aca="false">IF(OR($B22="",G$18=""),"",IF($B$6="Count",COUNTIFS(INDEX(ZPD,0,$B$3),$B22,INDEX(ZPD,0,$B$8),G$18,Zepto_Data!$A$2:$A$3732,$B$11,Zepto_Data!$L$2:$L$3732,$B$12,Zepto_Data!$K$2:$K$3732,$B$13,Zepto_Data!$M$2:$M$3732,$B$14),IF($B$6="Sum",SUMIFS(INDEX(ZPD,0,$B$5),INDEX(ZPD,0,$B$3),$B22,INDEX(ZPD,0,$B$8),G$18,Zepto_Data!$A$2:$A$3732,$B$11,Zepto_Data!$L$2:$L$3732,$B$12,Zepto_Data!$K$2:$K$3732,$B$13,Zepto_Data!$M$2:$M$3732,$B$14),IFERROR(SUMIFS(INDEX(ZPD,0,$B$5),INDEX(ZPD,0,$B$3),$B22,INDEX(ZPD,0,$B$8),G$18,Zepto_Data!$A$2:$A$3732,$B$11,Zepto_Data!$L$2:$L$3732,$B$12,Zepto_Data!$K$2:$K$3732,$B$13,Zepto_Data!$M$2:$M$3732,$B$14)/COUNTIFS(INDEX(ZPD,0,$B$3),$B22,INDEX(ZPD,0,$B$8),G$18,Zepto_Data!$A$2:$A$3732,$B$11,Zepto_Data!$L$2:$L$3732,$B$12,Zepto_Data!$K$2:$K$3732,$B$13,Zepto_Data!$M$2:$M$3732,$B$14),0))))</f>
        <v/>
      </c>
      <c r="H22" s="16" t="str">
        <f aca="false">IF(OR($B22="",H$18=""),"",IF($B$6="Count",COUNTIFS(INDEX(ZPD,0,$B$3),$B22,INDEX(ZPD,0,$B$8),H$18,Zepto_Data!$A$2:$A$3732,$B$11,Zepto_Data!$L$2:$L$3732,$B$12,Zepto_Data!$K$2:$K$3732,$B$13,Zepto_Data!$M$2:$M$3732,$B$14),IF($B$6="Sum",SUMIFS(INDEX(ZPD,0,$B$5),INDEX(ZPD,0,$B$3),$B22,INDEX(ZPD,0,$B$8),H$18,Zepto_Data!$A$2:$A$3732,$B$11,Zepto_Data!$L$2:$L$3732,$B$12,Zepto_Data!$K$2:$K$3732,$B$13,Zepto_Data!$M$2:$M$3732,$B$14),IFERROR(SUMIFS(INDEX(ZPD,0,$B$5),INDEX(ZPD,0,$B$3),$B22,INDEX(ZPD,0,$B$8),H$18,Zepto_Data!$A$2:$A$3732,$B$11,Zepto_Data!$L$2:$L$3732,$B$12,Zepto_Data!$K$2:$K$3732,$B$13,Zepto_Data!$M$2:$M$3732,$B$14)/COUNTIFS(INDEX(ZPD,0,$B$3),$B22,INDEX(ZPD,0,$B$8),H$18,Zepto_Data!$A$2:$A$3732,$B$11,Zepto_Data!$L$2:$L$3732,$B$12,Zepto_Data!$K$2:$K$3732,$B$13,Zepto_Data!$M$2:$M$3732,$B$14),0))))</f>
        <v/>
      </c>
      <c r="I22" s="16" t="str">
        <f aca="false">IF(OR($B22="",I$18=""),"",IF($B$6="Count",COUNTIFS(INDEX(ZPD,0,$B$3),$B22,INDEX(ZPD,0,$B$8),I$18,Zepto_Data!$A$2:$A$3732,$B$11,Zepto_Data!$L$2:$L$3732,$B$12,Zepto_Data!$K$2:$K$3732,$B$13,Zepto_Data!$M$2:$M$3732,$B$14),IF($B$6="Sum",SUMIFS(INDEX(ZPD,0,$B$5),INDEX(ZPD,0,$B$3),$B22,INDEX(ZPD,0,$B$8),I$18,Zepto_Data!$A$2:$A$3732,$B$11,Zepto_Data!$L$2:$L$3732,$B$12,Zepto_Data!$K$2:$K$3732,$B$13,Zepto_Data!$M$2:$M$3732,$B$14),IFERROR(SUMIFS(INDEX(ZPD,0,$B$5),INDEX(ZPD,0,$B$3),$B22,INDEX(ZPD,0,$B$8),I$18,Zepto_Data!$A$2:$A$3732,$B$11,Zepto_Data!$L$2:$L$3732,$B$12,Zepto_Data!$K$2:$K$3732,$B$13,Zepto_Data!$M$2:$M$3732,$B$14)/COUNTIFS(INDEX(ZPD,0,$B$3),$B22,INDEX(ZPD,0,$B$8),I$18,Zepto_Data!$A$2:$A$3732,$B$11,Zepto_Data!$L$2:$L$3732,$B$12,Zepto_Data!$K$2:$K$3732,$B$13,Zepto_Data!$M$2:$M$3732,$B$14),0))))</f>
        <v/>
      </c>
      <c r="J22" s="16" t="str">
        <f aca="false">IF(OR($B22="",J$18=""),"",IF($B$6="Count",COUNTIFS(INDEX(ZPD,0,$B$3),$B22,INDEX(ZPD,0,$B$8),J$18,Zepto_Data!$A$2:$A$3732,$B$11,Zepto_Data!$L$2:$L$3732,$B$12,Zepto_Data!$K$2:$K$3732,$B$13,Zepto_Data!$M$2:$M$3732,$B$14),IF($B$6="Sum",SUMIFS(INDEX(ZPD,0,$B$5),INDEX(ZPD,0,$B$3),$B22,INDEX(ZPD,0,$B$8),J$18,Zepto_Data!$A$2:$A$3732,$B$11,Zepto_Data!$L$2:$L$3732,$B$12,Zepto_Data!$K$2:$K$3732,$B$13,Zepto_Data!$M$2:$M$3732,$B$14),IFERROR(SUMIFS(INDEX(ZPD,0,$B$5),INDEX(ZPD,0,$B$3),$B22,INDEX(ZPD,0,$B$8),J$18,Zepto_Data!$A$2:$A$3732,$B$11,Zepto_Data!$L$2:$L$3732,$B$12,Zepto_Data!$K$2:$K$3732,$B$13,Zepto_Data!$M$2:$M$3732,$B$14)/COUNTIFS(INDEX(ZPD,0,$B$3),$B22,INDEX(ZPD,0,$B$8),J$18,Zepto_Data!$A$2:$A$3732,$B$11,Zepto_Data!$L$2:$L$3732,$B$12,Zepto_Data!$K$2:$K$3732,$B$13,Zepto_Data!$M$2:$M$3732,$B$14),0))))</f>
        <v/>
      </c>
    </row>
    <row r="23" customFormat="false" ht="15" hidden="false" customHeight="false" outlineLevel="0" collapsed="false">
      <c r="A23" s="16" t="n">
        <v>4</v>
      </c>
      <c r="B23" s="16" t="str">
        <f aca="false">IF(INDEX(ZP_Lists!$L$2:$Q$21,A23,$B$2)="","",INDEX(ZP_Lists!$L$2:$Q$21,A23,$B$2))</f>
        <v>Cooking Essentials</v>
      </c>
      <c r="C23" s="16" t="n">
        <f aca="false">IF(B23="","",IF($B$6="Count",COUNTIFS(INDEX(ZPD,0,$B$3),B23,Zepto_Data!$A$2:$A$3732,$B$11,Zepto_Data!$L$2:$L$3732,$B$12,Zepto_Data!$K$2:$K$3732,$B$13,Zepto_Data!$M$2:$M$3732,$B$14),IF($B$6="Sum",SUMIFS(INDEX(ZPD,0,$B$5),INDEX(ZPD,0,$B$3),B23,Zepto_Data!$A$2:$A$3732,$B$11,Zepto_Data!$L$2:$L$3732,$B$12,Zepto_Data!$K$2:$K$3732,$B$13,Zepto_Data!$M$2:$M$3732,$B$14),IFERROR(SUMIFS(INDEX(ZPD,0,$B$5),INDEX(ZPD,0,$B$3),B23,Zepto_Data!$A$2:$A$3732,$B$11,Zepto_Data!$L$2:$L$3732,$B$12,Zepto_Data!$K$2:$K$3732,$B$13,Zepto_Data!$M$2:$M$3732,$B$14)/COUNTIFS(INDEX(ZPD,0,$B$3),B23,Zepto_Data!$A$2:$A$3732,$B$11,Zepto_Data!$L$2:$L$3732,$B$12,Zepto_Data!$K$2:$K$3732,$B$13,Zepto_Data!$M$2:$M$3732,$B$14),0))))</f>
        <v>337369</v>
      </c>
      <c r="D23" s="16" t="n">
        <f aca="false">IF(B23="","",IF($B$10="Natural order",A23,IF($B$10="Value: high to low",SUMPRODUCT(($B$20:$B$39&lt;&gt;"")*($C$20:$C$39&gt;C23))+SUMPRODUCT(($B$20:B23&lt;&gt;"")*($C$20:C23=C23)),SUMPRODUCT(($B$20:$B$39&lt;&gt;"")*($C$20:$C$39&lt;C23))+SUMPRODUCT(($B$20:B23&lt;&gt;"")*($C$20:C23=C23)))))</f>
        <v>1</v>
      </c>
      <c r="F23" s="16" t="n">
        <f aca="false">IF(OR($B23="",F$18=""),"",IF($B$6="Count",COUNTIFS(INDEX(ZPD,0,$B$3),$B23,INDEX(ZPD,0,$B$8),F$18,Zepto_Data!$A$2:$A$3732,$B$11,Zepto_Data!$L$2:$L$3732,$B$12,Zepto_Data!$K$2:$K$3732,$B$13,Zepto_Data!$M$2:$M$3732,$B$14),IF($B$6="Sum",SUMIFS(INDEX(ZPD,0,$B$5),INDEX(ZPD,0,$B$3),$B23,INDEX(ZPD,0,$B$8),F$18,Zepto_Data!$A$2:$A$3732,$B$11,Zepto_Data!$L$2:$L$3732,$B$12,Zepto_Data!$K$2:$K$3732,$B$13,Zepto_Data!$M$2:$M$3732,$B$14),IFERROR(SUMIFS(INDEX(ZPD,0,$B$5),INDEX(ZPD,0,$B$3),$B23,INDEX(ZPD,0,$B$8),F$18,Zepto_Data!$A$2:$A$3732,$B$11,Zepto_Data!$L$2:$L$3732,$B$12,Zepto_Data!$K$2:$K$3732,$B$13,Zepto_Data!$M$2:$M$3732,$B$14)/COUNTIFS(INDEX(ZPD,0,$B$3),$B23,INDEX(ZPD,0,$B$8),F$18,Zepto_Data!$A$2:$A$3732,$B$11,Zepto_Data!$L$2:$L$3732,$B$12,Zepto_Data!$K$2:$K$3732,$B$13,Zepto_Data!$M$2:$M$3732,$B$14),0))))</f>
        <v>337369</v>
      </c>
      <c r="G23" s="16" t="str">
        <f aca="false">IF(OR($B23="",G$18=""),"",IF($B$6="Count",COUNTIFS(INDEX(ZPD,0,$B$3),$B23,INDEX(ZPD,0,$B$8),G$18,Zepto_Data!$A$2:$A$3732,$B$11,Zepto_Data!$L$2:$L$3732,$B$12,Zepto_Data!$K$2:$K$3732,$B$13,Zepto_Data!$M$2:$M$3732,$B$14),IF($B$6="Sum",SUMIFS(INDEX(ZPD,0,$B$5),INDEX(ZPD,0,$B$3),$B23,INDEX(ZPD,0,$B$8),G$18,Zepto_Data!$A$2:$A$3732,$B$11,Zepto_Data!$L$2:$L$3732,$B$12,Zepto_Data!$K$2:$K$3732,$B$13,Zepto_Data!$M$2:$M$3732,$B$14),IFERROR(SUMIFS(INDEX(ZPD,0,$B$5),INDEX(ZPD,0,$B$3),$B23,INDEX(ZPD,0,$B$8),G$18,Zepto_Data!$A$2:$A$3732,$B$11,Zepto_Data!$L$2:$L$3732,$B$12,Zepto_Data!$K$2:$K$3732,$B$13,Zepto_Data!$M$2:$M$3732,$B$14)/COUNTIFS(INDEX(ZPD,0,$B$3),$B23,INDEX(ZPD,0,$B$8),G$18,Zepto_Data!$A$2:$A$3732,$B$11,Zepto_Data!$L$2:$L$3732,$B$12,Zepto_Data!$K$2:$K$3732,$B$13,Zepto_Data!$M$2:$M$3732,$B$14),0))))</f>
        <v/>
      </c>
      <c r="H23" s="16" t="str">
        <f aca="false">IF(OR($B23="",H$18=""),"",IF($B$6="Count",COUNTIFS(INDEX(ZPD,0,$B$3),$B23,INDEX(ZPD,0,$B$8),H$18,Zepto_Data!$A$2:$A$3732,$B$11,Zepto_Data!$L$2:$L$3732,$B$12,Zepto_Data!$K$2:$K$3732,$B$13,Zepto_Data!$M$2:$M$3732,$B$14),IF($B$6="Sum",SUMIFS(INDEX(ZPD,0,$B$5),INDEX(ZPD,0,$B$3),$B23,INDEX(ZPD,0,$B$8),H$18,Zepto_Data!$A$2:$A$3732,$B$11,Zepto_Data!$L$2:$L$3732,$B$12,Zepto_Data!$K$2:$K$3732,$B$13,Zepto_Data!$M$2:$M$3732,$B$14),IFERROR(SUMIFS(INDEX(ZPD,0,$B$5),INDEX(ZPD,0,$B$3),$B23,INDEX(ZPD,0,$B$8),H$18,Zepto_Data!$A$2:$A$3732,$B$11,Zepto_Data!$L$2:$L$3732,$B$12,Zepto_Data!$K$2:$K$3732,$B$13,Zepto_Data!$M$2:$M$3732,$B$14)/COUNTIFS(INDEX(ZPD,0,$B$3),$B23,INDEX(ZPD,0,$B$8),H$18,Zepto_Data!$A$2:$A$3732,$B$11,Zepto_Data!$L$2:$L$3732,$B$12,Zepto_Data!$K$2:$K$3732,$B$13,Zepto_Data!$M$2:$M$3732,$B$14),0))))</f>
        <v/>
      </c>
      <c r="I23" s="16" t="str">
        <f aca="false">IF(OR($B23="",I$18=""),"",IF($B$6="Count",COUNTIFS(INDEX(ZPD,0,$B$3),$B23,INDEX(ZPD,0,$B$8),I$18,Zepto_Data!$A$2:$A$3732,$B$11,Zepto_Data!$L$2:$L$3732,$B$12,Zepto_Data!$K$2:$K$3732,$B$13,Zepto_Data!$M$2:$M$3732,$B$14),IF($B$6="Sum",SUMIFS(INDEX(ZPD,0,$B$5),INDEX(ZPD,0,$B$3),$B23,INDEX(ZPD,0,$B$8),I$18,Zepto_Data!$A$2:$A$3732,$B$11,Zepto_Data!$L$2:$L$3732,$B$12,Zepto_Data!$K$2:$K$3732,$B$13,Zepto_Data!$M$2:$M$3732,$B$14),IFERROR(SUMIFS(INDEX(ZPD,0,$B$5),INDEX(ZPD,0,$B$3),$B23,INDEX(ZPD,0,$B$8),I$18,Zepto_Data!$A$2:$A$3732,$B$11,Zepto_Data!$L$2:$L$3732,$B$12,Zepto_Data!$K$2:$K$3732,$B$13,Zepto_Data!$M$2:$M$3732,$B$14)/COUNTIFS(INDEX(ZPD,0,$B$3),$B23,INDEX(ZPD,0,$B$8),I$18,Zepto_Data!$A$2:$A$3732,$B$11,Zepto_Data!$L$2:$L$3732,$B$12,Zepto_Data!$K$2:$K$3732,$B$13,Zepto_Data!$M$2:$M$3732,$B$14),0))))</f>
        <v/>
      </c>
      <c r="J23" s="16" t="str">
        <f aca="false">IF(OR($B23="",J$18=""),"",IF($B$6="Count",COUNTIFS(INDEX(ZPD,0,$B$3),$B23,INDEX(ZPD,0,$B$8),J$18,Zepto_Data!$A$2:$A$3732,$B$11,Zepto_Data!$L$2:$L$3732,$B$12,Zepto_Data!$K$2:$K$3732,$B$13,Zepto_Data!$M$2:$M$3732,$B$14),IF($B$6="Sum",SUMIFS(INDEX(ZPD,0,$B$5),INDEX(ZPD,0,$B$3),$B23,INDEX(ZPD,0,$B$8),J$18,Zepto_Data!$A$2:$A$3732,$B$11,Zepto_Data!$L$2:$L$3732,$B$12,Zepto_Data!$K$2:$K$3732,$B$13,Zepto_Data!$M$2:$M$3732,$B$14),IFERROR(SUMIFS(INDEX(ZPD,0,$B$5),INDEX(ZPD,0,$B$3),$B23,INDEX(ZPD,0,$B$8),J$18,Zepto_Data!$A$2:$A$3732,$B$11,Zepto_Data!$L$2:$L$3732,$B$12,Zepto_Data!$K$2:$K$3732,$B$13,Zepto_Data!$M$2:$M$3732,$B$14)/COUNTIFS(INDEX(ZPD,0,$B$3),$B23,INDEX(ZPD,0,$B$8),J$18,Zepto_Data!$A$2:$A$3732,$B$11,Zepto_Data!$L$2:$L$3732,$B$12,Zepto_Data!$K$2:$K$3732,$B$13,Zepto_Data!$M$2:$M$3732,$B$14),0))))</f>
        <v/>
      </c>
    </row>
    <row r="24" customFormat="false" ht="15" hidden="false" customHeight="false" outlineLevel="0" collapsed="false">
      <c r="A24" s="16" t="n">
        <v>5</v>
      </c>
      <c r="B24" s="16" t="str">
        <f aca="false">IF(INDEX(ZP_Lists!$L$2:$Q$21,A24,$B$2)="","",INDEX(ZP_Lists!$L$2:$Q$21,A24,$B$2))</f>
        <v>Dairy, Bread &amp; Batter</v>
      </c>
      <c r="C24" s="16" t="n">
        <f aca="false">IF(B24="","",IF($B$6="Count",COUNTIFS(INDEX(ZPD,0,$B$3),B24,Zepto_Data!$A$2:$A$3732,$B$11,Zepto_Data!$L$2:$L$3732,$B$12,Zepto_Data!$K$2:$K$3732,$B$13,Zepto_Data!$M$2:$M$3732,$B$14),IF($B$6="Sum",SUMIFS(INDEX(ZPD,0,$B$5),INDEX(ZPD,0,$B$3),B24,Zepto_Data!$A$2:$A$3732,$B$11,Zepto_Data!$L$2:$L$3732,$B$12,Zepto_Data!$K$2:$K$3732,$B$13,Zepto_Data!$M$2:$M$3732,$B$14),IFERROR(SUMIFS(INDEX(ZPD,0,$B$5),INDEX(ZPD,0,$B$3),B24,Zepto_Data!$A$2:$A$3732,$B$11,Zepto_Data!$L$2:$L$3732,$B$12,Zepto_Data!$K$2:$K$3732,$B$13,Zepto_Data!$M$2:$M$3732,$B$14)/COUNTIFS(INDEX(ZPD,0,$B$3),B24,Zepto_Data!$A$2:$A$3732,$B$11,Zepto_Data!$L$2:$L$3732,$B$12,Zepto_Data!$K$2:$K$3732,$B$13,Zepto_Data!$M$2:$M$3732,$B$14),0))))</f>
        <v>55051</v>
      </c>
      <c r="D24" s="16" t="n">
        <f aca="false">IF(B24="","",IF($B$10="Natural order",A24,IF($B$10="Value: high to low",SUMPRODUCT(($B$20:$B$39&lt;&gt;"")*($C$20:$C$39&gt;C24))+SUMPRODUCT(($B$20:B24&lt;&gt;"")*($C$20:C24=C24)),SUMPRODUCT(($B$20:$B$39&lt;&gt;"")*($C$20:$C$39&lt;C24))+SUMPRODUCT(($B$20:B24&lt;&gt;"")*($C$20:C24=C24)))))</f>
        <v>11</v>
      </c>
      <c r="F24" s="16" t="n">
        <f aca="false">IF(OR($B24="",F$18=""),"",IF($B$6="Count",COUNTIFS(INDEX(ZPD,0,$B$3),$B24,INDEX(ZPD,0,$B$8),F$18,Zepto_Data!$A$2:$A$3732,$B$11,Zepto_Data!$L$2:$L$3732,$B$12,Zepto_Data!$K$2:$K$3732,$B$13,Zepto_Data!$M$2:$M$3732,$B$14),IF($B$6="Sum",SUMIFS(INDEX(ZPD,0,$B$5),INDEX(ZPD,0,$B$3),$B24,INDEX(ZPD,0,$B$8),F$18,Zepto_Data!$A$2:$A$3732,$B$11,Zepto_Data!$L$2:$L$3732,$B$12,Zepto_Data!$K$2:$K$3732,$B$13,Zepto_Data!$M$2:$M$3732,$B$14),IFERROR(SUMIFS(INDEX(ZPD,0,$B$5),INDEX(ZPD,0,$B$3),$B24,INDEX(ZPD,0,$B$8),F$18,Zepto_Data!$A$2:$A$3732,$B$11,Zepto_Data!$L$2:$L$3732,$B$12,Zepto_Data!$K$2:$K$3732,$B$13,Zepto_Data!$M$2:$M$3732,$B$14)/COUNTIFS(INDEX(ZPD,0,$B$3),$B24,INDEX(ZPD,0,$B$8),F$18,Zepto_Data!$A$2:$A$3732,$B$11,Zepto_Data!$L$2:$L$3732,$B$12,Zepto_Data!$K$2:$K$3732,$B$13,Zepto_Data!$M$2:$M$3732,$B$14),0))))</f>
        <v>55051</v>
      </c>
      <c r="G24" s="16" t="str">
        <f aca="false">IF(OR($B24="",G$18=""),"",IF($B$6="Count",COUNTIFS(INDEX(ZPD,0,$B$3),$B24,INDEX(ZPD,0,$B$8),G$18,Zepto_Data!$A$2:$A$3732,$B$11,Zepto_Data!$L$2:$L$3732,$B$12,Zepto_Data!$K$2:$K$3732,$B$13,Zepto_Data!$M$2:$M$3732,$B$14),IF($B$6="Sum",SUMIFS(INDEX(ZPD,0,$B$5),INDEX(ZPD,0,$B$3),$B24,INDEX(ZPD,0,$B$8),G$18,Zepto_Data!$A$2:$A$3732,$B$11,Zepto_Data!$L$2:$L$3732,$B$12,Zepto_Data!$K$2:$K$3732,$B$13,Zepto_Data!$M$2:$M$3732,$B$14),IFERROR(SUMIFS(INDEX(ZPD,0,$B$5),INDEX(ZPD,0,$B$3),$B24,INDEX(ZPD,0,$B$8),G$18,Zepto_Data!$A$2:$A$3732,$B$11,Zepto_Data!$L$2:$L$3732,$B$12,Zepto_Data!$K$2:$K$3732,$B$13,Zepto_Data!$M$2:$M$3732,$B$14)/COUNTIFS(INDEX(ZPD,0,$B$3),$B24,INDEX(ZPD,0,$B$8),G$18,Zepto_Data!$A$2:$A$3732,$B$11,Zepto_Data!$L$2:$L$3732,$B$12,Zepto_Data!$K$2:$K$3732,$B$13,Zepto_Data!$M$2:$M$3732,$B$14),0))))</f>
        <v/>
      </c>
      <c r="H24" s="16" t="str">
        <f aca="false">IF(OR($B24="",H$18=""),"",IF($B$6="Count",COUNTIFS(INDEX(ZPD,0,$B$3),$B24,INDEX(ZPD,0,$B$8),H$18,Zepto_Data!$A$2:$A$3732,$B$11,Zepto_Data!$L$2:$L$3732,$B$12,Zepto_Data!$K$2:$K$3732,$B$13,Zepto_Data!$M$2:$M$3732,$B$14),IF($B$6="Sum",SUMIFS(INDEX(ZPD,0,$B$5),INDEX(ZPD,0,$B$3),$B24,INDEX(ZPD,0,$B$8),H$18,Zepto_Data!$A$2:$A$3732,$B$11,Zepto_Data!$L$2:$L$3732,$B$12,Zepto_Data!$K$2:$K$3732,$B$13,Zepto_Data!$M$2:$M$3732,$B$14),IFERROR(SUMIFS(INDEX(ZPD,0,$B$5),INDEX(ZPD,0,$B$3),$B24,INDEX(ZPD,0,$B$8),H$18,Zepto_Data!$A$2:$A$3732,$B$11,Zepto_Data!$L$2:$L$3732,$B$12,Zepto_Data!$K$2:$K$3732,$B$13,Zepto_Data!$M$2:$M$3732,$B$14)/COUNTIFS(INDEX(ZPD,0,$B$3),$B24,INDEX(ZPD,0,$B$8),H$18,Zepto_Data!$A$2:$A$3732,$B$11,Zepto_Data!$L$2:$L$3732,$B$12,Zepto_Data!$K$2:$K$3732,$B$13,Zepto_Data!$M$2:$M$3732,$B$14),0))))</f>
        <v/>
      </c>
      <c r="I24" s="16" t="str">
        <f aca="false">IF(OR($B24="",I$18=""),"",IF($B$6="Count",COUNTIFS(INDEX(ZPD,0,$B$3),$B24,INDEX(ZPD,0,$B$8),I$18,Zepto_Data!$A$2:$A$3732,$B$11,Zepto_Data!$L$2:$L$3732,$B$12,Zepto_Data!$K$2:$K$3732,$B$13,Zepto_Data!$M$2:$M$3732,$B$14),IF($B$6="Sum",SUMIFS(INDEX(ZPD,0,$B$5),INDEX(ZPD,0,$B$3),$B24,INDEX(ZPD,0,$B$8),I$18,Zepto_Data!$A$2:$A$3732,$B$11,Zepto_Data!$L$2:$L$3732,$B$12,Zepto_Data!$K$2:$K$3732,$B$13,Zepto_Data!$M$2:$M$3732,$B$14),IFERROR(SUMIFS(INDEX(ZPD,0,$B$5),INDEX(ZPD,0,$B$3),$B24,INDEX(ZPD,0,$B$8),I$18,Zepto_Data!$A$2:$A$3732,$B$11,Zepto_Data!$L$2:$L$3732,$B$12,Zepto_Data!$K$2:$K$3732,$B$13,Zepto_Data!$M$2:$M$3732,$B$14)/COUNTIFS(INDEX(ZPD,0,$B$3),$B24,INDEX(ZPD,0,$B$8),I$18,Zepto_Data!$A$2:$A$3732,$B$11,Zepto_Data!$L$2:$L$3732,$B$12,Zepto_Data!$K$2:$K$3732,$B$13,Zepto_Data!$M$2:$M$3732,$B$14),0))))</f>
        <v/>
      </c>
      <c r="J24" s="16" t="str">
        <f aca="false">IF(OR($B24="",J$18=""),"",IF($B$6="Count",COUNTIFS(INDEX(ZPD,0,$B$3),$B24,INDEX(ZPD,0,$B$8),J$18,Zepto_Data!$A$2:$A$3732,$B$11,Zepto_Data!$L$2:$L$3732,$B$12,Zepto_Data!$K$2:$K$3732,$B$13,Zepto_Data!$M$2:$M$3732,$B$14),IF($B$6="Sum",SUMIFS(INDEX(ZPD,0,$B$5),INDEX(ZPD,0,$B$3),$B24,INDEX(ZPD,0,$B$8),J$18,Zepto_Data!$A$2:$A$3732,$B$11,Zepto_Data!$L$2:$L$3732,$B$12,Zepto_Data!$K$2:$K$3732,$B$13,Zepto_Data!$M$2:$M$3732,$B$14),IFERROR(SUMIFS(INDEX(ZPD,0,$B$5),INDEX(ZPD,0,$B$3),$B24,INDEX(ZPD,0,$B$8),J$18,Zepto_Data!$A$2:$A$3732,$B$11,Zepto_Data!$L$2:$L$3732,$B$12,Zepto_Data!$K$2:$K$3732,$B$13,Zepto_Data!$M$2:$M$3732,$B$14)/COUNTIFS(INDEX(ZPD,0,$B$3),$B24,INDEX(ZPD,0,$B$8),J$18,Zepto_Data!$A$2:$A$3732,$B$11,Zepto_Data!$L$2:$L$3732,$B$12,Zepto_Data!$K$2:$K$3732,$B$13,Zepto_Data!$M$2:$M$3732,$B$14),0))))</f>
        <v/>
      </c>
    </row>
    <row r="25" customFormat="false" ht="15" hidden="false" customHeight="false" outlineLevel="0" collapsed="false">
      <c r="A25" s="16" t="n">
        <v>6</v>
      </c>
      <c r="B25" s="16" t="str">
        <f aca="false">IF(INDEX(ZP_Lists!$L$2:$Q$21,A25,$B$2)="","",INDEX(ZP_Lists!$L$2:$Q$21,A25,$B$2))</f>
        <v>Fruits &amp; Vegetables</v>
      </c>
      <c r="C25" s="16" t="n">
        <f aca="false">IF(B25="","",IF($B$6="Count",COUNTIFS(INDEX(ZPD,0,$B$3),B25,Zepto_Data!$A$2:$A$3732,$B$11,Zepto_Data!$L$2:$L$3732,$B$12,Zepto_Data!$K$2:$K$3732,$B$13,Zepto_Data!$M$2:$M$3732,$B$14),IF($B$6="Sum",SUMIFS(INDEX(ZPD,0,$B$5),INDEX(ZPD,0,$B$3),B25,Zepto_Data!$A$2:$A$3732,$B$11,Zepto_Data!$L$2:$L$3732,$B$12,Zepto_Data!$K$2:$K$3732,$B$13,Zepto_Data!$M$2:$M$3732,$B$14),IFERROR(SUMIFS(INDEX(ZPD,0,$B$5),INDEX(ZPD,0,$B$3),B25,Zepto_Data!$A$2:$A$3732,$B$11,Zepto_Data!$L$2:$L$3732,$B$12,Zepto_Data!$K$2:$K$3732,$B$13,Zepto_Data!$M$2:$M$3732,$B$14)/COUNTIFS(INDEX(ZPD,0,$B$3),B25,Zepto_Data!$A$2:$A$3732,$B$11,Zepto_Data!$L$2:$L$3732,$B$12,Zepto_Data!$K$2:$K$3732,$B$13,Zepto_Data!$M$2:$M$3732,$B$14),0))))</f>
        <v>10846</v>
      </c>
      <c r="D25" s="16" t="n">
        <f aca="false">IF(B25="","",IF($B$10="Natural order",A25,IF($B$10="Value: high to low",SUMPRODUCT(($B$20:$B$39&lt;&gt;"")*($C$20:$C$39&gt;C25))+SUMPRODUCT(($B$20:B25&lt;&gt;"")*($C$20:C25=C25)),SUMPRODUCT(($B$20:$B$39&lt;&gt;"")*($C$20:$C$39&lt;C25))+SUMPRODUCT(($B$20:B25&lt;&gt;"")*($C$20:C25=C25)))))</f>
        <v>14</v>
      </c>
      <c r="F25" s="16" t="n">
        <f aca="false">IF(OR($B25="",F$18=""),"",IF($B$6="Count",COUNTIFS(INDEX(ZPD,0,$B$3),$B25,INDEX(ZPD,0,$B$8),F$18,Zepto_Data!$A$2:$A$3732,$B$11,Zepto_Data!$L$2:$L$3732,$B$12,Zepto_Data!$K$2:$K$3732,$B$13,Zepto_Data!$M$2:$M$3732,$B$14),IF($B$6="Sum",SUMIFS(INDEX(ZPD,0,$B$5),INDEX(ZPD,0,$B$3),$B25,INDEX(ZPD,0,$B$8),F$18,Zepto_Data!$A$2:$A$3732,$B$11,Zepto_Data!$L$2:$L$3732,$B$12,Zepto_Data!$K$2:$K$3732,$B$13,Zepto_Data!$M$2:$M$3732,$B$14),IFERROR(SUMIFS(INDEX(ZPD,0,$B$5),INDEX(ZPD,0,$B$3),$B25,INDEX(ZPD,0,$B$8),F$18,Zepto_Data!$A$2:$A$3732,$B$11,Zepto_Data!$L$2:$L$3732,$B$12,Zepto_Data!$K$2:$K$3732,$B$13,Zepto_Data!$M$2:$M$3732,$B$14)/COUNTIFS(INDEX(ZPD,0,$B$3),$B25,INDEX(ZPD,0,$B$8),F$18,Zepto_Data!$A$2:$A$3732,$B$11,Zepto_Data!$L$2:$L$3732,$B$12,Zepto_Data!$K$2:$K$3732,$B$13,Zepto_Data!$M$2:$M$3732,$B$14),0))))</f>
        <v>10846</v>
      </c>
      <c r="G25" s="16" t="str">
        <f aca="false">IF(OR($B25="",G$18=""),"",IF($B$6="Count",COUNTIFS(INDEX(ZPD,0,$B$3),$B25,INDEX(ZPD,0,$B$8),G$18,Zepto_Data!$A$2:$A$3732,$B$11,Zepto_Data!$L$2:$L$3732,$B$12,Zepto_Data!$K$2:$K$3732,$B$13,Zepto_Data!$M$2:$M$3732,$B$14),IF($B$6="Sum",SUMIFS(INDEX(ZPD,0,$B$5),INDEX(ZPD,0,$B$3),$B25,INDEX(ZPD,0,$B$8),G$18,Zepto_Data!$A$2:$A$3732,$B$11,Zepto_Data!$L$2:$L$3732,$B$12,Zepto_Data!$K$2:$K$3732,$B$13,Zepto_Data!$M$2:$M$3732,$B$14),IFERROR(SUMIFS(INDEX(ZPD,0,$B$5),INDEX(ZPD,0,$B$3),$B25,INDEX(ZPD,0,$B$8),G$18,Zepto_Data!$A$2:$A$3732,$B$11,Zepto_Data!$L$2:$L$3732,$B$12,Zepto_Data!$K$2:$K$3732,$B$13,Zepto_Data!$M$2:$M$3732,$B$14)/COUNTIFS(INDEX(ZPD,0,$B$3),$B25,INDEX(ZPD,0,$B$8),G$18,Zepto_Data!$A$2:$A$3732,$B$11,Zepto_Data!$L$2:$L$3732,$B$12,Zepto_Data!$K$2:$K$3732,$B$13,Zepto_Data!$M$2:$M$3732,$B$14),0))))</f>
        <v/>
      </c>
      <c r="H25" s="16" t="str">
        <f aca="false">IF(OR($B25="",H$18=""),"",IF($B$6="Count",COUNTIFS(INDEX(ZPD,0,$B$3),$B25,INDEX(ZPD,0,$B$8),H$18,Zepto_Data!$A$2:$A$3732,$B$11,Zepto_Data!$L$2:$L$3732,$B$12,Zepto_Data!$K$2:$K$3732,$B$13,Zepto_Data!$M$2:$M$3732,$B$14),IF($B$6="Sum",SUMIFS(INDEX(ZPD,0,$B$5),INDEX(ZPD,0,$B$3),$B25,INDEX(ZPD,0,$B$8),H$18,Zepto_Data!$A$2:$A$3732,$B$11,Zepto_Data!$L$2:$L$3732,$B$12,Zepto_Data!$K$2:$K$3732,$B$13,Zepto_Data!$M$2:$M$3732,$B$14),IFERROR(SUMIFS(INDEX(ZPD,0,$B$5),INDEX(ZPD,0,$B$3),$B25,INDEX(ZPD,0,$B$8),H$18,Zepto_Data!$A$2:$A$3732,$B$11,Zepto_Data!$L$2:$L$3732,$B$12,Zepto_Data!$K$2:$K$3732,$B$13,Zepto_Data!$M$2:$M$3732,$B$14)/COUNTIFS(INDEX(ZPD,0,$B$3),$B25,INDEX(ZPD,0,$B$8),H$18,Zepto_Data!$A$2:$A$3732,$B$11,Zepto_Data!$L$2:$L$3732,$B$12,Zepto_Data!$K$2:$K$3732,$B$13,Zepto_Data!$M$2:$M$3732,$B$14),0))))</f>
        <v/>
      </c>
      <c r="I25" s="16" t="str">
        <f aca="false">IF(OR($B25="",I$18=""),"",IF($B$6="Count",COUNTIFS(INDEX(ZPD,0,$B$3),$B25,INDEX(ZPD,0,$B$8),I$18,Zepto_Data!$A$2:$A$3732,$B$11,Zepto_Data!$L$2:$L$3732,$B$12,Zepto_Data!$K$2:$K$3732,$B$13,Zepto_Data!$M$2:$M$3732,$B$14),IF($B$6="Sum",SUMIFS(INDEX(ZPD,0,$B$5),INDEX(ZPD,0,$B$3),$B25,INDEX(ZPD,0,$B$8),I$18,Zepto_Data!$A$2:$A$3732,$B$11,Zepto_Data!$L$2:$L$3732,$B$12,Zepto_Data!$K$2:$K$3732,$B$13,Zepto_Data!$M$2:$M$3732,$B$14),IFERROR(SUMIFS(INDEX(ZPD,0,$B$5),INDEX(ZPD,0,$B$3),$B25,INDEX(ZPD,0,$B$8),I$18,Zepto_Data!$A$2:$A$3732,$B$11,Zepto_Data!$L$2:$L$3732,$B$12,Zepto_Data!$K$2:$K$3732,$B$13,Zepto_Data!$M$2:$M$3732,$B$14)/COUNTIFS(INDEX(ZPD,0,$B$3),$B25,INDEX(ZPD,0,$B$8),I$18,Zepto_Data!$A$2:$A$3732,$B$11,Zepto_Data!$L$2:$L$3732,$B$12,Zepto_Data!$K$2:$K$3732,$B$13,Zepto_Data!$M$2:$M$3732,$B$14),0))))</f>
        <v/>
      </c>
      <c r="J25" s="16" t="str">
        <f aca="false">IF(OR($B25="",J$18=""),"",IF($B$6="Count",COUNTIFS(INDEX(ZPD,0,$B$3),$B25,INDEX(ZPD,0,$B$8),J$18,Zepto_Data!$A$2:$A$3732,$B$11,Zepto_Data!$L$2:$L$3732,$B$12,Zepto_Data!$K$2:$K$3732,$B$13,Zepto_Data!$M$2:$M$3732,$B$14),IF($B$6="Sum",SUMIFS(INDEX(ZPD,0,$B$5),INDEX(ZPD,0,$B$3),$B25,INDEX(ZPD,0,$B$8),J$18,Zepto_Data!$A$2:$A$3732,$B$11,Zepto_Data!$L$2:$L$3732,$B$12,Zepto_Data!$K$2:$K$3732,$B$13,Zepto_Data!$M$2:$M$3732,$B$14),IFERROR(SUMIFS(INDEX(ZPD,0,$B$5),INDEX(ZPD,0,$B$3),$B25,INDEX(ZPD,0,$B$8),J$18,Zepto_Data!$A$2:$A$3732,$B$11,Zepto_Data!$L$2:$L$3732,$B$12,Zepto_Data!$K$2:$K$3732,$B$13,Zepto_Data!$M$2:$M$3732,$B$14)/COUNTIFS(INDEX(ZPD,0,$B$3),$B25,INDEX(ZPD,0,$B$8),J$18,Zepto_Data!$A$2:$A$3732,$B$11,Zepto_Data!$L$2:$L$3732,$B$12,Zepto_Data!$K$2:$K$3732,$B$13,Zepto_Data!$M$2:$M$3732,$B$14),0))))</f>
        <v/>
      </c>
    </row>
    <row r="26" customFormat="false" ht="15" hidden="false" customHeight="false" outlineLevel="0" collapsed="false">
      <c r="A26" s="16" t="n">
        <v>7</v>
      </c>
      <c r="B26" s="16" t="str">
        <f aca="false">IF(INDEX(ZP_Lists!$L$2:$Q$21,A26,$B$2)="","",INDEX(ZP_Lists!$L$2:$Q$21,A26,$B$2))</f>
        <v>Health &amp; Hygiene</v>
      </c>
      <c r="C26" s="16" t="n">
        <f aca="false">IF(B26="","",IF($B$6="Count",COUNTIFS(INDEX(ZPD,0,$B$3),B26,Zepto_Data!$A$2:$A$3732,$B$11,Zepto_Data!$L$2:$L$3732,$B$12,Zepto_Data!$K$2:$K$3732,$B$13,Zepto_Data!$M$2:$M$3732,$B$14),IF($B$6="Sum",SUMIFS(INDEX(ZPD,0,$B$5),INDEX(ZPD,0,$B$3),B26,Zepto_Data!$A$2:$A$3732,$B$11,Zepto_Data!$L$2:$L$3732,$B$12,Zepto_Data!$K$2:$K$3732,$B$13,Zepto_Data!$M$2:$M$3732,$B$14),IFERROR(SUMIFS(INDEX(ZPD,0,$B$5),INDEX(ZPD,0,$B$3),B26,Zepto_Data!$A$2:$A$3732,$B$11,Zepto_Data!$L$2:$L$3732,$B$12,Zepto_Data!$K$2:$K$3732,$B$13,Zepto_Data!$M$2:$M$3732,$B$14)/COUNTIFS(INDEX(ZPD,0,$B$3),B26,Zepto_Data!$A$2:$A$3732,$B$11,Zepto_Data!$L$2:$L$3732,$B$12,Zepto_Data!$K$2:$K$3732,$B$13,Zepto_Data!$M$2:$M$3732,$B$14),0))))</f>
        <v>64180</v>
      </c>
      <c r="D26" s="16" t="n">
        <f aca="false">IF(B26="","",IF($B$10="Natural order",A26,IF($B$10="Value: high to low",SUMPRODUCT(($B$20:$B$39&lt;&gt;"")*($C$20:$C$39&gt;C26))+SUMPRODUCT(($B$20:B26&lt;&gt;"")*($C$20:C26=C26)),SUMPRODUCT(($B$20:$B$39&lt;&gt;"")*($C$20:$C$39&lt;C26))+SUMPRODUCT(($B$20:B26&lt;&gt;"")*($C$20:C26=C26)))))</f>
        <v>9</v>
      </c>
      <c r="F26" s="16" t="n">
        <f aca="false">IF(OR($B26="",F$18=""),"",IF($B$6="Count",COUNTIFS(INDEX(ZPD,0,$B$3),$B26,INDEX(ZPD,0,$B$8),F$18,Zepto_Data!$A$2:$A$3732,$B$11,Zepto_Data!$L$2:$L$3732,$B$12,Zepto_Data!$K$2:$K$3732,$B$13,Zepto_Data!$M$2:$M$3732,$B$14),IF($B$6="Sum",SUMIFS(INDEX(ZPD,0,$B$5),INDEX(ZPD,0,$B$3),$B26,INDEX(ZPD,0,$B$8),F$18,Zepto_Data!$A$2:$A$3732,$B$11,Zepto_Data!$L$2:$L$3732,$B$12,Zepto_Data!$K$2:$K$3732,$B$13,Zepto_Data!$M$2:$M$3732,$B$14),IFERROR(SUMIFS(INDEX(ZPD,0,$B$5),INDEX(ZPD,0,$B$3),$B26,INDEX(ZPD,0,$B$8),F$18,Zepto_Data!$A$2:$A$3732,$B$11,Zepto_Data!$L$2:$L$3732,$B$12,Zepto_Data!$K$2:$K$3732,$B$13,Zepto_Data!$M$2:$M$3732,$B$14)/COUNTIFS(INDEX(ZPD,0,$B$3),$B26,INDEX(ZPD,0,$B$8),F$18,Zepto_Data!$A$2:$A$3732,$B$11,Zepto_Data!$L$2:$L$3732,$B$12,Zepto_Data!$K$2:$K$3732,$B$13,Zepto_Data!$M$2:$M$3732,$B$14),0))))</f>
        <v>64180</v>
      </c>
      <c r="G26" s="16" t="str">
        <f aca="false">IF(OR($B26="",G$18=""),"",IF($B$6="Count",COUNTIFS(INDEX(ZPD,0,$B$3),$B26,INDEX(ZPD,0,$B$8),G$18,Zepto_Data!$A$2:$A$3732,$B$11,Zepto_Data!$L$2:$L$3732,$B$12,Zepto_Data!$K$2:$K$3732,$B$13,Zepto_Data!$M$2:$M$3732,$B$14),IF($B$6="Sum",SUMIFS(INDEX(ZPD,0,$B$5),INDEX(ZPD,0,$B$3),$B26,INDEX(ZPD,0,$B$8),G$18,Zepto_Data!$A$2:$A$3732,$B$11,Zepto_Data!$L$2:$L$3732,$B$12,Zepto_Data!$K$2:$K$3732,$B$13,Zepto_Data!$M$2:$M$3732,$B$14),IFERROR(SUMIFS(INDEX(ZPD,0,$B$5),INDEX(ZPD,0,$B$3),$B26,INDEX(ZPD,0,$B$8),G$18,Zepto_Data!$A$2:$A$3732,$B$11,Zepto_Data!$L$2:$L$3732,$B$12,Zepto_Data!$K$2:$K$3732,$B$13,Zepto_Data!$M$2:$M$3732,$B$14)/COUNTIFS(INDEX(ZPD,0,$B$3),$B26,INDEX(ZPD,0,$B$8),G$18,Zepto_Data!$A$2:$A$3732,$B$11,Zepto_Data!$L$2:$L$3732,$B$12,Zepto_Data!$K$2:$K$3732,$B$13,Zepto_Data!$M$2:$M$3732,$B$14),0))))</f>
        <v/>
      </c>
      <c r="H26" s="16" t="str">
        <f aca="false">IF(OR($B26="",H$18=""),"",IF($B$6="Count",COUNTIFS(INDEX(ZPD,0,$B$3),$B26,INDEX(ZPD,0,$B$8),H$18,Zepto_Data!$A$2:$A$3732,$B$11,Zepto_Data!$L$2:$L$3732,$B$12,Zepto_Data!$K$2:$K$3732,$B$13,Zepto_Data!$M$2:$M$3732,$B$14),IF($B$6="Sum",SUMIFS(INDEX(ZPD,0,$B$5),INDEX(ZPD,0,$B$3),$B26,INDEX(ZPD,0,$B$8),H$18,Zepto_Data!$A$2:$A$3732,$B$11,Zepto_Data!$L$2:$L$3732,$B$12,Zepto_Data!$K$2:$K$3732,$B$13,Zepto_Data!$M$2:$M$3732,$B$14),IFERROR(SUMIFS(INDEX(ZPD,0,$B$5),INDEX(ZPD,0,$B$3),$B26,INDEX(ZPD,0,$B$8),H$18,Zepto_Data!$A$2:$A$3732,$B$11,Zepto_Data!$L$2:$L$3732,$B$12,Zepto_Data!$K$2:$K$3732,$B$13,Zepto_Data!$M$2:$M$3732,$B$14)/COUNTIFS(INDEX(ZPD,0,$B$3),$B26,INDEX(ZPD,0,$B$8),H$18,Zepto_Data!$A$2:$A$3732,$B$11,Zepto_Data!$L$2:$L$3732,$B$12,Zepto_Data!$K$2:$K$3732,$B$13,Zepto_Data!$M$2:$M$3732,$B$14),0))))</f>
        <v/>
      </c>
      <c r="I26" s="16" t="str">
        <f aca="false">IF(OR($B26="",I$18=""),"",IF($B$6="Count",COUNTIFS(INDEX(ZPD,0,$B$3),$B26,INDEX(ZPD,0,$B$8),I$18,Zepto_Data!$A$2:$A$3732,$B$11,Zepto_Data!$L$2:$L$3732,$B$12,Zepto_Data!$K$2:$K$3732,$B$13,Zepto_Data!$M$2:$M$3732,$B$14),IF($B$6="Sum",SUMIFS(INDEX(ZPD,0,$B$5),INDEX(ZPD,0,$B$3),$B26,INDEX(ZPD,0,$B$8),I$18,Zepto_Data!$A$2:$A$3732,$B$11,Zepto_Data!$L$2:$L$3732,$B$12,Zepto_Data!$K$2:$K$3732,$B$13,Zepto_Data!$M$2:$M$3732,$B$14),IFERROR(SUMIFS(INDEX(ZPD,0,$B$5),INDEX(ZPD,0,$B$3),$B26,INDEX(ZPD,0,$B$8),I$18,Zepto_Data!$A$2:$A$3732,$B$11,Zepto_Data!$L$2:$L$3732,$B$12,Zepto_Data!$K$2:$K$3732,$B$13,Zepto_Data!$M$2:$M$3732,$B$14)/COUNTIFS(INDEX(ZPD,0,$B$3),$B26,INDEX(ZPD,0,$B$8),I$18,Zepto_Data!$A$2:$A$3732,$B$11,Zepto_Data!$L$2:$L$3732,$B$12,Zepto_Data!$K$2:$K$3732,$B$13,Zepto_Data!$M$2:$M$3732,$B$14),0))))</f>
        <v/>
      </c>
      <c r="J26" s="16" t="str">
        <f aca="false">IF(OR($B26="",J$18=""),"",IF($B$6="Count",COUNTIFS(INDEX(ZPD,0,$B$3),$B26,INDEX(ZPD,0,$B$8),J$18,Zepto_Data!$A$2:$A$3732,$B$11,Zepto_Data!$L$2:$L$3732,$B$12,Zepto_Data!$K$2:$K$3732,$B$13,Zepto_Data!$M$2:$M$3732,$B$14),IF($B$6="Sum",SUMIFS(INDEX(ZPD,0,$B$5),INDEX(ZPD,0,$B$3),$B26,INDEX(ZPD,0,$B$8),J$18,Zepto_Data!$A$2:$A$3732,$B$11,Zepto_Data!$L$2:$L$3732,$B$12,Zepto_Data!$K$2:$K$3732,$B$13,Zepto_Data!$M$2:$M$3732,$B$14),IFERROR(SUMIFS(INDEX(ZPD,0,$B$5),INDEX(ZPD,0,$B$3),$B26,INDEX(ZPD,0,$B$8),J$18,Zepto_Data!$A$2:$A$3732,$B$11,Zepto_Data!$L$2:$L$3732,$B$12,Zepto_Data!$K$2:$K$3732,$B$13,Zepto_Data!$M$2:$M$3732,$B$14)/COUNTIFS(INDEX(ZPD,0,$B$3),$B26,INDEX(ZPD,0,$B$8),J$18,Zepto_Data!$A$2:$A$3732,$B$11,Zepto_Data!$L$2:$L$3732,$B$12,Zepto_Data!$K$2:$K$3732,$B$13,Zepto_Data!$M$2:$M$3732,$B$14),0))))</f>
        <v/>
      </c>
    </row>
    <row r="27" customFormat="false" ht="15" hidden="false" customHeight="false" outlineLevel="0" collapsed="false">
      <c r="A27" s="16" t="n">
        <v>8</v>
      </c>
      <c r="B27" s="16" t="str">
        <f aca="false">IF(INDEX(ZP_Lists!$L$2:$Q$21,A27,$B$2)="","",INDEX(ZP_Lists!$L$2:$Q$21,A27,$B$2))</f>
        <v>Home &amp; Cleaning</v>
      </c>
      <c r="C27" s="16" t="n">
        <f aca="false">IF(B27="","",IF($B$6="Count",COUNTIFS(INDEX(ZPD,0,$B$3),B27,Zepto_Data!$A$2:$A$3732,$B$11,Zepto_Data!$L$2:$L$3732,$B$12,Zepto_Data!$K$2:$K$3732,$B$13,Zepto_Data!$M$2:$M$3732,$B$14),IF($B$6="Sum",SUMIFS(INDEX(ZPD,0,$B$5),INDEX(ZPD,0,$B$3),B27,Zepto_Data!$A$2:$A$3732,$B$11,Zepto_Data!$L$2:$L$3732,$B$12,Zepto_Data!$K$2:$K$3732,$B$13,Zepto_Data!$M$2:$M$3732,$B$14),IFERROR(SUMIFS(INDEX(ZPD,0,$B$5),INDEX(ZPD,0,$B$3),B27,Zepto_Data!$A$2:$A$3732,$B$11,Zepto_Data!$L$2:$L$3732,$B$12,Zepto_Data!$K$2:$K$3732,$B$13,Zepto_Data!$M$2:$M$3732,$B$14)/COUNTIFS(INDEX(ZPD,0,$B$3),B27,Zepto_Data!$A$2:$A$3732,$B$11,Zepto_Data!$L$2:$L$3732,$B$12,Zepto_Data!$K$2:$K$3732,$B$13,Zepto_Data!$M$2:$M$3732,$B$14),0))))</f>
        <v>122661</v>
      </c>
      <c r="D27" s="16" t="n">
        <f aca="false">IF(B27="","",IF($B$10="Natural order",A27,IF($B$10="Value: high to low",SUMPRODUCT(($B$20:$B$39&lt;&gt;"")*($C$20:$C$39&gt;C27))+SUMPRODUCT(($B$20:B27&lt;&gt;"")*($C$20:C27=C27)),SUMPRODUCT(($B$20:$B$39&lt;&gt;"")*($C$20:$C$39&lt;C27))+SUMPRODUCT(($B$20:B27&lt;&gt;"")*($C$20:C27=C27)))))</f>
        <v>8</v>
      </c>
      <c r="F27" s="16" t="n">
        <f aca="false">IF(OR($B27="",F$18=""),"",IF($B$6="Count",COUNTIFS(INDEX(ZPD,0,$B$3),$B27,INDEX(ZPD,0,$B$8),F$18,Zepto_Data!$A$2:$A$3732,$B$11,Zepto_Data!$L$2:$L$3732,$B$12,Zepto_Data!$K$2:$K$3732,$B$13,Zepto_Data!$M$2:$M$3732,$B$14),IF($B$6="Sum",SUMIFS(INDEX(ZPD,0,$B$5),INDEX(ZPD,0,$B$3),$B27,INDEX(ZPD,0,$B$8),F$18,Zepto_Data!$A$2:$A$3732,$B$11,Zepto_Data!$L$2:$L$3732,$B$12,Zepto_Data!$K$2:$K$3732,$B$13,Zepto_Data!$M$2:$M$3732,$B$14),IFERROR(SUMIFS(INDEX(ZPD,0,$B$5),INDEX(ZPD,0,$B$3),$B27,INDEX(ZPD,0,$B$8),F$18,Zepto_Data!$A$2:$A$3732,$B$11,Zepto_Data!$L$2:$L$3732,$B$12,Zepto_Data!$K$2:$K$3732,$B$13,Zepto_Data!$M$2:$M$3732,$B$14)/COUNTIFS(INDEX(ZPD,0,$B$3),$B27,INDEX(ZPD,0,$B$8),F$18,Zepto_Data!$A$2:$A$3732,$B$11,Zepto_Data!$L$2:$L$3732,$B$12,Zepto_Data!$K$2:$K$3732,$B$13,Zepto_Data!$M$2:$M$3732,$B$14),0))))</f>
        <v>122661</v>
      </c>
      <c r="G27" s="16" t="str">
        <f aca="false">IF(OR($B27="",G$18=""),"",IF($B$6="Count",COUNTIFS(INDEX(ZPD,0,$B$3),$B27,INDEX(ZPD,0,$B$8),G$18,Zepto_Data!$A$2:$A$3732,$B$11,Zepto_Data!$L$2:$L$3732,$B$12,Zepto_Data!$K$2:$K$3732,$B$13,Zepto_Data!$M$2:$M$3732,$B$14),IF($B$6="Sum",SUMIFS(INDEX(ZPD,0,$B$5),INDEX(ZPD,0,$B$3),$B27,INDEX(ZPD,0,$B$8),G$18,Zepto_Data!$A$2:$A$3732,$B$11,Zepto_Data!$L$2:$L$3732,$B$12,Zepto_Data!$K$2:$K$3732,$B$13,Zepto_Data!$M$2:$M$3732,$B$14),IFERROR(SUMIFS(INDEX(ZPD,0,$B$5),INDEX(ZPD,0,$B$3),$B27,INDEX(ZPD,0,$B$8),G$18,Zepto_Data!$A$2:$A$3732,$B$11,Zepto_Data!$L$2:$L$3732,$B$12,Zepto_Data!$K$2:$K$3732,$B$13,Zepto_Data!$M$2:$M$3732,$B$14)/COUNTIFS(INDEX(ZPD,0,$B$3),$B27,INDEX(ZPD,0,$B$8),G$18,Zepto_Data!$A$2:$A$3732,$B$11,Zepto_Data!$L$2:$L$3732,$B$12,Zepto_Data!$K$2:$K$3732,$B$13,Zepto_Data!$M$2:$M$3732,$B$14),0))))</f>
        <v/>
      </c>
      <c r="H27" s="16" t="str">
        <f aca="false">IF(OR($B27="",H$18=""),"",IF($B$6="Count",COUNTIFS(INDEX(ZPD,0,$B$3),$B27,INDEX(ZPD,0,$B$8),H$18,Zepto_Data!$A$2:$A$3732,$B$11,Zepto_Data!$L$2:$L$3732,$B$12,Zepto_Data!$K$2:$K$3732,$B$13,Zepto_Data!$M$2:$M$3732,$B$14),IF($B$6="Sum",SUMIFS(INDEX(ZPD,0,$B$5),INDEX(ZPD,0,$B$3),$B27,INDEX(ZPD,0,$B$8),H$18,Zepto_Data!$A$2:$A$3732,$B$11,Zepto_Data!$L$2:$L$3732,$B$12,Zepto_Data!$K$2:$K$3732,$B$13,Zepto_Data!$M$2:$M$3732,$B$14),IFERROR(SUMIFS(INDEX(ZPD,0,$B$5),INDEX(ZPD,0,$B$3),$B27,INDEX(ZPD,0,$B$8),H$18,Zepto_Data!$A$2:$A$3732,$B$11,Zepto_Data!$L$2:$L$3732,$B$12,Zepto_Data!$K$2:$K$3732,$B$13,Zepto_Data!$M$2:$M$3732,$B$14)/COUNTIFS(INDEX(ZPD,0,$B$3),$B27,INDEX(ZPD,0,$B$8),H$18,Zepto_Data!$A$2:$A$3732,$B$11,Zepto_Data!$L$2:$L$3732,$B$12,Zepto_Data!$K$2:$K$3732,$B$13,Zepto_Data!$M$2:$M$3732,$B$14),0))))</f>
        <v/>
      </c>
      <c r="I27" s="16" t="str">
        <f aca="false">IF(OR($B27="",I$18=""),"",IF($B$6="Count",COUNTIFS(INDEX(ZPD,0,$B$3),$B27,INDEX(ZPD,0,$B$8),I$18,Zepto_Data!$A$2:$A$3732,$B$11,Zepto_Data!$L$2:$L$3732,$B$12,Zepto_Data!$K$2:$K$3732,$B$13,Zepto_Data!$M$2:$M$3732,$B$14),IF($B$6="Sum",SUMIFS(INDEX(ZPD,0,$B$5),INDEX(ZPD,0,$B$3),$B27,INDEX(ZPD,0,$B$8),I$18,Zepto_Data!$A$2:$A$3732,$B$11,Zepto_Data!$L$2:$L$3732,$B$12,Zepto_Data!$K$2:$K$3732,$B$13,Zepto_Data!$M$2:$M$3732,$B$14),IFERROR(SUMIFS(INDEX(ZPD,0,$B$5),INDEX(ZPD,0,$B$3),$B27,INDEX(ZPD,0,$B$8),I$18,Zepto_Data!$A$2:$A$3732,$B$11,Zepto_Data!$L$2:$L$3732,$B$12,Zepto_Data!$K$2:$K$3732,$B$13,Zepto_Data!$M$2:$M$3732,$B$14)/COUNTIFS(INDEX(ZPD,0,$B$3),$B27,INDEX(ZPD,0,$B$8),I$18,Zepto_Data!$A$2:$A$3732,$B$11,Zepto_Data!$L$2:$L$3732,$B$12,Zepto_Data!$K$2:$K$3732,$B$13,Zepto_Data!$M$2:$M$3732,$B$14),0))))</f>
        <v/>
      </c>
      <c r="J27" s="16" t="str">
        <f aca="false">IF(OR($B27="",J$18=""),"",IF($B$6="Count",COUNTIFS(INDEX(ZPD,0,$B$3),$B27,INDEX(ZPD,0,$B$8),J$18,Zepto_Data!$A$2:$A$3732,$B$11,Zepto_Data!$L$2:$L$3732,$B$12,Zepto_Data!$K$2:$K$3732,$B$13,Zepto_Data!$M$2:$M$3732,$B$14),IF($B$6="Sum",SUMIFS(INDEX(ZPD,0,$B$5),INDEX(ZPD,0,$B$3),$B27,INDEX(ZPD,0,$B$8),J$18,Zepto_Data!$A$2:$A$3732,$B$11,Zepto_Data!$L$2:$L$3732,$B$12,Zepto_Data!$K$2:$K$3732,$B$13,Zepto_Data!$M$2:$M$3732,$B$14),IFERROR(SUMIFS(INDEX(ZPD,0,$B$5),INDEX(ZPD,0,$B$3),$B27,INDEX(ZPD,0,$B$8),J$18,Zepto_Data!$A$2:$A$3732,$B$11,Zepto_Data!$L$2:$L$3732,$B$12,Zepto_Data!$K$2:$K$3732,$B$13,Zepto_Data!$M$2:$M$3732,$B$14)/COUNTIFS(INDEX(ZPD,0,$B$3),$B27,INDEX(ZPD,0,$B$8),J$18,Zepto_Data!$A$2:$A$3732,$B$11,Zepto_Data!$L$2:$L$3732,$B$12,Zepto_Data!$K$2:$K$3732,$B$13,Zepto_Data!$M$2:$M$3732,$B$14),0))))</f>
        <v/>
      </c>
    </row>
    <row r="28" customFormat="false" ht="15" hidden="false" customHeight="false" outlineLevel="0" collapsed="false">
      <c r="A28" s="16" t="n">
        <v>9</v>
      </c>
      <c r="B28" s="16" t="str">
        <f aca="false">IF(INDEX(ZP_Lists!$L$2:$Q$21,A28,$B$2)="","",INDEX(ZP_Lists!$L$2:$Q$21,A28,$B$2))</f>
        <v>Ice Cream &amp; Desserts</v>
      </c>
      <c r="C28" s="16" t="n">
        <f aca="false">IF(B28="","",IF($B$6="Count",COUNTIFS(INDEX(ZPD,0,$B$3),B28,Zepto_Data!$A$2:$A$3732,$B$11,Zepto_Data!$L$2:$L$3732,$B$12,Zepto_Data!$K$2:$K$3732,$B$13,Zepto_Data!$M$2:$M$3732,$B$14),IF($B$6="Sum",SUMIFS(INDEX(ZPD,0,$B$5),INDEX(ZPD,0,$B$3),B28,Zepto_Data!$A$2:$A$3732,$B$11,Zepto_Data!$L$2:$L$3732,$B$12,Zepto_Data!$K$2:$K$3732,$B$13,Zepto_Data!$M$2:$M$3732,$B$14),IFERROR(SUMIFS(INDEX(ZPD,0,$B$5),INDEX(ZPD,0,$B$3),B28,Zepto_Data!$A$2:$A$3732,$B$11,Zepto_Data!$L$2:$L$3732,$B$12,Zepto_Data!$K$2:$K$3732,$B$13,Zepto_Data!$M$2:$M$3732,$B$14)/COUNTIFS(INDEX(ZPD,0,$B$3),B28,Zepto_Data!$A$2:$A$3732,$B$11,Zepto_Data!$L$2:$L$3732,$B$12,Zepto_Data!$K$2:$K$3732,$B$13,Zepto_Data!$M$2:$M$3732,$B$14),0))))</f>
        <v>224385</v>
      </c>
      <c r="D28" s="16" t="n">
        <f aca="false">IF(B28="","",IF($B$10="Natural order",A28,IF($B$10="Value: high to low",SUMPRODUCT(($B$20:$B$39&lt;&gt;"")*($C$20:$C$39&gt;C28))+SUMPRODUCT(($B$20:B28&lt;&gt;"")*($C$20:C28=C28)),SUMPRODUCT(($B$20:$B$39&lt;&gt;"")*($C$20:$C$39&lt;C28))+SUMPRODUCT(($B$20:B28&lt;&gt;"")*($C$20:C28=C28)))))</f>
        <v>6</v>
      </c>
      <c r="F28" s="16" t="n">
        <f aca="false">IF(OR($B28="",F$18=""),"",IF($B$6="Count",COUNTIFS(INDEX(ZPD,0,$B$3),$B28,INDEX(ZPD,0,$B$8),F$18,Zepto_Data!$A$2:$A$3732,$B$11,Zepto_Data!$L$2:$L$3732,$B$12,Zepto_Data!$K$2:$K$3732,$B$13,Zepto_Data!$M$2:$M$3732,$B$14),IF($B$6="Sum",SUMIFS(INDEX(ZPD,0,$B$5),INDEX(ZPD,0,$B$3),$B28,INDEX(ZPD,0,$B$8),F$18,Zepto_Data!$A$2:$A$3732,$B$11,Zepto_Data!$L$2:$L$3732,$B$12,Zepto_Data!$K$2:$K$3732,$B$13,Zepto_Data!$M$2:$M$3732,$B$14),IFERROR(SUMIFS(INDEX(ZPD,0,$B$5),INDEX(ZPD,0,$B$3),$B28,INDEX(ZPD,0,$B$8),F$18,Zepto_Data!$A$2:$A$3732,$B$11,Zepto_Data!$L$2:$L$3732,$B$12,Zepto_Data!$K$2:$K$3732,$B$13,Zepto_Data!$M$2:$M$3732,$B$14)/COUNTIFS(INDEX(ZPD,0,$B$3),$B28,INDEX(ZPD,0,$B$8),F$18,Zepto_Data!$A$2:$A$3732,$B$11,Zepto_Data!$L$2:$L$3732,$B$12,Zepto_Data!$K$2:$K$3732,$B$13,Zepto_Data!$M$2:$M$3732,$B$14),0))))</f>
        <v>224385</v>
      </c>
      <c r="G28" s="16" t="str">
        <f aca="false">IF(OR($B28="",G$18=""),"",IF($B$6="Count",COUNTIFS(INDEX(ZPD,0,$B$3),$B28,INDEX(ZPD,0,$B$8),G$18,Zepto_Data!$A$2:$A$3732,$B$11,Zepto_Data!$L$2:$L$3732,$B$12,Zepto_Data!$K$2:$K$3732,$B$13,Zepto_Data!$M$2:$M$3732,$B$14),IF($B$6="Sum",SUMIFS(INDEX(ZPD,0,$B$5),INDEX(ZPD,0,$B$3),$B28,INDEX(ZPD,0,$B$8),G$18,Zepto_Data!$A$2:$A$3732,$B$11,Zepto_Data!$L$2:$L$3732,$B$12,Zepto_Data!$K$2:$K$3732,$B$13,Zepto_Data!$M$2:$M$3732,$B$14),IFERROR(SUMIFS(INDEX(ZPD,0,$B$5),INDEX(ZPD,0,$B$3),$B28,INDEX(ZPD,0,$B$8),G$18,Zepto_Data!$A$2:$A$3732,$B$11,Zepto_Data!$L$2:$L$3732,$B$12,Zepto_Data!$K$2:$K$3732,$B$13,Zepto_Data!$M$2:$M$3732,$B$14)/COUNTIFS(INDEX(ZPD,0,$B$3),$B28,INDEX(ZPD,0,$B$8),G$18,Zepto_Data!$A$2:$A$3732,$B$11,Zepto_Data!$L$2:$L$3732,$B$12,Zepto_Data!$K$2:$K$3732,$B$13,Zepto_Data!$M$2:$M$3732,$B$14),0))))</f>
        <v/>
      </c>
      <c r="H28" s="16" t="str">
        <f aca="false">IF(OR($B28="",H$18=""),"",IF($B$6="Count",COUNTIFS(INDEX(ZPD,0,$B$3),$B28,INDEX(ZPD,0,$B$8),H$18,Zepto_Data!$A$2:$A$3732,$B$11,Zepto_Data!$L$2:$L$3732,$B$12,Zepto_Data!$K$2:$K$3732,$B$13,Zepto_Data!$M$2:$M$3732,$B$14),IF($B$6="Sum",SUMIFS(INDEX(ZPD,0,$B$5),INDEX(ZPD,0,$B$3),$B28,INDEX(ZPD,0,$B$8),H$18,Zepto_Data!$A$2:$A$3732,$B$11,Zepto_Data!$L$2:$L$3732,$B$12,Zepto_Data!$K$2:$K$3732,$B$13,Zepto_Data!$M$2:$M$3732,$B$14),IFERROR(SUMIFS(INDEX(ZPD,0,$B$5),INDEX(ZPD,0,$B$3),$B28,INDEX(ZPD,0,$B$8),H$18,Zepto_Data!$A$2:$A$3732,$B$11,Zepto_Data!$L$2:$L$3732,$B$12,Zepto_Data!$K$2:$K$3732,$B$13,Zepto_Data!$M$2:$M$3732,$B$14)/COUNTIFS(INDEX(ZPD,0,$B$3),$B28,INDEX(ZPD,0,$B$8),H$18,Zepto_Data!$A$2:$A$3732,$B$11,Zepto_Data!$L$2:$L$3732,$B$12,Zepto_Data!$K$2:$K$3732,$B$13,Zepto_Data!$M$2:$M$3732,$B$14),0))))</f>
        <v/>
      </c>
      <c r="I28" s="16" t="str">
        <f aca="false">IF(OR($B28="",I$18=""),"",IF($B$6="Count",COUNTIFS(INDEX(ZPD,0,$B$3),$B28,INDEX(ZPD,0,$B$8),I$18,Zepto_Data!$A$2:$A$3732,$B$11,Zepto_Data!$L$2:$L$3732,$B$12,Zepto_Data!$K$2:$K$3732,$B$13,Zepto_Data!$M$2:$M$3732,$B$14),IF($B$6="Sum",SUMIFS(INDEX(ZPD,0,$B$5),INDEX(ZPD,0,$B$3),$B28,INDEX(ZPD,0,$B$8),I$18,Zepto_Data!$A$2:$A$3732,$B$11,Zepto_Data!$L$2:$L$3732,$B$12,Zepto_Data!$K$2:$K$3732,$B$13,Zepto_Data!$M$2:$M$3732,$B$14),IFERROR(SUMIFS(INDEX(ZPD,0,$B$5),INDEX(ZPD,0,$B$3),$B28,INDEX(ZPD,0,$B$8),I$18,Zepto_Data!$A$2:$A$3732,$B$11,Zepto_Data!$L$2:$L$3732,$B$12,Zepto_Data!$K$2:$K$3732,$B$13,Zepto_Data!$M$2:$M$3732,$B$14)/COUNTIFS(INDEX(ZPD,0,$B$3),$B28,INDEX(ZPD,0,$B$8),I$18,Zepto_Data!$A$2:$A$3732,$B$11,Zepto_Data!$L$2:$L$3732,$B$12,Zepto_Data!$K$2:$K$3732,$B$13,Zepto_Data!$M$2:$M$3732,$B$14),0))))</f>
        <v/>
      </c>
      <c r="J28" s="16" t="str">
        <f aca="false">IF(OR($B28="",J$18=""),"",IF($B$6="Count",COUNTIFS(INDEX(ZPD,0,$B$3),$B28,INDEX(ZPD,0,$B$8),J$18,Zepto_Data!$A$2:$A$3732,$B$11,Zepto_Data!$L$2:$L$3732,$B$12,Zepto_Data!$K$2:$K$3732,$B$13,Zepto_Data!$M$2:$M$3732,$B$14),IF($B$6="Sum",SUMIFS(INDEX(ZPD,0,$B$5),INDEX(ZPD,0,$B$3),$B28,INDEX(ZPD,0,$B$8),J$18,Zepto_Data!$A$2:$A$3732,$B$11,Zepto_Data!$L$2:$L$3732,$B$12,Zepto_Data!$K$2:$K$3732,$B$13,Zepto_Data!$M$2:$M$3732,$B$14),IFERROR(SUMIFS(INDEX(ZPD,0,$B$5),INDEX(ZPD,0,$B$3),$B28,INDEX(ZPD,0,$B$8),J$18,Zepto_Data!$A$2:$A$3732,$B$11,Zepto_Data!$L$2:$L$3732,$B$12,Zepto_Data!$K$2:$K$3732,$B$13,Zepto_Data!$M$2:$M$3732,$B$14)/COUNTIFS(INDEX(ZPD,0,$B$3),$B28,INDEX(ZPD,0,$B$8),J$18,Zepto_Data!$A$2:$A$3732,$B$11,Zepto_Data!$L$2:$L$3732,$B$12,Zepto_Data!$K$2:$K$3732,$B$13,Zepto_Data!$M$2:$M$3732,$B$14),0))))</f>
        <v/>
      </c>
    </row>
    <row r="29" customFormat="false" ht="15" hidden="false" customHeight="false" outlineLevel="0" collapsed="false">
      <c r="A29" s="16" t="n">
        <v>10</v>
      </c>
      <c r="B29" s="16" t="str">
        <f aca="false">IF(INDEX(ZP_Lists!$L$2:$Q$21,A29,$B$2)="","",INDEX(ZP_Lists!$L$2:$Q$21,A29,$B$2))</f>
        <v>Meats, Fish &amp; Eggs</v>
      </c>
      <c r="C29" s="16" t="n">
        <f aca="false">IF(B29="","",IF($B$6="Count",COUNTIFS(INDEX(ZPD,0,$B$3),B29,Zepto_Data!$A$2:$A$3732,$B$11,Zepto_Data!$L$2:$L$3732,$B$12,Zepto_Data!$K$2:$K$3732,$B$13,Zepto_Data!$M$2:$M$3732,$B$14),IF($B$6="Sum",SUMIFS(INDEX(ZPD,0,$B$5),INDEX(ZPD,0,$B$3),B29,Zepto_Data!$A$2:$A$3732,$B$11,Zepto_Data!$L$2:$L$3732,$B$12,Zepto_Data!$K$2:$K$3732,$B$13,Zepto_Data!$M$2:$M$3732,$B$14),IFERROR(SUMIFS(INDEX(ZPD,0,$B$5),INDEX(ZPD,0,$B$3),B29,Zepto_Data!$A$2:$A$3732,$B$11,Zepto_Data!$L$2:$L$3732,$B$12,Zepto_Data!$K$2:$K$3732,$B$13,Zepto_Data!$M$2:$M$3732,$B$14)/COUNTIFS(INDEX(ZPD,0,$B$3),B29,Zepto_Data!$A$2:$A$3732,$B$11,Zepto_Data!$L$2:$L$3732,$B$12,Zepto_Data!$K$2:$K$3732,$B$13,Zepto_Data!$M$2:$M$3732,$B$14),0))))</f>
        <v>20693</v>
      </c>
      <c r="D29" s="16" t="n">
        <f aca="false">IF(B29="","",IF($B$10="Natural order",A29,IF($B$10="Value: high to low",SUMPRODUCT(($B$20:$B$39&lt;&gt;"")*($C$20:$C$39&gt;C29))+SUMPRODUCT(($B$20:B29&lt;&gt;"")*($C$20:C29=C29)),SUMPRODUCT(($B$20:$B$39&lt;&gt;"")*($C$20:$C$39&lt;C29))+SUMPRODUCT(($B$20:B29&lt;&gt;"")*($C$20:C29=C29)))))</f>
        <v>13</v>
      </c>
      <c r="F29" s="16" t="n">
        <f aca="false">IF(OR($B29="",F$18=""),"",IF($B$6="Count",COUNTIFS(INDEX(ZPD,0,$B$3),$B29,INDEX(ZPD,0,$B$8),F$18,Zepto_Data!$A$2:$A$3732,$B$11,Zepto_Data!$L$2:$L$3732,$B$12,Zepto_Data!$K$2:$K$3732,$B$13,Zepto_Data!$M$2:$M$3732,$B$14),IF($B$6="Sum",SUMIFS(INDEX(ZPD,0,$B$5),INDEX(ZPD,0,$B$3),$B29,INDEX(ZPD,0,$B$8),F$18,Zepto_Data!$A$2:$A$3732,$B$11,Zepto_Data!$L$2:$L$3732,$B$12,Zepto_Data!$K$2:$K$3732,$B$13,Zepto_Data!$M$2:$M$3732,$B$14),IFERROR(SUMIFS(INDEX(ZPD,0,$B$5),INDEX(ZPD,0,$B$3),$B29,INDEX(ZPD,0,$B$8),F$18,Zepto_Data!$A$2:$A$3732,$B$11,Zepto_Data!$L$2:$L$3732,$B$12,Zepto_Data!$K$2:$K$3732,$B$13,Zepto_Data!$M$2:$M$3732,$B$14)/COUNTIFS(INDEX(ZPD,0,$B$3),$B29,INDEX(ZPD,0,$B$8),F$18,Zepto_Data!$A$2:$A$3732,$B$11,Zepto_Data!$L$2:$L$3732,$B$12,Zepto_Data!$K$2:$K$3732,$B$13,Zepto_Data!$M$2:$M$3732,$B$14),0))))</f>
        <v>20693</v>
      </c>
      <c r="G29" s="16" t="str">
        <f aca="false">IF(OR($B29="",G$18=""),"",IF($B$6="Count",COUNTIFS(INDEX(ZPD,0,$B$3),$B29,INDEX(ZPD,0,$B$8),G$18,Zepto_Data!$A$2:$A$3732,$B$11,Zepto_Data!$L$2:$L$3732,$B$12,Zepto_Data!$K$2:$K$3732,$B$13,Zepto_Data!$M$2:$M$3732,$B$14),IF($B$6="Sum",SUMIFS(INDEX(ZPD,0,$B$5),INDEX(ZPD,0,$B$3),$B29,INDEX(ZPD,0,$B$8),G$18,Zepto_Data!$A$2:$A$3732,$B$11,Zepto_Data!$L$2:$L$3732,$B$12,Zepto_Data!$K$2:$K$3732,$B$13,Zepto_Data!$M$2:$M$3732,$B$14),IFERROR(SUMIFS(INDEX(ZPD,0,$B$5),INDEX(ZPD,0,$B$3),$B29,INDEX(ZPD,0,$B$8),G$18,Zepto_Data!$A$2:$A$3732,$B$11,Zepto_Data!$L$2:$L$3732,$B$12,Zepto_Data!$K$2:$K$3732,$B$13,Zepto_Data!$M$2:$M$3732,$B$14)/COUNTIFS(INDEX(ZPD,0,$B$3),$B29,INDEX(ZPD,0,$B$8),G$18,Zepto_Data!$A$2:$A$3732,$B$11,Zepto_Data!$L$2:$L$3732,$B$12,Zepto_Data!$K$2:$K$3732,$B$13,Zepto_Data!$M$2:$M$3732,$B$14),0))))</f>
        <v/>
      </c>
      <c r="H29" s="16" t="str">
        <f aca="false">IF(OR($B29="",H$18=""),"",IF($B$6="Count",COUNTIFS(INDEX(ZPD,0,$B$3),$B29,INDEX(ZPD,0,$B$8),H$18,Zepto_Data!$A$2:$A$3732,$B$11,Zepto_Data!$L$2:$L$3732,$B$12,Zepto_Data!$K$2:$K$3732,$B$13,Zepto_Data!$M$2:$M$3732,$B$14),IF($B$6="Sum",SUMIFS(INDEX(ZPD,0,$B$5),INDEX(ZPD,0,$B$3),$B29,INDEX(ZPD,0,$B$8),H$18,Zepto_Data!$A$2:$A$3732,$B$11,Zepto_Data!$L$2:$L$3732,$B$12,Zepto_Data!$K$2:$K$3732,$B$13,Zepto_Data!$M$2:$M$3732,$B$14),IFERROR(SUMIFS(INDEX(ZPD,0,$B$5),INDEX(ZPD,0,$B$3),$B29,INDEX(ZPD,0,$B$8),H$18,Zepto_Data!$A$2:$A$3732,$B$11,Zepto_Data!$L$2:$L$3732,$B$12,Zepto_Data!$K$2:$K$3732,$B$13,Zepto_Data!$M$2:$M$3732,$B$14)/COUNTIFS(INDEX(ZPD,0,$B$3),$B29,INDEX(ZPD,0,$B$8),H$18,Zepto_Data!$A$2:$A$3732,$B$11,Zepto_Data!$L$2:$L$3732,$B$12,Zepto_Data!$K$2:$K$3732,$B$13,Zepto_Data!$M$2:$M$3732,$B$14),0))))</f>
        <v/>
      </c>
      <c r="I29" s="16" t="str">
        <f aca="false">IF(OR($B29="",I$18=""),"",IF($B$6="Count",COUNTIFS(INDEX(ZPD,0,$B$3),$B29,INDEX(ZPD,0,$B$8),I$18,Zepto_Data!$A$2:$A$3732,$B$11,Zepto_Data!$L$2:$L$3732,$B$12,Zepto_Data!$K$2:$K$3732,$B$13,Zepto_Data!$M$2:$M$3732,$B$14),IF($B$6="Sum",SUMIFS(INDEX(ZPD,0,$B$5),INDEX(ZPD,0,$B$3),$B29,INDEX(ZPD,0,$B$8),I$18,Zepto_Data!$A$2:$A$3732,$B$11,Zepto_Data!$L$2:$L$3732,$B$12,Zepto_Data!$K$2:$K$3732,$B$13,Zepto_Data!$M$2:$M$3732,$B$14),IFERROR(SUMIFS(INDEX(ZPD,0,$B$5),INDEX(ZPD,0,$B$3),$B29,INDEX(ZPD,0,$B$8),I$18,Zepto_Data!$A$2:$A$3732,$B$11,Zepto_Data!$L$2:$L$3732,$B$12,Zepto_Data!$K$2:$K$3732,$B$13,Zepto_Data!$M$2:$M$3732,$B$14)/COUNTIFS(INDEX(ZPD,0,$B$3),$B29,INDEX(ZPD,0,$B$8),I$18,Zepto_Data!$A$2:$A$3732,$B$11,Zepto_Data!$L$2:$L$3732,$B$12,Zepto_Data!$K$2:$K$3732,$B$13,Zepto_Data!$M$2:$M$3732,$B$14),0))))</f>
        <v/>
      </c>
      <c r="J29" s="16" t="str">
        <f aca="false">IF(OR($B29="",J$18=""),"",IF($B$6="Count",COUNTIFS(INDEX(ZPD,0,$B$3),$B29,INDEX(ZPD,0,$B$8),J$18,Zepto_Data!$A$2:$A$3732,$B$11,Zepto_Data!$L$2:$L$3732,$B$12,Zepto_Data!$K$2:$K$3732,$B$13,Zepto_Data!$M$2:$M$3732,$B$14),IF($B$6="Sum",SUMIFS(INDEX(ZPD,0,$B$5),INDEX(ZPD,0,$B$3),$B29,INDEX(ZPD,0,$B$8),J$18,Zepto_Data!$A$2:$A$3732,$B$11,Zepto_Data!$L$2:$L$3732,$B$12,Zepto_Data!$K$2:$K$3732,$B$13,Zepto_Data!$M$2:$M$3732,$B$14),IFERROR(SUMIFS(INDEX(ZPD,0,$B$5),INDEX(ZPD,0,$B$3),$B29,INDEX(ZPD,0,$B$8),J$18,Zepto_Data!$A$2:$A$3732,$B$11,Zepto_Data!$L$2:$L$3732,$B$12,Zepto_Data!$K$2:$K$3732,$B$13,Zepto_Data!$M$2:$M$3732,$B$14)/COUNTIFS(INDEX(ZPD,0,$B$3),$B29,INDEX(ZPD,0,$B$8),J$18,Zepto_Data!$A$2:$A$3732,$B$11,Zepto_Data!$L$2:$L$3732,$B$12,Zepto_Data!$K$2:$K$3732,$B$13,Zepto_Data!$M$2:$M$3732,$B$14),0))))</f>
        <v/>
      </c>
    </row>
    <row r="30" customFormat="false" ht="15" hidden="false" customHeight="false" outlineLevel="0" collapsed="false">
      <c r="A30" s="16" t="n">
        <v>11</v>
      </c>
      <c r="B30" s="16" t="str">
        <f aca="false">IF(INDEX(ZP_Lists!$L$2:$Q$21,A30,$B$2)="","",INDEX(ZP_Lists!$L$2:$Q$21,A30,$B$2))</f>
        <v>Munchies</v>
      </c>
      <c r="C30" s="16" t="n">
        <f aca="false">IF(B30="","",IF($B$6="Count",COUNTIFS(INDEX(ZPD,0,$B$3),B30,Zepto_Data!$A$2:$A$3732,$B$11,Zepto_Data!$L$2:$L$3732,$B$12,Zepto_Data!$K$2:$K$3732,$B$13,Zepto_Data!$M$2:$M$3732,$B$14),IF($B$6="Sum",SUMIFS(INDEX(ZPD,0,$B$5),INDEX(ZPD,0,$B$3),B30,Zepto_Data!$A$2:$A$3732,$B$11,Zepto_Data!$L$2:$L$3732,$B$12,Zepto_Data!$K$2:$K$3732,$B$13,Zepto_Data!$M$2:$M$3732,$B$14),IFERROR(SUMIFS(INDEX(ZPD,0,$B$5),INDEX(ZPD,0,$B$3),B30,Zepto_Data!$A$2:$A$3732,$B$11,Zepto_Data!$L$2:$L$3732,$B$12,Zepto_Data!$K$2:$K$3732,$B$13,Zepto_Data!$M$2:$M$3732,$B$14)/COUNTIFS(INDEX(ZPD,0,$B$3),B30,Zepto_Data!$A$2:$A$3732,$B$11,Zepto_Data!$L$2:$L$3732,$B$12,Zepto_Data!$K$2:$K$3732,$B$13,Zepto_Data!$M$2:$M$3732,$B$14),0))))</f>
        <v>337369</v>
      </c>
      <c r="D30" s="16" t="n">
        <f aca="false">IF(B30="","",IF($B$10="Natural order",A30,IF($B$10="Value: high to low",SUMPRODUCT(($B$20:$B$39&lt;&gt;"")*($C$20:$C$39&gt;C30))+SUMPRODUCT(($B$20:B30&lt;&gt;"")*($C$20:C30=C30)),SUMPRODUCT(($B$20:$B$39&lt;&gt;"")*($C$20:$C$39&lt;C30))+SUMPRODUCT(($B$20:B30&lt;&gt;"")*($C$20:C30=C30)))))</f>
        <v>2</v>
      </c>
      <c r="F30" s="16" t="n">
        <f aca="false">IF(OR($B30="",F$18=""),"",IF($B$6="Count",COUNTIFS(INDEX(ZPD,0,$B$3),$B30,INDEX(ZPD,0,$B$8),F$18,Zepto_Data!$A$2:$A$3732,$B$11,Zepto_Data!$L$2:$L$3732,$B$12,Zepto_Data!$K$2:$K$3732,$B$13,Zepto_Data!$M$2:$M$3732,$B$14),IF($B$6="Sum",SUMIFS(INDEX(ZPD,0,$B$5),INDEX(ZPD,0,$B$3),$B30,INDEX(ZPD,0,$B$8),F$18,Zepto_Data!$A$2:$A$3732,$B$11,Zepto_Data!$L$2:$L$3732,$B$12,Zepto_Data!$K$2:$K$3732,$B$13,Zepto_Data!$M$2:$M$3732,$B$14),IFERROR(SUMIFS(INDEX(ZPD,0,$B$5),INDEX(ZPD,0,$B$3),$B30,INDEX(ZPD,0,$B$8),F$18,Zepto_Data!$A$2:$A$3732,$B$11,Zepto_Data!$L$2:$L$3732,$B$12,Zepto_Data!$K$2:$K$3732,$B$13,Zepto_Data!$M$2:$M$3732,$B$14)/COUNTIFS(INDEX(ZPD,0,$B$3),$B30,INDEX(ZPD,0,$B$8),F$18,Zepto_Data!$A$2:$A$3732,$B$11,Zepto_Data!$L$2:$L$3732,$B$12,Zepto_Data!$K$2:$K$3732,$B$13,Zepto_Data!$M$2:$M$3732,$B$14),0))))</f>
        <v>337369</v>
      </c>
      <c r="G30" s="16" t="str">
        <f aca="false">IF(OR($B30="",G$18=""),"",IF($B$6="Count",COUNTIFS(INDEX(ZPD,0,$B$3),$B30,INDEX(ZPD,0,$B$8),G$18,Zepto_Data!$A$2:$A$3732,$B$11,Zepto_Data!$L$2:$L$3732,$B$12,Zepto_Data!$K$2:$K$3732,$B$13,Zepto_Data!$M$2:$M$3732,$B$14),IF($B$6="Sum",SUMIFS(INDEX(ZPD,0,$B$5),INDEX(ZPD,0,$B$3),$B30,INDEX(ZPD,0,$B$8),G$18,Zepto_Data!$A$2:$A$3732,$B$11,Zepto_Data!$L$2:$L$3732,$B$12,Zepto_Data!$K$2:$K$3732,$B$13,Zepto_Data!$M$2:$M$3732,$B$14),IFERROR(SUMIFS(INDEX(ZPD,0,$B$5),INDEX(ZPD,0,$B$3),$B30,INDEX(ZPD,0,$B$8),G$18,Zepto_Data!$A$2:$A$3732,$B$11,Zepto_Data!$L$2:$L$3732,$B$12,Zepto_Data!$K$2:$K$3732,$B$13,Zepto_Data!$M$2:$M$3732,$B$14)/COUNTIFS(INDEX(ZPD,0,$B$3),$B30,INDEX(ZPD,0,$B$8),G$18,Zepto_Data!$A$2:$A$3732,$B$11,Zepto_Data!$L$2:$L$3732,$B$12,Zepto_Data!$K$2:$K$3732,$B$13,Zepto_Data!$M$2:$M$3732,$B$14),0))))</f>
        <v/>
      </c>
      <c r="H30" s="16" t="str">
        <f aca="false">IF(OR($B30="",H$18=""),"",IF($B$6="Count",COUNTIFS(INDEX(ZPD,0,$B$3),$B30,INDEX(ZPD,0,$B$8),H$18,Zepto_Data!$A$2:$A$3732,$B$11,Zepto_Data!$L$2:$L$3732,$B$12,Zepto_Data!$K$2:$K$3732,$B$13,Zepto_Data!$M$2:$M$3732,$B$14),IF($B$6="Sum",SUMIFS(INDEX(ZPD,0,$B$5),INDEX(ZPD,0,$B$3),$B30,INDEX(ZPD,0,$B$8),H$18,Zepto_Data!$A$2:$A$3732,$B$11,Zepto_Data!$L$2:$L$3732,$B$12,Zepto_Data!$K$2:$K$3732,$B$13,Zepto_Data!$M$2:$M$3732,$B$14),IFERROR(SUMIFS(INDEX(ZPD,0,$B$5),INDEX(ZPD,0,$B$3),$B30,INDEX(ZPD,0,$B$8),H$18,Zepto_Data!$A$2:$A$3732,$B$11,Zepto_Data!$L$2:$L$3732,$B$12,Zepto_Data!$K$2:$K$3732,$B$13,Zepto_Data!$M$2:$M$3732,$B$14)/COUNTIFS(INDEX(ZPD,0,$B$3),$B30,INDEX(ZPD,0,$B$8),H$18,Zepto_Data!$A$2:$A$3732,$B$11,Zepto_Data!$L$2:$L$3732,$B$12,Zepto_Data!$K$2:$K$3732,$B$13,Zepto_Data!$M$2:$M$3732,$B$14),0))))</f>
        <v/>
      </c>
      <c r="I30" s="16" t="str">
        <f aca="false">IF(OR($B30="",I$18=""),"",IF($B$6="Count",COUNTIFS(INDEX(ZPD,0,$B$3),$B30,INDEX(ZPD,0,$B$8),I$18,Zepto_Data!$A$2:$A$3732,$B$11,Zepto_Data!$L$2:$L$3732,$B$12,Zepto_Data!$K$2:$K$3732,$B$13,Zepto_Data!$M$2:$M$3732,$B$14),IF($B$6="Sum",SUMIFS(INDEX(ZPD,0,$B$5),INDEX(ZPD,0,$B$3),$B30,INDEX(ZPD,0,$B$8),I$18,Zepto_Data!$A$2:$A$3732,$B$11,Zepto_Data!$L$2:$L$3732,$B$12,Zepto_Data!$K$2:$K$3732,$B$13,Zepto_Data!$M$2:$M$3732,$B$14),IFERROR(SUMIFS(INDEX(ZPD,0,$B$5),INDEX(ZPD,0,$B$3),$B30,INDEX(ZPD,0,$B$8),I$18,Zepto_Data!$A$2:$A$3732,$B$11,Zepto_Data!$L$2:$L$3732,$B$12,Zepto_Data!$K$2:$K$3732,$B$13,Zepto_Data!$M$2:$M$3732,$B$14)/COUNTIFS(INDEX(ZPD,0,$B$3),$B30,INDEX(ZPD,0,$B$8),I$18,Zepto_Data!$A$2:$A$3732,$B$11,Zepto_Data!$L$2:$L$3732,$B$12,Zepto_Data!$K$2:$K$3732,$B$13,Zepto_Data!$M$2:$M$3732,$B$14),0))))</f>
        <v/>
      </c>
      <c r="J30" s="16" t="str">
        <f aca="false">IF(OR($B30="",J$18=""),"",IF($B$6="Count",COUNTIFS(INDEX(ZPD,0,$B$3),$B30,INDEX(ZPD,0,$B$8),J$18,Zepto_Data!$A$2:$A$3732,$B$11,Zepto_Data!$L$2:$L$3732,$B$12,Zepto_Data!$K$2:$K$3732,$B$13,Zepto_Data!$M$2:$M$3732,$B$14),IF($B$6="Sum",SUMIFS(INDEX(ZPD,0,$B$5),INDEX(ZPD,0,$B$3),$B30,INDEX(ZPD,0,$B$8),J$18,Zepto_Data!$A$2:$A$3732,$B$11,Zepto_Data!$L$2:$L$3732,$B$12,Zepto_Data!$K$2:$K$3732,$B$13,Zepto_Data!$M$2:$M$3732,$B$14),IFERROR(SUMIFS(INDEX(ZPD,0,$B$5),INDEX(ZPD,0,$B$3),$B30,INDEX(ZPD,0,$B$8),J$18,Zepto_Data!$A$2:$A$3732,$B$11,Zepto_Data!$L$2:$L$3732,$B$12,Zepto_Data!$K$2:$K$3732,$B$13,Zepto_Data!$M$2:$M$3732,$B$14)/COUNTIFS(INDEX(ZPD,0,$B$3),$B30,INDEX(ZPD,0,$B$8),J$18,Zepto_Data!$A$2:$A$3732,$B$11,Zepto_Data!$L$2:$L$3732,$B$12,Zepto_Data!$K$2:$K$3732,$B$13,Zepto_Data!$M$2:$M$3732,$B$14),0))))</f>
        <v/>
      </c>
    </row>
    <row r="31" customFormat="false" ht="15" hidden="false" customHeight="false" outlineLevel="0" collapsed="false">
      <c r="A31" s="16" t="n">
        <v>12</v>
      </c>
      <c r="B31" s="16" t="str">
        <f aca="false">IF(INDEX(ZP_Lists!$L$2:$Q$21,A31,$B$2)="","",INDEX(ZP_Lists!$L$2:$Q$21,A31,$B$2))</f>
        <v>Paan Corner</v>
      </c>
      <c r="C31" s="16" t="n">
        <f aca="false">IF(B31="","",IF($B$6="Count",COUNTIFS(INDEX(ZPD,0,$B$3),B31,Zepto_Data!$A$2:$A$3732,$B$11,Zepto_Data!$L$2:$L$3732,$B$12,Zepto_Data!$K$2:$K$3732,$B$13,Zepto_Data!$M$2:$M$3732,$B$14),IF($B$6="Sum",SUMIFS(INDEX(ZPD,0,$B$5),INDEX(ZPD,0,$B$3),B31,Zepto_Data!$A$2:$A$3732,$B$11,Zepto_Data!$L$2:$L$3732,$B$12,Zepto_Data!$K$2:$K$3732,$B$13,Zepto_Data!$M$2:$M$3732,$B$14),IFERROR(SUMIFS(INDEX(ZPD,0,$B$5),INDEX(ZPD,0,$B$3),B31,Zepto_Data!$A$2:$A$3732,$B$11,Zepto_Data!$L$2:$L$3732,$B$12,Zepto_Data!$K$2:$K$3732,$B$13,Zepto_Data!$M$2:$M$3732,$B$14)/COUNTIFS(INDEX(ZPD,0,$B$3),B31,Zepto_Data!$A$2:$A$3732,$B$11,Zepto_Data!$L$2:$L$3732,$B$12,Zepto_Data!$K$2:$K$3732,$B$13,Zepto_Data!$M$2:$M$3732,$B$14),0))))</f>
        <v>270849</v>
      </c>
      <c r="D31" s="16" t="n">
        <f aca="false">IF(B31="","",IF($B$10="Natural order",A31,IF($B$10="Value: high to low",SUMPRODUCT(($B$20:$B$39&lt;&gt;"")*($C$20:$C$39&gt;C31))+SUMPRODUCT(($B$20:B31&lt;&gt;"")*($C$20:C31=C31)),SUMPRODUCT(($B$20:$B$39&lt;&gt;"")*($C$20:$C$39&lt;C31))+SUMPRODUCT(($B$20:B31&lt;&gt;"")*($C$20:C31=C31)))))</f>
        <v>3</v>
      </c>
      <c r="F31" s="16" t="n">
        <f aca="false">IF(OR($B31="",F$18=""),"",IF($B$6="Count",COUNTIFS(INDEX(ZPD,0,$B$3),$B31,INDEX(ZPD,0,$B$8),F$18,Zepto_Data!$A$2:$A$3732,$B$11,Zepto_Data!$L$2:$L$3732,$B$12,Zepto_Data!$K$2:$K$3732,$B$13,Zepto_Data!$M$2:$M$3732,$B$14),IF($B$6="Sum",SUMIFS(INDEX(ZPD,0,$B$5),INDEX(ZPD,0,$B$3),$B31,INDEX(ZPD,0,$B$8),F$18,Zepto_Data!$A$2:$A$3732,$B$11,Zepto_Data!$L$2:$L$3732,$B$12,Zepto_Data!$K$2:$K$3732,$B$13,Zepto_Data!$M$2:$M$3732,$B$14),IFERROR(SUMIFS(INDEX(ZPD,0,$B$5),INDEX(ZPD,0,$B$3),$B31,INDEX(ZPD,0,$B$8),F$18,Zepto_Data!$A$2:$A$3732,$B$11,Zepto_Data!$L$2:$L$3732,$B$12,Zepto_Data!$K$2:$K$3732,$B$13,Zepto_Data!$M$2:$M$3732,$B$14)/COUNTIFS(INDEX(ZPD,0,$B$3),$B31,INDEX(ZPD,0,$B$8),F$18,Zepto_Data!$A$2:$A$3732,$B$11,Zepto_Data!$L$2:$L$3732,$B$12,Zepto_Data!$K$2:$K$3732,$B$13,Zepto_Data!$M$2:$M$3732,$B$14),0))))</f>
        <v>270849</v>
      </c>
      <c r="G31" s="16" t="str">
        <f aca="false">IF(OR($B31="",G$18=""),"",IF($B$6="Count",COUNTIFS(INDEX(ZPD,0,$B$3),$B31,INDEX(ZPD,0,$B$8),G$18,Zepto_Data!$A$2:$A$3732,$B$11,Zepto_Data!$L$2:$L$3732,$B$12,Zepto_Data!$K$2:$K$3732,$B$13,Zepto_Data!$M$2:$M$3732,$B$14),IF($B$6="Sum",SUMIFS(INDEX(ZPD,0,$B$5),INDEX(ZPD,0,$B$3),$B31,INDEX(ZPD,0,$B$8),G$18,Zepto_Data!$A$2:$A$3732,$B$11,Zepto_Data!$L$2:$L$3732,$B$12,Zepto_Data!$K$2:$K$3732,$B$13,Zepto_Data!$M$2:$M$3732,$B$14),IFERROR(SUMIFS(INDEX(ZPD,0,$B$5),INDEX(ZPD,0,$B$3),$B31,INDEX(ZPD,0,$B$8),G$18,Zepto_Data!$A$2:$A$3732,$B$11,Zepto_Data!$L$2:$L$3732,$B$12,Zepto_Data!$K$2:$K$3732,$B$13,Zepto_Data!$M$2:$M$3732,$B$14)/COUNTIFS(INDEX(ZPD,0,$B$3),$B31,INDEX(ZPD,0,$B$8),G$18,Zepto_Data!$A$2:$A$3732,$B$11,Zepto_Data!$L$2:$L$3732,$B$12,Zepto_Data!$K$2:$K$3732,$B$13,Zepto_Data!$M$2:$M$3732,$B$14),0))))</f>
        <v/>
      </c>
      <c r="H31" s="16" t="str">
        <f aca="false">IF(OR($B31="",H$18=""),"",IF($B$6="Count",COUNTIFS(INDEX(ZPD,0,$B$3),$B31,INDEX(ZPD,0,$B$8),H$18,Zepto_Data!$A$2:$A$3732,$B$11,Zepto_Data!$L$2:$L$3732,$B$12,Zepto_Data!$K$2:$K$3732,$B$13,Zepto_Data!$M$2:$M$3732,$B$14),IF($B$6="Sum",SUMIFS(INDEX(ZPD,0,$B$5),INDEX(ZPD,0,$B$3),$B31,INDEX(ZPD,0,$B$8),H$18,Zepto_Data!$A$2:$A$3732,$B$11,Zepto_Data!$L$2:$L$3732,$B$12,Zepto_Data!$K$2:$K$3732,$B$13,Zepto_Data!$M$2:$M$3732,$B$14),IFERROR(SUMIFS(INDEX(ZPD,0,$B$5),INDEX(ZPD,0,$B$3),$B31,INDEX(ZPD,0,$B$8),H$18,Zepto_Data!$A$2:$A$3732,$B$11,Zepto_Data!$L$2:$L$3732,$B$12,Zepto_Data!$K$2:$K$3732,$B$13,Zepto_Data!$M$2:$M$3732,$B$14)/COUNTIFS(INDEX(ZPD,0,$B$3),$B31,INDEX(ZPD,0,$B$8),H$18,Zepto_Data!$A$2:$A$3732,$B$11,Zepto_Data!$L$2:$L$3732,$B$12,Zepto_Data!$K$2:$K$3732,$B$13,Zepto_Data!$M$2:$M$3732,$B$14),0))))</f>
        <v/>
      </c>
      <c r="I31" s="16" t="str">
        <f aca="false">IF(OR($B31="",I$18=""),"",IF($B$6="Count",COUNTIFS(INDEX(ZPD,0,$B$3),$B31,INDEX(ZPD,0,$B$8),I$18,Zepto_Data!$A$2:$A$3732,$B$11,Zepto_Data!$L$2:$L$3732,$B$12,Zepto_Data!$K$2:$K$3732,$B$13,Zepto_Data!$M$2:$M$3732,$B$14),IF($B$6="Sum",SUMIFS(INDEX(ZPD,0,$B$5),INDEX(ZPD,0,$B$3),$B31,INDEX(ZPD,0,$B$8),I$18,Zepto_Data!$A$2:$A$3732,$B$11,Zepto_Data!$L$2:$L$3732,$B$12,Zepto_Data!$K$2:$K$3732,$B$13,Zepto_Data!$M$2:$M$3732,$B$14),IFERROR(SUMIFS(INDEX(ZPD,0,$B$5),INDEX(ZPD,0,$B$3),$B31,INDEX(ZPD,0,$B$8),I$18,Zepto_Data!$A$2:$A$3732,$B$11,Zepto_Data!$L$2:$L$3732,$B$12,Zepto_Data!$K$2:$K$3732,$B$13,Zepto_Data!$M$2:$M$3732,$B$14)/COUNTIFS(INDEX(ZPD,0,$B$3),$B31,INDEX(ZPD,0,$B$8),I$18,Zepto_Data!$A$2:$A$3732,$B$11,Zepto_Data!$L$2:$L$3732,$B$12,Zepto_Data!$K$2:$K$3732,$B$13,Zepto_Data!$M$2:$M$3732,$B$14),0))))</f>
        <v/>
      </c>
      <c r="J31" s="16" t="str">
        <f aca="false">IF(OR($B31="",J$18=""),"",IF($B$6="Count",COUNTIFS(INDEX(ZPD,0,$B$3),$B31,INDEX(ZPD,0,$B$8),J$18,Zepto_Data!$A$2:$A$3732,$B$11,Zepto_Data!$L$2:$L$3732,$B$12,Zepto_Data!$K$2:$K$3732,$B$13,Zepto_Data!$M$2:$M$3732,$B$14),IF($B$6="Sum",SUMIFS(INDEX(ZPD,0,$B$5),INDEX(ZPD,0,$B$3),$B31,INDEX(ZPD,0,$B$8),J$18,Zepto_Data!$A$2:$A$3732,$B$11,Zepto_Data!$L$2:$L$3732,$B$12,Zepto_Data!$K$2:$K$3732,$B$13,Zepto_Data!$M$2:$M$3732,$B$14),IFERROR(SUMIFS(INDEX(ZPD,0,$B$5),INDEX(ZPD,0,$B$3),$B31,INDEX(ZPD,0,$B$8),J$18,Zepto_Data!$A$2:$A$3732,$B$11,Zepto_Data!$L$2:$L$3732,$B$12,Zepto_Data!$K$2:$K$3732,$B$13,Zepto_Data!$M$2:$M$3732,$B$14)/COUNTIFS(INDEX(ZPD,0,$B$3),$B31,INDEX(ZPD,0,$B$8),J$18,Zepto_Data!$A$2:$A$3732,$B$11,Zepto_Data!$L$2:$L$3732,$B$12,Zepto_Data!$K$2:$K$3732,$B$13,Zepto_Data!$M$2:$M$3732,$B$14),0))))</f>
        <v/>
      </c>
    </row>
    <row r="32" customFormat="false" ht="15" hidden="false" customHeight="false" outlineLevel="0" collapsed="false">
      <c r="A32" s="16" t="n">
        <v>13</v>
      </c>
      <c r="B32" s="16" t="str">
        <f aca="false">IF(INDEX(ZP_Lists!$L$2:$Q$21,A32,$B$2)="","",INDEX(ZP_Lists!$L$2:$Q$21,A32,$B$2))</f>
        <v>Packaged Food</v>
      </c>
      <c r="C32" s="16" t="n">
        <f aca="false">IF(B32="","",IF($B$6="Count",COUNTIFS(INDEX(ZPD,0,$B$3),B32,Zepto_Data!$A$2:$A$3732,$B$11,Zepto_Data!$L$2:$L$3732,$B$12,Zepto_Data!$K$2:$K$3732,$B$13,Zepto_Data!$M$2:$M$3732,$B$14),IF($B$6="Sum",SUMIFS(INDEX(ZPD,0,$B$5),INDEX(ZPD,0,$B$3),B32,Zepto_Data!$A$2:$A$3732,$B$11,Zepto_Data!$L$2:$L$3732,$B$12,Zepto_Data!$K$2:$K$3732,$B$13,Zepto_Data!$M$2:$M$3732,$B$14),IFERROR(SUMIFS(INDEX(ZPD,0,$B$5),INDEX(ZPD,0,$B$3),B32,Zepto_Data!$A$2:$A$3732,$B$11,Zepto_Data!$L$2:$L$3732,$B$12,Zepto_Data!$K$2:$K$3732,$B$13,Zepto_Data!$M$2:$M$3732,$B$14)/COUNTIFS(INDEX(ZPD,0,$B$3),B32,Zepto_Data!$A$2:$A$3732,$B$11,Zepto_Data!$L$2:$L$3732,$B$12,Zepto_Data!$K$2:$K$3732,$B$13,Zepto_Data!$M$2:$M$3732,$B$14),0))))</f>
        <v>224385</v>
      </c>
      <c r="D32" s="16" t="n">
        <f aca="false">IF(B32="","",IF($B$10="Natural order",A32,IF($B$10="Value: high to low",SUMPRODUCT(($B$20:$B$39&lt;&gt;"")*($C$20:$C$39&gt;C32))+SUMPRODUCT(($B$20:B32&lt;&gt;"")*($C$20:C32=C32)),SUMPRODUCT(($B$20:$B$39&lt;&gt;"")*($C$20:$C$39&lt;C32))+SUMPRODUCT(($B$20:B32&lt;&gt;"")*($C$20:C32=C32)))))</f>
        <v>7</v>
      </c>
      <c r="F32" s="16" t="n">
        <f aca="false">IF(OR($B32="",F$18=""),"",IF($B$6="Count",COUNTIFS(INDEX(ZPD,0,$B$3),$B32,INDEX(ZPD,0,$B$8),F$18,Zepto_Data!$A$2:$A$3732,$B$11,Zepto_Data!$L$2:$L$3732,$B$12,Zepto_Data!$K$2:$K$3732,$B$13,Zepto_Data!$M$2:$M$3732,$B$14),IF($B$6="Sum",SUMIFS(INDEX(ZPD,0,$B$5),INDEX(ZPD,0,$B$3),$B32,INDEX(ZPD,0,$B$8),F$18,Zepto_Data!$A$2:$A$3732,$B$11,Zepto_Data!$L$2:$L$3732,$B$12,Zepto_Data!$K$2:$K$3732,$B$13,Zepto_Data!$M$2:$M$3732,$B$14),IFERROR(SUMIFS(INDEX(ZPD,0,$B$5),INDEX(ZPD,0,$B$3),$B32,INDEX(ZPD,0,$B$8),F$18,Zepto_Data!$A$2:$A$3732,$B$11,Zepto_Data!$L$2:$L$3732,$B$12,Zepto_Data!$K$2:$K$3732,$B$13,Zepto_Data!$M$2:$M$3732,$B$14)/COUNTIFS(INDEX(ZPD,0,$B$3),$B32,INDEX(ZPD,0,$B$8),F$18,Zepto_Data!$A$2:$A$3732,$B$11,Zepto_Data!$L$2:$L$3732,$B$12,Zepto_Data!$K$2:$K$3732,$B$13,Zepto_Data!$M$2:$M$3732,$B$14),0))))</f>
        <v>224385</v>
      </c>
      <c r="G32" s="16" t="str">
        <f aca="false">IF(OR($B32="",G$18=""),"",IF($B$6="Count",COUNTIFS(INDEX(ZPD,0,$B$3),$B32,INDEX(ZPD,0,$B$8),G$18,Zepto_Data!$A$2:$A$3732,$B$11,Zepto_Data!$L$2:$L$3732,$B$12,Zepto_Data!$K$2:$K$3732,$B$13,Zepto_Data!$M$2:$M$3732,$B$14),IF($B$6="Sum",SUMIFS(INDEX(ZPD,0,$B$5),INDEX(ZPD,0,$B$3),$B32,INDEX(ZPD,0,$B$8),G$18,Zepto_Data!$A$2:$A$3732,$B$11,Zepto_Data!$L$2:$L$3732,$B$12,Zepto_Data!$K$2:$K$3732,$B$13,Zepto_Data!$M$2:$M$3732,$B$14),IFERROR(SUMIFS(INDEX(ZPD,0,$B$5),INDEX(ZPD,0,$B$3),$B32,INDEX(ZPD,0,$B$8),G$18,Zepto_Data!$A$2:$A$3732,$B$11,Zepto_Data!$L$2:$L$3732,$B$12,Zepto_Data!$K$2:$K$3732,$B$13,Zepto_Data!$M$2:$M$3732,$B$14)/COUNTIFS(INDEX(ZPD,0,$B$3),$B32,INDEX(ZPD,0,$B$8),G$18,Zepto_Data!$A$2:$A$3732,$B$11,Zepto_Data!$L$2:$L$3732,$B$12,Zepto_Data!$K$2:$K$3732,$B$13,Zepto_Data!$M$2:$M$3732,$B$14),0))))</f>
        <v/>
      </c>
      <c r="H32" s="16" t="str">
        <f aca="false">IF(OR($B32="",H$18=""),"",IF($B$6="Count",COUNTIFS(INDEX(ZPD,0,$B$3),$B32,INDEX(ZPD,0,$B$8),H$18,Zepto_Data!$A$2:$A$3732,$B$11,Zepto_Data!$L$2:$L$3732,$B$12,Zepto_Data!$K$2:$K$3732,$B$13,Zepto_Data!$M$2:$M$3732,$B$14),IF($B$6="Sum",SUMIFS(INDEX(ZPD,0,$B$5),INDEX(ZPD,0,$B$3),$B32,INDEX(ZPD,0,$B$8),H$18,Zepto_Data!$A$2:$A$3732,$B$11,Zepto_Data!$L$2:$L$3732,$B$12,Zepto_Data!$K$2:$K$3732,$B$13,Zepto_Data!$M$2:$M$3732,$B$14),IFERROR(SUMIFS(INDEX(ZPD,0,$B$5),INDEX(ZPD,0,$B$3),$B32,INDEX(ZPD,0,$B$8),H$18,Zepto_Data!$A$2:$A$3732,$B$11,Zepto_Data!$L$2:$L$3732,$B$12,Zepto_Data!$K$2:$K$3732,$B$13,Zepto_Data!$M$2:$M$3732,$B$14)/COUNTIFS(INDEX(ZPD,0,$B$3),$B32,INDEX(ZPD,0,$B$8),H$18,Zepto_Data!$A$2:$A$3732,$B$11,Zepto_Data!$L$2:$L$3732,$B$12,Zepto_Data!$K$2:$K$3732,$B$13,Zepto_Data!$M$2:$M$3732,$B$14),0))))</f>
        <v/>
      </c>
      <c r="I32" s="16" t="str">
        <f aca="false">IF(OR($B32="",I$18=""),"",IF($B$6="Count",COUNTIFS(INDEX(ZPD,0,$B$3),$B32,INDEX(ZPD,0,$B$8),I$18,Zepto_Data!$A$2:$A$3732,$B$11,Zepto_Data!$L$2:$L$3732,$B$12,Zepto_Data!$K$2:$K$3732,$B$13,Zepto_Data!$M$2:$M$3732,$B$14),IF($B$6="Sum",SUMIFS(INDEX(ZPD,0,$B$5),INDEX(ZPD,0,$B$3),$B32,INDEX(ZPD,0,$B$8),I$18,Zepto_Data!$A$2:$A$3732,$B$11,Zepto_Data!$L$2:$L$3732,$B$12,Zepto_Data!$K$2:$K$3732,$B$13,Zepto_Data!$M$2:$M$3732,$B$14),IFERROR(SUMIFS(INDEX(ZPD,0,$B$5),INDEX(ZPD,0,$B$3),$B32,INDEX(ZPD,0,$B$8),I$18,Zepto_Data!$A$2:$A$3732,$B$11,Zepto_Data!$L$2:$L$3732,$B$12,Zepto_Data!$K$2:$K$3732,$B$13,Zepto_Data!$M$2:$M$3732,$B$14)/COUNTIFS(INDEX(ZPD,0,$B$3),$B32,INDEX(ZPD,0,$B$8),I$18,Zepto_Data!$A$2:$A$3732,$B$11,Zepto_Data!$L$2:$L$3732,$B$12,Zepto_Data!$K$2:$K$3732,$B$13,Zepto_Data!$M$2:$M$3732,$B$14),0))))</f>
        <v/>
      </c>
      <c r="J32" s="16" t="str">
        <f aca="false">IF(OR($B32="",J$18=""),"",IF($B$6="Count",COUNTIFS(INDEX(ZPD,0,$B$3),$B32,INDEX(ZPD,0,$B$8),J$18,Zepto_Data!$A$2:$A$3732,$B$11,Zepto_Data!$L$2:$L$3732,$B$12,Zepto_Data!$K$2:$K$3732,$B$13,Zepto_Data!$M$2:$M$3732,$B$14),IF($B$6="Sum",SUMIFS(INDEX(ZPD,0,$B$5),INDEX(ZPD,0,$B$3),$B32,INDEX(ZPD,0,$B$8),J$18,Zepto_Data!$A$2:$A$3732,$B$11,Zepto_Data!$L$2:$L$3732,$B$12,Zepto_Data!$K$2:$K$3732,$B$13,Zepto_Data!$M$2:$M$3732,$B$14),IFERROR(SUMIFS(INDEX(ZPD,0,$B$5),INDEX(ZPD,0,$B$3),$B32,INDEX(ZPD,0,$B$8),J$18,Zepto_Data!$A$2:$A$3732,$B$11,Zepto_Data!$L$2:$L$3732,$B$12,Zepto_Data!$K$2:$K$3732,$B$13,Zepto_Data!$M$2:$M$3732,$B$14)/COUNTIFS(INDEX(ZPD,0,$B$3),$B32,INDEX(ZPD,0,$B$8),J$18,Zepto_Data!$A$2:$A$3732,$B$11,Zepto_Data!$L$2:$L$3732,$B$12,Zepto_Data!$K$2:$K$3732,$B$13,Zepto_Data!$M$2:$M$3732,$B$14),0))))</f>
        <v/>
      </c>
    </row>
    <row r="33" customFormat="false" ht="15" hidden="false" customHeight="false" outlineLevel="0" collapsed="false">
      <c r="A33" s="16" t="n">
        <v>14</v>
      </c>
      <c r="B33" s="16" t="str">
        <f aca="false">IF(INDEX(ZP_Lists!$L$2:$Q$21,A33,$B$2)="","",INDEX(ZP_Lists!$L$2:$Q$21,A33,$B$2))</f>
        <v>Personal Care</v>
      </c>
      <c r="C33" s="16" t="n">
        <f aca="false">IF(B33="","",IF($B$6="Count",COUNTIFS(INDEX(ZPD,0,$B$3),B33,Zepto_Data!$A$2:$A$3732,$B$11,Zepto_Data!$L$2:$L$3732,$B$12,Zepto_Data!$K$2:$K$3732,$B$13,Zepto_Data!$M$2:$M$3732,$B$14),IF($B$6="Sum",SUMIFS(INDEX(ZPD,0,$B$5),INDEX(ZPD,0,$B$3),B33,Zepto_Data!$A$2:$A$3732,$B$11,Zepto_Data!$L$2:$L$3732,$B$12,Zepto_Data!$K$2:$K$3732,$B$13,Zepto_Data!$M$2:$M$3732,$B$14),IFERROR(SUMIFS(INDEX(ZPD,0,$B$5),INDEX(ZPD,0,$B$3),B33,Zepto_Data!$A$2:$A$3732,$B$11,Zepto_Data!$L$2:$L$3732,$B$12,Zepto_Data!$K$2:$K$3732,$B$13,Zepto_Data!$M$2:$M$3732,$B$14)/COUNTIFS(INDEX(ZPD,0,$B$3),B33,Zepto_Data!$A$2:$A$3732,$B$11,Zepto_Data!$L$2:$L$3732,$B$12,Zepto_Data!$K$2:$K$3732,$B$13,Zepto_Data!$M$2:$M$3732,$B$14),0))))</f>
        <v>270849</v>
      </c>
      <c r="D33" s="16" t="n">
        <f aca="false">IF(B33="","",IF($B$10="Natural order",A33,IF($B$10="Value: high to low",SUMPRODUCT(($B$20:$B$39&lt;&gt;"")*($C$20:$C$39&gt;C33))+SUMPRODUCT(($B$20:B33&lt;&gt;"")*($C$20:C33=C33)),SUMPRODUCT(($B$20:$B$39&lt;&gt;"")*($C$20:$C$39&lt;C33))+SUMPRODUCT(($B$20:B33&lt;&gt;"")*($C$20:C33=C33)))))</f>
        <v>4</v>
      </c>
      <c r="F33" s="16" t="n">
        <f aca="false">IF(OR($B33="",F$18=""),"",IF($B$6="Count",COUNTIFS(INDEX(ZPD,0,$B$3),$B33,INDEX(ZPD,0,$B$8),F$18,Zepto_Data!$A$2:$A$3732,$B$11,Zepto_Data!$L$2:$L$3732,$B$12,Zepto_Data!$K$2:$K$3732,$B$13,Zepto_Data!$M$2:$M$3732,$B$14),IF($B$6="Sum",SUMIFS(INDEX(ZPD,0,$B$5),INDEX(ZPD,0,$B$3),$B33,INDEX(ZPD,0,$B$8),F$18,Zepto_Data!$A$2:$A$3732,$B$11,Zepto_Data!$L$2:$L$3732,$B$12,Zepto_Data!$K$2:$K$3732,$B$13,Zepto_Data!$M$2:$M$3732,$B$14),IFERROR(SUMIFS(INDEX(ZPD,0,$B$5),INDEX(ZPD,0,$B$3),$B33,INDEX(ZPD,0,$B$8),F$18,Zepto_Data!$A$2:$A$3732,$B$11,Zepto_Data!$L$2:$L$3732,$B$12,Zepto_Data!$K$2:$K$3732,$B$13,Zepto_Data!$M$2:$M$3732,$B$14)/COUNTIFS(INDEX(ZPD,0,$B$3),$B33,INDEX(ZPD,0,$B$8),F$18,Zepto_Data!$A$2:$A$3732,$B$11,Zepto_Data!$L$2:$L$3732,$B$12,Zepto_Data!$K$2:$K$3732,$B$13,Zepto_Data!$M$2:$M$3732,$B$14),0))))</f>
        <v>270849</v>
      </c>
      <c r="G33" s="16" t="str">
        <f aca="false">IF(OR($B33="",G$18=""),"",IF($B$6="Count",COUNTIFS(INDEX(ZPD,0,$B$3),$B33,INDEX(ZPD,0,$B$8),G$18,Zepto_Data!$A$2:$A$3732,$B$11,Zepto_Data!$L$2:$L$3732,$B$12,Zepto_Data!$K$2:$K$3732,$B$13,Zepto_Data!$M$2:$M$3732,$B$14),IF($B$6="Sum",SUMIFS(INDEX(ZPD,0,$B$5),INDEX(ZPD,0,$B$3),$B33,INDEX(ZPD,0,$B$8),G$18,Zepto_Data!$A$2:$A$3732,$B$11,Zepto_Data!$L$2:$L$3732,$B$12,Zepto_Data!$K$2:$K$3732,$B$13,Zepto_Data!$M$2:$M$3732,$B$14),IFERROR(SUMIFS(INDEX(ZPD,0,$B$5),INDEX(ZPD,0,$B$3),$B33,INDEX(ZPD,0,$B$8),G$18,Zepto_Data!$A$2:$A$3732,$B$11,Zepto_Data!$L$2:$L$3732,$B$12,Zepto_Data!$K$2:$K$3732,$B$13,Zepto_Data!$M$2:$M$3732,$B$14)/COUNTIFS(INDEX(ZPD,0,$B$3),$B33,INDEX(ZPD,0,$B$8),G$18,Zepto_Data!$A$2:$A$3732,$B$11,Zepto_Data!$L$2:$L$3732,$B$12,Zepto_Data!$K$2:$K$3732,$B$13,Zepto_Data!$M$2:$M$3732,$B$14),0))))</f>
        <v/>
      </c>
      <c r="H33" s="16" t="str">
        <f aca="false">IF(OR($B33="",H$18=""),"",IF($B$6="Count",COUNTIFS(INDEX(ZPD,0,$B$3),$B33,INDEX(ZPD,0,$B$8),H$18,Zepto_Data!$A$2:$A$3732,$B$11,Zepto_Data!$L$2:$L$3732,$B$12,Zepto_Data!$K$2:$K$3732,$B$13,Zepto_Data!$M$2:$M$3732,$B$14),IF($B$6="Sum",SUMIFS(INDEX(ZPD,0,$B$5),INDEX(ZPD,0,$B$3),$B33,INDEX(ZPD,0,$B$8),H$18,Zepto_Data!$A$2:$A$3732,$B$11,Zepto_Data!$L$2:$L$3732,$B$12,Zepto_Data!$K$2:$K$3732,$B$13,Zepto_Data!$M$2:$M$3732,$B$14),IFERROR(SUMIFS(INDEX(ZPD,0,$B$5),INDEX(ZPD,0,$B$3),$B33,INDEX(ZPD,0,$B$8),H$18,Zepto_Data!$A$2:$A$3732,$B$11,Zepto_Data!$L$2:$L$3732,$B$12,Zepto_Data!$K$2:$K$3732,$B$13,Zepto_Data!$M$2:$M$3732,$B$14)/COUNTIFS(INDEX(ZPD,0,$B$3),$B33,INDEX(ZPD,0,$B$8),H$18,Zepto_Data!$A$2:$A$3732,$B$11,Zepto_Data!$L$2:$L$3732,$B$12,Zepto_Data!$K$2:$K$3732,$B$13,Zepto_Data!$M$2:$M$3732,$B$14),0))))</f>
        <v/>
      </c>
      <c r="I33" s="16" t="str">
        <f aca="false">IF(OR($B33="",I$18=""),"",IF($B$6="Count",COUNTIFS(INDEX(ZPD,0,$B$3),$B33,INDEX(ZPD,0,$B$8),I$18,Zepto_Data!$A$2:$A$3732,$B$11,Zepto_Data!$L$2:$L$3732,$B$12,Zepto_Data!$K$2:$K$3732,$B$13,Zepto_Data!$M$2:$M$3732,$B$14),IF($B$6="Sum",SUMIFS(INDEX(ZPD,0,$B$5),INDEX(ZPD,0,$B$3),$B33,INDEX(ZPD,0,$B$8),I$18,Zepto_Data!$A$2:$A$3732,$B$11,Zepto_Data!$L$2:$L$3732,$B$12,Zepto_Data!$K$2:$K$3732,$B$13,Zepto_Data!$M$2:$M$3732,$B$14),IFERROR(SUMIFS(INDEX(ZPD,0,$B$5),INDEX(ZPD,0,$B$3),$B33,INDEX(ZPD,0,$B$8),I$18,Zepto_Data!$A$2:$A$3732,$B$11,Zepto_Data!$L$2:$L$3732,$B$12,Zepto_Data!$K$2:$K$3732,$B$13,Zepto_Data!$M$2:$M$3732,$B$14)/COUNTIFS(INDEX(ZPD,0,$B$3),$B33,INDEX(ZPD,0,$B$8),I$18,Zepto_Data!$A$2:$A$3732,$B$11,Zepto_Data!$L$2:$L$3732,$B$12,Zepto_Data!$K$2:$K$3732,$B$13,Zepto_Data!$M$2:$M$3732,$B$14),0))))</f>
        <v/>
      </c>
      <c r="J33" s="16" t="str">
        <f aca="false">IF(OR($B33="",J$18=""),"",IF($B$6="Count",COUNTIFS(INDEX(ZPD,0,$B$3),$B33,INDEX(ZPD,0,$B$8),J$18,Zepto_Data!$A$2:$A$3732,$B$11,Zepto_Data!$L$2:$L$3732,$B$12,Zepto_Data!$K$2:$K$3732,$B$13,Zepto_Data!$M$2:$M$3732,$B$14),IF($B$6="Sum",SUMIFS(INDEX(ZPD,0,$B$5),INDEX(ZPD,0,$B$3),$B33,INDEX(ZPD,0,$B$8),J$18,Zepto_Data!$A$2:$A$3732,$B$11,Zepto_Data!$L$2:$L$3732,$B$12,Zepto_Data!$K$2:$K$3732,$B$13,Zepto_Data!$M$2:$M$3732,$B$14),IFERROR(SUMIFS(INDEX(ZPD,0,$B$5),INDEX(ZPD,0,$B$3),$B33,INDEX(ZPD,0,$B$8),J$18,Zepto_Data!$A$2:$A$3732,$B$11,Zepto_Data!$L$2:$L$3732,$B$12,Zepto_Data!$K$2:$K$3732,$B$13,Zepto_Data!$M$2:$M$3732,$B$14)/COUNTIFS(INDEX(ZPD,0,$B$3),$B33,INDEX(ZPD,0,$B$8),J$18,Zepto_Data!$A$2:$A$3732,$B$11,Zepto_Data!$L$2:$L$3732,$B$12,Zepto_Data!$K$2:$K$3732,$B$13,Zepto_Data!$M$2:$M$3732,$B$14),0))))</f>
        <v/>
      </c>
    </row>
    <row r="34" customFormat="false" ht="15" hidden="false" customHeight="false" outlineLevel="0" collapsed="false">
      <c r="A34" s="16" t="n">
        <v>15</v>
      </c>
      <c r="B34" s="16" t="str">
        <f aca="false">IF(INDEX(ZP_Lists!$L$2:$Q$21,A34,$B$2)="","",INDEX(ZP_Lists!$L$2:$Q$21,A34,$B$2))</f>
        <v/>
      </c>
      <c r="C34" s="16" t="str">
        <f aca="false">IF(B34="","",IF($B$6="Count",COUNTIFS(INDEX(ZPD,0,$B$3),B34,Zepto_Data!$A$2:$A$3732,$B$11,Zepto_Data!$L$2:$L$3732,$B$12,Zepto_Data!$K$2:$K$3732,$B$13,Zepto_Data!$M$2:$M$3732,$B$14),IF($B$6="Sum",SUMIFS(INDEX(ZPD,0,$B$5),INDEX(ZPD,0,$B$3),B34,Zepto_Data!$A$2:$A$3732,$B$11,Zepto_Data!$L$2:$L$3732,$B$12,Zepto_Data!$K$2:$K$3732,$B$13,Zepto_Data!$M$2:$M$3732,$B$14),IFERROR(SUMIFS(INDEX(ZPD,0,$B$5),INDEX(ZPD,0,$B$3),B34,Zepto_Data!$A$2:$A$3732,$B$11,Zepto_Data!$L$2:$L$3732,$B$12,Zepto_Data!$K$2:$K$3732,$B$13,Zepto_Data!$M$2:$M$3732,$B$14)/COUNTIFS(INDEX(ZPD,0,$B$3),B34,Zepto_Data!$A$2:$A$3732,$B$11,Zepto_Data!$L$2:$L$3732,$B$12,Zepto_Data!$K$2:$K$3732,$B$13,Zepto_Data!$M$2:$M$3732,$B$14),0))))</f>
        <v/>
      </c>
      <c r="D34" s="16" t="str">
        <f aca="false">IF(B34="","",IF($B$10="Natural order",A34,IF($B$10="Value: high to low",SUMPRODUCT(($B$20:$B$39&lt;&gt;"")*($C$20:$C$39&gt;C34))+SUMPRODUCT(($B$20:B34&lt;&gt;"")*($C$20:C34=C34)),SUMPRODUCT(($B$20:$B$39&lt;&gt;"")*($C$20:$C$39&lt;C34))+SUMPRODUCT(($B$20:B34&lt;&gt;"")*($C$20:C34=C34)))))</f>
        <v/>
      </c>
      <c r="F34" s="16" t="str">
        <f aca="false">IF(OR($B34="",F$18=""),"",IF($B$6="Count",COUNTIFS(INDEX(ZPD,0,$B$3),$B34,INDEX(ZPD,0,$B$8),F$18,Zepto_Data!$A$2:$A$3732,$B$11,Zepto_Data!$L$2:$L$3732,$B$12,Zepto_Data!$K$2:$K$3732,$B$13,Zepto_Data!$M$2:$M$3732,$B$14),IF($B$6="Sum",SUMIFS(INDEX(ZPD,0,$B$5),INDEX(ZPD,0,$B$3),$B34,INDEX(ZPD,0,$B$8),F$18,Zepto_Data!$A$2:$A$3732,$B$11,Zepto_Data!$L$2:$L$3732,$B$12,Zepto_Data!$K$2:$K$3732,$B$13,Zepto_Data!$M$2:$M$3732,$B$14),IFERROR(SUMIFS(INDEX(ZPD,0,$B$5),INDEX(ZPD,0,$B$3),$B34,INDEX(ZPD,0,$B$8),F$18,Zepto_Data!$A$2:$A$3732,$B$11,Zepto_Data!$L$2:$L$3732,$B$12,Zepto_Data!$K$2:$K$3732,$B$13,Zepto_Data!$M$2:$M$3732,$B$14)/COUNTIFS(INDEX(ZPD,0,$B$3),$B34,INDEX(ZPD,0,$B$8),F$18,Zepto_Data!$A$2:$A$3732,$B$11,Zepto_Data!$L$2:$L$3732,$B$12,Zepto_Data!$K$2:$K$3732,$B$13,Zepto_Data!$M$2:$M$3732,$B$14),0))))</f>
        <v/>
      </c>
      <c r="G34" s="16" t="str">
        <f aca="false">IF(OR($B34="",G$18=""),"",IF($B$6="Count",COUNTIFS(INDEX(ZPD,0,$B$3),$B34,INDEX(ZPD,0,$B$8),G$18,Zepto_Data!$A$2:$A$3732,$B$11,Zepto_Data!$L$2:$L$3732,$B$12,Zepto_Data!$K$2:$K$3732,$B$13,Zepto_Data!$M$2:$M$3732,$B$14),IF($B$6="Sum",SUMIFS(INDEX(ZPD,0,$B$5),INDEX(ZPD,0,$B$3),$B34,INDEX(ZPD,0,$B$8),G$18,Zepto_Data!$A$2:$A$3732,$B$11,Zepto_Data!$L$2:$L$3732,$B$12,Zepto_Data!$K$2:$K$3732,$B$13,Zepto_Data!$M$2:$M$3732,$B$14),IFERROR(SUMIFS(INDEX(ZPD,0,$B$5),INDEX(ZPD,0,$B$3),$B34,INDEX(ZPD,0,$B$8),G$18,Zepto_Data!$A$2:$A$3732,$B$11,Zepto_Data!$L$2:$L$3732,$B$12,Zepto_Data!$K$2:$K$3732,$B$13,Zepto_Data!$M$2:$M$3732,$B$14)/COUNTIFS(INDEX(ZPD,0,$B$3),$B34,INDEX(ZPD,0,$B$8),G$18,Zepto_Data!$A$2:$A$3732,$B$11,Zepto_Data!$L$2:$L$3732,$B$12,Zepto_Data!$K$2:$K$3732,$B$13,Zepto_Data!$M$2:$M$3732,$B$14),0))))</f>
        <v/>
      </c>
      <c r="H34" s="16" t="str">
        <f aca="false">IF(OR($B34="",H$18=""),"",IF($B$6="Count",COUNTIFS(INDEX(ZPD,0,$B$3),$B34,INDEX(ZPD,0,$B$8),H$18,Zepto_Data!$A$2:$A$3732,$B$11,Zepto_Data!$L$2:$L$3732,$B$12,Zepto_Data!$K$2:$K$3732,$B$13,Zepto_Data!$M$2:$M$3732,$B$14),IF($B$6="Sum",SUMIFS(INDEX(ZPD,0,$B$5),INDEX(ZPD,0,$B$3),$B34,INDEX(ZPD,0,$B$8),H$18,Zepto_Data!$A$2:$A$3732,$B$11,Zepto_Data!$L$2:$L$3732,$B$12,Zepto_Data!$K$2:$K$3732,$B$13,Zepto_Data!$M$2:$M$3732,$B$14),IFERROR(SUMIFS(INDEX(ZPD,0,$B$5),INDEX(ZPD,0,$B$3),$B34,INDEX(ZPD,0,$B$8),H$18,Zepto_Data!$A$2:$A$3732,$B$11,Zepto_Data!$L$2:$L$3732,$B$12,Zepto_Data!$K$2:$K$3732,$B$13,Zepto_Data!$M$2:$M$3732,$B$14)/COUNTIFS(INDEX(ZPD,0,$B$3),$B34,INDEX(ZPD,0,$B$8),H$18,Zepto_Data!$A$2:$A$3732,$B$11,Zepto_Data!$L$2:$L$3732,$B$12,Zepto_Data!$K$2:$K$3732,$B$13,Zepto_Data!$M$2:$M$3732,$B$14),0))))</f>
        <v/>
      </c>
      <c r="I34" s="16" t="str">
        <f aca="false">IF(OR($B34="",I$18=""),"",IF($B$6="Count",COUNTIFS(INDEX(ZPD,0,$B$3),$B34,INDEX(ZPD,0,$B$8),I$18,Zepto_Data!$A$2:$A$3732,$B$11,Zepto_Data!$L$2:$L$3732,$B$12,Zepto_Data!$K$2:$K$3732,$B$13,Zepto_Data!$M$2:$M$3732,$B$14),IF($B$6="Sum",SUMIFS(INDEX(ZPD,0,$B$5),INDEX(ZPD,0,$B$3),$B34,INDEX(ZPD,0,$B$8),I$18,Zepto_Data!$A$2:$A$3732,$B$11,Zepto_Data!$L$2:$L$3732,$B$12,Zepto_Data!$K$2:$K$3732,$B$13,Zepto_Data!$M$2:$M$3732,$B$14),IFERROR(SUMIFS(INDEX(ZPD,0,$B$5),INDEX(ZPD,0,$B$3),$B34,INDEX(ZPD,0,$B$8),I$18,Zepto_Data!$A$2:$A$3732,$B$11,Zepto_Data!$L$2:$L$3732,$B$12,Zepto_Data!$K$2:$K$3732,$B$13,Zepto_Data!$M$2:$M$3732,$B$14)/COUNTIFS(INDEX(ZPD,0,$B$3),$B34,INDEX(ZPD,0,$B$8),I$18,Zepto_Data!$A$2:$A$3732,$B$11,Zepto_Data!$L$2:$L$3732,$B$12,Zepto_Data!$K$2:$K$3732,$B$13,Zepto_Data!$M$2:$M$3732,$B$14),0))))</f>
        <v/>
      </c>
      <c r="J34" s="16" t="str">
        <f aca="false">IF(OR($B34="",J$18=""),"",IF($B$6="Count",COUNTIFS(INDEX(ZPD,0,$B$3),$B34,INDEX(ZPD,0,$B$8),J$18,Zepto_Data!$A$2:$A$3732,$B$11,Zepto_Data!$L$2:$L$3732,$B$12,Zepto_Data!$K$2:$K$3732,$B$13,Zepto_Data!$M$2:$M$3732,$B$14),IF($B$6="Sum",SUMIFS(INDEX(ZPD,0,$B$5),INDEX(ZPD,0,$B$3),$B34,INDEX(ZPD,0,$B$8),J$18,Zepto_Data!$A$2:$A$3732,$B$11,Zepto_Data!$L$2:$L$3732,$B$12,Zepto_Data!$K$2:$K$3732,$B$13,Zepto_Data!$M$2:$M$3732,$B$14),IFERROR(SUMIFS(INDEX(ZPD,0,$B$5),INDEX(ZPD,0,$B$3),$B34,INDEX(ZPD,0,$B$8),J$18,Zepto_Data!$A$2:$A$3732,$B$11,Zepto_Data!$L$2:$L$3732,$B$12,Zepto_Data!$K$2:$K$3732,$B$13,Zepto_Data!$M$2:$M$3732,$B$14)/COUNTIFS(INDEX(ZPD,0,$B$3),$B34,INDEX(ZPD,0,$B$8),J$18,Zepto_Data!$A$2:$A$3732,$B$11,Zepto_Data!$L$2:$L$3732,$B$12,Zepto_Data!$K$2:$K$3732,$B$13,Zepto_Data!$M$2:$M$3732,$B$14),0))))</f>
        <v/>
      </c>
    </row>
    <row r="35" customFormat="false" ht="15" hidden="false" customHeight="false" outlineLevel="0" collapsed="false">
      <c r="A35" s="16" t="n">
        <v>16</v>
      </c>
      <c r="B35" s="16" t="str">
        <f aca="false">IF(INDEX(ZP_Lists!$L$2:$Q$21,A35,$B$2)="","",INDEX(ZP_Lists!$L$2:$Q$21,A35,$B$2))</f>
        <v/>
      </c>
      <c r="C35" s="16" t="str">
        <f aca="false">IF(B35="","",IF($B$6="Count",COUNTIFS(INDEX(ZPD,0,$B$3),B35,Zepto_Data!$A$2:$A$3732,$B$11,Zepto_Data!$L$2:$L$3732,$B$12,Zepto_Data!$K$2:$K$3732,$B$13,Zepto_Data!$M$2:$M$3732,$B$14),IF($B$6="Sum",SUMIFS(INDEX(ZPD,0,$B$5),INDEX(ZPD,0,$B$3),B35,Zepto_Data!$A$2:$A$3732,$B$11,Zepto_Data!$L$2:$L$3732,$B$12,Zepto_Data!$K$2:$K$3732,$B$13,Zepto_Data!$M$2:$M$3732,$B$14),IFERROR(SUMIFS(INDEX(ZPD,0,$B$5),INDEX(ZPD,0,$B$3),B35,Zepto_Data!$A$2:$A$3732,$B$11,Zepto_Data!$L$2:$L$3732,$B$12,Zepto_Data!$K$2:$K$3732,$B$13,Zepto_Data!$M$2:$M$3732,$B$14)/COUNTIFS(INDEX(ZPD,0,$B$3),B35,Zepto_Data!$A$2:$A$3732,$B$11,Zepto_Data!$L$2:$L$3732,$B$12,Zepto_Data!$K$2:$K$3732,$B$13,Zepto_Data!$M$2:$M$3732,$B$14),0))))</f>
        <v/>
      </c>
      <c r="D35" s="16" t="str">
        <f aca="false">IF(B35="","",IF($B$10="Natural order",A35,IF($B$10="Value: high to low",SUMPRODUCT(($B$20:$B$39&lt;&gt;"")*($C$20:$C$39&gt;C35))+SUMPRODUCT(($B$20:B35&lt;&gt;"")*($C$20:C35=C35)),SUMPRODUCT(($B$20:$B$39&lt;&gt;"")*($C$20:$C$39&lt;C35))+SUMPRODUCT(($B$20:B35&lt;&gt;"")*($C$20:C35=C35)))))</f>
        <v/>
      </c>
      <c r="F35" s="16" t="str">
        <f aca="false">IF(OR($B35="",F$18=""),"",IF($B$6="Count",COUNTIFS(INDEX(ZPD,0,$B$3),$B35,INDEX(ZPD,0,$B$8),F$18,Zepto_Data!$A$2:$A$3732,$B$11,Zepto_Data!$L$2:$L$3732,$B$12,Zepto_Data!$K$2:$K$3732,$B$13,Zepto_Data!$M$2:$M$3732,$B$14),IF($B$6="Sum",SUMIFS(INDEX(ZPD,0,$B$5),INDEX(ZPD,0,$B$3),$B35,INDEX(ZPD,0,$B$8),F$18,Zepto_Data!$A$2:$A$3732,$B$11,Zepto_Data!$L$2:$L$3732,$B$12,Zepto_Data!$K$2:$K$3732,$B$13,Zepto_Data!$M$2:$M$3732,$B$14),IFERROR(SUMIFS(INDEX(ZPD,0,$B$5),INDEX(ZPD,0,$B$3),$B35,INDEX(ZPD,0,$B$8),F$18,Zepto_Data!$A$2:$A$3732,$B$11,Zepto_Data!$L$2:$L$3732,$B$12,Zepto_Data!$K$2:$K$3732,$B$13,Zepto_Data!$M$2:$M$3732,$B$14)/COUNTIFS(INDEX(ZPD,0,$B$3),$B35,INDEX(ZPD,0,$B$8),F$18,Zepto_Data!$A$2:$A$3732,$B$11,Zepto_Data!$L$2:$L$3732,$B$12,Zepto_Data!$K$2:$K$3732,$B$13,Zepto_Data!$M$2:$M$3732,$B$14),0))))</f>
        <v/>
      </c>
      <c r="G35" s="16" t="str">
        <f aca="false">IF(OR($B35="",G$18=""),"",IF($B$6="Count",COUNTIFS(INDEX(ZPD,0,$B$3),$B35,INDEX(ZPD,0,$B$8),G$18,Zepto_Data!$A$2:$A$3732,$B$11,Zepto_Data!$L$2:$L$3732,$B$12,Zepto_Data!$K$2:$K$3732,$B$13,Zepto_Data!$M$2:$M$3732,$B$14),IF($B$6="Sum",SUMIFS(INDEX(ZPD,0,$B$5),INDEX(ZPD,0,$B$3),$B35,INDEX(ZPD,0,$B$8),G$18,Zepto_Data!$A$2:$A$3732,$B$11,Zepto_Data!$L$2:$L$3732,$B$12,Zepto_Data!$K$2:$K$3732,$B$13,Zepto_Data!$M$2:$M$3732,$B$14),IFERROR(SUMIFS(INDEX(ZPD,0,$B$5),INDEX(ZPD,0,$B$3),$B35,INDEX(ZPD,0,$B$8),G$18,Zepto_Data!$A$2:$A$3732,$B$11,Zepto_Data!$L$2:$L$3732,$B$12,Zepto_Data!$K$2:$K$3732,$B$13,Zepto_Data!$M$2:$M$3732,$B$14)/COUNTIFS(INDEX(ZPD,0,$B$3),$B35,INDEX(ZPD,0,$B$8),G$18,Zepto_Data!$A$2:$A$3732,$B$11,Zepto_Data!$L$2:$L$3732,$B$12,Zepto_Data!$K$2:$K$3732,$B$13,Zepto_Data!$M$2:$M$3732,$B$14),0))))</f>
        <v/>
      </c>
      <c r="H35" s="16" t="str">
        <f aca="false">IF(OR($B35="",H$18=""),"",IF($B$6="Count",COUNTIFS(INDEX(ZPD,0,$B$3),$B35,INDEX(ZPD,0,$B$8),H$18,Zepto_Data!$A$2:$A$3732,$B$11,Zepto_Data!$L$2:$L$3732,$B$12,Zepto_Data!$K$2:$K$3732,$B$13,Zepto_Data!$M$2:$M$3732,$B$14),IF($B$6="Sum",SUMIFS(INDEX(ZPD,0,$B$5),INDEX(ZPD,0,$B$3),$B35,INDEX(ZPD,0,$B$8),H$18,Zepto_Data!$A$2:$A$3732,$B$11,Zepto_Data!$L$2:$L$3732,$B$12,Zepto_Data!$K$2:$K$3732,$B$13,Zepto_Data!$M$2:$M$3732,$B$14),IFERROR(SUMIFS(INDEX(ZPD,0,$B$5),INDEX(ZPD,0,$B$3),$B35,INDEX(ZPD,0,$B$8),H$18,Zepto_Data!$A$2:$A$3732,$B$11,Zepto_Data!$L$2:$L$3732,$B$12,Zepto_Data!$K$2:$K$3732,$B$13,Zepto_Data!$M$2:$M$3732,$B$14)/COUNTIFS(INDEX(ZPD,0,$B$3),$B35,INDEX(ZPD,0,$B$8),H$18,Zepto_Data!$A$2:$A$3732,$B$11,Zepto_Data!$L$2:$L$3732,$B$12,Zepto_Data!$K$2:$K$3732,$B$13,Zepto_Data!$M$2:$M$3732,$B$14),0))))</f>
        <v/>
      </c>
      <c r="I35" s="16" t="str">
        <f aca="false">IF(OR($B35="",I$18=""),"",IF($B$6="Count",COUNTIFS(INDEX(ZPD,0,$B$3),$B35,INDEX(ZPD,0,$B$8),I$18,Zepto_Data!$A$2:$A$3732,$B$11,Zepto_Data!$L$2:$L$3732,$B$12,Zepto_Data!$K$2:$K$3732,$B$13,Zepto_Data!$M$2:$M$3732,$B$14),IF($B$6="Sum",SUMIFS(INDEX(ZPD,0,$B$5),INDEX(ZPD,0,$B$3),$B35,INDEX(ZPD,0,$B$8),I$18,Zepto_Data!$A$2:$A$3732,$B$11,Zepto_Data!$L$2:$L$3732,$B$12,Zepto_Data!$K$2:$K$3732,$B$13,Zepto_Data!$M$2:$M$3732,$B$14),IFERROR(SUMIFS(INDEX(ZPD,0,$B$5),INDEX(ZPD,0,$B$3),$B35,INDEX(ZPD,0,$B$8),I$18,Zepto_Data!$A$2:$A$3732,$B$11,Zepto_Data!$L$2:$L$3732,$B$12,Zepto_Data!$K$2:$K$3732,$B$13,Zepto_Data!$M$2:$M$3732,$B$14)/COUNTIFS(INDEX(ZPD,0,$B$3),$B35,INDEX(ZPD,0,$B$8),I$18,Zepto_Data!$A$2:$A$3732,$B$11,Zepto_Data!$L$2:$L$3732,$B$12,Zepto_Data!$K$2:$K$3732,$B$13,Zepto_Data!$M$2:$M$3732,$B$14),0))))</f>
        <v/>
      </c>
      <c r="J35" s="16" t="str">
        <f aca="false">IF(OR($B35="",J$18=""),"",IF($B$6="Count",COUNTIFS(INDEX(ZPD,0,$B$3),$B35,INDEX(ZPD,0,$B$8),J$18,Zepto_Data!$A$2:$A$3732,$B$11,Zepto_Data!$L$2:$L$3732,$B$12,Zepto_Data!$K$2:$K$3732,$B$13,Zepto_Data!$M$2:$M$3732,$B$14),IF($B$6="Sum",SUMIFS(INDEX(ZPD,0,$B$5),INDEX(ZPD,0,$B$3),$B35,INDEX(ZPD,0,$B$8),J$18,Zepto_Data!$A$2:$A$3732,$B$11,Zepto_Data!$L$2:$L$3732,$B$12,Zepto_Data!$K$2:$K$3732,$B$13,Zepto_Data!$M$2:$M$3732,$B$14),IFERROR(SUMIFS(INDEX(ZPD,0,$B$5),INDEX(ZPD,0,$B$3),$B35,INDEX(ZPD,0,$B$8),J$18,Zepto_Data!$A$2:$A$3732,$B$11,Zepto_Data!$L$2:$L$3732,$B$12,Zepto_Data!$K$2:$K$3732,$B$13,Zepto_Data!$M$2:$M$3732,$B$14)/COUNTIFS(INDEX(ZPD,0,$B$3),$B35,INDEX(ZPD,0,$B$8),J$18,Zepto_Data!$A$2:$A$3732,$B$11,Zepto_Data!$L$2:$L$3732,$B$12,Zepto_Data!$K$2:$K$3732,$B$13,Zepto_Data!$M$2:$M$3732,$B$14),0))))</f>
        <v/>
      </c>
    </row>
    <row r="36" customFormat="false" ht="15" hidden="false" customHeight="false" outlineLevel="0" collapsed="false">
      <c r="A36" s="16" t="n">
        <v>17</v>
      </c>
      <c r="B36" s="16" t="str">
        <f aca="false">IF(INDEX(ZP_Lists!$L$2:$Q$21,A36,$B$2)="","",INDEX(ZP_Lists!$L$2:$Q$21,A36,$B$2))</f>
        <v/>
      </c>
      <c r="C36" s="16" t="str">
        <f aca="false">IF(B36="","",IF($B$6="Count",COUNTIFS(INDEX(ZPD,0,$B$3),B36,Zepto_Data!$A$2:$A$3732,$B$11,Zepto_Data!$L$2:$L$3732,$B$12,Zepto_Data!$K$2:$K$3732,$B$13,Zepto_Data!$M$2:$M$3732,$B$14),IF($B$6="Sum",SUMIFS(INDEX(ZPD,0,$B$5),INDEX(ZPD,0,$B$3),B36,Zepto_Data!$A$2:$A$3732,$B$11,Zepto_Data!$L$2:$L$3732,$B$12,Zepto_Data!$K$2:$K$3732,$B$13,Zepto_Data!$M$2:$M$3732,$B$14),IFERROR(SUMIFS(INDEX(ZPD,0,$B$5),INDEX(ZPD,0,$B$3),B36,Zepto_Data!$A$2:$A$3732,$B$11,Zepto_Data!$L$2:$L$3732,$B$12,Zepto_Data!$K$2:$K$3732,$B$13,Zepto_Data!$M$2:$M$3732,$B$14)/COUNTIFS(INDEX(ZPD,0,$B$3),B36,Zepto_Data!$A$2:$A$3732,$B$11,Zepto_Data!$L$2:$L$3732,$B$12,Zepto_Data!$K$2:$K$3732,$B$13,Zepto_Data!$M$2:$M$3732,$B$14),0))))</f>
        <v/>
      </c>
      <c r="D36" s="16" t="str">
        <f aca="false">IF(B36="","",IF($B$10="Natural order",A36,IF($B$10="Value: high to low",SUMPRODUCT(($B$20:$B$39&lt;&gt;"")*($C$20:$C$39&gt;C36))+SUMPRODUCT(($B$20:B36&lt;&gt;"")*($C$20:C36=C36)),SUMPRODUCT(($B$20:$B$39&lt;&gt;"")*($C$20:$C$39&lt;C36))+SUMPRODUCT(($B$20:B36&lt;&gt;"")*($C$20:C36=C36)))))</f>
        <v/>
      </c>
      <c r="F36" s="16" t="str">
        <f aca="false">IF(OR($B36="",F$18=""),"",IF($B$6="Count",COUNTIFS(INDEX(ZPD,0,$B$3),$B36,INDEX(ZPD,0,$B$8),F$18,Zepto_Data!$A$2:$A$3732,$B$11,Zepto_Data!$L$2:$L$3732,$B$12,Zepto_Data!$K$2:$K$3732,$B$13,Zepto_Data!$M$2:$M$3732,$B$14),IF($B$6="Sum",SUMIFS(INDEX(ZPD,0,$B$5),INDEX(ZPD,0,$B$3),$B36,INDEX(ZPD,0,$B$8),F$18,Zepto_Data!$A$2:$A$3732,$B$11,Zepto_Data!$L$2:$L$3732,$B$12,Zepto_Data!$K$2:$K$3732,$B$13,Zepto_Data!$M$2:$M$3732,$B$14),IFERROR(SUMIFS(INDEX(ZPD,0,$B$5),INDEX(ZPD,0,$B$3),$B36,INDEX(ZPD,0,$B$8),F$18,Zepto_Data!$A$2:$A$3732,$B$11,Zepto_Data!$L$2:$L$3732,$B$12,Zepto_Data!$K$2:$K$3732,$B$13,Zepto_Data!$M$2:$M$3732,$B$14)/COUNTIFS(INDEX(ZPD,0,$B$3),$B36,INDEX(ZPD,0,$B$8),F$18,Zepto_Data!$A$2:$A$3732,$B$11,Zepto_Data!$L$2:$L$3732,$B$12,Zepto_Data!$K$2:$K$3732,$B$13,Zepto_Data!$M$2:$M$3732,$B$14),0))))</f>
        <v/>
      </c>
      <c r="G36" s="16" t="str">
        <f aca="false">IF(OR($B36="",G$18=""),"",IF($B$6="Count",COUNTIFS(INDEX(ZPD,0,$B$3),$B36,INDEX(ZPD,0,$B$8),G$18,Zepto_Data!$A$2:$A$3732,$B$11,Zepto_Data!$L$2:$L$3732,$B$12,Zepto_Data!$K$2:$K$3732,$B$13,Zepto_Data!$M$2:$M$3732,$B$14),IF($B$6="Sum",SUMIFS(INDEX(ZPD,0,$B$5),INDEX(ZPD,0,$B$3),$B36,INDEX(ZPD,0,$B$8),G$18,Zepto_Data!$A$2:$A$3732,$B$11,Zepto_Data!$L$2:$L$3732,$B$12,Zepto_Data!$K$2:$K$3732,$B$13,Zepto_Data!$M$2:$M$3732,$B$14),IFERROR(SUMIFS(INDEX(ZPD,0,$B$5),INDEX(ZPD,0,$B$3),$B36,INDEX(ZPD,0,$B$8),G$18,Zepto_Data!$A$2:$A$3732,$B$11,Zepto_Data!$L$2:$L$3732,$B$12,Zepto_Data!$K$2:$K$3732,$B$13,Zepto_Data!$M$2:$M$3732,$B$14)/COUNTIFS(INDEX(ZPD,0,$B$3),$B36,INDEX(ZPD,0,$B$8),G$18,Zepto_Data!$A$2:$A$3732,$B$11,Zepto_Data!$L$2:$L$3732,$B$12,Zepto_Data!$K$2:$K$3732,$B$13,Zepto_Data!$M$2:$M$3732,$B$14),0))))</f>
        <v/>
      </c>
      <c r="H36" s="16" t="str">
        <f aca="false">IF(OR($B36="",H$18=""),"",IF($B$6="Count",COUNTIFS(INDEX(ZPD,0,$B$3),$B36,INDEX(ZPD,0,$B$8),H$18,Zepto_Data!$A$2:$A$3732,$B$11,Zepto_Data!$L$2:$L$3732,$B$12,Zepto_Data!$K$2:$K$3732,$B$13,Zepto_Data!$M$2:$M$3732,$B$14),IF($B$6="Sum",SUMIFS(INDEX(ZPD,0,$B$5),INDEX(ZPD,0,$B$3),$B36,INDEX(ZPD,0,$B$8),H$18,Zepto_Data!$A$2:$A$3732,$B$11,Zepto_Data!$L$2:$L$3732,$B$12,Zepto_Data!$K$2:$K$3732,$B$13,Zepto_Data!$M$2:$M$3732,$B$14),IFERROR(SUMIFS(INDEX(ZPD,0,$B$5),INDEX(ZPD,0,$B$3),$B36,INDEX(ZPD,0,$B$8),H$18,Zepto_Data!$A$2:$A$3732,$B$11,Zepto_Data!$L$2:$L$3732,$B$12,Zepto_Data!$K$2:$K$3732,$B$13,Zepto_Data!$M$2:$M$3732,$B$14)/COUNTIFS(INDEX(ZPD,0,$B$3),$B36,INDEX(ZPD,0,$B$8),H$18,Zepto_Data!$A$2:$A$3732,$B$11,Zepto_Data!$L$2:$L$3732,$B$12,Zepto_Data!$K$2:$K$3732,$B$13,Zepto_Data!$M$2:$M$3732,$B$14),0))))</f>
        <v/>
      </c>
      <c r="I36" s="16" t="str">
        <f aca="false">IF(OR($B36="",I$18=""),"",IF($B$6="Count",COUNTIFS(INDEX(ZPD,0,$B$3),$B36,INDEX(ZPD,0,$B$8),I$18,Zepto_Data!$A$2:$A$3732,$B$11,Zepto_Data!$L$2:$L$3732,$B$12,Zepto_Data!$K$2:$K$3732,$B$13,Zepto_Data!$M$2:$M$3732,$B$14),IF($B$6="Sum",SUMIFS(INDEX(ZPD,0,$B$5),INDEX(ZPD,0,$B$3),$B36,INDEX(ZPD,0,$B$8),I$18,Zepto_Data!$A$2:$A$3732,$B$11,Zepto_Data!$L$2:$L$3732,$B$12,Zepto_Data!$K$2:$K$3732,$B$13,Zepto_Data!$M$2:$M$3732,$B$14),IFERROR(SUMIFS(INDEX(ZPD,0,$B$5),INDEX(ZPD,0,$B$3),$B36,INDEX(ZPD,0,$B$8),I$18,Zepto_Data!$A$2:$A$3732,$B$11,Zepto_Data!$L$2:$L$3732,$B$12,Zepto_Data!$K$2:$K$3732,$B$13,Zepto_Data!$M$2:$M$3732,$B$14)/COUNTIFS(INDEX(ZPD,0,$B$3),$B36,INDEX(ZPD,0,$B$8),I$18,Zepto_Data!$A$2:$A$3732,$B$11,Zepto_Data!$L$2:$L$3732,$B$12,Zepto_Data!$K$2:$K$3732,$B$13,Zepto_Data!$M$2:$M$3732,$B$14),0))))</f>
        <v/>
      </c>
      <c r="J36" s="16" t="str">
        <f aca="false">IF(OR($B36="",J$18=""),"",IF($B$6="Count",COUNTIFS(INDEX(ZPD,0,$B$3),$B36,INDEX(ZPD,0,$B$8),J$18,Zepto_Data!$A$2:$A$3732,$B$11,Zepto_Data!$L$2:$L$3732,$B$12,Zepto_Data!$K$2:$K$3732,$B$13,Zepto_Data!$M$2:$M$3732,$B$14),IF($B$6="Sum",SUMIFS(INDEX(ZPD,0,$B$5),INDEX(ZPD,0,$B$3),$B36,INDEX(ZPD,0,$B$8),J$18,Zepto_Data!$A$2:$A$3732,$B$11,Zepto_Data!$L$2:$L$3732,$B$12,Zepto_Data!$K$2:$K$3732,$B$13,Zepto_Data!$M$2:$M$3732,$B$14),IFERROR(SUMIFS(INDEX(ZPD,0,$B$5),INDEX(ZPD,0,$B$3),$B36,INDEX(ZPD,0,$B$8),J$18,Zepto_Data!$A$2:$A$3732,$B$11,Zepto_Data!$L$2:$L$3732,$B$12,Zepto_Data!$K$2:$K$3732,$B$13,Zepto_Data!$M$2:$M$3732,$B$14)/COUNTIFS(INDEX(ZPD,0,$B$3),$B36,INDEX(ZPD,0,$B$8),J$18,Zepto_Data!$A$2:$A$3732,$B$11,Zepto_Data!$L$2:$L$3732,$B$12,Zepto_Data!$K$2:$K$3732,$B$13,Zepto_Data!$M$2:$M$3732,$B$14),0))))</f>
        <v/>
      </c>
    </row>
    <row r="37" customFormat="false" ht="15" hidden="false" customHeight="false" outlineLevel="0" collapsed="false">
      <c r="A37" s="16" t="n">
        <v>18</v>
      </c>
      <c r="B37" s="16" t="str">
        <f aca="false">IF(INDEX(ZP_Lists!$L$2:$Q$21,A37,$B$2)="","",INDEX(ZP_Lists!$L$2:$Q$21,A37,$B$2))</f>
        <v/>
      </c>
      <c r="C37" s="16" t="str">
        <f aca="false">IF(B37="","",IF($B$6="Count",COUNTIFS(INDEX(ZPD,0,$B$3),B37,Zepto_Data!$A$2:$A$3732,$B$11,Zepto_Data!$L$2:$L$3732,$B$12,Zepto_Data!$K$2:$K$3732,$B$13,Zepto_Data!$M$2:$M$3732,$B$14),IF($B$6="Sum",SUMIFS(INDEX(ZPD,0,$B$5),INDEX(ZPD,0,$B$3),B37,Zepto_Data!$A$2:$A$3732,$B$11,Zepto_Data!$L$2:$L$3732,$B$12,Zepto_Data!$K$2:$K$3732,$B$13,Zepto_Data!$M$2:$M$3732,$B$14),IFERROR(SUMIFS(INDEX(ZPD,0,$B$5),INDEX(ZPD,0,$B$3),B37,Zepto_Data!$A$2:$A$3732,$B$11,Zepto_Data!$L$2:$L$3732,$B$12,Zepto_Data!$K$2:$K$3732,$B$13,Zepto_Data!$M$2:$M$3732,$B$14)/COUNTIFS(INDEX(ZPD,0,$B$3),B37,Zepto_Data!$A$2:$A$3732,$B$11,Zepto_Data!$L$2:$L$3732,$B$12,Zepto_Data!$K$2:$K$3732,$B$13,Zepto_Data!$M$2:$M$3732,$B$14),0))))</f>
        <v/>
      </c>
      <c r="D37" s="16" t="str">
        <f aca="false">IF(B37="","",IF($B$10="Natural order",A37,IF($B$10="Value: high to low",SUMPRODUCT(($B$20:$B$39&lt;&gt;"")*($C$20:$C$39&gt;C37))+SUMPRODUCT(($B$20:B37&lt;&gt;"")*($C$20:C37=C37)),SUMPRODUCT(($B$20:$B$39&lt;&gt;"")*($C$20:$C$39&lt;C37))+SUMPRODUCT(($B$20:B37&lt;&gt;"")*($C$20:C37=C37)))))</f>
        <v/>
      </c>
      <c r="F37" s="16" t="str">
        <f aca="false">IF(OR($B37="",F$18=""),"",IF($B$6="Count",COUNTIFS(INDEX(ZPD,0,$B$3),$B37,INDEX(ZPD,0,$B$8),F$18,Zepto_Data!$A$2:$A$3732,$B$11,Zepto_Data!$L$2:$L$3732,$B$12,Zepto_Data!$K$2:$K$3732,$B$13,Zepto_Data!$M$2:$M$3732,$B$14),IF($B$6="Sum",SUMIFS(INDEX(ZPD,0,$B$5),INDEX(ZPD,0,$B$3),$B37,INDEX(ZPD,0,$B$8),F$18,Zepto_Data!$A$2:$A$3732,$B$11,Zepto_Data!$L$2:$L$3732,$B$12,Zepto_Data!$K$2:$K$3732,$B$13,Zepto_Data!$M$2:$M$3732,$B$14),IFERROR(SUMIFS(INDEX(ZPD,0,$B$5),INDEX(ZPD,0,$B$3),$B37,INDEX(ZPD,0,$B$8),F$18,Zepto_Data!$A$2:$A$3732,$B$11,Zepto_Data!$L$2:$L$3732,$B$12,Zepto_Data!$K$2:$K$3732,$B$13,Zepto_Data!$M$2:$M$3732,$B$14)/COUNTIFS(INDEX(ZPD,0,$B$3),$B37,INDEX(ZPD,0,$B$8),F$18,Zepto_Data!$A$2:$A$3732,$B$11,Zepto_Data!$L$2:$L$3732,$B$12,Zepto_Data!$K$2:$K$3732,$B$13,Zepto_Data!$M$2:$M$3732,$B$14),0))))</f>
        <v/>
      </c>
      <c r="G37" s="16" t="str">
        <f aca="false">IF(OR($B37="",G$18=""),"",IF($B$6="Count",COUNTIFS(INDEX(ZPD,0,$B$3),$B37,INDEX(ZPD,0,$B$8),G$18,Zepto_Data!$A$2:$A$3732,$B$11,Zepto_Data!$L$2:$L$3732,$B$12,Zepto_Data!$K$2:$K$3732,$B$13,Zepto_Data!$M$2:$M$3732,$B$14),IF($B$6="Sum",SUMIFS(INDEX(ZPD,0,$B$5),INDEX(ZPD,0,$B$3),$B37,INDEX(ZPD,0,$B$8),G$18,Zepto_Data!$A$2:$A$3732,$B$11,Zepto_Data!$L$2:$L$3732,$B$12,Zepto_Data!$K$2:$K$3732,$B$13,Zepto_Data!$M$2:$M$3732,$B$14),IFERROR(SUMIFS(INDEX(ZPD,0,$B$5),INDEX(ZPD,0,$B$3),$B37,INDEX(ZPD,0,$B$8),G$18,Zepto_Data!$A$2:$A$3732,$B$11,Zepto_Data!$L$2:$L$3732,$B$12,Zepto_Data!$K$2:$K$3732,$B$13,Zepto_Data!$M$2:$M$3732,$B$14)/COUNTIFS(INDEX(ZPD,0,$B$3),$B37,INDEX(ZPD,0,$B$8),G$18,Zepto_Data!$A$2:$A$3732,$B$11,Zepto_Data!$L$2:$L$3732,$B$12,Zepto_Data!$K$2:$K$3732,$B$13,Zepto_Data!$M$2:$M$3732,$B$14),0))))</f>
        <v/>
      </c>
      <c r="H37" s="16" t="str">
        <f aca="false">IF(OR($B37="",H$18=""),"",IF($B$6="Count",COUNTIFS(INDEX(ZPD,0,$B$3),$B37,INDEX(ZPD,0,$B$8),H$18,Zepto_Data!$A$2:$A$3732,$B$11,Zepto_Data!$L$2:$L$3732,$B$12,Zepto_Data!$K$2:$K$3732,$B$13,Zepto_Data!$M$2:$M$3732,$B$14),IF($B$6="Sum",SUMIFS(INDEX(ZPD,0,$B$5),INDEX(ZPD,0,$B$3),$B37,INDEX(ZPD,0,$B$8),H$18,Zepto_Data!$A$2:$A$3732,$B$11,Zepto_Data!$L$2:$L$3732,$B$12,Zepto_Data!$K$2:$K$3732,$B$13,Zepto_Data!$M$2:$M$3732,$B$14),IFERROR(SUMIFS(INDEX(ZPD,0,$B$5),INDEX(ZPD,0,$B$3),$B37,INDEX(ZPD,0,$B$8),H$18,Zepto_Data!$A$2:$A$3732,$B$11,Zepto_Data!$L$2:$L$3732,$B$12,Zepto_Data!$K$2:$K$3732,$B$13,Zepto_Data!$M$2:$M$3732,$B$14)/COUNTIFS(INDEX(ZPD,0,$B$3),$B37,INDEX(ZPD,0,$B$8),H$18,Zepto_Data!$A$2:$A$3732,$B$11,Zepto_Data!$L$2:$L$3732,$B$12,Zepto_Data!$K$2:$K$3732,$B$13,Zepto_Data!$M$2:$M$3732,$B$14),0))))</f>
        <v/>
      </c>
      <c r="I37" s="16" t="str">
        <f aca="false">IF(OR($B37="",I$18=""),"",IF($B$6="Count",COUNTIFS(INDEX(ZPD,0,$B$3),$B37,INDEX(ZPD,0,$B$8),I$18,Zepto_Data!$A$2:$A$3732,$B$11,Zepto_Data!$L$2:$L$3732,$B$12,Zepto_Data!$K$2:$K$3732,$B$13,Zepto_Data!$M$2:$M$3732,$B$14),IF($B$6="Sum",SUMIFS(INDEX(ZPD,0,$B$5),INDEX(ZPD,0,$B$3),$B37,INDEX(ZPD,0,$B$8),I$18,Zepto_Data!$A$2:$A$3732,$B$11,Zepto_Data!$L$2:$L$3732,$B$12,Zepto_Data!$K$2:$K$3732,$B$13,Zepto_Data!$M$2:$M$3732,$B$14),IFERROR(SUMIFS(INDEX(ZPD,0,$B$5),INDEX(ZPD,0,$B$3),$B37,INDEX(ZPD,0,$B$8),I$18,Zepto_Data!$A$2:$A$3732,$B$11,Zepto_Data!$L$2:$L$3732,$B$12,Zepto_Data!$K$2:$K$3732,$B$13,Zepto_Data!$M$2:$M$3732,$B$14)/COUNTIFS(INDEX(ZPD,0,$B$3),$B37,INDEX(ZPD,0,$B$8),I$18,Zepto_Data!$A$2:$A$3732,$B$11,Zepto_Data!$L$2:$L$3732,$B$12,Zepto_Data!$K$2:$K$3732,$B$13,Zepto_Data!$M$2:$M$3732,$B$14),0))))</f>
        <v/>
      </c>
      <c r="J37" s="16" t="str">
        <f aca="false">IF(OR($B37="",J$18=""),"",IF($B$6="Count",COUNTIFS(INDEX(ZPD,0,$B$3),$B37,INDEX(ZPD,0,$B$8),J$18,Zepto_Data!$A$2:$A$3732,$B$11,Zepto_Data!$L$2:$L$3732,$B$12,Zepto_Data!$K$2:$K$3732,$B$13,Zepto_Data!$M$2:$M$3732,$B$14),IF($B$6="Sum",SUMIFS(INDEX(ZPD,0,$B$5),INDEX(ZPD,0,$B$3),$B37,INDEX(ZPD,0,$B$8),J$18,Zepto_Data!$A$2:$A$3732,$B$11,Zepto_Data!$L$2:$L$3732,$B$12,Zepto_Data!$K$2:$K$3732,$B$13,Zepto_Data!$M$2:$M$3732,$B$14),IFERROR(SUMIFS(INDEX(ZPD,0,$B$5),INDEX(ZPD,0,$B$3),$B37,INDEX(ZPD,0,$B$8),J$18,Zepto_Data!$A$2:$A$3732,$B$11,Zepto_Data!$L$2:$L$3732,$B$12,Zepto_Data!$K$2:$K$3732,$B$13,Zepto_Data!$M$2:$M$3732,$B$14)/COUNTIFS(INDEX(ZPD,0,$B$3),$B37,INDEX(ZPD,0,$B$8),J$18,Zepto_Data!$A$2:$A$3732,$B$11,Zepto_Data!$L$2:$L$3732,$B$12,Zepto_Data!$K$2:$K$3732,$B$13,Zepto_Data!$M$2:$M$3732,$B$14),0))))</f>
        <v/>
      </c>
    </row>
    <row r="38" customFormat="false" ht="15" hidden="false" customHeight="false" outlineLevel="0" collapsed="false">
      <c r="A38" s="16" t="n">
        <v>19</v>
      </c>
      <c r="B38" s="16" t="str">
        <f aca="false">IF(INDEX(ZP_Lists!$L$2:$Q$21,A38,$B$2)="","",INDEX(ZP_Lists!$L$2:$Q$21,A38,$B$2))</f>
        <v/>
      </c>
      <c r="C38" s="16" t="str">
        <f aca="false">IF(B38="","",IF($B$6="Count",COUNTIFS(INDEX(ZPD,0,$B$3),B38,Zepto_Data!$A$2:$A$3732,$B$11,Zepto_Data!$L$2:$L$3732,$B$12,Zepto_Data!$K$2:$K$3732,$B$13,Zepto_Data!$M$2:$M$3732,$B$14),IF($B$6="Sum",SUMIFS(INDEX(ZPD,0,$B$5),INDEX(ZPD,0,$B$3),B38,Zepto_Data!$A$2:$A$3732,$B$11,Zepto_Data!$L$2:$L$3732,$B$12,Zepto_Data!$K$2:$K$3732,$B$13,Zepto_Data!$M$2:$M$3732,$B$14),IFERROR(SUMIFS(INDEX(ZPD,0,$B$5),INDEX(ZPD,0,$B$3),B38,Zepto_Data!$A$2:$A$3732,$B$11,Zepto_Data!$L$2:$L$3732,$B$12,Zepto_Data!$K$2:$K$3732,$B$13,Zepto_Data!$M$2:$M$3732,$B$14)/COUNTIFS(INDEX(ZPD,0,$B$3),B38,Zepto_Data!$A$2:$A$3732,$B$11,Zepto_Data!$L$2:$L$3732,$B$12,Zepto_Data!$K$2:$K$3732,$B$13,Zepto_Data!$M$2:$M$3732,$B$14),0))))</f>
        <v/>
      </c>
      <c r="D38" s="16" t="str">
        <f aca="false">IF(B38="","",IF($B$10="Natural order",A38,IF($B$10="Value: high to low",SUMPRODUCT(($B$20:$B$39&lt;&gt;"")*($C$20:$C$39&gt;C38))+SUMPRODUCT(($B$20:B38&lt;&gt;"")*($C$20:C38=C38)),SUMPRODUCT(($B$20:$B$39&lt;&gt;"")*($C$20:$C$39&lt;C38))+SUMPRODUCT(($B$20:B38&lt;&gt;"")*($C$20:C38=C38)))))</f>
        <v/>
      </c>
      <c r="F38" s="16" t="str">
        <f aca="false">IF(OR($B38="",F$18=""),"",IF($B$6="Count",COUNTIFS(INDEX(ZPD,0,$B$3),$B38,INDEX(ZPD,0,$B$8),F$18,Zepto_Data!$A$2:$A$3732,$B$11,Zepto_Data!$L$2:$L$3732,$B$12,Zepto_Data!$K$2:$K$3732,$B$13,Zepto_Data!$M$2:$M$3732,$B$14),IF($B$6="Sum",SUMIFS(INDEX(ZPD,0,$B$5),INDEX(ZPD,0,$B$3),$B38,INDEX(ZPD,0,$B$8),F$18,Zepto_Data!$A$2:$A$3732,$B$11,Zepto_Data!$L$2:$L$3732,$B$12,Zepto_Data!$K$2:$K$3732,$B$13,Zepto_Data!$M$2:$M$3732,$B$14),IFERROR(SUMIFS(INDEX(ZPD,0,$B$5),INDEX(ZPD,0,$B$3),$B38,INDEX(ZPD,0,$B$8),F$18,Zepto_Data!$A$2:$A$3732,$B$11,Zepto_Data!$L$2:$L$3732,$B$12,Zepto_Data!$K$2:$K$3732,$B$13,Zepto_Data!$M$2:$M$3732,$B$14)/COUNTIFS(INDEX(ZPD,0,$B$3),$B38,INDEX(ZPD,0,$B$8),F$18,Zepto_Data!$A$2:$A$3732,$B$11,Zepto_Data!$L$2:$L$3732,$B$12,Zepto_Data!$K$2:$K$3732,$B$13,Zepto_Data!$M$2:$M$3732,$B$14),0))))</f>
        <v/>
      </c>
      <c r="G38" s="16" t="str">
        <f aca="false">IF(OR($B38="",G$18=""),"",IF($B$6="Count",COUNTIFS(INDEX(ZPD,0,$B$3),$B38,INDEX(ZPD,0,$B$8),G$18,Zepto_Data!$A$2:$A$3732,$B$11,Zepto_Data!$L$2:$L$3732,$B$12,Zepto_Data!$K$2:$K$3732,$B$13,Zepto_Data!$M$2:$M$3732,$B$14),IF($B$6="Sum",SUMIFS(INDEX(ZPD,0,$B$5),INDEX(ZPD,0,$B$3),$B38,INDEX(ZPD,0,$B$8),G$18,Zepto_Data!$A$2:$A$3732,$B$11,Zepto_Data!$L$2:$L$3732,$B$12,Zepto_Data!$K$2:$K$3732,$B$13,Zepto_Data!$M$2:$M$3732,$B$14),IFERROR(SUMIFS(INDEX(ZPD,0,$B$5),INDEX(ZPD,0,$B$3),$B38,INDEX(ZPD,0,$B$8),G$18,Zepto_Data!$A$2:$A$3732,$B$11,Zepto_Data!$L$2:$L$3732,$B$12,Zepto_Data!$K$2:$K$3732,$B$13,Zepto_Data!$M$2:$M$3732,$B$14)/COUNTIFS(INDEX(ZPD,0,$B$3),$B38,INDEX(ZPD,0,$B$8),G$18,Zepto_Data!$A$2:$A$3732,$B$11,Zepto_Data!$L$2:$L$3732,$B$12,Zepto_Data!$K$2:$K$3732,$B$13,Zepto_Data!$M$2:$M$3732,$B$14),0))))</f>
        <v/>
      </c>
      <c r="H38" s="16" t="str">
        <f aca="false">IF(OR($B38="",H$18=""),"",IF($B$6="Count",COUNTIFS(INDEX(ZPD,0,$B$3),$B38,INDEX(ZPD,0,$B$8),H$18,Zepto_Data!$A$2:$A$3732,$B$11,Zepto_Data!$L$2:$L$3732,$B$12,Zepto_Data!$K$2:$K$3732,$B$13,Zepto_Data!$M$2:$M$3732,$B$14),IF($B$6="Sum",SUMIFS(INDEX(ZPD,0,$B$5),INDEX(ZPD,0,$B$3),$B38,INDEX(ZPD,0,$B$8),H$18,Zepto_Data!$A$2:$A$3732,$B$11,Zepto_Data!$L$2:$L$3732,$B$12,Zepto_Data!$K$2:$K$3732,$B$13,Zepto_Data!$M$2:$M$3732,$B$14),IFERROR(SUMIFS(INDEX(ZPD,0,$B$5),INDEX(ZPD,0,$B$3),$B38,INDEX(ZPD,0,$B$8),H$18,Zepto_Data!$A$2:$A$3732,$B$11,Zepto_Data!$L$2:$L$3732,$B$12,Zepto_Data!$K$2:$K$3732,$B$13,Zepto_Data!$M$2:$M$3732,$B$14)/COUNTIFS(INDEX(ZPD,0,$B$3),$B38,INDEX(ZPD,0,$B$8),H$18,Zepto_Data!$A$2:$A$3732,$B$11,Zepto_Data!$L$2:$L$3732,$B$12,Zepto_Data!$K$2:$K$3732,$B$13,Zepto_Data!$M$2:$M$3732,$B$14),0))))</f>
        <v/>
      </c>
      <c r="I38" s="16" t="str">
        <f aca="false">IF(OR($B38="",I$18=""),"",IF($B$6="Count",COUNTIFS(INDEX(ZPD,0,$B$3),$B38,INDEX(ZPD,0,$B$8),I$18,Zepto_Data!$A$2:$A$3732,$B$11,Zepto_Data!$L$2:$L$3732,$B$12,Zepto_Data!$K$2:$K$3732,$B$13,Zepto_Data!$M$2:$M$3732,$B$14),IF($B$6="Sum",SUMIFS(INDEX(ZPD,0,$B$5),INDEX(ZPD,0,$B$3),$B38,INDEX(ZPD,0,$B$8),I$18,Zepto_Data!$A$2:$A$3732,$B$11,Zepto_Data!$L$2:$L$3732,$B$12,Zepto_Data!$K$2:$K$3732,$B$13,Zepto_Data!$M$2:$M$3732,$B$14),IFERROR(SUMIFS(INDEX(ZPD,0,$B$5),INDEX(ZPD,0,$B$3),$B38,INDEX(ZPD,0,$B$8),I$18,Zepto_Data!$A$2:$A$3732,$B$11,Zepto_Data!$L$2:$L$3732,$B$12,Zepto_Data!$K$2:$K$3732,$B$13,Zepto_Data!$M$2:$M$3732,$B$14)/COUNTIFS(INDEX(ZPD,0,$B$3),$B38,INDEX(ZPD,0,$B$8),I$18,Zepto_Data!$A$2:$A$3732,$B$11,Zepto_Data!$L$2:$L$3732,$B$12,Zepto_Data!$K$2:$K$3732,$B$13,Zepto_Data!$M$2:$M$3732,$B$14),0))))</f>
        <v/>
      </c>
      <c r="J38" s="16" t="str">
        <f aca="false">IF(OR($B38="",J$18=""),"",IF($B$6="Count",COUNTIFS(INDEX(ZPD,0,$B$3),$B38,INDEX(ZPD,0,$B$8),J$18,Zepto_Data!$A$2:$A$3732,$B$11,Zepto_Data!$L$2:$L$3732,$B$12,Zepto_Data!$K$2:$K$3732,$B$13,Zepto_Data!$M$2:$M$3732,$B$14),IF($B$6="Sum",SUMIFS(INDEX(ZPD,0,$B$5),INDEX(ZPD,0,$B$3),$B38,INDEX(ZPD,0,$B$8),J$18,Zepto_Data!$A$2:$A$3732,$B$11,Zepto_Data!$L$2:$L$3732,$B$12,Zepto_Data!$K$2:$K$3732,$B$13,Zepto_Data!$M$2:$M$3732,$B$14),IFERROR(SUMIFS(INDEX(ZPD,0,$B$5),INDEX(ZPD,0,$B$3),$B38,INDEX(ZPD,0,$B$8),J$18,Zepto_Data!$A$2:$A$3732,$B$11,Zepto_Data!$L$2:$L$3732,$B$12,Zepto_Data!$K$2:$K$3732,$B$13,Zepto_Data!$M$2:$M$3732,$B$14)/COUNTIFS(INDEX(ZPD,0,$B$3),$B38,INDEX(ZPD,0,$B$8),J$18,Zepto_Data!$A$2:$A$3732,$B$11,Zepto_Data!$L$2:$L$3732,$B$12,Zepto_Data!$K$2:$K$3732,$B$13,Zepto_Data!$M$2:$M$3732,$B$14),0))))</f>
        <v/>
      </c>
    </row>
    <row r="39" customFormat="false" ht="15" hidden="false" customHeight="false" outlineLevel="0" collapsed="false">
      <c r="A39" s="16" t="n">
        <v>20</v>
      </c>
      <c r="B39" s="16" t="str">
        <f aca="false">IF(INDEX(ZP_Lists!$L$2:$Q$21,A39,$B$2)="","",INDEX(ZP_Lists!$L$2:$Q$21,A39,$B$2))</f>
        <v/>
      </c>
      <c r="C39" s="16" t="str">
        <f aca="false">IF(B39="","",IF($B$6="Count",COUNTIFS(INDEX(ZPD,0,$B$3),B39,Zepto_Data!$A$2:$A$3732,$B$11,Zepto_Data!$L$2:$L$3732,$B$12,Zepto_Data!$K$2:$K$3732,$B$13,Zepto_Data!$M$2:$M$3732,$B$14),IF($B$6="Sum",SUMIFS(INDEX(ZPD,0,$B$5),INDEX(ZPD,0,$B$3),B39,Zepto_Data!$A$2:$A$3732,$B$11,Zepto_Data!$L$2:$L$3732,$B$12,Zepto_Data!$K$2:$K$3732,$B$13,Zepto_Data!$M$2:$M$3732,$B$14),IFERROR(SUMIFS(INDEX(ZPD,0,$B$5),INDEX(ZPD,0,$B$3),B39,Zepto_Data!$A$2:$A$3732,$B$11,Zepto_Data!$L$2:$L$3732,$B$12,Zepto_Data!$K$2:$K$3732,$B$13,Zepto_Data!$M$2:$M$3732,$B$14)/COUNTIFS(INDEX(ZPD,0,$B$3),B39,Zepto_Data!$A$2:$A$3732,$B$11,Zepto_Data!$L$2:$L$3732,$B$12,Zepto_Data!$K$2:$K$3732,$B$13,Zepto_Data!$M$2:$M$3732,$B$14),0))))</f>
        <v/>
      </c>
      <c r="D39" s="16" t="str">
        <f aca="false">IF(B39="","",IF($B$10="Natural order",A39,IF($B$10="Value: high to low",SUMPRODUCT(($B$20:$B$39&lt;&gt;"")*($C$20:$C$39&gt;C39))+SUMPRODUCT(($B$20:B39&lt;&gt;"")*($C$20:C39=C39)),SUMPRODUCT(($B$20:$B$39&lt;&gt;"")*($C$20:$C$39&lt;C39))+SUMPRODUCT(($B$20:B39&lt;&gt;"")*($C$20:C39=C39)))))</f>
        <v/>
      </c>
      <c r="F39" s="16" t="str">
        <f aca="false">IF(OR($B39="",F$18=""),"",IF($B$6="Count",COUNTIFS(INDEX(ZPD,0,$B$3),$B39,INDEX(ZPD,0,$B$8),F$18,Zepto_Data!$A$2:$A$3732,$B$11,Zepto_Data!$L$2:$L$3732,$B$12,Zepto_Data!$K$2:$K$3732,$B$13,Zepto_Data!$M$2:$M$3732,$B$14),IF($B$6="Sum",SUMIFS(INDEX(ZPD,0,$B$5),INDEX(ZPD,0,$B$3),$B39,INDEX(ZPD,0,$B$8),F$18,Zepto_Data!$A$2:$A$3732,$B$11,Zepto_Data!$L$2:$L$3732,$B$12,Zepto_Data!$K$2:$K$3732,$B$13,Zepto_Data!$M$2:$M$3732,$B$14),IFERROR(SUMIFS(INDEX(ZPD,0,$B$5),INDEX(ZPD,0,$B$3),$B39,INDEX(ZPD,0,$B$8),F$18,Zepto_Data!$A$2:$A$3732,$B$11,Zepto_Data!$L$2:$L$3732,$B$12,Zepto_Data!$K$2:$K$3732,$B$13,Zepto_Data!$M$2:$M$3732,$B$14)/COUNTIFS(INDEX(ZPD,0,$B$3),$B39,INDEX(ZPD,0,$B$8),F$18,Zepto_Data!$A$2:$A$3732,$B$11,Zepto_Data!$L$2:$L$3732,$B$12,Zepto_Data!$K$2:$K$3732,$B$13,Zepto_Data!$M$2:$M$3732,$B$14),0))))</f>
        <v/>
      </c>
      <c r="G39" s="16" t="str">
        <f aca="false">IF(OR($B39="",G$18=""),"",IF($B$6="Count",COUNTIFS(INDEX(ZPD,0,$B$3),$B39,INDEX(ZPD,0,$B$8),G$18,Zepto_Data!$A$2:$A$3732,$B$11,Zepto_Data!$L$2:$L$3732,$B$12,Zepto_Data!$K$2:$K$3732,$B$13,Zepto_Data!$M$2:$M$3732,$B$14),IF($B$6="Sum",SUMIFS(INDEX(ZPD,0,$B$5),INDEX(ZPD,0,$B$3),$B39,INDEX(ZPD,0,$B$8),G$18,Zepto_Data!$A$2:$A$3732,$B$11,Zepto_Data!$L$2:$L$3732,$B$12,Zepto_Data!$K$2:$K$3732,$B$13,Zepto_Data!$M$2:$M$3732,$B$14),IFERROR(SUMIFS(INDEX(ZPD,0,$B$5),INDEX(ZPD,0,$B$3),$B39,INDEX(ZPD,0,$B$8),G$18,Zepto_Data!$A$2:$A$3732,$B$11,Zepto_Data!$L$2:$L$3732,$B$12,Zepto_Data!$K$2:$K$3732,$B$13,Zepto_Data!$M$2:$M$3732,$B$14)/COUNTIFS(INDEX(ZPD,0,$B$3),$B39,INDEX(ZPD,0,$B$8),G$18,Zepto_Data!$A$2:$A$3732,$B$11,Zepto_Data!$L$2:$L$3732,$B$12,Zepto_Data!$K$2:$K$3732,$B$13,Zepto_Data!$M$2:$M$3732,$B$14),0))))</f>
        <v/>
      </c>
      <c r="H39" s="16" t="str">
        <f aca="false">IF(OR($B39="",H$18=""),"",IF($B$6="Count",COUNTIFS(INDEX(ZPD,0,$B$3),$B39,INDEX(ZPD,0,$B$8),H$18,Zepto_Data!$A$2:$A$3732,$B$11,Zepto_Data!$L$2:$L$3732,$B$12,Zepto_Data!$K$2:$K$3732,$B$13,Zepto_Data!$M$2:$M$3732,$B$14),IF($B$6="Sum",SUMIFS(INDEX(ZPD,0,$B$5),INDEX(ZPD,0,$B$3),$B39,INDEX(ZPD,0,$B$8),H$18,Zepto_Data!$A$2:$A$3732,$B$11,Zepto_Data!$L$2:$L$3732,$B$12,Zepto_Data!$K$2:$K$3732,$B$13,Zepto_Data!$M$2:$M$3732,$B$14),IFERROR(SUMIFS(INDEX(ZPD,0,$B$5),INDEX(ZPD,0,$B$3),$B39,INDEX(ZPD,0,$B$8),H$18,Zepto_Data!$A$2:$A$3732,$B$11,Zepto_Data!$L$2:$L$3732,$B$12,Zepto_Data!$K$2:$K$3732,$B$13,Zepto_Data!$M$2:$M$3732,$B$14)/COUNTIFS(INDEX(ZPD,0,$B$3),$B39,INDEX(ZPD,0,$B$8),H$18,Zepto_Data!$A$2:$A$3732,$B$11,Zepto_Data!$L$2:$L$3732,$B$12,Zepto_Data!$K$2:$K$3732,$B$13,Zepto_Data!$M$2:$M$3732,$B$14),0))))</f>
        <v/>
      </c>
      <c r="I39" s="16" t="str">
        <f aca="false">IF(OR($B39="",I$18=""),"",IF($B$6="Count",COUNTIFS(INDEX(ZPD,0,$B$3),$B39,INDEX(ZPD,0,$B$8),I$18,Zepto_Data!$A$2:$A$3732,$B$11,Zepto_Data!$L$2:$L$3732,$B$12,Zepto_Data!$K$2:$K$3732,$B$13,Zepto_Data!$M$2:$M$3732,$B$14),IF($B$6="Sum",SUMIFS(INDEX(ZPD,0,$B$5),INDEX(ZPD,0,$B$3),$B39,INDEX(ZPD,0,$B$8),I$18,Zepto_Data!$A$2:$A$3732,$B$11,Zepto_Data!$L$2:$L$3732,$B$12,Zepto_Data!$K$2:$K$3732,$B$13,Zepto_Data!$M$2:$M$3732,$B$14),IFERROR(SUMIFS(INDEX(ZPD,0,$B$5),INDEX(ZPD,0,$B$3),$B39,INDEX(ZPD,0,$B$8),I$18,Zepto_Data!$A$2:$A$3732,$B$11,Zepto_Data!$L$2:$L$3732,$B$12,Zepto_Data!$K$2:$K$3732,$B$13,Zepto_Data!$M$2:$M$3732,$B$14)/COUNTIFS(INDEX(ZPD,0,$B$3),$B39,INDEX(ZPD,0,$B$8),I$18,Zepto_Data!$A$2:$A$3732,$B$11,Zepto_Data!$L$2:$L$3732,$B$12,Zepto_Data!$K$2:$K$3732,$B$13,Zepto_Data!$M$2:$M$3732,$B$14),0))))</f>
        <v/>
      </c>
      <c r="J39" s="16" t="str">
        <f aca="false">IF(OR($B39="",J$18=""),"",IF($B$6="Count",COUNTIFS(INDEX(ZPD,0,$B$3),$B39,INDEX(ZPD,0,$B$8),J$18,Zepto_Data!$A$2:$A$3732,$B$11,Zepto_Data!$L$2:$L$3732,$B$12,Zepto_Data!$K$2:$K$3732,$B$13,Zepto_Data!$M$2:$M$3732,$B$14),IF($B$6="Sum",SUMIFS(INDEX(ZPD,0,$B$5),INDEX(ZPD,0,$B$3),$B39,INDEX(ZPD,0,$B$8),J$18,Zepto_Data!$A$2:$A$3732,$B$11,Zepto_Data!$L$2:$L$3732,$B$12,Zepto_Data!$K$2:$K$3732,$B$13,Zepto_Data!$M$2:$M$3732,$B$14),IFERROR(SUMIFS(INDEX(ZPD,0,$B$5),INDEX(ZPD,0,$B$3),$B39,INDEX(ZPD,0,$B$8),J$18,Zepto_Data!$A$2:$A$3732,$B$11,Zepto_Data!$L$2:$L$3732,$B$12,Zepto_Data!$K$2:$K$3732,$B$13,Zepto_Data!$M$2:$M$3732,$B$14)/COUNTIFS(INDEX(ZPD,0,$B$3),$B39,INDEX(ZPD,0,$B$8),J$18,Zepto_Data!$A$2:$A$3732,$B$11,Zepto_Data!$L$2:$L$3732,$B$12,Zepto_Data!$K$2:$K$3732,$B$13,Zepto_Data!$M$2:$M$3732,$B$14),0))))</f>
        <v/>
      </c>
    </row>
    <row r="44" customFormat="false" ht="15" hidden="false" customHeight="false" outlineLevel="0" collapsed="false">
      <c r="A44" s="16" t="s">
        <v>55</v>
      </c>
      <c r="B44" s="16" t="s">
        <v>56</v>
      </c>
      <c r="C44" s="16" t="s">
        <v>57</v>
      </c>
      <c r="D44" s="16" t="s">
        <v>53</v>
      </c>
      <c r="E44" s="16" t="s">
        <v>58</v>
      </c>
      <c r="F44" s="16" t="str">
        <f aca="false">F19</f>
        <v>All</v>
      </c>
      <c r="G44" s="16" t="str">
        <f aca="false">G19</f>
        <v/>
      </c>
      <c r="H44" s="16" t="str">
        <f aca="false">H19</f>
        <v/>
      </c>
      <c r="I44" s="16" t="str">
        <f aca="false">I19</f>
        <v/>
      </c>
      <c r="J44" s="16" t="str">
        <f aca="false">J19</f>
        <v/>
      </c>
    </row>
    <row r="45" customFormat="false" ht="15" hidden="false" customHeight="false" outlineLevel="0" collapsed="false">
      <c r="A45" s="16" t="n">
        <v>1</v>
      </c>
      <c r="B45" s="16" t="n">
        <f aca="false">IFERROR(MATCH(A45,$D$20:$D$39,0),0)</f>
        <v>4</v>
      </c>
      <c r="C45" s="16" t="str">
        <f aca="false">IF(OR(A45&gt;$B$9,B45=0),"",INDEX($B$20:$B$39,B45))</f>
        <v>Cooking Essentials</v>
      </c>
      <c r="D45" s="16" t="n">
        <f aca="false">IF(C45="","",INDEX($C$20:$C$39,B45))</f>
        <v>337369</v>
      </c>
      <c r="E45" s="16" t="n">
        <f aca="false">IF(OR(C45="",$B$6="Average"),"",D45/SUM($C$20:$C$39))</f>
        <v>0.150404314494985</v>
      </c>
      <c r="F45" s="16" t="n">
        <f aca="false">IF(OR($C45="",F$19=""),"",INDEX(F$20:F$39,$B45))</f>
        <v>337369</v>
      </c>
      <c r="G45" s="16" t="str">
        <f aca="false">IF(OR($C45="",G$19=""),"",INDEX(G$20:G$39,$B45))</f>
        <v/>
      </c>
      <c r="H45" s="16" t="str">
        <f aca="false">IF(OR($C45="",H$19=""),"",INDEX(H$20:H$39,$B45))</f>
        <v/>
      </c>
      <c r="I45" s="16" t="str">
        <f aca="false">IF(OR($C45="",I$19=""),"",INDEX(I$20:I$39,$B45))</f>
        <v/>
      </c>
      <c r="J45" s="16" t="str">
        <f aca="false">IF(OR($C45="",J$19=""),"",INDEX(J$20:J$39,$B45))</f>
        <v/>
      </c>
    </row>
    <row r="46" customFormat="false" ht="15" hidden="false" customHeight="false" outlineLevel="0" collapsed="false">
      <c r="A46" s="16" t="n">
        <v>2</v>
      </c>
      <c r="B46" s="16" t="n">
        <f aca="false">IFERROR(MATCH(A46,$D$20:$D$39,0),0)</f>
        <v>11</v>
      </c>
      <c r="C46" s="16" t="str">
        <f aca="false">IF(OR(A46&gt;$B$9,B46=0),"",INDEX($B$20:$B$39,B46))</f>
        <v>Munchies</v>
      </c>
      <c r="D46" s="16" t="n">
        <f aca="false">IF(C46="","",INDEX($C$20:$C$39,B46))</f>
        <v>337369</v>
      </c>
      <c r="E46" s="16" t="n">
        <f aca="false">IF(OR(C46="",$B$6="Average"),"",D46/SUM($C$20:$C$39))</f>
        <v>0.150404314494985</v>
      </c>
      <c r="F46" s="16" t="n">
        <f aca="false">IF(OR($C46="",F$19=""),"",INDEX(F$20:F$39,$B46))</f>
        <v>337369</v>
      </c>
      <c r="G46" s="16" t="str">
        <f aca="false">IF(OR($C46="",G$19=""),"",INDEX(G$20:G$39,$B46))</f>
        <v/>
      </c>
      <c r="H46" s="16" t="str">
        <f aca="false">IF(OR($C46="",H$19=""),"",INDEX(H$20:H$39,$B46))</f>
        <v/>
      </c>
      <c r="I46" s="16" t="str">
        <f aca="false">IF(OR($C46="",I$19=""),"",INDEX(I$20:I$39,$B46))</f>
        <v/>
      </c>
      <c r="J46" s="16" t="str">
        <f aca="false">IF(OR($C46="",J$19=""),"",INDEX(J$20:J$39,$B46))</f>
        <v/>
      </c>
    </row>
    <row r="47" customFormat="false" ht="15" hidden="false" customHeight="false" outlineLevel="0" collapsed="false">
      <c r="A47" s="16" t="n">
        <v>3</v>
      </c>
      <c r="B47" s="16" t="n">
        <f aca="false">IFERROR(MATCH(A47,$D$20:$D$39,0),0)</f>
        <v>12</v>
      </c>
      <c r="C47" s="16" t="str">
        <f aca="false">IF(OR(A47&gt;$B$9,B47=0),"",INDEX($B$20:$B$39,B47))</f>
        <v>Paan Corner</v>
      </c>
      <c r="D47" s="16" t="n">
        <f aca="false">IF(C47="","",INDEX($C$20:$C$39,B47))</f>
        <v>270849</v>
      </c>
      <c r="E47" s="16" t="n">
        <f aca="false">IF(OR(C47="",$B$6="Average"),"",D47/SUM($C$20:$C$39))</f>
        <v>0.120748670377694</v>
      </c>
      <c r="F47" s="16" t="n">
        <f aca="false">IF(OR($C47="",F$19=""),"",INDEX(F$20:F$39,$B47))</f>
        <v>270849</v>
      </c>
      <c r="G47" s="16" t="str">
        <f aca="false">IF(OR($C47="",G$19=""),"",INDEX(G$20:G$39,$B47))</f>
        <v/>
      </c>
      <c r="H47" s="16" t="str">
        <f aca="false">IF(OR($C47="",H$19=""),"",INDEX(H$20:H$39,$B47))</f>
        <v/>
      </c>
      <c r="I47" s="16" t="str">
        <f aca="false">IF(OR($C47="",I$19=""),"",INDEX(I$20:I$39,$B47))</f>
        <v/>
      </c>
      <c r="J47" s="16" t="str">
        <f aca="false">IF(OR($C47="",J$19=""),"",INDEX(J$20:J$39,$B47))</f>
        <v/>
      </c>
    </row>
    <row r="48" customFormat="false" ht="15" hidden="false" customHeight="false" outlineLevel="0" collapsed="false">
      <c r="A48" s="16" t="n">
        <v>4</v>
      </c>
      <c r="B48" s="16" t="n">
        <f aca="false">IFERROR(MATCH(A48,$D$20:$D$39,0),0)</f>
        <v>14</v>
      </c>
      <c r="C48" s="16" t="str">
        <f aca="false">IF(OR(A48&gt;$B$9,B48=0),"",INDEX($B$20:$B$39,B48))</f>
        <v>Personal Care</v>
      </c>
      <c r="D48" s="16" t="n">
        <f aca="false">IF(C48="","",INDEX($C$20:$C$39,B48))</f>
        <v>270849</v>
      </c>
      <c r="E48" s="16" t="n">
        <f aca="false">IF(OR(C48="",$B$6="Average"),"",D48/SUM($C$20:$C$39))</f>
        <v>0.120748670377694</v>
      </c>
      <c r="F48" s="16" t="n">
        <f aca="false">IF(OR($C48="",F$19=""),"",INDEX(F$20:F$39,$B48))</f>
        <v>270849</v>
      </c>
      <c r="G48" s="16" t="str">
        <f aca="false">IF(OR($C48="",G$19=""),"",INDEX(G$20:G$39,$B48))</f>
        <v/>
      </c>
      <c r="H48" s="16" t="str">
        <f aca="false">IF(OR($C48="",H$19=""),"",INDEX(H$20:H$39,$B48))</f>
        <v/>
      </c>
      <c r="I48" s="16" t="str">
        <f aca="false">IF(OR($C48="",I$19=""),"",INDEX(I$20:I$39,$B48))</f>
        <v/>
      </c>
      <c r="J48" s="16" t="str">
        <f aca="false">IF(OR($C48="",J$19=""),"",INDEX(J$20:J$39,$B48))</f>
        <v/>
      </c>
    </row>
    <row r="49" customFormat="false" ht="15" hidden="false" customHeight="false" outlineLevel="0" collapsed="false">
      <c r="A49" s="16" t="n">
        <v>5</v>
      </c>
      <c r="B49" s="16" t="n">
        <f aca="false">IFERROR(MATCH(A49,$D$20:$D$39,0),0)</f>
        <v>3</v>
      </c>
      <c r="C49" s="16" t="str">
        <f aca="false">IF(OR(A49&gt;$B$9,B49=0),"",INDEX($B$20:$B$39,B49))</f>
        <v>Chocolates &amp; Candies</v>
      </c>
      <c r="D49" s="16" t="n">
        <f aca="false">IF(C49="","",INDEX($C$20:$C$39,B49))</f>
        <v>224385</v>
      </c>
      <c r="E49" s="16" t="n">
        <f aca="false">IF(OR(C49="",$B$6="Average"),"",D49/SUM($C$20:$C$39))</f>
        <v>0.100034301041166</v>
      </c>
      <c r="F49" s="16" t="n">
        <f aca="false">IF(OR($C49="",F$19=""),"",INDEX(F$20:F$39,$B49))</f>
        <v>224385</v>
      </c>
      <c r="G49" s="16" t="str">
        <f aca="false">IF(OR($C49="",G$19=""),"",INDEX(G$20:G$39,$B49))</f>
        <v/>
      </c>
      <c r="H49" s="16" t="str">
        <f aca="false">IF(OR($C49="",H$19=""),"",INDEX(H$20:H$39,$B49))</f>
        <v/>
      </c>
      <c r="I49" s="16" t="str">
        <f aca="false">IF(OR($C49="",I$19=""),"",INDEX(I$20:I$39,$B49))</f>
        <v/>
      </c>
      <c r="J49" s="16" t="str">
        <f aca="false">IF(OR($C49="",J$19=""),"",INDEX(J$20:J$39,$B49))</f>
        <v/>
      </c>
    </row>
    <row r="50" customFormat="false" ht="15" hidden="false" customHeight="false" outlineLevel="0" collapsed="false">
      <c r="A50" s="16" t="n">
        <v>6</v>
      </c>
      <c r="B50" s="16" t="n">
        <f aca="false">IFERROR(MATCH(A50,$D$20:$D$39,0),0)</f>
        <v>9</v>
      </c>
      <c r="C50" s="16" t="str">
        <f aca="false">IF(OR(A50&gt;$B$9,B50=0),"",INDEX($B$20:$B$39,B50))</f>
        <v>Ice Cream &amp; Desserts</v>
      </c>
      <c r="D50" s="16" t="n">
        <f aca="false">IF(C50="","",INDEX($C$20:$C$39,B50))</f>
        <v>224385</v>
      </c>
      <c r="E50" s="16" t="n">
        <f aca="false">IF(OR(C50="",$B$6="Average"),"",D50/SUM($C$20:$C$39))</f>
        <v>0.100034301041166</v>
      </c>
      <c r="F50" s="16" t="n">
        <f aca="false">IF(OR($C50="",F$19=""),"",INDEX(F$20:F$39,$B50))</f>
        <v>224385</v>
      </c>
      <c r="G50" s="16" t="str">
        <f aca="false">IF(OR($C50="",G$19=""),"",INDEX(G$20:G$39,$B50))</f>
        <v/>
      </c>
      <c r="H50" s="16" t="str">
        <f aca="false">IF(OR($C50="",H$19=""),"",INDEX(H$20:H$39,$B50))</f>
        <v/>
      </c>
      <c r="I50" s="16" t="str">
        <f aca="false">IF(OR($C50="",I$19=""),"",INDEX(I$20:I$39,$B50))</f>
        <v/>
      </c>
      <c r="J50" s="16" t="str">
        <f aca="false">IF(OR($C50="",J$19=""),"",INDEX(J$20:J$39,$B50))</f>
        <v/>
      </c>
    </row>
    <row r="51" customFormat="false" ht="15" hidden="false" customHeight="false" outlineLevel="0" collapsed="false">
      <c r="A51" s="16" t="n">
        <v>7</v>
      </c>
      <c r="B51" s="16" t="n">
        <f aca="false">IFERROR(MATCH(A51,$D$20:$D$39,0),0)</f>
        <v>13</v>
      </c>
      <c r="C51" s="16" t="str">
        <f aca="false">IF(OR(A51&gt;$B$9,B51=0),"",INDEX($B$20:$B$39,B51))</f>
        <v>Packaged Food</v>
      </c>
      <c r="D51" s="16" t="n">
        <f aca="false">IF(C51="","",INDEX($C$20:$C$39,B51))</f>
        <v>224385</v>
      </c>
      <c r="E51" s="16" t="n">
        <f aca="false">IF(OR(C51="",$B$6="Average"),"",D51/SUM($C$20:$C$39))</f>
        <v>0.100034301041166</v>
      </c>
      <c r="F51" s="16" t="n">
        <f aca="false">IF(OR($C51="",F$19=""),"",INDEX(F$20:F$39,$B51))</f>
        <v>224385</v>
      </c>
      <c r="G51" s="16" t="str">
        <f aca="false">IF(OR($C51="",G$19=""),"",INDEX(G$20:G$39,$B51))</f>
        <v/>
      </c>
      <c r="H51" s="16" t="str">
        <f aca="false">IF(OR($C51="",H$19=""),"",INDEX(H$20:H$39,$B51))</f>
        <v/>
      </c>
      <c r="I51" s="16" t="str">
        <f aca="false">IF(OR($C51="",I$19=""),"",INDEX(I$20:I$39,$B51))</f>
        <v/>
      </c>
      <c r="J51" s="16" t="str">
        <f aca="false">IF(OR($C51="",J$19=""),"",INDEX(J$20:J$39,$B51))</f>
        <v/>
      </c>
    </row>
    <row r="52" customFormat="false" ht="15" hidden="false" customHeight="false" outlineLevel="0" collapsed="false">
      <c r="A52" s="16" t="n">
        <v>8</v>
      </c>
      <c r="B52" s="16" t="n">
        <f aca="false">IFERROR(MATCH(A52,$D$20:$D$39,0),0)</f>
        <v>8</v>
      </c>
      <c r="C52" s="16" t="str">
        <f aca="false">IF(OR(A52&gt;$B$9,B52=0),"",INDEX($B$20:$B$39,B52))</f>
        <v>Home &amp; Cleaning</v>
      </c>
      <c r="D52" s="16" t="n">
        <f aca="false">IF(C52="","",INDEX($C$20:$C$39,B52))</f>
        <v>122661</v>
      </c>
      <c r="E52" s="16" t="n">
        <f aca="false">IF(OR(C52="",$B$6="Average"),"",D52/SUM($C$20:$C$39))</f>
        <v>0.0546841696192281</v>
      </c>
      <c r="F52" s="16" t="n">
        <f aca="false">IF(OR($C52="",F$19=""),"",INDEX(F$20:F$39,$B52))</f>
        <v>122661</v>
      </c>
      <c r="G52" s="16" t="str">
        <f aca="false">IF(OR($C52="",G$19=""),"",INDEX(G$20:G$39,$B52))</f>
        <v/>
      </c>
      <c r="H52" s="16" t="str">
        <f aca="false">IF(OR($C52="",H$19=""),"",INDEX(H$20:H$39,$B52))</f>
        <v/>
      </c>
      <c r="I52" s="16" t="str">
        <f aca="false">IF(OR($C52="",I$19=""),"",INDEX(I$20:I$39,$B52))</f>
        <v/>
      </c>
      <c r="J52" s="16" t="str">
        <f aca="false">IF(OR($C52="",J$19=""),"",INDEX(J$20:J$39,$B52))</f>
        <v/>
      </c>
    </row>
    <row r="53" customFormat="false" ht="15" hidden="false" customHeight="false" outlineLevel="0" collapsed="false">
      <c r="A53" s="16" t="n">
        <v>9</v>
      </c>
      <c r="B53" s="16" t="n">
        <f aca="false">IFERROR(MATCH(A53,$D$20:$D$39,0),0)</f>
        <v>7</v>
      </c>
      <c r="C53" s="16" t="str">
        <f aca="false">IF(OR(A53&gt;$B$9,B53=0),"",INDEX($B$20:$B$39,B53))</f>
        <v>Health &amp; Hygiene</v>
      </c>
      <c r="D53" s="16" t="n">
        <f aca="false">IF(C53="","",INDEX($C$20:$C$39,B53))</f>
        <v>64180</v>
      </c>
      <c r="E53" s="16" t="n">
        <f aca="false">IF(OR(C53="",$B$6="Average"),"",D53/SUM($C$20:$C$39))</f>
        <v>0.028612435950808</v>
      </c>
      <c r="F53" s="16" t="n">
        <f aca="false">IF(OR($C53="",F$19=""),"",INDEX(F$20:F$39,$B53))</f>
        <v>64180</v>
      </c>
      <c r="G53" s="16" t="str">
        <f aca="false">IF(OR($C53="",G$19=""),"",INDEX(G$20:G$39,$B53))</f>
        <v/>
      </c>
      <c r="H53" s="16" t="str">
        <f aca="false">IF(OR($C53="",H$19=""),"",INDEX(H$20:H$39,$B53))</f>
        <v/>
      </c>
      <c r="I53" s="16" t="str">
        <f aca="false">IF(OR($C53="",I$19=""),"",INDEX(I$20:I$39,$B53))</f>
        <v/>
      </c>
      <c r="J53" s="16" t="str">
        <f aca="false">IF(OR($C53="",J$19=""),"",INDEX(J$20:J$39,$B53))</f>
        <v/>
      </c>
    </row>
    <row r="54" customFormat="false" ht="15" hidden="false" customHeight="false" outlineLevel="0" collapsed="false">
      <c r="A54" s="16" t="n">
        <v>10</v>
      </c>
      <c r="B54" s="16" t="n">
        <f aca="false">IFERROR(MATCH(A54,$D$20:$D$39,0),0)</f>
        <v>1</v>
      </c>
      <c r="C54" s="16" t="str">
        <f aca="false">IF(OR(A54&gt;$B$9,B54=0),"",INDEX($B$20:$B$39,B54))</f>
        <v>Beverages</v>
      </c>
      <c r="D54" s="16" t="n">
        <f aca="false">IF(C54="","",INDEX($C$20:$C$39,B54))</f>
        <v>55051</v>
      </c>
      <c r="E54" s="16" t="n">
        <f aca="false">IF(OR(C54="",$B$6="Average"),"",D54/SUM($C$20:$C$39))</f>
        <v>0.0245425866551563</v>
      </c>
      <c r="F54" s="16" t="n">
        <f aca="false">IF(OR($C54="",F$19=""),"",INDEX(F$20:F$39,$B54))</f>
        <v>55051</v>
      </c>
      <c r="G54" s="16" t="str">
        <f aca="false">IF(OR($C54="",G$19=""),"",INDEX(G$20:G$39,$B54))</f>
        <v/>
      </c>
      <c r="H54" s="16" t="str">
        <f aca="false">IF(OR($C54="",H$19=""),"",INDEX(H$20:H$39,$B54))</f>
        <v/>
      </c>
      <c r="I54" s="16" t="str">
        <f aca="false">IF(OR($C54="",I$19=""),"",INDEX(I$20:I$39,$B54))</f>
        <v/>
      </c>
      <c r="J54" s="16" t="str">
        <f aca="false">IF(OR($C54="",J$19=""),"",INDEX(J$20:J$39,$B54))</f>
        <v/>
      </c>
    </row>
    <row r="55" customFormat="false" ht="15" hidden="false" customHeight="false" outlineLevel="0" collapsed="false">
      <c r="A55" s="16" t="n">
        <v>11</v>
      </c>
      <c r="B55" s="16" t="n">
        <f aca="false">IFERROR(MATCH(A55,$D$20:$D$39,0),0)</f>
        <v>5</v>
      </c>
      <c r="C55" s="16" t="str">
        <f aca="false">IF(OR(A55&gt;$B$9,B55=0),"",INDEX($B$20:$B$39,B55))</f>
        <v>Dairy, Bread &amp; Batter</v>
      </c>
      <c r="D55" s="16" t="n">
        <f aca="false">IF(C55="","",INDEX($C$20:$C$39,B55))</f>
        <v>55051</v>
      </c>
      <c r="E55" s="16" t="n">
        <f aca="false">IF(OR(C55="",$B$6="Average"),"",D55/SUM($C$20:$C$39))</f>
        <v>0.0245425866551563</v>
      </c>
      <c r="F55" s="16" t="n">
        <f aca="false">IF(OR($C55="",F$19=""),"",INDEX(F$20:F$39,$B55))</f>
        <v>55051</v>
      </c>
      <c r="G55" s="16" t="str">
        <f aca="false">IF(OR($C55="",G$19=""),"",INDEX(G$20:G$39,$B55))</f>
        <v/>
      </c>
      <c r="H55" s="16" t="str">
        <f aca="false">IF(OR($C55="",H$19=""),"",INDEX(H$20:H$39,$B55))</f>
        <v/>
      </c>
      <c r="I55" s="16" t="str">
        <f aca="false">IF(OR($C55="",I$19=""),"",INDEX(I$20:I$39,$B55))</f>
        <v/>
      </c>
      <c r="J55" s="16" t="str">
        <f aca="false">IF(OR($C55="",J$19=""),"",INDEX(J$20:J$39,$B55))</f>
        <v/>
      </c>
    </row>
    <row r="56" customFormat="false" ht="15" hidden="false" customHeight="false" outlineLevel="0" collapsed="false">
      <c r="A56" s="16" t="n">
        <v>12</v>
      </c>
      <c r="B56" s="16" t="n">
        <f aca="false">IFERROR(MATCH(A56,$D$20:$D$39,0),0)</f>
        <v>2</v>
      </c>
      <c r="C56" s="16" t="str">
        <f aca="false">IF(OR(A56&gt;$B$9,B56=0),"",INDEX($B$20:$B$39,B56))</f>
        <v>Biscuits</v>
      </c>
      <c r="D56" s="16" t="n">
        <f aca="false">IF(C56="","",INDEX($C$20:$C$39,B56))</f>
        <v>25007.6</v>
      </c>
      <c r="E56" s="16" t="n">
        <f aca="false">IF(OR(C56="",$B$6="Average"),"",D56/SUM($C$20:$C$39))</f>
        <v>0.0111487745915149</v>
      </c>
      <c r="F56" s="16" t="n">
        <f aca="false">IF(OR($C56="",F$19=""),"",INDEX(F$20:F$39,$B56))</f>
        <v>25007.6</v>
      </c>
      <c r="G56" s="16" t="str">
        <f aca="false">IF(OR($C56="",G$19=""),"",INDEX(G$20:G$39,$B56))</f>
        <v/>
      </c>
      <c r="H56" s="16" t="str">
        <f aca="false">IF(OR($C56="",H$19=""),"",INDEX(H$20:H$39,$B56))</f>
        <v/>
      </c>
      <c r="I56" s="16" t="str">
        <f aca="false">IF(OR($C56="",I$19=""),"",INDEX(I$20:I$39,$B56))</f>
        <v/>
      </c>
      <c r="J56" s="16" t="str">
        <f aca="false">IF(OR($C56="",J$19=""),"",INDEX(J$20:J$39,$B56))</f>
        <v/>
      </c>
    </row>
    <row r="59" customFormat="false" ht="15" hidden="false" customHeight="false" outlineLevel="0" collapsed="false">
      <c r="A59" s="16" t="s">
        <v>59</v>
      </c>
      <c r="B59" s="16" t="s">
        <v>60</v>
      </c>
    </row>
    <row r="60" customFormat="false" ht="15" hidden="false" customHeight="false" outlineLevel="0" collapsed="false">
      <c r="A60" s="16" t="s">
        <v>61</v>
      </c>
      <c r="B60" s="16" t="n">
        <f aca="false">COUNTIFS(Zepto_Data!$L$2:$L$3732,A60,Zepto_Data!$A$2:$A$3732,$B$11,Zepto_Data!$L$2:$L$3732,$B$12,Zepto_Data!$K$2:$K$3732,$B$13,Zepto_Data!$M$2:$M$3732,$B$14)</f>
        <v>3278</v>
      </c>
    </row>
    <row r="61" customFormat="false" ht="15" hidden="false" customHeight="false" outlineLevel="0" collapsed="false">
      <c r="A61" s="16" t="s">
        <v>62</v>
      </c>
      <c r="B61" s="16" t="n">
        <f aca="false">COUNTIFS(Zepto_Data!$L$2:$L$3732,A61,Zepto_Data!$A$2:$A$3732,$B$11,Zepto_Data!$L$2:$L$3732,$B$12,Zepto_Data!$K$2:$K$3732,$B$13,Zepto_Data!$M$2:$M$3732,$B$14)</f>
        <v>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V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3" min="1" style="0" width="22"/>
  </cols>
  <sheetData>
    <row r="1" customFormat="false" ht="26.85" hidden="false" customHeight="false" outlineLevel="0" collapsed="false">
      <c r="A1" s="17" t="s">
        <v>63</v>
      </c>
      <c r="B1" s="17" t="s">
        <v>64</v>
      </c>
      <c r="C1" s="17"/>
      <c r="D1" s="17" t="s">
        <v>65</v>
      </c>
      <c r="E1" s="17" t="s">
        <v>64</v>
      </c>
      <c r="F1" s="17"/>
      <c r="G1" s="17" t="s">
        <v>13</v>
      </c>
      <c r="H1" s="17" t="s">
        <v>17</v>
      </c>
      <c r="I1" s="17" t="s">
        <v>66</v>
      </c>
      <c r="J1" s="17" t="s">
        <v>67</v>
      </c>
      <c r="K1" s="17"/>
      <c r="L1" s="17" t="s">
        <v>10</v>
      </c>
      <c r="M1" s="17" t="s">
        <v>68</v>
      </c>
      <c r="N1" s="17" t="s">
        <v>23</v>
      </c>
      <c r="O1" s="17" t="s">
        <v>22</v>
      </c>
      <c r="P1" s="17" t="s">
        <v>24</v>
      </c>
      <c r="Q1" s="17" t="s">
        <v>69</v>
      </c>
      <c r="R1" s="17"/>
      <c r="S1" s="17" t="s">
        <v>70</v>
      </c>
      <c r="T1" s="17" t="s">
        <v>71</v>
      </c>
      <c r="U1" s="17" t="s">
        <v>72</v>
      </c>
      <c r="V1" s="17" t="s">
        <v>73</v>
      </c>
    </row>
    <row r="2" customFormat="false" ht="15" hidden="false" customHeight="false" outlineLevel="0" collapsed="false">
      <c r="A2" s="16" t="s">
        <v>10</v>
      </c>
      <c r="B2" s="16" t="n">
        <v>1</v>
      </c>
      <c r="D2" s="16" t="s">
        <v>12</v>
      </c>
      <c r="E2" s="16" t="n">
        <v>10</v>
      </c>
      <c r="G2" s="16" t="s">
        <v>14</v>
      </c>
      <c r="H2" s="16" t="s">
        <v>18</v>
      </c>
      <c r="I2" s="16" t="n">
        <v>5</v>
      </c>
      <c r="J2" s="16" t="s">
        <v>16</v>
      </c>
      <c r="L2" s="16" t="s">
        <v>74</v>
      </c>
      <c r="M2" s="16" t="s">
        <v>75</v>
      </c>
      <c r="N2" s="16" t="s">
        <v>76</v>
      </c>
      <c r="O2" s="16" t="s">
        <v>61</v>
      </c>
      <c r="P2" s="16" t="s">
        <v>77</v>
      </c>
      <c r="Q2" s="16" t="s">
        <v>78</v>
      </c>
      <c r="S2" s="16" t="s">
        <v>21</v>
      </c>
      <c r="T2" s="16" t="s">
        <v>21</v>
      </c>
      <c r="U2" s="16" t="s">
        <v>21</v>
      </c>
      <c r="V2" s="16" t="s">
        <v>21</v>
      </c>
    </row>
    <row r="3" customFormat="false" ht="15" hidden="false" customHeight="false" outlineLevel="0" collapsed="false">
      <c r="A3" s="16" t="s">
        <v>68</v>
      </c>
      <c r="B3" s="16" t="n">
        <v>2</v>
      </c>
      <c r="D3" s="16" t="s">
        <v>79</v>
      </c>
      <c r="E3" s="16" t="n">
        <v>3</v>
      </c>
      <c r="G3" s="16" t="s">
        <v>80</v>
      </c>
      <c r="H3" s="16" t="s">
        <v>81</v>
      </c>
      <c r="I3" s="16" t="n">
        <v>8</v>
      </c>
      <c r="J3" s="16" t="s">
        <v>22</v>
      </c>
      <c r="L3" s="16" t="s">
        <v>82</v>
      </c>
      <c r="M3" s="16" t="s">
        <v>83</v>
      </c>
      <c r="N3" s="16" t="s">
        <v>84</v>
      </c>
      <c r="O3" s="16" t="s">
        <v>62</v>
      </c>
      <c r="P3" s="16" t="s">
        <v>85</v>
      </c>
      <c r="Q3" s="16" t="s">
        <v>86</v>
      </c>
      <c r="S3" s="16" t="s">
        <v>74</v>
      </c>
      <c r="T3" s="16" t="s">
        <v>61</v>
      </c>
      <c r="U3" s="16" t="s">
        <v>76</v>
      </c>
      <c r="V3" s="16" t="s">
        <v>77</v>
      </c>
    </row>
    <row r="4" customFormat="false" ht="15" hidden="false" customHeight="false" outlineLevel="0" collapsed="false">
      <c r="A4" s="16" t="s">
        <v>23</v>
      </c>
      <c r="B4" s="16" t="n">
        <v>11</v>
      </c>
      <c r="D4" s="16" t="s">
        <v>87</v>
      </c>
      <c r="E4" s="16" t="n">
        <v>4</v>
      </c>
      <c r="G4" s="16" t="s">
        <v>88</v>
      </c>
      <c r="H4" s="16" t="s">
        <v>89</v>
      </c>
      <c r="I4" s="16" t="n">
        <v>10</v>
      </c>
      <c r="J4" s="16" t="s">
        <v>23</v>
      </c>
      <c r="L4" s="16" t="s">
        <v>90</v>
      </c>
      <c r="M4" s="16" t="s">
        <v>91</v>
      </c>
      <c r="N4" s="16" t="s">
        <v>92</v>
      </c>
      <c r="P4" s="16" t="s">
        <v>93</v>
      </c>
      <c r="Q4" s="16" t="s">
        <v>94</v>
      </c>
      <c r="S4" s="16" t="s">
        <v>82</v>
      </c>
      <c r="T4" s="16" t="s">
        <v>62</v>
      </c>
      <c r="U4" s="16" t="s">
        <v>84</v>
      </c>
      <c r="V4" s="16" t="s">
        <v>85</v>
      </c>
    </row>
    <row r="5" customFormat="false" ht="15" hidden="false" customHeight="false" outlineLevel="0" collapsed="false">
      <c r="A5" s="16" t="s">
        <v>22</v>
      </c>
      <c r="B5" s="16" t="n">
        <v>12</v>
      </c>
      <c r="D5" s="16" t="s">
        <v>95</v>
      </c>
      <c r="E5" s="16" t="n">
        <v>5</v>
      </c>
      <c r="I5" s="16" t="n">
        <v>12</v>
      </c>
      <c r="J5" s="16" t="s">
        <v>24</v>
      </c>
      <c r="L5" s="16" t="s">
        <v>96</v>
      </c>
      <c r="M5" s="16" t="s">
        <v>97</v>
      </c>
      <c r="P5" s="16" t="s">
        <v>98</v>
      </c>
      <c r="Q5" s="16" t="s">
        <v>99</v>
      </c>
      <c r="S5" s="16" t="s">
        <v>90</v>
      </c>
      <c r="U5" s="16" t="s">
        <v>92</v>
      </c>
      <c r="V5" s="16" t="s">
        <v>93</v>
      </c>
    </row>
    <row r="6" customFormat="false" ht="15" hidden="false" customHeight="false" outlineLevel="0" collapsed="false">
      <c r="A6" s="16" t="s">
        <v>24</v>
      </c>
      <c r="B6" s="16" t="n">
        <v>13</v>
      </c>
      <c r="D6" s="16" t="s">
        <v>100</v>
      </c>
      <c r="E6" s="16" t="n">
        <v>6</v>
      </c>
      <c r="J6" s="16" t="s">
        <v>69</v>
      </c>
      <c r="L6" s="16" t="s">
        <v>101</v>
      </c>
      <c r="M6" s="16" t="s">
        <v>102</v>
      </c>
      <c r="P6" s="16" t="s">
        <v>103</v>
      </c>
      <c r="Q6" s="16" t="s">
        <v>104</v>
      </c>
      <c r="S6" s="16" t="s">
        <v>96</v>
      </c>
      <c r="V6" s="16" t="s">
        <v>98</v>
      </c>
    </row>
    <row r="7" customFormat="false" ht="15" hidden="false" customHeight="false" outlineLevel="0" collapsed="false">
      <c r="A7" s="16" t="s">
        <v>69</v>
      </c>
      <c r="B7" s="16" t="n">
        <v>14</v>
      </c>
      <c r="D7" s="16" t="s">
        <v>105</v>
      </c>
      <c r="E7" s="16" t="n">
        <v>7</v>
      </c>
      <c r="L7" s="16" t="s">
        <v>106</v>
      </c>
      <c r="M7" s="16" t="s">
        <v>107</v>
      </c>
      <c r="S7" s="16" t="s">
        <v>101</v>
      </c>
      <c r="V7" s="16" t="s">
        <v>103</v>
      </c>
    </row>
    <row r="8" customFormat="false" ht="15" hidden="false" customHeight="false" outlineLevel="0" collapsed="false">
      <c r="D8" s="16" t="s">
        <v>108</v>
      </c>
      <c r="E8" s="16" t="n">
        <v>15</v>
      </c>
      <c r="L8" s="16" t="s">
        <v>109</v>
      </c>
      <c r="M8" s="16" t="s">
        <v>110</v>
      </c>
      <c r="S8" s="16" t="s">
        <v>106</v>
      </c>
    </row>
    <row r="9" customFormat="false" ht="15" hidden="false" customHeight="false" outlineLevel="0" collapsed="false">
      <c r="L9" s="16" t="s">
        <v>111</v>
      </c>
      <c r="M9" s="16" t="s">
        <v>112</v>
      </c>
      <c r="S9" s="16" t="s">
        <v>109</v>
      </c>
    </row>
    <row r="10" customFormat="false" ht="15" hidden="false" customHeight="false" outlineLevel="0" collapsed="false">
      <c r="L10" s="16" t="s">
        <v>113</v>
      </c>
      <c r="M10" s="16" t="s">
        <v>114</v>
      </c>
      <c r="S10" s="16" t="s">
        <v>111</v>
      </c>
    </row>
    <row r="11" customFormat="false" ht="15" hidden="false" customHeight="false" outlineLevel="0" collapsed="false">
      <c r="L11" s="16" t="s">
        <v>115</v>
      </c>
      <c r="M11" s="16" t="s">
        <v>116</v>
      </c>
      <c r="S11" s="16" t="s">
        <v>113</v>
      </c>
    </row>
    <row r="12" customFormat="false" ht="15" hidden="false" customHeight="false" outlineLevel="0" collapsed="false">
      <c r="L12" s="16" t="s">
        <v>117</v>
      </c>
      <c r="M12" s="16" t="s">
        <v>118</v>
      </c>
      <c r="S12" s="16" t="s">
        <v>115</v>
      </c>
    </row>
    <row r="13" customFormat="false" ht="15" hidden="false" customHeight="false" outlineLevel="0" collapsed="false">
      <c r="L13" s="16" t="s">
        <v>119</v>
      </c>
      <c r="M13" s="16" t="s">
        <v>120</v>
      </c>
      <c r="S13" s="16" t="s">
        <v>117</v>
      </c>
    </row>
    <row r="14" customFormat="false" ht="15" hidden="false" customHeight="false" outlineLevel="0" collapsed="false">
      <c r="L14" s="16" t="s">
        <v>121</v>
      </c>
      <c r="M14" s="16" t="s">
        <v>122</v>
      </c>
      <c r="S14" s="16" t="s">
        <v>119</v>
      </c>
    </row>
    <row r="15" customFormat="false" ht="15" hidden="false" customHeight="false" outlineLevel="0" collapsed="false">
      <c r="L15" s="16" t="s">
        <v>123</v>
      </c>
      <c r="M15" s="16" t="s">
        <v>124</v>
      </c>
      <c r="S15" s="16" t="s">
        <v>121</v>
      </c>
    </row>
    <row r="16" customFormat="false" ht="15" hidden="false" customHeight="false" outlineLevel="0" collapsed="false">
      <c r="M16" s="16" t="s">
        <v>125</v>
      </c>
      <c r="S16" s="16" t="s">
        <v>123</v>
      </c>
    </row>
    <row r="17" customFormat="false" ht="15" hidden="false" customHeight="false" outlineLevel="0" collapsed="false">
      <c r="M17" s="16" t="s">
        <v>126</v>
      </c>
    </row>
    <row r="18" customFormat="false" ht="15" hidden="false" customHeight="false" outlineLevel="0" collapsed="false">
      <c r="M18" s="16" t="s">
        <v>127</v>
      </c>
    </row>
    <row r="19" customFormat="false" ht="15" hidden="false" customHeight="false" outlineLevel="0" collapsed="false">
      <c r="M19" s="16" t="s">
        <v>128</v>
      </c>
    </row>
    <row r="20" customFormat="false" ht="15" hidden="false" customHeight="false" outlineLevel="0" collapsed="false">
      <c r="M20" s="16" t="s">
        <v>129</v>
      </c>
    </row>
    <row r="21" customFormat="false" ht="15" hidden="false" customHeight="false" outlineLevel="0" collapsed="false">
      <c r="M21" s="16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39.55" hidden="false" customHeight="false" outlineLevel="0" collapsed="false">
      <c r="A1" s="17" t="s">
        <v>10</v>
      </c>
      <c r="B1" s="17" t="s">
        <v>131</v>
      </c>
      <c r="C1" s="17" t="s">
        <v>132</v>
      </c>
      <c r="D1" s="17" t="s">
        <v>133</v>
      </c>
      <c r="E1" s="17" t="s">
        <v>134</v>
      </c>
      <c r="F1" s="17" t="s">
        <v>135</v>
      </c>
      <c r="G1" s="17" t="s">
        <v>136</v>
      </c>
      <c r="H1" s="17" t="s">
        <v>137</v>
      </c>
      <c r="I1" s="17" t="s">
        <v>138</v>
      </c>
      <c r="J1" s="17" t="s">
        <v>12</v>
      </c>
      <c r="K1" s="17" t="s">
        <v>139</v>
      </c>
      <c r="L1" s="17" t="s">
        <v>140</v>
      </c>
      <c r="M1" s="17" t="s">
        <v>141</v>
      </c>
      <c r="N1" s="17" t="s">
        <v>142</v>
      </c>
      <c r="O1" s="17" t="s">
        <v>143</v>
      </c>
    </row>
    <row r="2" customFormat="false" ht="15" hidden="false" customHeight="false" outlineLevel="0" collapsed="false">
      <c r="A2" s="0" t="s">
        <v>106</v>
      </c>
      <c r="B2" s="0" t="s">
        <v>144</v>
      </c>
      <c r="C2" s="0" t="n">
        <v>25</v>
      </c>
      <c r="D2" s="0" t="n">
        <v>16</v>
      </c>
      <c r="E2" s="0" t="n">
        <v>3</v>
      </c>
      <c r="F2" s="0" t="n">
        <v>21</v>
      </c>
      <c r="G2" s="0" t="n">
        <v>1000</v>
      </c>
      <c r="H2" s="0" t="s">
        <v>145</v>
      </c>
      <c r="I2" s="0" t="n">
        <v>1</v>
      </c>
      <c r="J2" s="0" t="n">
        <f aca="false">F2*E2</f>
        <v>63</v>
      </c>
      <c r="K2" s="0" t="str">
        <f aca="false">IF(G2&lt;1000,"1-Low",IF(G2&lt;5000,"2-Medium","3-Bulk"))</f>
        <v>2-Medium</v>
      </c>
      <c r="L2" s="0" t="str">
        <f aca="false">IF(H2="TRUE","Out of stock","In stock")</f>
        <v>In stock</v>
      </c>
      <c r="M2" s="0" t="str">
        <f aca="false">IF(D2&lt;5,"1) Under 5%",IF(D2&lt;10,"2) 5-9%",IF(D2&lt;15,"3) 10-14%",IF(D2&lt;25,"4) 15-24%","5) 25%+"))))</f>
        <v>4) 15-24%</v>
      </c>
      <c r="N2" s="0" t="str">
        <f aca="false">IF(F2&lt;50,"1) Under Rs 50",IF(F2&lt;100,"2) Rs 50-99",IF(F2&lt;200,"3) Rs 100-199",IF(F2&lt;500,"4) Rs 200-499","5) Rs 500+"))))</f>
        <v>1) Under Rs 50</v>
      </c>
      <c r="O2" s="0" t="n">
        <f aca="false">G2*E2/1000</f>
        <v>3</v>
      </c>
    </row>
    <row r="3" customFormat="false" ht="15" hidden="false" customHeight="false" outlineLevel="0" collapsed="false">
      <c r="A3" s="0" t="s">
        <v>106</v>
      </c>
      <c r="B3" s="0" t="s">
        <v>146</v>
      </c>
      <c r="C3" s="0" t="n">
        <v>42</v>
      </c>
      <c r="D3" s="0" t="n">
        <v>16</v>
      </c>
      <c r="E3" s="0" t="n">
        <v>3</v>
      </c>
      <c r="F3" s="0" t="n">
        <v>35</v>
      </c>
      <c r="G3" s="0" t="n">
        <v>1000</v>
      </c>
      <c r="H3" s="0" t="s">
        <v>145</v>
      </c>
      <c r="I3" s="0" t="n">
        <v>1</v>
      </c>
      <c r="J3" s="0" t="n">
        <f aca="false">F3*E3</f>
        <v>105</v>
      </c>
      <c r="K3" s="0" t="str">
        <f aca="false">IF(G3&lt;1000,"1-Low",IF(G3&lt;5000,"2-Medium","3-Bulk"))</f>
        <v>2-Medium</v>
      </c>
      <c r="L3" s="0" t="str">
        <f aca="false">IF(H3="TRUE","Out of stock","In stock")</f>
        <v>In stock</v>
      </c>
      <c r="M3" s="0" t="str">
        <f aca="false">IF(D3&lt;5,"1) Under 5%",IF(D3&lt;10,"2) 5-9%",IF(D3&lt;15,"3) 10-14%",IF(D3&lt;25,"4) 15-24%","5) 25%+"))))</f>
        <v>4) 15-24%</v>
      </c>
      <c r="N3" s="0" t="str">
        <f aca="false">IF(F3&lt;50,"1) Under Rs 50",IF(F3&lt;100,"2) Rs 50-99",IF(F3&lt;200,"3) Rs 100-199",IF(F3&lt;500,"4) Rs 200-499","5) Rs 500+"))))</f>
        <v>1) Under Rs 50</v>
      </c>
      <c r="O3" s="0" t="n">
        <f aca="false">G3*E3/1000</f>
        <v>3</v>
      </c>
    </row>
    <row r="4" customFormat="false" ht="15" hidden="false" customHeight="false" outlineLevel="0" collapsed="false">
      <c r="A4" s="0" t="s">
        <v>106</v>
      </c>
      <c r="B4" s="0" t="s">
        <v>147</v>
      </c>
      <c r="C4" s="0" t="n">
        <v>51</v>
      </c>
      <c r="D4" s="0" t="n">
        <v>15</v>
      </c>
      <c r="E4" s="0" t="n">
        <v>3</v>
      </c>
      <c r="F4" s="0" t="n">
        <v>43</v>
      </c>
      <c r="G4" s="0" t="n">
        <v>58</v>
      </c>
      <c r="H4" s="0" t="s">
        <v>145</v>
      </c>
      <c r="I4" s="0" t="n">
        <v>1</v>
      </c>
      <c r="J4" s="0" t="n">
        <f aca="false">F4*E4</f>
        <v>129</v>
      </c>
      <c r="K4" s="0" t="str">
        <f aca="false">IF(G4&lt;1000,"1-Low",IF(G4&lt;5000,"2-Medium","3-Bulk"))</f>
        <v>1-Low</v>
      </c>
      <c r="L4" s="0" t="str">
        <f aca="false">IF(H4="TRUE","Out of stock","In stock")</f>
        <v>In stock</v>
      </c>
      <c r="M4" s="0" t="str">
        <f aca="false">IF(D4&lt;5,"1) Under 5%",IF(D4&lt;10,"2) 5-9%",IF(D4&lt;15,"3) 10-14%",IF(D4&lt;25,"4) 15-24%","5) 25%+"))))</f>
        <v>4) 15-24%</v>
      </c>
      <c r="N4" s="0" t="str">
        <f aca="false">IF(F4&lt;50,"1) Under Rs 50",IF(F4&lt;100,"2) Rs 50-99",IF(F4&lt;200,"3) Rs 100-199",IF(F4&lt;500,"4) Rs 200-499","5) Rs 500+"))))</f>
        <v>1) Under Rs 50</v>
      </c>
      <c r="O4" s="0" t="n">
        <f aca="false">G4*E4/1000</f>
        <v>0.174</v>
      </c>
    </row>
    <row r="5" customFormat="false" ht="15" hidden="false" customHeight="false" outlineLevel="0" collapsed="false">
      <c r="A5" s="0" t="s">
        <v>106</v>
      </c>
      <c r="B5" s="0" t="s">
        <v>148</v>
      </c>
      <c r="C5" s="0" t="n">
        <v>20</v>
      </c>
      <c r="D5" s="0" t="n">
        <v>15</v>
      </c>
      <c r="E5" s="0" t="n">
        <v>3</v>
      </c>
      <c r="F5" s="0" t="n">
        <v>17</v>
      </c>
      <c r="G5" s="0" t="n">
        <v>100</v>
      </c>
      <c r="H5" s="0" t="s">
        <v>145</v>
      </c>
      <c r="I5" s="0" t="n">
        <v>100</v>
      </c>
      <c r="J5" s="0" t="n">
        <f aca="false">F5*E5</f>
        <v>51</v>
      </c>
      <c r="K5" s="0" t="str">
        <f aca="false">IF(G5&lt;1000,"1-Low",IF(G5&lt;5000,"2-Medium","3-Bulk"))</f>
        <v>1-Low</v>
      </c>
      <c r="L5" s="0" t="str">
        <f aca="false">IF(H5="TRUE","Out of stock","In stock")</f>
        <v>In stock</v>
      </c>
      <c r="M5" s="0" t="str">
        <f aca="false">IF(D5&lt;5,"1) Under 5%",IF(D5&lt;10,"2) 5-9%",IF(D5&lt;15,"3) 10-14%",IF(D5&lt;25,"4) 15-24%","5) 25%+"))))</f>
        <v>4) 15-24%</v>
      </c>
      <c r="N5" s="0" t="str">
        <f aca="false">IF(F5&lt;50,"1) Under Rs 50",IF(F5&lt;100,"2) Rs 50-99",IF(F5&lt;200,"3) Rs 100-199",IF(F5&lt;500,"4) Rs 200-499","5) Rs 500+"))))</f>
        <v>1) Under Rs 50</v>
      </c>
      <c r="O5" s="0" t="n">
        <f aca="false">G5*E5/1000</f>
        <v>0.3</v>
      </c>
    </row>
    <row r="6" customFormat="false" ht="15" hidden="false" customHeight="false" outlineLevel="0" collapsed="false">
      <c r="A6" s="0" t="s">
        <v>106</v>
      </c>
      <c r="B6" s="0" t="s">
        <v>149</v>
      </c>
      <c r="C6" s="0" t="n">
        <v>14</v>
      </c>
      <c r="D6" s="0" t="n">
        <v>14</v>
      </c>
      <c r="E6" s="0" t="n">
        <v>3</v>
      </c>
      <c r="F6" s="0" t="n">
        <v>12</v>
      </c>
      <c r="G6" s="0" t="n">
        <v>250</v>
      </c>
      <c r="H6" s="0" t="s">
        <v>145</v>
      </c>
      <c r="I6" s="0" t="n">
        <v>250</v>
      </c>
      <c r="J6" s="0" t="n">
        <f aca="false">F6*E6</f>
        <v>36</v>
      </c>
      <c r="K6" s="0" t="str">
        <f aca="false">IF(G6&lt;1000,"1-Low",IF(G6&lt;5000,"2-Medium","3-Bulk"))</f>
        <v>1-Low</v>
      </c>
      <c r="L6" s="0" t="str">
        <f aca="false">IF(H6="TRUE","Out of stock","In stock")</f>
        <v>In stock</v>
      </c>
      <c r="M6" s="0" t="str">
        <f aca="false">IF(D6&lt;5,"1) Under 5%",IF(D6&lt;10,"2) 5-9%",IF(D6&lt;15,"3) 10-14%",IF(D6&lt;25,"4) 15-24%","5) 25%+"))))</f>
        <v>3) 10-14%</v>
      </c>
      <c r="N6" s="0" t="str">
        <f aca="false">IF(F6&lt;50,"1) Under Rs 50",IF(F6&lt;100,"2) Rs 50-99",IF(F6&lt;200,"3) Rs 100-199",IF(F6&lt;500,"4) Rs 200-499","5) Rs 500+"))))</f>
        <v>1) Under Rs 50</v>
      </c>
      <c r="O6" s="0" t="n">
        <f aca="false">G6*E6/1000</f>
        <v>0.75</v>
      </c>
    </row>
    <row r="7" customFormat="false" ht="15" hidden="false" customHeight="false" outlineLevel="0" collapsed="false">
      <c r="A7" s="0" t="s">
        <v>106</v>
      </c>
      <c r="B7" s="0" t="s">
        <v>150</v>
      </c>
      <c r="C7" s="0" t="n">
        <v>35</v>
      </c>
      <c r="D7" s="0" t="n">
        <v>17</v>
      </c>
      <c r="E7" s="0" t="n">
        <v>3</v>
      </c>
      <c r="F7" s="0" t="n">
        <v>29</v>
      </c>
      <c r="G7" s="0" t="n">
        <v>1000</v>
      </c>
      <c r="H7" s="0" t="s">
        <v>145</v>
      </c>
      <c r="I7" s="0" t="n">
        <v>1</v>
      </c>
      <c r="J7" s="0" t="n">
        <f aca="false">F7*E7</f>
        <v>87</v>
      </c>
      <c r="K7" s="0" t="str">
        <f aca="false">IF(G7&lt;1000,"1-Low",IF(G7&lt;5000,"2-Medium","3-Bulk"))</f>
        <v>2-Medium</v>
      </c>
      <c r="L7" s="0" t="str">
        <f aca="false">IF(H7="TRUE","Out of stock","In stock")</f>
        <v>In stock</v>
      </c>
      <c r="M7" s="0" t="str">
        <f aca="false">IF(D7&lt;5,"1) Under 5%",IF(D7&lt;10,"2) 5-9%",IF(D7&lt;15,"3) 10-14%",IF(D7&lt;25,"4) 15-24%","5) 25%+"))))</f>
        <v>4) 15-24%</v>
      </c>
      <c r="N7" s="0" t="str">
        <f aca="false">IF(F7&lt;50,"1) Under Rs 50",IF(F7&lt;100,"2) Rs 50-99",IF(F7&lt;200,"3) Rs 100-199",IF(F7&lt;500,"4) Rs 200-499","5) Rs 500+"))))</f>
        <v>1) Under Rs 50</v>
      </c>
      <c r="O7" s="0" t="n">
        <f aca="false">G7*E7/1000</f>
        <v>3</v>
      </c>
    </row>
    <row r="8" customFormat="false" ht="15" hidden="false" customHeight="false" outlineLevel="0" collapsed="false">
      <c r="A8" s="0" t="s">
        <v>106</v>
      </c>
      <c r="B8" s="0" t="s">
        <v>151</v>
      </c>
      <c r="C8" s="0" t="n">
        <v>75</v>
      </c>
      <c r="D8" s="0" t="n">
        <v>16</v>
      </c>
      <c r="E8" s="0" t="n">
        <v>3</v>
      </c>
      <c r="F8" s="0" t="n">
        <v>63</v>
      </c>
      <c r="G8" s="0" t="n">
        <v>200</v>
      </c>
      <c r="H8" s="0" t="s">
        <v>145</v>
      </c>
      <c r="I8" s="0" t="n">
        <v>200</v>
      </c>
      <c r="J8" s="0" t="n">
        <f aca="false">F8*E8</f>
        <v>189</v>
      </c>
      <c r="K8" s="0" t="str">
        <f aca="false">IF(G8&lt;1000,"1-Low",IF(G8&lt;5000,"2-Medium","3-Bulk"))</f>
        <v>1-Low</v>
      </c>
      <c r="L8" s="0" t="str">
        <f aca="false">IF(H8="TRUE","Out of stock","In stock")</f>
        <v>In stock</v>
      </c>
      <c r="M8" s="0" t="str">
        <f aca="false">IF(D8&lt;5,"1) Under 5%",IF(D8&lt;10,"2) 5-9%",IF(D8&lt;15,"3) 10-14%",IF(D8&lt;25,"4) 15-24%","5) 25%+"))))</f>
        <v>4) 15-24%</v>
      </c>
      <c r="N8" s="0" t="str">
        <f aca="false">IF(F8&lt;50,"1) Under Rs 50",IF(F8&lt;100,"2) Rs 50-99",IF(F8&lt;200,"3) Rs 100-199",IF(F8&lt;500,"4) Rs 200-499","5) Rs 500+"))))</f>
        <v>2) Rs 50-99</v>
      </c>
      <c r="O8" s="0" t="n">
        <f aca="false">G8*E8/1000</f>
        <v>0.6</v>
      </c>
    </row>
    <row r="9" customFormat="false" ht="15" hidden="false" customHeight="false" outlineLevel="0" collapsed="false">
      <c r="A9" s="0" t="s">
        <v>106</v>
      </c>
      <c r="B9" s="0" t="s">
        <v>152</v>
      </c>
      <c r="C9" s="0" t="n">
        <v>58</v>
      </c>
      <c r="D9" s="0" t="n">
        <v>15</v>
      </c>
      <c r="E9" s="0" t="n">
        <v>3</v>
      </c>
      <c r="F9" s="0" t="n">
        <v>49</v>
      </c>
      <c r="G9" s="0" t="n">
        <v>58</v>
      </c>
      <c r="H9" s="0" t="s">
        <v>145</v>
      </c>
      <c r="I9" s="0" t="n">
        <v>1</v>
      </c>
      <c r="J9" s="0" t="n">
        <f aca="false">F9*E9</f>
        <v>147</v>
      </c>
      <c r="K9" s="0" t="str">
        <f aca="false">IF(G9&lt;1000,"1-Low",IF(G9&lt;5000,"2-Medium","3-Bulk"))</f>
        <v>1-Low</v>
      </c>
      <c r="L9" s="0" t="str">
        <f aca="false">IF(H9="TRUE","Out of stock","In stock")</f>
        <v>In stock</v>
      </c>
      <c r="M9" s="0" t="str">
        <f aca="false">IF(D9&lt;5,"1) Under 5%",IF(D9&lt;10,"2) 5-9%",IF(D9&lt;15,"3) 10-14%",IF(D9&lt;25,"4) 15-24%","5) 25%+"))))</f>
        <v>4) 15-24%</v>
      </c>
      <c r="N9" s="0" t="str">
        <f aca="false">IF(F9&lt;50,"1) Under Rs 50",IF(F9&lt;100,"2) Rs 50-99",IF(F9&lt;200,"3) Rs 100-199",IF(F9&lt;500,"4) Rs 200-499","5) Rs 500+"))))</f>
        <v>1) Under Rs 50</v>
      </c>
      <c r="O9" s="0" t="n">
        <f aca="false">G9*E9/1000</f>
        <v>0.174</v>
      </c>
    </row>
    <row r="10" customFormat="false" ht="15" hidden="false" customHeight="false" outlineLevel="0" collapsed="false">
      <c r="A10" s="0" t="s">
        <v>106</v>
      </c>
      <c r="B10" s="0" t="s">
        <v>153</v>
      </c>
      <c r="C10" s="0" t="n">
        <v>23</v>
      </c>
      <c r="D10" s="0" t="n">
        <v>17</v>
      </c>
      <c r="E10" s="0" t="n">
        <v>3</v>
      </c>
      <c r="F10" s="0" t="n">
        <v>19</v>
      </c>
      <c r="G10" s="0" t="n">
        <v>250</v>
      </c>
      <c r="H10" s="0" t="s">
        <v>145</v>
      </c>
      <c r="I10" s="0" t="n">
        <v>250</v>
      </c>
      <c r="J10" s="0" t="n">
        <f aca="false">F10*E10</f>
        <v>57</v>
      </c>
      <c r="K10" s="0" t="str">
        <f aca="false">IF(G10&lt;1000,"1-Low",IF(G10&lt;5000,"2-Medium","3-Bulk"))</f>
        <v>1-Low</v>
      </c>
      <c r="L10" s="0" t="str">
        <f aca="false">IF(H10="TRUE","Out of stock","In stock")</f>
        <v>In stock</v>
      </c>
      <c r="M10" s="0" t="str">
        <f aca="false">IF(D10&lt;5,"1) Under 5%",IF(D10&lt;10,"2) 5-9%",IF(D10&lt;15,"3) 10-14%",IF(D10&lt;25,"4) 15-24%","5) 25%+"))))</f>
        <v>4) 15-24%</v>
      </c>
      <c r="N10" s="0" t="str">
        <f aca="false">IF(F10&lt;50,"1) Under Rs 50",IF(F10&lt;100,"2) Rs 50-99",IF(F10&lt;200,"3) Rs 100-199",IF(F10&lt;500,"4) Rs 200-499","5) Rs 500+"))))</f>
        <v>1) Under Rs 50</v>
      </c>
      <c r="O10" s="0" t="n">
        <f aca="false">G10*E10/1000</f>
        <v>0.75</v>
      </c>
    </row>
    <row r="11" customFormat="false" ht="15" hidden="false" customHeight="false" outlineLevel="0" collapsed="false">
      <c r="A11" s="0" t="s">
        <v>106</v>
      </c>
      <c r="B11" s="0" t="s">
        <v>154</v>
      </c>
      <c r="C11" s="0" t="n">
        <v>19</v>
      </c>
      <c r="D11" s="0" t="n">
        <v>15</v>
      </c>
      <c r="E11" s="0" t="n">
        <v>3</v>
      </c>
      <c r="F11" s="0" t="n">
        <v>16</v>
      </c>
      <c r="G11" s="0" t="n">
        <v>100</v>
      </c>
      <c r="H11" s="0" t="s">
        <v>145</v>
      </c>
      <c r="I11" s="0" t="n">
        <v>100</v>
      </c>
      <c r="J11" s="0" t="n">
        <f aca="false">F11*E11</f>
        <v>48</v>
      </c>
      <c r="K11" s="0" t="str">
        <f aca="false">IF(G11&lt;1000,"1-Low",IF(G11&lt;5000,"2-Medium","3-Bulk"))</f>
        <v>1-Low</v>
      </c>
      <c r="L11" s="0" t="str">
        <f aca="false">IF(H11="TRUE","Out of stock","In stock")</f>
        <v>In stock</v>
      </c>
      <c r="M11" s="0" t="str">
        <f aca="false">IF(D11&lt;5,"1) Under 5%",IF(D11&lt;10,"2) 5-9%",IF(D11&lt;15,"3) 10-14%",IF(D11&lt;25,"4) 15-24%","5) 25%+"))))</f>
        <v>4) 15-24%</v>
      </c>
      <c r="N11" s="0" t="str">
        <f aca="false">IF(F11&lt;50,"1) Under Rs 50",IF(F11&lt;100,"2) Rs 50-99",IF(F11&lt;200,"3) Rs 100-199",IF(F11&lt;500,"4) Rs 200-499","5) Rs 500+"))))</f>
        <v>1) Under Rs 50</v>
      </c>
      <c r="O11" s="0" t="n">
        <f aca="false">G11*E11/1000</f>
        <v>0.3</v>
      </c>
    </row>
    <row r="12" customFormat="false" ht="15" hidden="false" customHeight="false" outlineLevel="0" collapsed="false">
      <c r="A12" s="0" t="s">
        <v>106</v>
      </c>
      <c r="B12" s="0" t="s">
        <v>155</v>
      </c>
      <c r="C12" s="0" t="n">
        <v>29</v>
      </c>
      <c r="D12" s="0" t="n">
        <v>17</v>
      </c>
      <c r="E12" s="0" t="n">
        <v>3</v>
      </c>
      <c r="F12" s="0" t="n">
        <v>24</v>
      </c>
      <c r="G12" s="0" t="n">
        <v>348</v>
      </c>
      <c r="H12" s="0" t="s">
        <v>145</v>
      </c>
      <c r="I12" s="0" t="n">
        <v>6</v>
      </c>
      <c r="J12" s="0" t="n">
        <f aca="false">F12*E12</f>
        <v>72</v>
      </c>
      <c r="K12" s="0" t="str">
        <f aca="false">IF(G12&lt;1000,"1-Low",IF(G12&lt;5000,"2-Medium","3-Bulk"))</f>
        <v>1-Low</v>
      </c>
      <c r="L12" s="0" t="str">
        <f aca="false">IF(H12="TRUE","Out of stock","In stock")</f>
        <v>In stock</v>
      </c>
      <c r="M12" s="0" t="str">
        <f aca="false">IF(D12&lt;5,"1) Under 5%",IF(D12&lt;10,"2) 5-9%",IF(D12&lt;15,"3) 10-14%",IF(D12&lt;25,"4) 15-24%","5) 25%+"))))</f>
        <v>4) 15-24%</v>
      </c>
      <c r="N12" s="0" t="str">
        <f aca="false">IF(F12&lt;50,"1) Under Rs 50",IF(F12&lt;100,"2) Rs 50-99",IF(F12&lt;200,"3) Rs 100-199",IF(F12&lt;500,"4) Rs 200-499","5) Rs 500+"))))</f>
        <v>1) Under Rs 50</v>
      </c>
      <c r="O12" s="0" t="n">
        <f aca="false">G12*E12/1000</f>
        <v>1.044</v>
      </c>
    </row>
    <row r="13" customFormat="false" ht="15" hidden="false" customHeight="false" outlineLevel="0" collapsed="false">
      <c r="A13" s="0" t="s">
        <v>106</v>
      </c>
      <c r="B13" s="0" t="s">
        <v>156</v>
      </c>
      <c r="C13" s="0" t="n">
        <v>11</v>
      </c>
      <c r="D13" s="0" t="n">
        <v>18</v>
      </c>
      <c r="E13" s="0" t="n">
        <v>3</v>
      </c>
      <c r="F13" s="0" t="n">
        <v>9</v>
      </c>
      <c r="G13" s="0" t="n">
        <v>100</v>
      </c>
      <c r="H13" s="0" t="s">
        <v>145</v>
      </c>
      <c r="I13" s="0" t="n">
        <v>100</v>
      </c>
      <c r="J13" s="0" t="n">
        <f aca="false">F13*E13</f>
        <v>27</v>
      </c>
      <c r="K13" s="0" t="str">
        <f aca="false">IF(G13&lt;1000,"1-Low",IF(G13&lt;5000,"2-Medium","3-Bulk"))</f>
        <v>1-Low</v>
      </c>
      <c r="L13" s="0" t="str">
        <f aca="false">IF(H13="TRUE","Out of stock","In stock")</f>
        <v>In stock</v>
      </c>
      <c r="M13" s="0" t="str">
        <f aca="false">IF(D13&lt;5,"1) Under 5%",IF(D13&lt;10,"2) 5-9%",IF(D13&lt;15,"3) 10-14%",IF(D13&lt;25,"4) 15-24%","5) 25%+"))))</f>
        <v>4) 15-24%</v>
      </c>
      <c r="N13" s="0" t="str">
        <f aca="false">IF(F13&lt;50,"1) Under Rs 50",IF(F13&lt;100,"2) Rs 50-99",IF(F13&lt;200,"3) Rs 100-199",IF(F13&lt;500,"4) Rs 200-499","5) Rs 500+"))))</f>
        <v>1) Under Rs 50</v>
      </c>
      <c r="O13" s="0" t="n">
        <f aca="false">G13*E13/1000</f>
        <v>0.3</v>
      </c>
    </row>
    <row r="14" customFormat="false" ht="15" hidden="false" customHeight="false" outlineLevel="0" collapsed="false">
      <c r="A14" s="0" t="s">
        <v>106</v>
      </c>
      <c r="B14" s="0" t="s">
        <v>157</v>
      </c>
      <c r="C14" s="0" t="n">
        <v>26</v>
      </c>
      <c r="D14" s="0" t="n">
        <v>15</v>
      </c>
      <c r="E14" s="0" t="n">
        <v>3</v>
      </c>
      <c r="F14" s="0" t="n">
        <v>22</v>
      </c>
      <c r="G14" s="0" t="n">
        <v>58</v>
      </c>
      <c r="H14" s="0" t="s">
        <v>145</v>
      </c>
      <c r="I14" s="0" t="n">
        <v>1</v>
      </c>
      <c r="J14" s="0" t="n">
        <f aca="false">F14*E14</f>
        <v>66</v>
      </c>
      <c r="K14" s="0" t="str">
        <f aca="false">IF(G14&lt;1000,"1-Low",IF(G14&lt;5000,"2-Medium","3-Bulk"))</f>
        <v>1-Low</v>
      </c>
      <c r="L14" s="0" t="str">
        <f aca="false">IF(H14="TRUE","Out of stock","In stock")</f>
        <v>In stock</v>
      </c>
      <c r="M14" s="0" t="str">
        <f aca="false">IF(D14&lt;5,"1) Under 5%",IF(D14&lt;10,"2) 5-9%",IF(D14&lt;15,"3) 10-14%",IF(D14&lt;25,"4) 15-24%","5) 25%+"))))</f>
        <v>4) 15-24%</v>
      </c>
      <c r="N14" s="0" t="str">
        <f aca="false">IF(F14&lt;50,"1) Under Rs 50",IF(F14&lt;100,"2) Rs 50-99",IF(F14&lt;200,"3) Rs 100-199",IF(F14&lt;500,"4) Rs 200-499","5) Rs 500+"))))</f>
        <v>1) Under Rs 50</v>
      </c>
      <c r="O14" s="0" t="n">
        <f aca="false">G14*E14/1000</f>
        <v>0.174</v>
      </c>
    </row>
    <row r="15" customFormat="false" ht="15" hidden="false" customHeight="false" outlineLevel="0" collapsed="false">
      <c r="A15" s="0" t="s">
        <v>106</v>
      </c>
      <c r="B15" s="0" t="s">
        <v>158</v>
      </c>
      <c r="C15" s="0" t="n">
        <v>14</v>
      </c>
      <c r="D15" s="0" t="n">
        <v>14</v>
      </c>
      <c r="E15" s="0" t="n">
        <v>3</v>
      </c>
      <c r="F15" s="0" t="n">
        <v>12</v>
      </c>
      <c r="G15" s="0" t="n">
        <v>200</v>
      </c>
      <c r="H15" s="0" t="s">
        <v>145</v>
      </c>
      <c r="I15" s="0" t="n">
        <v>200</v>
      </c>
      <c r="J15" s="0" t="n">
        <f aca="false">F15*E15</f>
        <v>36</v>
      </c>
      <c r="K15" s="0" t="str">
        <f aca="false">IF(G15&lt;1000,"1-Low",IF(G15&lt;5000,"2-Medium","3-Bulk"))</f>
        <v>1-Low</v>
      </c>
      <c r="L15" s="0" t="str">
        <f aca="false">IF(H15="TRUE","Out of stock","In stock")</f>
        <v>In stock</v>
      </c>
      <c r="M15" s="0" t="str">
        <f aca="false">IF(D15&lt;5,"1) Under 5%",IF(D15&lt;10,"2) 5-9%",IF(D15&lt;15,"3) 10-14%",IF(D15&lt;25,"4) 15-24%","5) 25%+"))))</f>
        <v>3) 10-14%</v>
      </c>
      <c r="N15" s="0" t="str">
        <f aca="false">IF(F15&lt;50,"1) Under Rs 50",IF(F15&lt;100,"2) Rs 50-99",IF(F15&lt;200,"3) Rs 100-199",IF(F15&lt;500,"4) Rs 200-499","5) Rs 500+"))))</f>
        <v>1) Under Rs 50</v>
      </c>
      <c r="O15" s="0" t="n">
        <f aca="false">G15*E15/1000</f>
        <v>0.6</v>
      </c>
    </row>
    <row r="16" customFormat="false" ht="15" hidden="false" customHeight="false" outlineLevel="0" collapsed="false">
      <c r="A16" s="0" t="s">
        <v>106</v>
      </c>
      <c r="B16" s="0" t="s">
        <v>159</v>
      </c>
      <c r="C16" s="0" t="n">
        <v>19</v>
      </c>
      <c r="D16" s="0" t="n">
        <v>15</v>
      </c>
      <c r="E16" s="0" t="n">
        <v>3</v>
      </c>
      <c r="F16" s="0" t="n">
        <v>16</v>
      </c>
      <c r="G16" s="0" t="n">
        <v>250</v>
      </c>
      <c r="H16" s="0" t="s">
        <v>145</v>
      </c>
      <c r="I16" s="0" t="n">
        <v>250</v>
      </c>
      <c r="J16" s="0" t="n">
        <f aca="false">F16*E16</f>
        <v>48</v>
      </c>
      <c r="K16" s="0" t="str">
        <f aca="false">IF(G16&lt;1000,"1-Low",IF(G16&lt;5000,"2-Medium","3-Bulk"))</f>
        <v>1-Low</v>
      </c>
      <c r="L16" s="0" t="str">
        <f aca="false">IF(H16="TRUE","Out of stock","In stock")</f>
        <v>In stock</v>
      </c>
      <c r="M16" s="0" t="str">
        <f aca="false">IF(D16&lt;5,"1) Under 5%",IF(D16&lt;10,"2) 5-9%",IF(D16&lt;15,"3) 10-14%",IF(D16&lt;25,"4) 15-24%","5) 25%+"))))</f>
        <v>4) 15-24%</v>
      </c>
      <c r="N16" s="0" t="str">
        <f aca="false">IF(F16&lt;50,"1) Under Rs 50",IF(F16&lt;100,"2) Rs 50-99",IF(F16&lt;200,"3) Rs 100-199",IF(F16&lt;500,"4) Rs 200-499","5) Rs 500+"))))</f>
        <v>1) Under Rs 50</v>
      </c>
      <c r="O16" s="0" t="n">
        <f aca="false">G16*E16/1000</f>
        <v>0.75</v>
      </c>
    </row>
    <row r="17" customFormat="false" ht="15" hidden="false" customHeight="false" outlineLevel="0" collapsed="false">
      <c r="A17" s="0" t="s">
        <v>106</v>
      </c>
      <c r="B17" s="0" t="s">
        <v>160</v>
      </c>
      <c r="C17" s="0" t="n">
        <v>42</v>
      </c>
      <c r="D17" s="0" t="n">
        <v>16</v>
      </c>
      <c r="E17" s="0" t="n">
        <v>3</v>
      </c>
      <c r="F17" s="0" t="n">
        <v>35</v>
      </c>
      <c r="G17" s="0" t="n">
        <v>58</v>
      </c>
      <c r="H17" s="0" t="s">
        <v>145</v>
      </c>
      <c r="I17" s="0" t="n">
        <v>1</v>
      </c>
      <c r="J17" s="0" t="n">
        <f aca="false">F17*E17</f>
        <v>105</v>
      </c>
      <c r="K17" s="0" t="str">
        <f aca="false">IF(G17&lt;1000,"1-Low",IF(G17&lt;5000,"2-Medium","3-Bulk"))</f>
        <v>1-Low</v>
      </c>
      <c r="L17" s="0" t="str">
        <f aca="false">IF(H17="TRUE","Out of stock","In stock")</f>
        <v>In stock</v>
      </c>
      <c r="M17" s="0" t="str">
        <f aca="false">IF(D17&lt;5,"1) Under 5%",IF(D17&lt;10,"2) 5-9%",IF(D17&lt;15,"3) 10-14%",IF(D17&lt;25,"4) 15-24%","5) 25%+"))))</f>
        <v>4) 15-24%</v>
      </c>
      <c r="N17" s="0" t="str">
        <f aca="false">IF(F17&lt;50,"1) Under Rs 50",IF(F17&lt;100,"2) Rs 50-99",IF(F17&lt;200,"3) Rs 100-199",IF(F17&lt;500,"4) Rs 200-499","5) Rs 500+"))))</f>
        <v>1) Under Rs 50</v>
      </c>
      <c r="O17" s="0" t="n">
        <f aca="false">G17*E17/1000</f>
        <v>0.174</v>
      </c>
    </row>
    <row r="18" customFormat="false" ht="15" hidden="false" customHeight="false" outlineLevel="0" collapsed="false">
      <c r="A18" s="0" t="s">
        <v>106</v>
      </c>
      <c r="B18" s="0" t="s">
        <v>161</v>
      </c>
      <c r="C18" s="0" t="n">
        <v>15</v>
      </c>
      <c r="D18" s="0" t="n">
        <v>13</v>
      </c>
      <c r="E18" s="0" t="n">
        <v>3</v>
      </c>
      <c r="F18" s="0" t="n">
        <v>13</v>
      </c>
      <c r="G18" s="0" t="n">
        <v>58</v>
      </c>
      <c r="H18" s="0" t="s">
        <v>145</v>
      </c>
      <c r="I18" s="0" t="n">
        <v>1</v>
      </c>
      <c r="J18" s="0" t="n">
        <f aca="false">F18*E18</f>
        <v>39</v>
      </c>
      <c r="K18" s="0" t="str">
        <f aca="false">IF(G18&lt;1000,"1-Low",IF(G18&lt;5000,"2-Medium","3-Bulk"))</f>
        <v>1-Low</v>
      </c>
      <c r="L18" s="0" t="str">
        <f aca="false">IF(H18="TRUE","Out of stock","In stock")</f>
        <v>In stock</v>
      </c>
      <c r="M18" s="0" t="str">
        <f aca="false">IF(D18&lt;5,"1) Under 5%",IF(D18&lt;10,"2) 5-9%",IF(D18&lt;15,"3) 10-14%",IF(D18&lt;25,"4) 15-24%","5) 25%+"))))</f>
        <v>3) 10-14%</v>
      </c>
      <c r="N18" s="0" t="str">
        <f aca="false">IF(F18&lt;50,"1) Under Rs 50",IF(F18&lt;100,"2) Rs 50-99",IF(F18&lt;200,"3) Rs 100-199",IF(F18&lt;500,"4) Rs 200-499","5) Rs 500+"))))</f>
        <v>1) Under Rs 50</v>
      </c>
      <c r="O18" s="0" t="n">
        <f aca="false">G18*E18/1000</f>
        <v>0.174</v>
      </c>
    </row>
    <row r="19" customFormat="false" ht="15" hidden="false" customHeight="false" outlineLevel="0" collapsed="false">
      <c r="A19" s="0" t="s">
        <v>106</v>
      </c>
      <c r="B19" s="0" t="s">
        <v>162</v>
      </c>
      <c r="C19" s="0" t="n">
        <v>30</v>
      </c>
      <c r="D19" s="0" t="n">
        <v>16</v>
      </c>
      <c r="E19" s="0" t="n">
        <v>3</v>
      </c>
      <c r="F19" s="0" t="n">
        <v>25</v>
      </c>
      <c r="G19" s="0" t="n">
        <v>250</v>
      </c>
      <c r="H19" s="0" t="s">
        <v>145</v>
      </c>
      <c r="I19" s="0" t="n">
        <v>250</v>
      </c>
      <c r="J19" s="0" t="n">
        <f aca="false">F19*E19</f>
        <v>75</v>
      </c>
      <c r="K19" s="0" t="str">
        <f aca="false">IF(G19&lt;1000,"1-Low",IF(G19&lt;5000,"2-Medium","3-Bulk"))</f>
        <v>1-Low</v>
      </c>
      <c r="L19" s="0" t="str">
        <f aca="false">IF(H19="TRUE","Out of stock","In stock")</f>
        <v>In stock</v>
      </c>
      <c r="M19" s="0" t="str">
        <f aca="false">IF(D19&lt;5,"1) Under 5%",IF(D19&lt;10,"2) 5-9%",IF(D19&lt;15,"3) 10-14%",IF(D19&lt;25,"4) 15-24%","5) 25%+"))))</f>
        <v>4) 15-24%</v>
      </c>
      <c r="N19" s="0" t="str">
        <f aca="false">IF(F19&lt;50,"1) Under Rs 50",IF(F19&lt;100,"2) Rs 50-99",IF(F19&lt;200,"3) Rs 100-199",IF(F19&lt;500,"4) Rs 200-499","5) Rs 500+"))))</f>
        <v>1) Under Rs 50</v>
      </c>
      <c r="O19" s="0" t="n">
        <f aca="false">G19*E19/1000</f>
        <v>0.75</v>
      </c>
    </row>
    <row r="20" customFormat="false" ht="15" hidden="false" customHeight="false" outlineLevel="0" collapsed="false">
      <c r="A20" s="0" t="s">
        <v>106</v>
      </c>
      <c r="B20" s="0" t="s">
        <v>163</v>
      </c>
      <c r="C20" s="0" t="n">
        <v>36</v>
      </c>
      <c r="D20" s="0" t="n">
        <v>16</v>
      </c>
      <c r="E20" s="0" t="n">
        <v>3</v>
      </c>
      <c r="F20" s="0" t="n">
        <v>30</v>
      </c>
      <c r="G20" s="0" t="n">
        <v>500</v>
      </c>
      <c r="H20" s="0" t="s">
        <v>145</v>
      </c>
      <c r="I20" s="0" t="n">
        <v>500</v>
      </c>
      <c r="J20" s="0" t="n">
        <f aca="false">F20*E20</f>
        <v>90</v>
      </c>
      <c r="K20" s="0" t="str">
        <f aca="false">IF(G20&lt;1000,"1-Low",IF(G20&lt;5000,"2-Medium","3-Bulk"))</f>
        <v>1-Low</v>
      </c>
      <c r="L20" s="0" t="str">
        <f aca="false">IF(H20="TRUE","Out of stock","In stock")</f>
        <v>In stock</v>
      </c>
      <c r="M20" s="0" t="str">
        <f aca="false">IF(D20&lt;5,"1) Under 5%",IF(D20&lt;10,"2) 5-9%",IF(D20&lt;15,"3) 10-14%",IF(D20&lt;25,"4) 15-24%","5) 25%+"))))</f>
        <v>4) 15-24%</v>
      </c>
      <c r="N20" s="0" t="str">
        <f aca="false">IF(F20&lt;50,"1) Under Rs 50",IF(F20&lt;100,"2) Rs 50-99",IF(F20&lt;200,"3) Rs 100-199",IF(F20&lt;500,"4) Rs 200-499","5) Rs 500+"))))</f>
        <v>1) Under Rs 50</v>
      </c>
      <c r="O20" s="0" t="n">
        <f aca="false">G20*E20/1000</f>
        <v>1.5</v>
      </c>
    </row>
    <row r="21" customFormat="false" ht="15" hidden="false" customHeight="false" outlineLevel="0" collapsed="false">
      <c r="A21" s="0" t="s">
        <v>106</v>
      </c>
      <c r="B21" s="0" t="s">
        <v>164</v>
      </c>
      <c r="C21" s="0" t="n">
        <v>30</v>
      </c>
      <c r="D21" s="0" t="n">
        <v>16</v>
      </c>
      <c r="E21" s="0" t="n">
        <v>3</v>
      </c>
      <c r="F21" s="0" t="n">
        <v>25</v>
      </c>
      <c r="G21" s="0" t="n">
        <v>348</v>
      </c>
      <c r="H21" s="0" t="s">
        <v>145</v>
      </c>
      <c r="I21" s="0" t="n">
        <v>6</v>
      </c>
      <c r="J21" s="0" t="n">
        <f aca="false">F21*E21</f>
        <v>75</v>
      </c>
      <c r="K21" s="0" t="str">
        <f aca="false">IF(G21&lt;1000,"1-Low",IF(G21&lt;5000,"2-Medium","3-Bulk"))</f>
        <v>1-Low</v>
      </c>
      <c r="L21" s="0" t="str">
        <f aca="false">IF(H21="TRUE","Out of stock","In stock")</f>
        <v>In stock</v>
      </c>
      <c r="M21" s="0" t="str">
        <f aca="false">IF(D21&lt;5,"1) Under 5%",IF(D21&lt;10,"2) 5-9%",IF(D21&lt;15,"3) 10-14%",IF(D21&lt;25,"4) 15-24%","5) 25%+"))))</f>
        <v>4) 15-24%</v>
      </c>
      <c r="N21" s="0" t="str">
        <f aca="false">IF(F21&lt;50,"1) Under Rs 50",IF(F21&lt;100,"2) Rs 50-99",IF(F21&lt;200,"3) Rs 100-199",IF(F21&lt;500,"4) Rs 200-499","5) Rs 500+"))))</f>
        <v>1) Under Rs 50</v>
      </c>
      <c r="O21" s="0" t="n">
        <f aca="false">G21*E21/1000</f>
        <v>1.044</v>
      </c>
    </row>
    <row r="22" customFormat="false" ht="15" hidden="false" customHeight="false" outlineLevel="0" collapsed="false">
      <c r="A22" s="0" t="s">
        <v>106</v>
      </c>
      <c r="B22" s="0" t="s">
        <v>144</v>
      </c>
      <c r="C22" s="0" t="n">
        <v>68</v>
      </c>
      <c r="D22" s="0" t="n">
        <v>16</v>
      </c>
      <c r="E22" s="0" t="n">
        <v>3</v>
      </c>
      <c r="F22" s="0" t="n">
        <v>57</v>
      </c>
      <c r="G22" s="0" t="n">
        <v>3000</v>
      </c>
      <c r="H22" s="0" t="s">
        <v>145</v>
      </c>
      <c r="I22" s="0" t="n">
        <v>3</v>
      </c>
      <c r="J22" s="0" t="n">
        <f aca="false">F22*E22</f>
        <v>171</v>
      </c>
      <c r="K22" s="0" t="str">
        <f aca="false">IF(G22&lt;1000,"1-Low",IF(G22&lt;5000,"2-Medium","3-Bulk"))</f>
        <v>2-Medium</v>
      </c>
      <c r="L22" s="0" t="str">
        <f aca="false">IF(H22="TRUE","Out of stock","In stock")</f>
        <v>In stock</v>
      </c>
      <c r="M22" s="0" t="str">
        <f aca="false">IF(D22&lt;5,"1) Under 5%",IF(D22&lt;10,"2) 5-9%",IF(D22&lt;15,"3) 10-14%",IF(D22&lt;25,"4) 15-24%","5) 25%+"))))</f>
        <v>4) 15-24%</v>
      </c>
      <c r="N22" s="0" t="str">
        <f aca="false">IF(F22&lt;50,"1) Under Rs 50",IF(F22&lt;100,"2) Rs 50-99",IF(F22&lt;200,"3) Rs 100-199",IF(F22&lt;500,"4) Rs 200-499","5) Rs 500+"))))</f>
        <v>2) Rs 50-99</v>
      </c>
      <c r="O22" s="0" t="n">
        <f aca="false">G22*E22/1000</f>
        <v>9</v>
      </c>
    </row>
    <row r="23" customFormat="false" ht="15" hidden="false" customHeight="false" outlineLevel="0" collapsed="false">
      <c r="A23" s="0" t="s">
        <v>106</v>
      </c>
      <c r="B23" s="0" t="s">
        <v>150</v>
      </c>
      <c r="C23" s="0" t="n">
        <v>100</v>
      </c>
      <c r="D23" s="0" t="n">
        <v>16</v>
      </c>
      <c r="E23" s="0" t="n">
        <v>3</v>
      </c>
      <c r="F23" s="0" t="n">
        <v>84</v>
      </c>
      <c r="G23" s="0" t="n">
        <v>3000</v>
      </c>
      <c r="H23" s="0" t="s">
        <v>145</v>
      </c>
      <c r="I23" s="0" t="n">
        <v>3</v>
      </c>
      <c r="J23" s="0" t="n">
        <f aca="false">F23*E23</f>
        <v>252</v>
      </c>
      <c r="K23" s="0" t="str">
        <f aca="false">IF(G23&lt;1000,"1-Low",IF(G23&lt;5000,"2-Medium","3-Bulk"))</f>
        <v>2-Medium</v>
      </c>
      <c r="L23" s="0" t="str">
        <f aca="false">IF(H23="TRUE","Out of stock","In stock")</f>
        <v>In stock</v>
      </c>
      <c r="M23" s="0" t="str">
        <f aca="false">IF(D23&lt;5,"1) Under 5%",IF(D23&lt;10,"2) 5-9%",IF(D23&lt;15,"3) 10-14%",IF(D23&lt;25,"4) 15-24%","5) 25%+"))))</f>
        <v>4) 15-24%</v>
      </c>
      <c r="N23" s="0" t="str">
        <f aca="false">IF(F23&lt;50,"1) Under Rs 50",IF(F23&lt;100,"2) Rs 50-99",IF(F23&lt;200,"3) Rs 100-199",IF(F23&lt;500,"4) Rs 200-499","5) Rs 500+"))))</f>
        <v>2) Rs 50-99</v>
      </c>
      <c r="O23" s="0" t="n">
        <f aca="false">G23*E23/1000</f>
        <v>9</v>
      </c>
    </row>
    <row r="24" customFormat="false" ht="15" hidden="false" customHeight="false" outlineLevel="0" collapsed="false">
      <c r="A24" s="0" t="s">
        <v>106</v>
      </c>
      <c r="B24" s="0" t="s">
        <v>165</v>
      </c>
      <c r="C24" s="0" t="n">
        <v>82</v>
      </c>
      <c r="D24" s="0" t="n">
        <v>15</v>
      </c>
      <c r="E24" s="0" t="n">
        <v>3</v>
      </c>
      <c r="F24" s="0" t="n">
        <v>69</v>
      </c>
      <c r="G24" s="0" t="n">
        <v>232</v>
      </c>
      <c r="H24" s="0" t="s">
        <v>145</v>
      </c>
      <c r="I24" s="0" t="n">
        <v>4</v>
      </c>
      <c r="J24" s="0" t="n">
        <f aca="false">F24*E24</f>
        <v>207</v>
      </c>
      <c r="K24" s="0" t="str">
        <f aca="false">IF(G24&lt;1000,"1-Low",IF(G24&lt;5000,"2-Medium","3-Bulk"))</f>
        <v>1-Low</v>
      </c>
      <c r="L24" s="0" t="str">
        <f aca="false">IF(H24="TRUE","Out of stock","In stock")</f>
        <v>In stock</v>
      </c>
      <c r="M24" s="0" t="str">
        <f aca="false">IF(D24&lt;5,"1) Under 5%",IF(D24&lt;10,"2) 5-9%",IF(D24&lt;15,"3) 10-14%",IF(D24&lt;25,"4) 15-24%","5) 25%+"))))</f>
        <v>4) 15-24%</v>
      </c>
      <c r="N24" s="0" t="str">
        <f aca="false">IF(F24&lt;50,"1) Under Rs 50",IF(F24&lt;100,"2) Rs 50-99",IF(F24&lt;200,"3) Rs 100-199",IF(F24&lt;500,"4) Rs 200-499","5) Rs 500+"))))</f>
        <v>2) Rs 50-99</v>
      </c>
      <c r="O24" s="0" t="n">
        <f aca="false">G24*E24/1000</f>
        <v>0.696</v>
      </c>
    </row>
    <row r="25" customFormat="false" ht="15" hidden="false" customHeight="false" outlineLevel="0" collapsed="false">
      <c r="A25" s="0" t="s">
        <v>106</v>
      </c>
      <c r="B25" s="0" t="s">
        <v>166</v>
      </c>
      <c r="C25" s="0" t="n">
        <v>11</v>
      </c>
      <c r="D25" s="0" t="n">
        <v>18</v>
      </c>
      <c r="E25" s="0" t="n">
        <v>3</v>
      </c>
      <c r="F25" s="0" t="n">
        <v>9</v>
      </c>
      <c r="G25" s="0" t="n">
        <v>100</v>
      </c>
      <c r="H25" s="0" t="s">
        <v>145</v>
      </c>
      <c r="I25" s="0" t="n">
        <v>100</v>
      </c>
      <c r="J25" s="0" t="n">
        <f aca="false">F25*E25</f>
        <v>27</v>
      </c>
      <c r="K25" s="0" t="str">
        <f aca="false">IF(G25&lt;1000,"1-Low",IF(G25&lt;5000,"2-Medium","3-Bulk"))</f>
        <v>1-Low</v>
      </c>
      <c r="L25" s="0" t="str">
        <f aca="false">IF(H25="TRUE","Out of stock","In stock")</f>
        <v>In stock</v>
      </c>
      <c r="M25" s="0" t="str">
        <f aca="false">IF(D25&lt;5,"1) Under 5%",IF(D25&lt;10,"2) 5-9%",IF(D25&lt;15,"3) 10-14%",IF(D25&lt;25,"4) 15-24%","5) 25%+"))))</f>
        <v>4) 15-24%</v>
      </c>
      <c r="N25" s="0" t="str">
        <f aca="false">IF(F25&lt;50,"1) Under Rs 50",IF(F25&lt;100,"2) Rs 50-99",IF(F25&lt;200,"3) Rs 100-199",IF(F25&lt;500,"4) Rs 200-499","5) Rs 500+"))))</f>
        <v>1) Under Rs 50</v>
      </c>
      <c r="O25" s="0" t="n">
        <f aca="false">G25*E25/1000</f>
        <v>0.3</v>
      </c>
    </row>
    <row r="26" customFormat="false" ht="15" hidden="false" customHeight="false" outlineLevel="0" collapsed="false">
      <c r="A26" s="0" t="s">
        <v>106</v>
      </c>
      <c r="B26" s="0" t="s">
        <v>167</v>
      </c>
      <c r="C26" s="0" t="n">
        <v>33</v>
      </c>
      <c r="D26" s="0" t="n">
        <v>15</v>
      </c>
      <c r="E26" s="0" t="n">
        <v>3</v>
      </c>
      <c r="F26" s="0" t="n">
        <v>28</v>
      </c>
      <c r="G26" s="0" t="n">
        <v>250</v>
      </c>
      <c r="H26" s="0" t="s">
        <v>145</v>
      </c>
      <c r="I26" s="0" t="n">
        <v>250</v>
      </c>
      <c r="J26" s="0" t="n">
        <f aca="false">F26*E26</f>
        <v>84</v>
      </c>
      <c r="K26" s="0" t="str">
        <f aca="false">IF(G26&lt;1000,"1-Low",IF(G26&lt;5000,"2-Medium","3-Bulk"))</f>
        <v>1-Low</v>
      </c>
      <c r="L26" s="0" t="str">
        <f aca="false">IF(H26="TRUE","Out of stock","In stock")</f>
        <v>In stock</v>
      </c>
      <c r="M26" s="0" t="str">
        <f aca="false">IF(D26&lt;5,"1) Under 5%",IF(D26&lt;10,"2) 5-9%",IF(D26&lt;15,"3) 10-14%",IF(D26&lt;25,"4) 15-24%","5) 25%+"))))</f>
        <v>4) 15-24%</v>
      </c>
      <c r="N26" s="0" t="str">
        <f aca="false">IF(F26&lt;50,"1) Under Rs 50",IF(F26&lt;100,"2) Rs 50-99",IF(F26&lt;200,"3) Rs 100-199",IF(F26&lt;500,"4) Rs 200-499","5) Rs 500+"))))</f>
        <v>1) Under Rs 50</v>
      </c>
      <c r="O26" s="0" t="n">
        <f aca="false">G26*E26/1000</f>
        <v>0.75</v>
      </c>
    </row>
    <row r="27" customFormat="false" ht="15" hidden="false" customHeight="false" outlineLevel="0" collapsed="false">
      <c r="A27" s="0" t="s">
        <v>106</v>
      </c>
      <c r="B27" s="0" t="s">
        <v>168</v>
      </c>
      <c r="C27" s="0" t="n">
        <v>26</v>
      </c>
      <c r="D27" s="0" t="n">
        <v>15</v>
      </c>
      <c r="E27" s="0" t="n">
        <v>3</v>
      </c>
      <c r="F27" s="0" t="n">
        <v>22</v>
      </c>
      <c r="G27" s="0" t="n">
        <v>58</v>
      </c>
      <c r="H27" s="0" t="s">
        <v>145</v>
      </c>
      <c r="I27" s="0" t="n">
        <v>1</v>
      </c>
      <c r="J27" s="0" t="n">
        <f aca="false">F27*E27</f>
        <v>66</v>
      </c>
      <c r="K27" s="0" t="str">
        <f aca="false">IF(G27&lt;1000,"1-Low",IF(G27&lt;5000,"2-Medium","3-Bulk"))</f>
        <v>1-Low</v>
      </c>
      <c r="L27" s="0" t="str">
        <f aca="false">IF(H27="TRUE","Out of stock","In stock")</f>
        <v>In stock</v>
      </c>
      <c r="M27" s="0" t="str">
        <f aca="false">IF(D27&lt;5,"1) Under 5%",IF(D27&lt;10,"2) 5-9%",IF(D27&lt;15,"3) 10-14%",IF(D27&lt;25,"4) 15-24%","5) 25%+"))))</f>
        <v>4) 15-24%</v>
      </c>
      <c r="N27" s="0" t="str">
        <f aca="false">IF(F27&lt;50,"1) Under Rs 50",IF(F27&lt;100,"2) Rs 50-99",IF(F27&lt;200,"3) Rs 100-199",IF(F27&lt;500,"4) Rs 200-499","5) Rs 500+"))))</f>
        <v>1) Under Rs 50</v>
      </c>
      <c r="O27" s="0" t="n">
        <f aca="false">G27*E27/1000</f>
        <v>0.174</v>
      </c>
    </row>
    <row r="28" customFormat="false" ht="15" hidden="false" customHeight="false" outlineLevel="0" collapsed="false">
      <c r="A28" s="0" t="s">
        <v>106</v>
      </c>
      <c r="B28" s="0" t="s">
        <v>169</v>
      </c>
      <c r="C28" s="0" t="n">
        <v>58</v>
      </c>
      <c r="D28" s="0" t="n">
        <v>15</v>
      </c>
      <c r="E28" s="0" t="n">
        <v>3</v>
      </c>
      <c r="F28" s="0" t="n">
        <v>49</v>
      </c>
      <c r="G28" s="0" t="n">
        <v>348</v>
      </c>
      <c r="H28" s="0" t="s">
        <v>145</v>
      </c>
      <c r="I28" s="0" t="n">
        <v>6</v>
      </c>
      <c r="J28" s="0" t="n">
        <f aca="false">F28*E28</f>
        <v>147</v>
      </c>
      <c r="K28" s="0" t="str">
        <f aca="false">IF(G28&lt;1000,"1-Low",IF(G28&lt;5000,"2-Medium","3-Bulk"))</f>
        <v>1-Low</v>
      </c>
      <c r="L28" s="0" t="str">
        <f aca="false">IF(H28="TRUE","Out of stock","In stock")</f>
        <v>In stock</v>
      </c>
      <c r="M28" s="0" t="str">
        <f aca="false">IF(D28&lt;5,"1) Under 5%",IF(D28&lt;10,"2) 5-9%",IF(D28&lt;15,"3) 10-14%",IF(D28&lt;25,"4) 15-24%","5) 25%+"))))</f>
        <v>4) 15-24%</v>
      </c>
      <c r="N28" s="0" t="str">
        <f aca="false">IF(F28&lt;50,"1) Under Rs 50",IF(F28&lt;100,"2) Rs 50-99",IF(F28&lt;200,"3) Rs 100-199",IF(F28&lt;500,"4) Rs 200-499","5) Rs 500+"))))</f>
        <v>1) Under Rs 50</v>
      </c>
      <c r="O28" s="0" t="n">
        <f aca="false">G28*E28/1000</f>
        <v>1.044</v>
      </c>
    </row>
    <row r="29" customFormat="false" ht="15" hidden="false" customHeight="false" outlineLevel="0" collapsed="false">
      <c r="A29" s="0" t="s">
        <v>106</v>
      </c>
      <c r="B29" s="0" t="s">
        <v>170</v>
      </c>
      <c r="C29" s="0" t="n">
        <v>36</v>
      </c>
      <c r="D29" s="0" t="n">
        <v>16</v>
      </c>
      <c r="E29" s="0" t="n">
        <v>3</v>
      </c>
      <c r="F29" s="0" t="n">
        <v>30</v>
      </c>
      <c r="G29" s="0" t="n">
        <v>58</v>
      </c>
      <c r="H29" s="0" t="s">
        <v>145</v>
      </c>
      <c r="I29" s="0" t="n">
        <v>1</v>
      </c>
      <c r="J29" s="0" t="n">
        <f aca="false">F29*E29</f>
        <v>90</v>
      </c>
      <c r="K29" s="0" t="str">
        <f aca="false">IF(G29&lt;1000,"1-Low",IF(G29&lt;5000,"2-Medium","3-Bulk"))</f>
        <v>1-Low</v>
      </c>
      <c r="L29" s="0" t="str">
        <f aca="false">IF(H29="TRUE","Out of stock","In stock")</f>
        <v>In stock</v>
      </c>
      <c r="M29" s="0" t="str">
        <f aca="false">IF(D29&lt;5,"1) Under 5%",IF(D29&lt;10,"2) 5-9%",IF(D29&lt;15,"3) 10-14%",IF(D29&lt;25,"4) 15-24%","5) 25%+"))))</f>
        <v>4) 15-24%</v>
      </c>
      <c r="N29" s="0" t="str">
        <f aca="false">IF(F29&lt;50,"1) Under Rs 50",IF(F29&lt;100,"2) Rs 50-99",IF(F29&lt;200,"3) Rs 100-199",IF(F29&lt;500,"4) Rs 200-499","5) Rs 500+"))))</f>
        <v>1) Under Rs 50</v>
      </c>
      <c r="O29" s="0" t="n">
        <f aca="false">G29*E29/1000</f>
        <v>0.174</v>
      </c>
    </row>
    <row r="30" customFormat="false" ht="15" hidden="false" customHeight="false" outlineLevel="0" collapsed="false">
      <c r="A30" s="0" t="s">
        <v>106</v>
      </c>
      <c r="B30" s="0" t="s">
        <v>171</v>
      </c>
      <c r="C30" s="0" t="n">
        <v>13</v>
      </c>
      <c r="D30" s="0" t="n">
        <v>15</v>
      </c>
      <c r="E30" s="0" t="n">
        <v>3</v>
      </c>
      <c r="F30" s="0" t="n">
        <v>11</v>
      </c>
      <c r="G30" s="0" t="n">
        <v>50</v>
      </c>
      <c r="H30" s="0" t="s">
        <v>145</v>
      </c>
      <c r="I30" s="0" t="n">
        <v>50</v>
      </c>
      <c r="J30" s="0" t="n">
        <f aca="false">F30*E30</f>
        <v>33</v>
      </c>
      <c r="K30" s="0" t="str">
        <f aca="false">IF(G30&lt;1000,"1-Low",IF(G30&lt;5000,"2-Medium","3-Bulk"))</f>
        <v>1-Low</v>
      </c>
      <c r="L30" s="0" t="str">
        <f aca="false">IF(H30="TRUE","Out of stock","In stock")</f>
        <v>In stock</v>
      </c>
      <c r="M30" s="0" t="str">
        <f aca="false">IF(D30&lt;5,"1) Under 5%",IF(D30&lt;10,"2) 5-9%",IF(D30&lt;15,"3) 10-14%",IF(D30&lt;25,"4) 15-24%","5) 25%+"))))</f>
        <v>4) 15-24%</v>
      </c>
      <c r="N30" s="0" t="str">
        <f aca="false">IF(F30&lt;50,"1) Under Rs 50",IF(F30&lt;100,"2) Rs 50-99",IF(F30&lt;200,"3) Rs 100-199",IF(F30&lt;500,"4) Rs 200-499","5) Rs 500+"))))</f>
        <v>1) Under Rs 50</v>
      </c>
      <c r="O30" s="0" t="n">
        <f aca="false">G30*E30/1000</f>
        <v>0.15</v>
      </c>
    </row>
    <row r="31" customFormat="false" ht="15" hidden="false" customHeight="false" outlineLevel="0" collapsed="false">
      <c r="A31" s="0" t="s">
        <v>106</v>
      </c>
      <c r="B31" s="0" t="s">
        <v>172</v>
      </c>
      <c r="C31" s="0" t="n">
        <v>19</v>
      </c>
      <c r="D31" s="0" t="n">
        <v>15</v>
      </c>
      <c r="E31" s="0" t="n">
        <v>3</v>
      </c>
      <c r="F31" s="0" t="n">
        <v>16</v>
      </c>
      <c r="G31" s="0" t="n">
        <v>58</v>
      </c>
      <c r="H31" s="0" t="s">
        <v>145</v>
      </c>
      <c r="I31" s="0" t="n">
        <v>1</v>
      </c>
      <c r="J31" s="0" t="n">
        <f aca="false">F31*E31</f>
        <v>48</v>
      </c>
      <c r="K31" s="0" t="str">
        <f aca="false">IF(G31&lt;1000,"1-Low",IF(G31&lt;5000,"2-Medium","3-Bulk"))</f>
        <v>1-Low</v>
      </c>
      <c r="L31" s="0" t="str">
        <f aca="false">IF(H31="TRUE","Out of stock","In stock")</f>
        <v>In stock</v>
      </c>
      <c r="M31" s="0" t="str">
        <f aca="false">IF(D31&lt;5,"1) Under 5%",IF(D31&lt;10,"2) 5-9%",IF(D31&lt;15,"3) 10-14%",IF(D31&lt;25,"4) 15-24%","5) 25%+"))))</f>
        <v>4) 15-24%</v>
      </c>
      <c r="N31" s="0" t="str">
        <f aca="false">IF(F31&lt;50,"1) Under Rs 50",IF(F31&lt;100,"2) Rs 50-99",IF(F31&lt;200,"3) Rs 100-199",IF(F31&lt;500,"4) Rs 200-499","5) Rs 500+"))))</f>
        <v>1) Under Rs 50</v>
      </c>
      <c r="O31" s="0" t="n">
        <f aca="false">G31*E31/1000</f>
        <v>0.174</v>
      </c>
    </row>
    <row r="32" customFormat="false" ht="15" hidden="false" customHeight="false" outlineLevel="0" collapsed="false">
      <c r="A32" s="0" t="s">
        <v>106</v>
      </c>
      <c r="B32" s="0" t="s">
        <v>173</v>
      </c>
      <c r="C32" s="0" t="n">
        <v>25</v>
      </c>
      <c r="D32" s="0" t="n">
        <v>16</v>
      </c>
      <c r="E32" s="0" t="n">
        <v>3</v>
      </c>
      <c r="F32" s="0" t="n">
        <v>21</v>
      </c>
      <c r="G32" s="0" t="n">
        <v>250</v>
      </c>
      <c r="H32" s="0" t="s">
        <v>145</v>
      </c>
      <c r="I32" s="0" t="n">
        <v>250</v>
      </c>
      <c r="J32" s="0" t="n">
        <f aca="false">F32*E32</f>
        <v>63</v>
      </c>
      <c r="K32" s="0" t="str">
        <f aca="false">IF(G32&lt;1000,"1-Low",IF(G32&lt;5000,"2-Medium","3-Bulk"))</f>
        <v>1-Low</v>
      </c>
      <c r="L32" s="0" t="str">
        <f aca="false">IF(H32="TRUE","Out of stock","In stock")</f>
        <v>In stock</v>
      </c>
      <c r="M32" s="0" t="str">
        <f aca="false">IF(D32&lt;5,"1) Under 5%",IF(D32&lt;10,"2) 5-9%",IF(D32&lt;15,"3) 10-14%",IF(D32&lt;25,"4) 15-24%","5) 25%+"))))</f>
        <v>4) 15-24%</v>
      </c>
      <c r="N32" s="0" t="str">
        <f aca="false">IF(F32&lt;50,"1) Under Rs 50",IF(F32&lt;100,"2) Rs 50-99",IF(F32&lt;200,"3) Rs 100-199",IF(F32&lt;500,"4) Rs 200-499","5) Rs 500+"))))</f>
        <v>1) Under Rs 50</v>
      </c>
      <c r="O32" s="0" t="n">
        <f aca="false">G32*E32/1000</f>
        <v>0.75</v>
      </c>
    </row>
    <row r="33" customFormat="false" ht="15" hidden="false" customHeight="false" outlineLevel="0" collapsed="false">
      <c r="A33" s="0" t="s">
        <v>106</v>
      </c>
      <c r="B33" s="0" t="s">
        <v>174</v>
      </c>
      <c r="C33" s="0" t="n">
        <v>54</v>
      </c>
      <c r="D33" s="0" t="n">
        <v>16</v>
      </c>
      <c r="E33" s="0" t="n">
        <v>3</v>
      </c>
      <c r="F33" s="0" t="n">
        <v>45</v>
      </c>
      <c r="G33" s="0" t="n">
        <v>58</v>
      </c>
      <c r="H33" s="0" t="s">
        <v>145</v>
      </c>
      <c r="I33" s="0" t="n">
        <v>1</v>
      </c>
      <c r="J33" s="0" t="n">
        <f aca="false">F33*E33</f>
        <v>135</v>
      </c>
      <c r="K33" s="0" t="str">
        <f aca="false">IF(G33&lt;1000,"1-Low",IF(G33&lt;5000,"2-Medium","3-Bulk"))</f>
        <v>1-Low</v>
      </c>
      <c r="L33" s="0" t="str">
        <f aca="false">IF(H33="TRUE","Out of stock","In stock")</f>
        <v>In stock</v>
      </c>
      <c r="M33" s="0" t="str">
        <f aca="false">IF(D33&lt;5,"1) Under 5%",IF(D33&lt;10,"2) 5-9%",IF(D33&lt;15,"3) 10-14%",IF(D33&lt;25,"4) 15-24%","5) 25%+"))))</f>
        <v>4) 15-24%</v>
      </c>
      <c r="N33" s="0" t="str">
        <f aca="false">IF(F33&lt;50,"1) Under Rs 50",IF(F33&lt;100,"2) Rs 50-99",IF(F33&lt;200,"3) Rs 100-199",IF(F33&lt;500,"4) Rs 200-499","5) Rs 500+"))))</f>
        <v>1) Under Rs 50</v>
      </c>
      <c r="O33" s="0" t="n">
        <f aca="false">G33*E33/1000</f>
        <v>0.174</v>
      </c>
    </row>
    <row r="34" customFormat="false" ht="15" hidden="false" customHeight="false" outlineLevel="0" collapsed="false">
      <c r="A34" s="0" t="s">
        <v>106</v>
      </c>
      <c r="B34" s="0" t="s">
        <v>175</v>
      </c>
      <c r="C34" s="0" t="n">
        <v>142</v>
      </c>
      <c r="D34" s="0" t="n">
        <v>16</v>
      </c>
      <c r="E34" s="0" t="n">
        <v>3</v>
      </c>
      <c r="F34" s="0" t="n">
        <v>119</v>
      </c>
      <c r="G34" s="0" t="n">
        <v>232</v>
      </c>
      <c r="H34" s="0" t="s">
        <v>145</v>
      </c>
      <c r="I34" s="0" t="n">
        <v>4</v>
      </c>
      <c r="J34" s="0" t="n">
        <f aca="false">F34*E34</f>
        <v>357</v>
      </c>
      <c r="K34" s="0" t="str">
        <f aca="false">IF(G34&lt;1000,"1-Low",IF(G34&lt;5000,"2-Medium","3-Bulk"))</f>
        <v>1-Low</v>
      </c>
      <c r="L34" s="0" t="str">
        <f aca="false">IF(H34="TRUE","Out of stock","In stock")</f>
        <v>In stock</v>
      </c>
      <c r="M34" s="0" t="str">
        <f aca="false">IF(D34&lt;5,"1) Under 5%",IF(D34&lt;10,"2) 5-9%",IF(D34&lt;15,"3) 10-14%",IF(D34&lt;25,"4) 15-24%","5) 25%+"))))</f>
        <v>4) 15-24%</v>
      </c>
      <c r="N34" s="0" t="str">
        <f aca="false">IF(F34&lt;50,"1) Under Rs 50",IF(F34&lt;100,"2) Rs 50-99",IF(F34&lt;200,"3) Rs 100-199",IF(F34&lt;500,"4) Rs 200-499","5) Rs 500+"))))</f>
        <v>3) Rs 100-199</v>
      </c>
      <c r="O34" s="0" t="n">
        <f aca="false">G34*E34/1000</f>
        <v>0.696</v>
      </c>
    </row>
    <row r="35" customFormat="false" ht="15" hidden="false" customHeight="false" outlineLevel="0" collapsed="false">
      <c r="A35" s="0" t="s">
        <v>106</v>
      </c>
      <c r="B35" s="0" t="s">
        <v>176</v>
      </c>
      <c r="C35" s="0" t="n">
        <v>18</v>
      </c>
      <c r="D35" s="0" t="n">
        <v>16</v>
      </c>
      <c r="E35" s="0" t="n">
        <v>3</v>
      </c>
      <c r="F35" s="0" t="n">
        <v>15</v>
      </c>
      <c r="G35" s="0" t="n">
        <v>250</v>
      </c>
      <c r="H35" s="0" t="s">
        <v>145</v>
      </c>
      <c r="I35" s="0" t="n">
        <v>250</v>
      </c>
      <c r="J35" s="0" t="n">
        <f aca="false">F35*E35</f>
        <v>45</v>
      </c>
      <c r="K35" s="0" t="str">
        <f aca="false">IF(G35&lt;1000,"1-Low",IF(G35&lt;5000,"2-Medium","3-Bulk"))</f>
        <v>1-Low</v>
      </c>
      <c r="L35" s="0" t="str">
        <f aca="false">IF(H35="TRUE","Out of stock","In stock")</f>
        <v>In stock</v>
      </c>
      <c r="M35" s="0" t="str">
        <f aca="false">IF(D35&lt;5,"1) Under 5%",IF(D35&lt;10,"2) 5-9%",IF(D35&lt;15,"3) 10-14%",IF(D35&lt;25,"4) 15-24%","5) 25%+"))))</f>
        <v>4) 15-24%</v>
      </c>
      <c r="N35" s="0" t="str">
        <f aca="false">IF(F35&lt;50,"1) Under Rs 50",IF(F35&lt;100,"2) Rs 50-99",IF(F35&lt;200,"3) Rs 100-199",IF(F35&lt;500,"4) Rs 200-499","5) Rs 500+"))))</f>
        <v>1) Under Rs 50</v>
      </c>
      <c r="O35" s="0" t="n">
        <f aca="false">G35*E35/1000</f>
        <v>0.75</v>
      </c>
    </row>
    <row r="36" customFormat="false" ht="15" hidden="false" customHeight="false" outlineLevel="0" collapsed="false">
      <c r="A36" s="0" t="s">
        <v>106</v>
      </c>
      <c r="B36" s="0" t="s">
        <v>177</v>
      </c>
      <c r="C36" s="0" t="n">
        <v>18</v>
      </c>
      <c r="D36" s="0" t="n">
        <v>16</v>
      </c>
      <c r="E36" s="0" t="n">
        <v>3</v>
      </c>
      <c r="F36" s="0" t="n">
        <v>15</v>
      </c>
      <c r="G36" s="0" t="n">
        <v>250</v>
      </c>
      <c r="H36" s="0" t="s">
        <v>145</v>
      </c>
      <c r="I36" s="0" t="n">
        <v>250</v>
      </c>
      <c r="J36" s="0" t="n">
        <f aca="false">F36*E36</f>
        <v>45</v>
      </c>
      <c r="K36" s="0" t="str">
        <f aca="false">IF(G36&lt;1000,"1-Low",IF(G36&lt;5000,"2-Medium","3-Bulk"))</f>
        <v>1-Low</v>
      </c>
      <c r="L36" s="0" t="str">
        <f aca="false">IF(H36="TRUE","Out of stock","In stock")</f>
        <v>In stock</v>
      </c>
      <c r="M36" s="0" t="str">
        <f aca="false">IF(D36&lt;5,"1) Under 5%",IF(D36&lt;10,"2) 5-9%",IF(D36&lt;15,"3) 10-14%",IF(D36&lt;25,"4) 15-24%","5) 25%+"))))</f>
        <v>4) 15-24%</v>
      </c>
      <c r="N36" s="0" t="str">
        <f aca="false">IF(F36&lt;50,"1) Under Rs 50",IF(F36&lt;100,"2) Rs 50-99",IF(F36&lt;200,"3) Rs 100-199",IF(F36&lt;500,"4) Rs 200-499","5) Rs 500+"))))</f>
        <v>1) Under Rs 50</v>
      </c>
      <c r="O36" s="0" t="n">
        <f aca="false">G36*E36/1000</f>
        <v>0.75</v>
      </c>
    </row>
    <row r="37" customFormat="false" ht="15" hidden="false" customHeight="false" outlineLevel="0" collapsed="false">
      <c r="A37" s="0" t="s">
        <v>106</v>
      </c>
      <c r="B37" s="0" t="s">
        <v>178</v>
      </c>
      <c r="C37" s="0" t="n">
        <v>36</v>
      </c>
      <c r="D37" s="0" t="n">
        <v>16</v>
      </c>
      <c r="E37" s="0" t="n">
        <v>3</v>
      </c>
      <c r="F37" s="0" t="n">
        <v>30</v>
      </c>
      <c r="G37" s="0" t="n">
        <v>116</v>
      </c>
      <c r="H37" s="0" t="s">
        <v>145</v>
      </c>
      <c r="I37" s="0" t="n">
        <v>2</v>
      </c>
      <c r="J37" s="0" t="n">
        <f aca="false">F37*E37</f>
        <v>90</v>
      </c>
      <c r="K37" s="0" t="str">
        <f aca="false">IF(G37&lt;1000,"1-Low",IF(G37&lt;5000,"2-Medium","3-Bulk"))</f>
        <v>1-Low</v>
      </c>
      <c r="L37" s="0" t="str">
        <f aca="false">IF(H37="TRUE","Out of stock","In stock")</f>
        <v>In stock</v>
      </c>
      <c r="M37" s="0" t="str">
        <f aca="false">IF(D37&lt;5,"1) Under 5%",IF(D37&lt;10,"2) 5-9%",IF(D37&lt;15,"3) 10-14%",IF(D37&lt;25,"4) 15-24%","5) 25%+"))))</f>
        <v>4) 15-24%</v>
      </c>
      <c r="N37" s="0" t="str">
        <f aca="false">IF(F37&lt;50,"1) Under Rs 50",IF(F37&lt;100,"2) Rs 50-99",IF(F37&lt;200,"3) Rs 100-199",IF(F37&lt;500,"4) Rs 200-499","5) Rs 500+"))))</f>
        <v>1) Under Rs 50</v>
      </c>
      <c r="O37" s="0" t="n">
        <f aca="false">G37*E37/1000</f>
        <v>0.348</v>
      </c>
    </row>
    <row r="38" customFormat="false" ht="15" hidden="false" customHeight="false" outlineLevel="0" collapsed="false">
      <c r="A38" s="0" t="s">
        <v>106</v>
      </c>
      <c r="B38" s="0" t="s">
        <v>179</v>
      </c>
      <c r="C38" s="0" t="n">
        <v>18</v>
      </c>
      <c r="D38" s="0" t="n">
        <v>16</v>
      </c>
      <c r="E38" s="0" t="n">
        <v>3</v>
      </c>
      <c r="F38" s="0" t="n">
        <v>15</v>
      </c>
      <c r="G38" s="0" t="n">
        <v>250</v>
      </c>
      <c r="H38" s="0" t="s">
        <v>145</v>
      </c>
      <c r="I38" s="0" t="n">
        <v>250</v>
      </c>
      <c r="J38" s="0" t="n">
        <f aca="false">F38*E38</f>
        <v>45</v>
      </c>
      <c r="K38" s="0" t="str">
        <f aca="false">IF(G38&lt;1000,"1-Low",IF(G38&lt;5000,"2-Medium","3-Bulk"))</f>
        <v>1-Low</v>
      </c>
      <c r="L38" s="0" t="str">
        <f aca="false">IF(H38="TRUE","Out of stock","In stock")</f>
        <v>In stock</v>
      </c>
      <c r="M38" s="0" t="str">
        <f aca="false">IF(D38&lt;5,"1) Under 5%",IF(D38&lt;10,"2) 5-9%",IF(D38&lt;15,"3) 10-14%",IF(D38&lt;25,"4) 15-24%","5) 25%+"))))</f>
        <v>4) 15-24%</v>
      </c>
      <c r="N38" s="0" t="str">
        <f aca="false">IF(F38&lt;50,"1) Under Rs 50",IF(F38&lt;100,"2) Rs 50-99",IF(F38&lt;200,"3) Rs 100-199",IF(F38&lt;500,"4) Rs 200-499","5) Rs 500+"))))</f>
        <v>1) Under Rs 50</v>
      </c>
      <c r="O38" s="0" t="n">
        <f aca="false">G38*E38/1000</f>
        <v>0.75</v>
      </c>
    </row>
    <row r="39" customFormat="false" ht="15" hidden="false" customHeight="false" outlineLevel="0" collapsed="false">
      <c r="A39" s="0" t="s">
        <v>106</v>
      </c>
      <c r="B39" s="0" t="s">
        <v>180</v>
      </c>
      <c r="C39" s="0" t="n">
        <v>118</v>
      </c>
      <c r="D39" s="0" t="n">
        <v>16</v>
      </c>
      <c r="E39" s="0" t="n">
        <v>3</v>
      </c>
      <c r="F39" s="0" t="n">
        <v>99</v>
      </c>
      <c r="G39" s="0" t="n">
        <v>116</v>
      </c>
      <c r="H39" s="0" t="s">
        <v>145</v>
      </c>
      <c r="I39" s="0" t="n">
        <v>2</v>
      </c>
      <c r="J39" s="0" t="n">
        <f aca="false">F39*E39</f>
        <v>297</v>
      </c>
      <c r="K39" s="0" t="str">
        <f aca="false">IF(G39&lt;1000,"1-Low",IF(G39&lt;5000,"2-Medium","3-Bulk"))</f>
        <v>1-Low</v>
      </c>
      <c r="L39" s="0" t="str">
        <f aca="false">IF(H39="TRUE","Out of stock","In stock")</f>
        <v>In stock</v>
      </c>
      <c r="M39" s="0" t="str">
        <f aca="false">IF(D39&lt;5,"1) Under 5%",IF(D39&lt;10,"2) 5-9%",IF(D39&lt;15,"3) 10-14%",IF(D39&lt;25,"4) 15-24%","5) 25%+"))))</f>
        <v>4) 15-24%</v>
      </c>
      <c r="N39" s="0" t="str">
        <f aca="false">IF(F39&lt;50,"1) Under Rs 50",IF(F39&lt;100,"2) Rs 50-99",IF(F39&lt;200,"3) Rs 100-199",IF(F39&lt;500,"4) Rs 200-499","5) Rs 500+"))))</f>
        <v>2) Rs 50-99</v>
      </c>
      <c r="O39" s="0" t="n">
        <f aca="false">G39*E39/1000</f>
        <v>0.348</v>
      </c>
    </row>
    <row r="40" customFormat="false" ht="15" hidden="false" customHeight="false" outlineLevel="0" collapsed="false">
      <c r="A40" s="0" t="s">
        <v>106</v>
      </c>
      <c r="B40" s="0" t="s">
        <v>181</v>
      </c>
      <c r="C40" s="0" t="n">
        <v>106</v>
      </c>
      <c r="D40" s="0" t="n">
        <v>16</v>
      </c>
      <c r="E40" s="0" t="n">
        <v>3</v>
      </c>
      <c r="F40" s="0" t="n">
        <v>89</v>
      </c>
      <c r="G40" s="0" t="n">
        <v>116</v>
      </c>
      <c r="H40" s="0" t="s">
        <v>145</v>
      </c>
      <c r="I40" s="0" t="n">
        <v>2</v>
      </c>
      <c r="J40" s="0" t="n">
        <f aca="false">F40*E40</f>
        <v>267</v>
      </c>
      <c r="K40" s="0" t="str">
        <f aca="false">IF(G40&lt;1000,"1-Low",IF(G40&lt;5000,"2-Medium","3-Bulk"))</f>
        <v>1-Low</v>
      </c>
      <c r="L40" s="0" t="str">
        <f aca="false">IF(H40="TRUE","Out of stock","In stock")</f>
        <v>In stock</v>
      </c>
      <c r="M40" s="0" t="str">
        <f aca="false">IF(D40&lt;5,"1) Under 5%",IF(D40&lt;10,"2) 5-9%",IF(D40&lt;15,"3) 10-14%",IF(D40&lt;25,"4) 15-24%","5) 25%+"))))</f>
        <v>4) 15-24%</v>
      </c>
      <c r="N40" s="0" t="str">
        <f aca="false">IF(F40&lt;50,"1) Under Rs 50",IF(F40&lt;100,"2) Rs 50-99",IF(F40&lt;200,"3) Rs 100-199",IF(F40&lt;500,"4) Rs 200-499","5) Rs 500+"))))</f>
        <v>2) Rs 50-99</v>
      </c>
      <c r="O40" s="0" t="n">
        <f aca="false">G40*E40/1000</f>
        <v>0.348</v>
      </c>
    </row>
    <row r="41" customFormat="false" ht="15" hidden="false" customHeight="false" outlineLevel="0" collapsed="false">
      <c r="A41" s="0" t="s">
        <v>106</v>
      </c>
      <c r="B41" s="0" t="s">
        <v>182</v>
      </c>
      <c r="C41" s="0" t="n">
        <v>30</v>
      </c>
      <c r="D41" s="0" t="n">
        <v>16</v>
      </c>
      <c r="E41" s="0" t="n">
        <v>3</v>
      </c>
      <c r="F41" s="0" t="n">
        <v>25</v>
      </c>
      <c r="G41" s="0" t="n">
        <v>116</v>
      </c>
      <c r="H41" s="0" t="s">
        <v>145</v>
      </c>
      <c r="I41" s="0" t="n">
        <v>2</v>
      </c>
      <c r="J41" s="0" t="n">
        <f aca="false">F41*E41</f>
        <v>75</v>
      </c>
      <c r="K41" s="0" t="str">
        <f aca="false">IF(G41&lt;1000,"1-Low",IF(G41&lt;5000,"2-Medium","3-Bulk"))</f>
        <v>1-Low</v>
      </c>
      <c r="L41" s="0" t="str">
        <f aca="false">IF(H41="TRUE","Out of stock","In stock")</f>
        <v>In stock</v>
      </c>
      <c r="M41" s="0" t="str">
        <f aca="false">IF(D41&lt;5,"1) Under 5%",IF(D41&lt;10,"2) 5-9%",IF(D41&lt;15,"3) 10-14%",IF(D41&lt;25,"4) 15-24%","5) 25%+"))))</f>
        <v>4) 15-24%</v>
      </c>
      <c r="N41" s="0" t="str">
        <f aca="false">IF(F41&lt;50,"1) Under Rs 50",IF(F41&lt;100,"2) Rs 50-99",IF(F41&lt;200,"3) Rs 100-199",IF(F41&lt;500,"4) Rs 200-499","5) Rs 500+"))))</f>
        <v>1) Under Rs 50</v>
      </c>
      <c r="O41" s="0" t="n">
        <f aca="false">G41*E41/1000</f>
        <v>0.348</v>
      </c>
    </row>
    <row r="42" customFormat="false" ht="15" hidden="false" customHeight="false" outlineLevel="0" collapsed="false">
      <c r="A42" s="0" t="s">
        <v>106</v>
      </c>
      <c r="B42" s="0" t="s">
        <v>183</v>
      </c>
      <c r="C42" s="0" t="n">
        <v>19</v>
      </c>
      <c r="D42" s="0" t="n">
        <v>15</v>
      </c>
      <c r="E42" s="0" t="n">
        <v>3</v>
      </c>
      <c r="F42" s="0" t="n">
        <v>16</v>
      </c>
      <c r="G42" s="0" t="n">
        <v>500</v>
      </c>
      <c r="H42" s="0" t="s">
        <v>145</v>
      </c>
      <c r="I42" s="0" t="n">
        <v>500</v>
      </c>
      <c r="J42" s="0" t="n">
        <f aca="false">F42*E42</f>
        <v>48</v>
      </c>
      <c r="K42" s="0" t="str">
        <f aca="false">IF(G42&lt;1000,"1-Low",IF(G42&lt;5000,"2-Medium","3-Bulk"))</f>
        <v>1-Low</v>
      </c>
      <c r="L42" s="0" t="str">
        <f aca="false">IF(H42="TRUE","Out of stock","In stock")</f>
        <v>In stock</v>
      </c>
      <c r="M42" s="0" t="str">
        <f aca="false">IF(D42&lt;5,"1) Under 5%",IF(D42&lt;10,"2) 5-9%",IF(D42&lt;15,"3) 10-14%",IF(D42&lt;25,"4) 15-24%","5) 25%+"))))</f>
        <v>4) 15-24%</v>
      </c>
      <c r="N42" s="0" t="str">
        <f aca="false">IF(F42&lt;50,"1) Under Rs 50",IF(F42&lt;100,"2) Rs 50-99",IF(F42&lt;200,"3) Rs 100-199",IF(F42&lt;500,"4) Rs 200-499","5) Rs 500+"))))</f>
        <v>1) Under Rs 50</v>
      </c>
      <c r="O42" s="0" t="n">
        <f aca="false">G42*E42/1000</f>
        <v>1.5</v>
      </c>
    </row>
    <row r="43" customFormat="false" ht="15" hidden="false" customHeight="false" outlineLevel="0" collapsed="false">
      <c r="A43" s="0" t="s">
        <v>106</v>
      </c>
      <c r="B43" s="0" t="s">
        <v>184</v>
      </c>
      <c r="C43" s="0" t="n">
        <v>32</v>
      </c>
      <c r="D43" s="0" t="n">
        <v>15</v>
      </c>
      <c r="E43" s="0" t="n">
        <v>3</v>
      </c>
      <c r="F43" s="0" t="n">
        <v>27</v>
      </c>
      <c r="G43" s="0" t="n">
        <v>250</v>
      </c>
      <c r="H43" s="0" t="s">
        <v>145</v>
      </c>
      <c r="I43" s="0" t="n">
        <v>250</v>
      </c>
      <c r="J43" s="0" t="n">
        <f aca="false">F43*E43</f>
        <v>81</v>
      </c>
      <c r="K43" s="0" t="str">
        <f aca="false">IF(G43&lt;1000,"1-Low",IF(G43&lt;5000,"2-Medium","3-Bulk"))</f>
        <v>1-Low</v>
      </c>
      <c r="L43" s="0" t="str">
        <f aca="false">IF(H43="TRUE","Out of stock","In stock")</f>
        <v>In stock</v>
      </c>
      <c r="M43" s="0" t="str">
        <f aca="false">IF(D43&lt;5,"1) Under 5%",IF(D43&lt;10,"2) 5-9%",IF(D43&lt;15,"3) 10-14%",IF(D43&lt;25,"4) 15-24%","5) 25%+"))))</f>
        <v>4) 15-24%</v>
      </c>
      <c r="N43" s="0" t="str">
        <f aca="false">IF(F43&lt;50,"1) Under Rs 50",IF(F43&lt;100,"2) Rs 50-99",IF(F43&lt;200,"3) Rs 100-199",IF(F43&lt;500,"4) Rs 200-499","5) Rs 500+"))))</f>
        <v>1) Under Rs 50</v>
      </c>
      <c r="O43" s="0" t="n">
        <f aca="false">G43*E43/1000</f>
        <v>0.75</v>
      </c>
    </row>
    <row r="44" customFormat="false" ht="15" hidden="false" customHeight="false" outlineLevel="0" collapsed="false">
      <c r="A44" s="0" t="s">
        <v>106</v>
      </c>
      <c r="B44" s="0" t="s">
        <v>185</v>
      </c>
      <c r="C44" s="0" t="n">
        <v>54</v>
      </c>
      <c r="D44" s="0" t="n">
        <v>16</v>
      </c>
      <c r="E44" s="0" t="n">
        <v>3</v>
      </c>
      <c r="F44" s="0" t="n">
        <v>45</v>
      </c>
      <c r="G44" s="0" t="n">
        <v>232</v>
      </c>
      <c r="H44" s="0" t="s">
        <v>145</v>
      </c>
      <c r="I44" s="0" t="n">
        <v>4</v>
      </c>
      <c r="J44" s="0" t="n">
        <f aca="false">F44*E44</f>
        <v>135</v>
      </c>
      <c r="K44" s="0" t="str">
        <f aca="false">IF(G44&lt;1000,"1-Low",IF(G44&lt;5000,"2-Medium","3-Bulk"))</f>
        <v>1-Low</v>
      </c>
      <c r="L44" s="0" t="str">
        <f aca="false">IF(H44="TRUE","Out of stock","In stock")</f>
        <v>In stock</v>
      </c>
      <c r="M44" s="0" t="str">
        <f aca="false">IF(D44&lt;5,"1) Under 5%",IF(D44&lt;10,"2) 5-9%",IF(D44&lt;15,"3) 10-14%",IF(D44&lt;25,"4) 15-24%","5) 25%+"))))</f>
        <v>4) 15-24%</v>
      </c>
      <c r="N44" s="0" t="str">
        <f aca="false">IF(F44&lt;50,"1) Under Rs 50",IF(F44&lt;100,"2) Rs 50-99",IF(F44&lt;200,"3) Rs 100-199",IF(F44&lt;500,"4) Rs 200-499","5) Rs 500+"))))</f>
        <v>1) Under Rs 50</v>
      </c>
      <c r="O44" s="0" t="n">
        <f aca="false">G44*E44/1000</f>
        <v>0.696</v>
      </c>
    </row>
    <row r="45" customFormat="false" ht="15" hidden="false" customHeight="false" outlineLevel="0" collapsed="false">
      <c r="A45" s="0" t="s">
        <v>106</v>
      </c>
      <c r="B45" s="0" t="s">
        <v>186</v>
      </c>
      <c r="C45" s="0" t="n">
        <v>177</v>
      </c>
      <c r="D45" s="0" t="n">
        <v>15</v>
      </c>
      <c r="E45" s="0" t="n">
        <v>3</v>
      </c>
      <c r="F45" s="0" t="n">
        <v>149</v>
      </c>
      <c r="G45" s="0" t="n">
        <v>232</v>
      </c>
      <c r="H45" s="0" t="s">
        <v>145</v>
      </c>
      <c r="I45" s="0" t="n">
        <v>4</v>
      </c>
      <c r="J45" s="0" t="n">
        <f aca="false">F45*E45</f>
        <v>447</v>
      </c>
      <c r="K45" s="0" t="str">
        <f aca="false">IF(G45&lt;1000,"1-Low",IF(G45&lt;5000,"2-Medium","3-Bulk"))</f>
        <v>1-Low</v>
      </c>
      <c r="L45" s="0" t="str">
        <f aca="false">IF(H45="TRUE","Out of stock","In stock")</f>
        <v>In stock</v>
      </c>
      <c r="M45" s="0" t="str">
        <f aca="false">IF(D45&lt;5,"1) Under 5%",IF(D45&lt;10,"2) 5-9%",IF(D45&lt;15,"3) 10-14%",IF(D45&lt;25,"4) 15-24%","5) 25%+"))))</f>
        <v>4) 15-24%</v>
      </c>
      <c r="N45" s="0" t="str">
        <f aca="false">IF(F45&lt;50,"1) Under Rs 50",IF(F45&lt;100,"2) Rs 50-99",IF(F45&lt;200,"3) Rs 100-199",IF(F45&lt;500,"4) Rs 200-499","5) Rs 500+"))))</f>
        <v>3) Rs 100-199</v>
      </c>
      <c r="O45" s="0" t="n">
        <f aca="false">G45*E45/1000</f>
        <v>0.696</v>
      </c>
    </row>
    <row r="46" customFormat="false" ht="15" hidden="false" customHeight="false" outlineLevel="0" collapsed="false">
      <c r="A46" s="0" t="s">
        <v>106</v>
      </c>
      <c r="B46" s="0" t="s">
        <v>187</v>
      </c>
      <c r="C46" s="0" t="n">
        <v>32</v>
      </c>
      <c r="D46" s="0" t="n">
        <v>15</v>
      </c>
      <c r="E46" s="0" t="n">
        <v>3</v>
      </c>
      <c r="F46" s="0" t="n">
        <v>27</v>
      </c>
      <c r="G46" s="0" t="n">
        <v>250</v>
      </c>
      <c r="H46" s="0" t="s">
        <v>145</v>
      </c>
      <c r="I46" s="0" t="n">
        <v>250</v>
      </c>
      <c r="J46" s="0" t="n">
        <f aca="false">F46*E46</f>
        <v>81</v>
      </c>
      <c r="K46" s="0" t="str">
        <f aca="false">IF(G46&lt;1000,"1-Low",IF(G46&lt;5000,"2-Medium","3-Bulk"))</f>
        <v>1-Low</v>
      </c>
      <c r="L46" s="0" t="str">
        <f aca="false">IF(H46="TRUE","Out of stock","In stock")</f>
        <v>In stock</v>
      </c>
      <c r="M46" s="0" t="str">
        <f aca="false">IF(D46&lt;5,"1) Under 5%",IF(D46&lt;10,"2) 5-9%",IF(D46&lt;15,"3) 10-14%",IF(D46&lt;25,"4) 15-24%","5) 25%+"))))</f>
        <v>4) 15-24%</v>
      </c>
      <c r="N46" s="0" t="str">
        <f aca="false">IF(F46&lt;50,"1) Under Rs 50",IF(F46&lt;100,"2) Rs 50-99",IF(F46&lt;200,"3) Rs 100-199",IF(F46&lt;500,"4) Rs 200-499","5) Rs 500+"))))</f>
        <v>1) Under Rs 50</v>
      </c>
      <c r="O46" s="0" t="n">
        <f aca="false">G46*E46/1000</f>
        <v>0.75</v>
      </c>
    </row>
    <row r="47" customFormat="false" ht="15" hidden="false" customHeight="false" outlineLevel="0" collapsed="false">
      <c r="A47" s="0" t="s">
        <v>106</v>
      </c>
      <c r="B47" s="0" t="s">
        <v>188</v>
      </c>
      <c r="C47" s="0" t="n">
        <v>30</v>
      </c>
      <c r="D47" s="0" t="n">
        <v>16</v>
      </c>
      <c r="E47" s="0" t="n">
        <v>3</v>
      </c>
      <c r="F47" s="0" t="n">
        <v>25</v>
      </c>
      <c r="G47" s="0" t="n">
        <v>250</v>
      </c>
      <c r="H47" s="0" t="s">
        <v>145</v>
      </c>
      <c r="I47" s="0" t="n">
        <v>250</v>
      </c>
      <c r="J47" s="0" t="n">
        <f aca="false">F47*E47</f>
        <v>75</v>
      </c>
      <c r="K47" s="0" t="str">
        <f aca="false">IF(G47&lt;1000,"1-Low",IF(G47&lt;5000,"2-Medium","3-Bulk"))</f>
        <v>1-Low</v>
      </c>
      <c r="L47" s="0" t="str">
        <f aca="false">IF(H47="TRUE","Out of stock","In stock")</f>
        <v>In stock</v>
      </c>
      <c r="M47" s="0" t="str">
        <f aca="false">IF(D47&lt;5,"1) Under 5%",IF(D47&lt;10,"2) 5-9%",IF(D47&lt;15,"3) 10-14%",IF(D47&lt;25,"4) 15-24%","5) 25%+"))))</f>
        <v>4) 15-24%</v>
      </c>
      <c r="N47" s="0" t="str">
        <f aca="false">IF(F47&lt;50,"1) Under Rs 50",IF(F47&lt;100,"2) Rs 50-99",IF(F47&lt;200,"3) Rs 100-199",IF(F47&lt;500,"4) Rs 200-499","5) Rs 500+"))))</f>
        <v>1) Under Rs 50</v>
      </c>
      <c r="O47" s="0" t="n">
        <f aca="false">G47*E47/1000</f>
        <v>0.75</v>
      </c>
    </row>
    <row r="48" customFormat="false" ht="15" hidden="false" customHeight="false" outlineLevel="0" collapsed="false">
      <c r="A48" s="0" t="s">
        <v>106</v>
      </c>
      <c r="B48" s="0" t="s">
        <v>189</v>
      </c>
      <c r="C48" s="0" t="n">
        <v>189</v>
      </c>
      <c r="D48" s="0" t="n">
        <v>15</v>
      </c>
      <c r="E48" s="0" t="n">
        <v>3</v>
      </c>
      <c r="F48" s="0" t="n">
        <v>159</v>
      </c>
      <c r="G48" s="0" t="n">
        <v>232</v>
      </c>
      <c r="H48" s="0" t="s">
        <v>145</v>
      </c>
      <c r="I48" s="0" t="n">
        <v>4</v>
      </c>
      <c r="J48" s="0" t="n">
        <f aca="false">F48*E48</f>
        <v>477</v>
      </c>
      <c r="K48" s="0" t="str">
        <f aca="false">IF(G48&lt;1000,"1-Low",IF(G48&lt;5000,"2-Medium","3-Bulk"))</f>
        <v>1-Low</v>
      </c>
      <c r="L48" s="0" t="str">
        <f aca="false">IF(H48="TRUE","Out of stock","In stock")</f>
        <v>In stock</v>
      </c>
      <c r="M48" s="0" t="str">
        <f aca="false">IF(D48&lt;5,"1) Under 5%",IF(D48&lt;10,"2) 5-9%",IF(D48&lt;15,"3) 10-14%",IF(D48&lt;25,"4) 15-24%","5) 25%+"))))</f>
        <v>4) 15-24%</v>
      </c>
      <c r="N48" s="0" t="str">
        <f aca="false">IF(F48&lt;50,"1) Under Rs 50",IF(F48&lt;100,"2) Rs 50-99",IF(F48&lt;200,"3) Rs 100-199",IF(F48&lt;500,"4) Rs 200-499","5) Rs 500+"))))</f>
        <v>3) Rs 100-199</v>
      </c>
      <c r="O48" s="0" t="n">
        <f aca="false">G48*E48/1000</f>
        <v>0.696</v>
      </c>
    </row>
    <row r="49" customFormat="false" ht="15" hidden="false" customHeight="false" outlineLevel="0" collapsed="false">
      <c r="A49" s="0" t="s">
        <v>106</v>
      </c>
      <c r="B49" s="0" t="s">
        <v>190</v>
      </c>
      <c r="C49" s="0" t="n">
        <v>30</v>
      </c>
      <c r="D49" s="0" t="n">
        <v>16</v>
      </c>
      <c r="E49" s="0" t="n">
        <v>3</v>
      </c>
      <c r="F49" s="0" t="n">
        <v>25</v>
      </c>
      <c r="G49" s="0" t="n">
        <v>250</v>
      </c>
      <c r="H49" s="0" t="s">
        <v>145</v>
      </c>
      <c r="I49" s="0" t="n">
        <v>250</v>
      </c>
      <c r="J49" s="0" t="n">
        <f aca="false">F49*E49</f>
        <v>75</v>
      </c>
      <c r="K49" s="0" t="str">
        <f aca="false">IF(G49&lt;1000,"1-Low",IF(G49&lt;5000,"2-Medium","3-Bulk"))</f>
        <v>1-Low</v>
      </c>
      <c r="L49" s="0" t="str">
        <f aca="false">IF(H49="TRUE","Out of stock","In stock")</f>
        <v>In stock</v>
      </c>
      <c r="M49" s="0" t="str">
        <f aca="false">IF(D49&lt;5,"1) Under 5%",IF(D49&lt;10,"2) 5-9%",IF(D49&lt;15,"3) 10-14%",IF(D49&lt;25,"4) 15-24%","5) 25%+"))))</f>
        <v>4) 15-24%</v>
      </c>
      <c r="N49" s="0" t="str">
        <f aca="false">IF(F49&lt;50,"1) Under Rs 50",IF(F49&lt;100,"2) Rs 50-99",IF(F49&lt;200,"3) Rs 100-199",IF(F49&lt;500,"4) Rs 200-499","5) Rs 500+"))))</f>
        <v>1) Under Rs 50</v>
      </c>
      <c r="O49" s="0" t="n">
        <f aca="false">G49*E49/1000</f>
        <v>0.75</v>
      </c>
    </row>
    <row r="50" customFormat="false" ht="15" hidden="false" customHeight="false" outlineLevel="0" collapsed="false">
      <c r="A50" s="0" t="s">
        <v>106</v>
      </c>
      <c r="B50" s="0" t="s">
        <v>191</v>
      </c>
      <c r="C50" s="0" t="n">
        <v>23</v>
      </c>
      <c r="D50" s="0" t="n">
        <v>17</v>
      </c>
      <c r="E50" s="0" t="n">
        <v>3</v>
      </c>
      <c r="F50" s="0" t="n">
        <v>19</v>
      </c>
      <c r="G50" s="0" t="n">
        <v>100</v>
      </c>
      <c r="H50" s="0" t="s">
        <v>145</v>
      </c>
      <c r="I50" s="0" t="n">
        <v>100</v>
      </c>
      <c r="J50" s="0" t="n">
        <f aca="false">F50*E50</f>
        <v>57</v>
      </c>
      <c r="K50" s="0" t="str">
        <f aca="false">IF(G50&lt;1000,"1-Low",IF(G50&lt;5000,"2-Medium","3-Bulk"))</f>
        <v>1-Low</v>
      </c>
      <c r="L50" s="0" t="str">
        <f aca="false">IF(H50="TRUE","Out of stock","In stock")</f>
        <v>In stock</v>
      </c>
      <c r="M50" s="0" t="str">
        <f aca="false">IF(D50&lt;5,"1) Under 5%",IF(D50&lt;10,"2) 5-9%",IF(D50&lt;15,"3) 10-14%",IF(D50&lt;25,"4) 15-24%","5) 25%+"))))</f>
        <v>4) 15-24%</v>
      </c>
      <c r="N50" s="0" t="str">
        <f aca="false">IF(F50&lt;50,"1) Under Rs 50",IF(F50&lt;100,"2) Rs 50-99",IF(F50&lt;200,"3) Rs 100-199",IF(F50&lt;500,"4) Rs 200-499","5) Rs 500+"))))</f>
        <v>1) Under Rs 50</v>
      </c>
      <c r="O50" s="0" t="n">
        <f aca="false">G50*E50/1000</f>
        <v>0.3</v>
      </c>
    </row>
    <row r="51" customFormat="false" ht="15" hidden="false" customHeight="false" outlineLevel="0" collapsed="false">
      <c r="A51" s="0" t="s">
        <v>106</v>
      </c>
      <c r="B51" s="0" t="s">
        <v>192</v>
      </c>
      <c r="C51" s="0" t="n">
        <v>35</v>
      </c>
      <c r="D51" s="0" t="n">
        <v>17</v>
      </c>
      <c r="E51" s="0" t="n">
        <v>3</v>
      </c>
      <c r="F51" s="0" t="n">
        <v>29</v>
      </c>
      <c r="G51" s="0" t="n">
        <v>250</v>
      </c>
      <c r="H51" s="0" t="s">
        <v>145</v>
      </c>
      <c r="I51" s="0" t="n">
        <v>250</v>
      </c>
      <c r="J51" s="0" t="n">
        <f aca="false">F51*E51</f>
        <v>87</v>
      </c>
      <c r="K51" s="0" t="str">
        <f aca="false">IF(G51&lt;1000,"1-Low",IF(G51&lt;5000,"2-Medium","3-Bulk"))</f>
        <v>1-Low</v>
      </c>
      <c r="L51" s="0" t="str">
        <f aca="false">IF(H51="TRUE","Out of stock","In stock")</f>
        <v>In stock</v>
      </c>
      <c r="M51" s="0" t="str">
        <f aca="false">IF(D51&lt;5,"1) Under 5%",IF(D51&lt;10,"2) 5-9%",IF(D51&lt;15,"3) 10-14%",IF(D51&lt;25,"4) 15-24%","5) 25%+"))))</f>
        <v>4) 15-24%</v>
      </c>
      <c r="N51" s="0" t="str">
        <f aca="false">IF(F51&lt;50,"1) Under Rs 50",IF(F51&lt;100,"2) Rs 50-99",IF(F51&lt;200,"3) Rs 100-199",IF(F51&lt;500,"4) Rs 200-499","5) Rs 500+"))))</f>
        <v>1) Under Rs 50</v>
      </c>
      <c r="O51" s="0" t="n">
        <f aca="false">G51*E51/1000</f>
        <v>0.75</v>
      </c>
    </row>
    <row r="52" customFormat="false" ht="15" hidden="false" customHeight="false" outlineLevel="0" collapsed="false">
      <c r="A52" s="0" t="s">
        <v>106</v>
      </c>
      <c r="B52" s="0" t="s">
        <v>193</v>
      </c>
      <c r="C52" s="0" t="n">
        <v>35</v>
      </c>
      <c r="D52" s="0" t="n">
        <v>17</v>
      </c>
      <c r="E52" s="0" t="n">
        <v>3</v>
      </c>
      <c r="F52" s="0" t="n">
        <v>29</v>
      </c>
      <c r="G52" s="0" t="n">
        <v>200</v>
      </c>
      <c r="H52" s="0" t="s">
        <v>145</v>
      </c>
      <c r="I52" s="0" t="n">
        <v>200</v>
      </c>
      <c r="J52" s="0" t="n">
        <f aca="false">F52*E52</f>
        <v>87</v>
      </c>
      <c r="K52" s="0" t="str">
        <f aca="false">IF(G52&lt;1000,"1-Low",IF(G52&lt;5000,"2-Medium","3-Bulk"))</f>
        <v>1-Low</v>
      </c>
      <c r="L52" s="0" t="str">
        <f aca="false">IF(H52="TRUE","Out of stock","In stock")</f>
        <v>In stock</v>
      </c>
      <c r="M52" s="0" t="str">
        <f aca="false">IF(D52&lt;5,"1) Under 5%",IF(D52&lt;10,"2) 5-9%",IF(D52&lt;15,"3) 10-14%",IF(D52&lt;25,"4) 15-24%","5) 25%+"))))</f>
        <v>4) 15-24%</v>
      </c>
      <c r="N52" s="0" t="str">
        <f aca="false">IF(F52&lt;50,"1) Under Rs 50",IF(F52&lt;100,"2) Rs 50-99",IF(F52&lt;200,"3) Rs 100-199",IF(F52&lt;500,"4) Rs 200-499","5) Rs 500+"))))</f>
        <v>1) Under Rs 50</v>
      </c>
      <c r="O52" s="0" t="n">
        <f aca="false">G52*E52/1000</f>
        <v>0.6</v>
      </c>
    </row>
    <row r="53" customFormat="false" ht="15" hidden="false" customHeight="false" outlineLevel="0" collapsed="false">
      <c r="A53" s="0" t="s">
        <v>106</v>
      </c>
      <c r="B53" s="0" t="s">
        <v>194</v>
      </c>
      <c r="C53" s="0" t="n">
        <v>35</v>
      </c>
      <c r="D53" s="0" t="n">
        <v>17</v>
      </c>
      <c r="E53" s="0" t="n">
        <v>3</v>
      </c>
      <c r="F53" s="0" t="n">
        <v>29</v>
      </c>
      <c r="G53" s="0" t="n">
        <v>250</v>
      </c>
      <c r="H53" s="0" t="s">
        <v>145</v>
      </c>
      <c r="I53" s="0" t="n">
        <v>250</v>
      </c>
      <c r="J53" s="0" t="n">
        <f aca="false">F53*E53</f>
        <v>87</v>
      </c>
      <c r="K53" s="0" t="str">
        <f aca="false">IF(G53&lt;1000,"1-Low",IF(G53&lt;5000,"2-Medium","3-Bulk"))</f>
        <v>1-Low</v>
      </c>
      <c r="L53" s="0" t="str">
        <f aca="false">IF(H53="TRUE","Out of stock","In stock")</f>
        <v>In stock</v>
      </c>
      <c r="M53" s="0" t="str">
        <f aca="false">IF(D53&lt;5,"1) Under 5%",IF(D53&lt;10,"2) 5-9%",IF(D53&lt;15,"3) 10-14%",IF(D53&lt;25,"4) 15-24%","5) 25%+"))))</f>
        <v>4) 15-24%</v>
      </c>
      <c r="N53" s="0" t="str">
        <f aca="false">IF(F53&lt;50,"1) Under Rs 50",IF(F53&lt;100,"2) Rs 50-99",IF(F53&lt;200,"3) Rs 100-199",IF(F53&lt;500,"4) Rs 200-499","5) Rs 500+"))))</f>
        <v>1) Under Rs 50</v>
      </c>
      <c r="O53" s="0" t="n">
        <f aca="false">G53*E53/1000</f>
        <v>0.75</v>
      </c>
    </row>
    <row r="54" customFormat="false" ht="15" hidden="false" customHeight="false" outlineLevel="0" collapsed="false">
      <c r="A54" s="0" t="s">
        <v>106</v>
      </c>
      <c r="B54" s="0" t="s">
        <v>195</v>
      </c>
      <c r="C54" s="0" t="n">
        <v>42</v>
      </c>
      <c r="D54" s="0" t="n">
        <v>16</v>
      </c>
      <c r="E54" s="0" t="n">
        <v>3</v>
      </c>
      <c r="F54" s="0" t="n">
        <v>35</v>
      </c>
      <c r="G54" s="0" t="n">
        <v>250</v>
      </c>
      <c r="H54" s="0" t="s">
        <v>145</v>
      </c>
      <c r="I54" s="0" t="n">
        <v>250</v>
      </c>
      <c r="J54" s="0" t="n">
        <f aca="false">F54*E54</f>
        <v>105</v>
      </c>
      <c r="K54" s="0" t="str">
        <f aca="false">IF(G54&lt;1000,"1-Low",IF(G54&lt;5000,"2-Medium","3-Bulk"))</f>
        <v>1-Low</v>
      </c>
      <c r="L54" s="0" t="str">
        <f aca="false">IF(H54="TRUE","Out of stock","In stock")</f>
        <v>In stock</v>
      </c>
      <c r="M54" s="0" t="str">
        <f aca="false">IF(D54&lt;5,"1) Under 5%",IF(D54&lt;10,"2) 5-9%",IF(D54&lt;15,"3) 10-14%",IF(D54&lt;25,"4) 15-24%","5) 25%+"))))</f>
        <v>4) 15-24%</v>
      </c>
      <c r="N54" s="0" t="str">
        <f aca="false">IF(F54&lt;50,"1) Under Rs 50",IF(F54&lt;100,"2) Rs 50-99",IF(F54&lt;200,"3) Rs 100-199",IF(F54&lt;500,"4) Rs 200-499","5) Rs 500+"))))</f>
        <v>1) Under Rs 50</v>
      </c>
      <c r="O54" s="0" t="n">
        <f aca="false">G54*E54/1000</f>
        <v>0.75</v>
      </c>
    </row>
    <row r="55" customFormat="false" ht="15" hidden="false" customHeight="false" outlineLevel="0" collapsed="false">
      <c r="A55" s="0" t="s">
        <v>106</v>
      </c>
      <c r="B55" s="0" t="s">
        <v>196</v>
      </c>
      <c r="C55" s="0" t="n">
        <v>20</v>
      </c>
      <c r="D55" s="0" t="n">
        <v>15</v>
      </c>
      <c r="E55" s="0" t="n">
        <v>6</v>
      </c>
      <c r="F55" s="0" t="n">
        <v>17</v>
      </c>
      <c r="G55" s="0" t="n">
        <v>500</v>
      </c>
      <c r="H55" s="0" t="s">
        <v>145</v>
      </c>
      <c r="I55" s="0" t="n">
        <v>500</v>
      </c>
      <c r="J55" s="0" t="n">
        <f aca="false">F55*E55</f>
        <v>102</v>
      </c>
      <c r="K55" s="0" t="str">
        <f aca="false">IF(G55&lt;1000,"1-Low",IF(G55&lt;5000,"2-Medium","3-Bulk"))</f>
        <v>1-Low</v>
      </c>
      <c r="L55" s="0" t="str">
        <f aca="false">IF(H55="TRUE","Out of stock","In stock")</f>
        <v>In stock</v>
      </c>
      <c r="M55" s="0" t="str">
        <f aca="false">IF(D55&lt;5,"1) Under 5%",IF(D55&lt;10,"2) 5-9%",IF(D55&lt;15,"3) 10-14%",IF(D55&lt;25,"4) 15-24%","5) 25%+"))))</f>
        <v>4) 15-24%</v>
      </c>
      <c r="N55" s="0" t="str">
        <f aca="false">IF(F55&lt;50,"1) Under Rs 50",IF(F55&lt;100,"2) Rs 50-99",IF(F55&lt;200,"3) Rs 100-199",IF(F55&lt;500,"4) Rs 200-499","5) Rs 500+"))))</f>
        <v>1) Under Rs 50</v>
      </c>
      <c r="O55" s="0" t="n">
        <f aca="false">G55*E55/1000</f>
        <v>3</v>
      </c>
    </row>
    <row r="56" customFormat="false" ht="15" hidden="false" customHeight="false" outlineLevel="0" collapsed="false">
      <c r="A56" s="0" t="s">
        <v>106</v>
      </c>
      <c r="B56" s="0" t="s">
        <v>197</v>
      </c>
      <c r="C56" s="0" t="n">
        <v>29</v>
      </c>
      <c r="D56" s="0" t="n">
        <v>17</v>
      </c>
      <c r="E56" s="0" t="n">
        <v>6</v>
      </c>
      <c r="F56" s="0" t="n">
        <v>24</v>
      </c>
      <c r="G56" s="0" t="n">
        <v>500</v>
      </c>
      <c r="H56" s="0" t="s">
        <v>145</v>
      </c>
      <c r="I56" s="0" t="n">
        <v>500</v>
      </c>
      <c r="J56" s="0" t="n">
        <f aca="false">F56*E56</f>
        <v>144</v>
      </c>
      <c r="K56" s="0" t="str">
        <f aca="false">IF(G56&lt;1000,"1-Low",IF(G56&lt;5000,"2-Medium","3-Bulk"))</f>
        <v>1-Low</v>
      </c>
      <c r="L56" s="0" t="str">
        <f aca="false">IF(H56="TRUE","Out of stock","In stock")</f>
        <v>In stock</v>
      </c>
      <c r="M56" s="0" t="str">
        <f aca="false">IF(D56&lt;5,"1) Under 5%",IF(D56&lt;10,"2) 5-9%",IF(D56&lt;15,"3) 10-14%",IF(D56&lt;25,"4) 15-24%","5) 25%+"))))</f>
        <v>4) 15-24%</v>
      </c>
      <c r="N56" s="0" t="str">
        <f aca="false">IF(F56&lt;50,"1) Under Rs 50",IF(F56&lt;100,"2) Rs 50-99",IF(F56&lt;200,"3) Rs 100-199",IF(F56&lt;500,"4) Rs 200-499","5) Rs 500+"))))</f>
        <v>1) Under Rs 50</v>
      </c>
      <c r="O56" s="0" t="n">
        <f aca="false">G56*E56/1000</f>
        <v>3</v>
      </c>
    </row>
    <row r="57" customFormat="false" ht="15" hidden="false" customHeight="false" outlineLevel="0" collapsed="false">
      <c r="A57" s="0" t="s">
        <v>106</v>
      </c>
      <c r="B57" s="0" t="s">
        <v>198</v>
      </c>
      <c r="C57" s="0" t="n">
        <v>35</v>
      </c>
      <c r="D57" s="0" t="n">
        <v>17</v>
      </c>
      <c r="E57" s="0" t="n">
        <v>3</v>
      </c>
      <c r="F57" s="0" t="n">
        <v>29</v>
      </c>
      <c r="G57" s="0" t="n">
        <v>200</v>
      </c>
      <c r="H57" s="0" t="s">
        <v>145</v>
      </c>
      <c r="I57" s="0" t="n">
        <v>200</v>
      </c>
      <c r="J57" s="0" t="n">
        <f aca="false">F57*E57</f>
        <v>87</v>
      </c>
      <c r="K57" s="0" t="str">
        <f aca="false">IF(G57&lt;1000,"1-Low",IF(G57&lt;5000,"2-Medium","3-Bulk"))</f>
        <v>1-Low</v>
      </c>
      <c r="L57" s="0" t="str">
        <f aca="false">IF(H57="TRUE","Out of stock","In stock")</f>
        <v>In stock</v>
      </c>
      <c r="M57" s="0" t="str">
        <f aca="false">IF(D57&lt;5,"1) Under 5%",IF(D57&lt;10,"2) 5-9%",IF(D57&lt;15,"3) 10-14%",IF(D57&lt;25,"4) 15-24%","5) 25%+"))))</f>
        <v>4) 15-24%</v>
      </c>
      <c r="N57" s="0" t="str">
        <f aca="false">IF(F57&lt;50,"1) Under Rs 50",IF(F57&lt;100,"2) Rs 50-99",IF(F57&lt;200,"3) Rs 100-199",IF(F57&lt;500,"4) Rs 200-499","5) Rs 500+"))))</f>
        <v>1) Under Rs 50</v>
      </c>
      <c r="O57" s="0" t="n">
        <f aca="false">G57*E57/1000</f>
        <v>0.6</v>
      </c>
    </row>
    <row r="58" customFormat="false" ht="15" hidden="false" customHeight="false" outlineLevel="0" collapsed="false">
      <c r="A58" s="0" t="s">
        <v>106</v>
      </c>
      <c r="B58" s="0" t="s">
        <v>199</v>
      </c>
      <c r="C58" s="0" t="n">
        <v>38</v>
      </c>
      <c r="D58" s="0" t="n">
        <v>15</v>
      </c>
      <c r="E58" s="0" t="n">
        <v>3</v>
      </c>
      <c r="F58" s="0" t="n">
        <v>32</v>
      </c>
      <c r="G58" s="0" t="n">
        <v>500</v>
      </c>
      <c r="H58" s="0" t="s">
        <v>145</v>
      </c>
      <c r="I58" s="0" t="n">
        <v>500</v>
      </c>
      <c r="J58" s="0" t="n">
        <f aca="false">F58*E58</f>
        <v>96</v>
      </c>
      <c r="K58" s="0" t="str">
        <f aca="false">IF(G58&lt;1000,"1-Low",IF(G58&lt;5000,"2-Medium","3-Bulk"))</f>
        <v>1-Low</v>
      </c>
      <c r="L58" s="0" t="str">
        <f aca="false">IF(H58="TRUE","Out of stock","In stock")</f>
        <v>In stock</v>
      </c>
      <c r="M58" s="0" t="str">
        <f aca="false">IF(D58&lt;5,"1) Under 5%",IF(D58&lt;10,"2) 5-9%",IF(D58&lt;15,"3) 10-14%",IF(D58&lt;25,"4) 15-24%","5) 25%+"))))</f>
        <v>4) 15-24%</v>
      </c>
      <c r="N58" s="0" t="str">
        <f aca="false">IF(F58&lt;50,"1) Under Rs 50",IF(F58&lt;100,"2) Rs 50-99",IF(F58&lt;200,"3) Rs 100-199",IF(F58&lt;500,"4) Rs 200-499","5) Rs 500+"))))</f>
        <v>1) Under Rs 50</v>
      </c>
      <c r="O58" s="0" t="n">
        <f aca="false">G58*E58/1000</f>
        <v>1.5</v>
      </c>
    </row>
    <row r="59" customFormat="false" ht="15" hidden="false" customHeight="false" outlineLevel="0" collapsed="false">
      <c r="A59" s="0" t="s">
        <v>106</v>
      </c>
      <c r="B59" s="0" t="s">
        <v>200</v>
      </c>
      <c r="C59" s="0" t="n">
        <v>89</v>
      </c>
      <c r="D59" s="0" t="n">
        <v>15</v>
      </c>
      <c r="E59" s="0" t="n">
        <v>3</v>
      </c>
      <c r="F59" s="0" t="n">
        <v>75</v>
      </c>
      <c r="G59" s="0" t="n">
        <v>200</v>
      </c>
      <c r="H59" s="0" t="s">
        <v>145</v>
      </c>
      <c r="I59" s="0" t="n">
        <v>200</v>
      </c>
      <c r="J59" s="0" t="n">
        <f aca="false">F59*E59</f>
        <v>225</v>
      </c>
      <c r="K59" s="0" t="str">
        <f aca="false">IF(G59&lt;1000,"1-Low",IF(G59&lt;5000,"2-Medium","3-Bulk"))</f>
        <v>1-Low</v>
      </c>
      <c r="L59" s="0" t="str">
        <f aca="false">IF(H59="TRUE","Out of stock","In stock")</f>
        <v>In stock</v>
      </c>
      <c r="M59" s="0" t="str">
        <f aca="false">IF(D59&lt;5,"1) Under 5%",IF(D59&lt;10,"2) 5-9%",IF(D59&lt;15,"3) 10-14%",IF(D59&lt;25,"4) 15-24%","5) 25%+"))))</f>
        <v>4) 15-24%</v>
      </c>
      <c r="N59" s="0" t="str">
        <f aca="false">IF(F59&lt;50,"1) Under Rs 50",IF(F59&lt;100,"2) Rs 50-99",IF(F59&lt;200,"3) Rs 100-199",IF(F59&lt;500,"4) Rs 200-499","5) Rs 500+"))))</f>
        <v>2) Rs 50-99</v>
      </c>
      <c r="O59" s="0" t="n">
        <f aca="false">G59*E59/1000</f>
        <v>0.6</v>
      </c>
    </row>
    <row r="60" customFormat="false" ht="15" hidden="false" customHeight="false" outlineLevel="0" collapsed="false">
      <c r="A60" s="0" t="s">
        <v>106</v>
      </c>
      <c r="B60" s="0" t="s">
        <v>201</v>
      </c>
      <c r="C60" s="0" t="n">
        <v>54</v>
      </c>
      <c r="D60" s="0" t="n">
        <v>16</v>
      </c>
      <c r="E60" s="0" t="n">
        <v>3</v>
      </c>
      <c r="F60" s="0" t="n">
        <v>45</v>
      </c>
      <c r="G60" s="0" t="n">
        <v>116</v>
      </c>
      <c r="H60" s="0" t="s">
        <v>145</v>
      </c>
      <c r="I60" s="0" t="n">
        <v>2</v>
      </c>
      <c r="J60" s="0" t="n">
        <f aca="false">F60*E60</f>
        <v>135</v>
      </c>
      <c r="K60" s="0" t="str">
        <f aca="false">IF(G60&lt;1000,"1-Low",IF(G60&lt;5000,"2-Medium","3-Bulk"))</f>
        <v>1-Low</v>
      </c>
      <c r="L60" s="0" t="str">
        <f aca="false">IF(H60="TRUE","Out of stock","In stock")</f>
        <v>In stock</v>
      </c>
      <c r="M60" s="0" t="str">
        <f aca="false">IF(D60&lt;5,"1) Under 5%",IF(D60&lt;10,"2) 5-9%",IF(D60&lt;15,"3) 10-14%",IF(D60&lt;25,"4) 15-24%","5) 25%+"))))</f>
        <v>4) 15-24%</v>
      </c>
      <c r="N60" s="0" t="str">
        <f aca="false">IF(F60&lt;50,"1) Under Rs 50",IF(F60&lt;100,"2) Rs 50-99",IF(F60&lt;200,"3) Rs 100-199",IF(F60&lt;500,"4) Rs 200-499","5) Rs 500+"))))</f>
        <v>1) Under Rs 50</v>
      </c>
      <c r="O60" s="0" t="n">
        <f aca="false">G60*E60/1000</f>
        <v>0.348</v>
      </c>
    </row>
    <row r="61" customFormat="false" ht="15" hidden="false" customHeight="false" outlineLevel="0" collapsed="false">
      <c r="A61" s="0" t="s">
        <v>106</v>
      </c>
      <c r="B61" s="0" t="s">
        <v>202</v>
      </c>
      <c r="C61" s="0" t="n">
        <v>70</v>
      </c>
      <c r="D61" s="0" t="n">
        <v>15</v>
      </c>
      <c r="E61" s="0" t="n">
        <v>3</v>
      </c>
      <c r="F61" s="0" t="n">
        <v>59</v>
      </c>
      <c r="G61" s="0" t="n">
        <v>58</v>
      </c>
      <c r="H61" s="0" t="s">
        <v>145</v>
      </c>
      <c r="I61" s="0" t="n">
        <v>1</v>
      </c>
      <c r="J61" s="0" t="n">
        <f aca="false">F61*E61</f>
        <v>177</v>
      </c>
      <c r="K61" s="0" t="str">
        <f aca="false">IF(G61&lt;1000,"1-Low",IF(G61&lt;5000,"2-Medium","3-Bulk"))</f>
        <v>1-Low</v>
      </c>
      <c r="L61" s="0" t="str">
        <f aca="false">IF(H61="TRUE","Out of stock","In stock")</f>
        <v>In stock</v>
      </c>
      <c r="M61" s="0" t="str">
        <f aca="false">IF(D61&lt;5,"1) Under 5%",IF(D61&lt;10,"2) 5-9%",IF(D61&lt;15,"3) 10-14%",IF(D61&lt;25,"4) 15-24%","5) 25%+"))))</f>
        <v>4) 15-24%</v>
      </c>
      <c r="N61" s="0" t="str">
        <f aca="false">IF(F61&lt;50,"1) Under Rs 50",IF(F61&lt;100,"2) Rs 50-99",IF(F61&lt;200,"3) Rs 100-199",IF(F61&lt;500,"4) Rs 200-499","5) Rs 500+"))))</f>
        <v>2) Rs 50-99</v>
      </c>
      <c r="O61" s="0" t="n">
        <f aca="false">G61*E61/1000</f>
        <v>0.174</v>
      </c>
    </row>
    <row r="62" customFormat="false" ht="15" hidden="false" customHeight="false" outlineLevel="0" collapsed="false">
      <c r="A62" s="0" t="s">
        <v>106</v>
      </c>
      <c r="B62" s="0" t="s">
        <v>203</v>
      </c>
      <c r="C62" s="0" t="n">
        <v>42</v>
      </c>
      <c r="D62" s="0" t="n">
        <v>16</v>
      </c>
      <c r="E62" s="0" t="n">
        <v>3</v>
      </c>
      <c r="F62" s="0" t="n">
        <v>35</v>
      </c>
      <c r="G62" s="0" t="n">
        <v>250</v>
      </c>
      <c r="H62" s="0" t="s">
        <v>145</v>
      </c>
      <c r="I62" s="0" t="n">
        <v>500</v>
      </c>
      <c r="J62" s="0" t="n">
        <f aca="false">F62*E62</f>
        <v>105</v>
      </c>
      <c r="K62" s="0" t="str">
        <f aca="false">IF(G62&lt;1000,"1-Low",IF(G62&lt;5000,"2-Medium","3-Bulk"))</f>
        <v>1-Low</v>
      </c>
      <c r="L62" s="0" t="str">
        <f aca="false">IF(H62="TRUE","Out of stock","In stock")</f>
        <v>In stock</v>
      </c>
      <c r="M62" s="0" t="str">
        <f aca="false">IF(D62&lt;5,"1) Under 5%",IF(D62&lt;10,"2) 5-9%",IF(D62&lt;15,"3) 10-14%",IF(D62&lt;25,"4) 15-24%","5) 25%+"))))</f>
        <v>4) 15-24%</v>
      </c>
      <c r="N62" s="0" t="str">
        <f aca="false">IF(F62&lt;50,"1) Under Rs 50",IF(F62&lt;100,"2) Rs 50-99",IF(F62&lt;200,"3) Rs 100-199",IF(F62&lt;500,"4) Rs 200-499","5) Rs 500+"))))</f>
        <v>1) Under Rs 50</v>
      </c>
      <c r="O62" s="0" t="n">
        <f aca="false">G62*E62/1000</f>
        <v>0.75</v>
      </c>
    </row>
    <row r="63" customFormat="false" ht="15" hidden="false" customHeight="false" outlineLevel="0" collapsed="false">
      <c r="A63" s="0" t="s">
        <v>106</v>
      </c>
      <c r="B63" s="0" t="s">
        <v>204</v>
      </c>
      <c r="C63" s="0" t="n">
        <v>142</v>
      </c>
      <c r="D63" s="0" t="n">
        <v>16</v>
      </c>
      <c r="E63" s="0" t="n">
        <v>6</v>
      </c>
      <c r="F63" s="0" t="n">
        <v>119</v>
      </c>
      <c r="G63" s="0" t="n">
        <v>232</v>
      </c>
      <c r="H63" s="0" t="s">
        <v>145</v>
      </c>
      <c r="I63" s="0" t="n">
        <v>4</v>
      </c>
      <c r="J63" s="0" t="n">
        <f aca="false">F63*E63</f>
        <v>714</v>
      </c>
      <c r="K63" s="0" t="str">
        <f aca="false">IF(G63&lt;1000,"1-Low",IF(G63&lt;5000,"2-Medium","3-Bulk"))</f>
        <v>1-Low</v>
      </c>
      <c r="L63" s="0" t="str">
        <f aca="false">IF(H63="TRUE","Out of stock","In stock")</f>
        <v>In stock</v>
      </c>
      <c r="M63" s="0" t="str">
        <f aca="false">IF(D63&lt;5,"1) Under 5%",IF(D63&lt;10,"2) 5-9%",IF(D63&lt;15,"3) 10-14%",IF(D63&lt;25,"4) 15-24%","5) 25%+"))))</f>
        <v>4) 15-24%</v>
      </c>
      <c r="N63" s="0" t="str">
        <f aca="false">IF(F63&lt;50,"1) Under Rs 50",IF(F63&lt;100,"2) Rs 50-99",IF(F63&lt;200,"3) Rs 100-199",IF(F63&lt;500,"4) Rs 200-499","5) Rs 500+"))))</f>
        <v>3) Rs 100-199</v>
      </c>
      <c r="O63" s="0" t="n">
        <f aca="false">G63*E63/1000</f>
        <v>1.392</v>
      </c>
    </row>
    <row r="64" customFormat="false" ht="15" hidden="false" customHeight="false" outlineLevel="0" collapsed="false">
      <c r="A64" s="0" t="s">
        <v>106</v>
      </c>
      <c r="B64" s="0" t="s">
        <v>205</v>
      </c>
      <c r="C64" s="0" t="n">
        <v>94</v>
      </c>
      <c r="D64" s="0" t="n">
        <v>15</v>
      </c>
      <c r="E64" s="0" t="n">
        <v>3</v>
      </c>
      <c r="F64" s="0" t="n">
        <v>79</v>
      </c>
      <c r="G64" s="0" t="n">
        <v>58</v>
      </c>
      <c r="H64" s="0" t="s">
        <v>145</v>
      </c>
      <c r="I64" s="0" t="n">
        <v>1</v>
      </c>
      <c r="J64" s="0" t="n">
        <f aca="false">F64*E64</f>
        <v>237</v>
      </c>
      <c r="K64" s="0" t="str">
        <f aca="false">IF(G64&lt;1000,"1-Low",IF(G64&lt;5000,"2-Medium","3-Bulk"))</f>
        <v>1-Low</v>
      </c>
      <c r="L64" s="0" t="str">
        <f aca="false">IF(H64="TRUE","Out of stock","In stock")</f>
        <v>In stock</v>
      </c>
      <c r="M64" s="0" t="str">
        <f aca="false">IF(D64&lt;5,"1) Under 5%",IF(D64&lt;10,"2) 5-9%",IF(D64&lt;15,"3) 10-14%",IF(D64&lt;25,"4) 15-24%","5) 25%+"))))</f>
        <v>4) 15-24%</v>
      </c>
      <c r="N64" s="0" t="str">
        <f aca="false">IF(F64&lt;50,"1) Under Rs 50",IF(F64&lt;100,"2) Rs 50-99",IF(F64&lt;200,"3) Rs 100-199",IF(F64&lt;500,"4) Rs 200-499","5) Rs 500+"))))</f>
        <v>2) Rs 50-99</v>
      </c>
      <c r="O64" s="0" t="n">
        <f aca="false">G64*E64/1000</f>
        <v>0.174</v>
      </c>
    </row>
    <row r="65" customFormat="false" ht="15" hidden="false" customHeight="false" outlineLevel="0" collapsed="false">
      <c r="A65" s="0" t="s">
        <v>106</v>
      </c>
      <c r="B65" s="0" t="s">
        <v>206</v>
      </c>
      <c r="C65" s="0" t="n">
        <v>20</v>
      </c>
      <c r="D65" s="0" t="n">
        <v>15</v>
      </c>
      <c r="E65" s="0" t="n">
        <v>3</v>
      </c>
      <c r="F65" s="0" t="n">
        <v>17</v>
      </c>
      <c r="G65" s="0" t="n">
        <v>100</v>
      </c>
      <c r="H65" s="0" t="s">
        <v>145</v>
      </c>
      <c r="I65" s="0" t="n">
        <v>100</v>
      </c>
      <c r="J65" s="0" t="n">
        <f aca="false">F65*E65</f>
        <v>51</v>
      </c>
      <c r="K65" s="0" t="str">
        <f aca="false">IF(G65&lt;1000,"1-Low",IF(G65&lt;5000,"2-Medium","3-Bulk"))</f>
        <v>1-Low</v>
      </c>
      <c r="L65" s="0" t="str">
        <f aca="false">IF(H65="TRUE","Out of stock","In stock")</f>
        <v>In stock</v>
      </c>
      <c r="M65" s="0" t="str">
        <f aca="false">IF(D65&lt;5,"1) Under 5%",IF(D65&lt;10,"2) 5-9%",IF(D65&lt;15,"3) 10-14%",IF(D65&lt;25,"4) 15-24%","5) 25%+"))))</f>
        <v>4) 15-24%</v>
      </c>
      <c r="N65" s="0" t="str">
        <f aca="false">IF(F65&lt;50,"1) Under Rs 50",IF(F65&lt;100,"2) Rs 50-99",IF(F65&lt;200,"3) Rs 100-199",IF(F65&lt;500,"4) Rs 200-499","5) Rs 500+"))))</f>
        <v>1) Under Rs 50</v>
      </c>
      <c r="O65" s="0" t="n">
        <f aca="false">G65*E65/1000</f>
        <v>0.3</v>
      </c>
    </row>
    <row r="66" customFormat="false" ht="15" hidden="false" customHeight="false" outlineLevel="0" collapsed="false">
      <c r="A66" s="0" t="s">
        <v>106</v>
      </c>
      <c r="B66" s="0" t="s">
        <v>207</v>
      </c>
      <c r="C66" s="0" t="n">
        <v>17</v>
      </c>
      <c r="D66" s="0" t="n">
        <v>17</v>
      </c>
      <c r="E66" s="0" t="n">
        <v>3</v>
      </c>
      <c r="F66" s="0" t="n">
        <v>14</v>
      </c>
      <c r="G66" s="0" t="n">
        <v>100</v>
      </c>
      <c r="H66" s="0" t="s">
        <v>145</v>
      </c>
      <c r="I66" s="0" t="n">
        <v>100</v>
      </c>
      <c r="J66" s="0" t="n">
        <f aca="false">F66*E66</f>
        <v>42</v>
      </c>
      <c r="K66" s="0" t="str">
        <f aca="false">IF(G66&lt;1000,"1-Low",IF(G66&lt;5000,"2-Medium","3-Bulk"))</f>
        <v>1-Low</v>
      </c>
      <c r="L66" s="0" t="str">
        <f aca="false">IF(H66="TRUE","Out of stock","In stock")</f>
        <v>In stock</v>
      </c>
      <c r="M66" s="0" t="str">
        <f aca="false">IF(D66&lt;5,"1) Under 5%",IF(D66&lt;10,"2) 5-9%",IF(D66&lt;15,"3) 10-14%",IF(D66&lt;25,"4) 15-24%","5) 25%+"))))</f>
        <v>4) 15-24%</v>
      </c>
      <c r="N66" s="0" t="str">
        <f aca="false">IF(F66&lt;50,"1) Under Rs 50",IF(F66&lt;100,"2) Rs 50-99",IF(F66&lt;200,"3) Rs 100-199",IF(F66&lt;500,"4) Rs 200-499","5) Rs 500+"))))</f>
        <v>1) Under Rs 50</v>
      </c>
      <c r="O66" s="0" t="n">
        <f aca="false">G66*E66/1000</f>
        <v>0.3</v>
      </c>
    </row>
    <row r="67" customFormat="false" ht="15" hidden="false" customHeight="false" outlineLevel="0" collapsed="false">
      <c r="A67" s="0" t="s">
        <v>106</v>
      </c>
      <c r="B67" s="0" t="s">
        <v>208</v>
      </c>
      <c r="C67" s="0" t="n">
        <v>30</v>
      </c>
      <c r="D67" s="0" t="n">
        <v>16</v>
      </c>
      <c r="E67" s="0" t="n">
        <v>3</v>
      </c>
      <c r="F67" s="0" t="n">
        <v>25</v>
      </c>
      <c r="G67" s="0" t="n">
        <v>500</v>
      </c>
      <c r="H67" s="0" t="s">
        <v>145</v>
      </c>
      <c r="I67" s="0" t="n">
        <v>500</v>
      </c>
      <c r="J67" s="0" t="n">
        <f aca="false">F67*E67</f>
        <v>75</v>
      </c>
      <c r="K67" s="0" t="str">
        <f aca="false">IF(G67&lt;1000,"1-Low",IF(G67&lt;5000,"2-Medium","3-Bulk"))</f>
        <v>1-Low</v>
      </c>
      <c r="L67" s="0" t="str">
        <f aca="false">IF(H67="TRUE","Out of stock","In stock")</f>
        <v>In stock</v>
      </c>
      <c r="M67" s="0" t="str">
        <f aca="false">IF(D67&lt;5,"1) Under 5%",IF(D67&lt;10,"2) 5-9%",IF(D67&lt;15,"3) 10-14%",IF(D67&lt;25,"4) 15-24%","5) 25%+"))))</f>
        <v>4) 15-24%</v>
      </c>
      <c r="N67" s="0" t="str">
        <f aca="false">IF(F67&lt;50,"1) Under Rs 50",IF(F67&lt;100,"2) Rs 50-99",IF(F67&lt;200,"3) Rs 100-199",IF(F67&lt;500,"4) Rs 200-499","5) Rs 500+"))))</f>
        <v>1) Under Rs 50</v>
      </c>
      <c r="O67" s="0" t="n">
        <f aca="false">G67*E67/1000</f>
        <v>1.5</v>
      </c>
    </row>
    <row r="68" customFormat="false" ht="15" hidden="false" customHeight="false" outlineLevel="0" collapsed="false">
      <c r="A68" s="0" t="s">
        <v>106</v>
      </c>
      <c r="B68" s="0" t="s">
        <v>209</v>
      </c>
      <c r="C68" s="0" t="n">
        <v>46</v>
      </c>
      <c r="D68" s="0" t="n">
        <v>15</v>
      </c>
      <c r="E68" s="0" t="n">
        <v>3</v>
      </c>
      <c r="F68" s="0" t="n">
        <v>39</v>
      </c>
      <c r="G68" s="0" t="n">
        <v>200</v>
      </c>
      <c r="H68" s="0" t="s">
        <v>145</v>
      </c>
      <c r="I68" s="0" t="n">
        <v>200</v>
      </c>
      <c r="J68" s="0" t="n">
        <f aca="false">F68*E68</f>
        <v>117</v>
      </c>
      <c r="K68" s="0" t="str">
        <f aca="false">IF(G68&lt;1000,"1-Low",IF(G68&lt;5000,"2-Medium","3-Bulk"))</f>
        <v>1-Low</v>
      </c>
      <c r="L68" s="0" t="str">
        <f aca="false">IF(H68="TRUE","Out of stock","In stock")</f>
        <v>In stock</v>
      </c>
      <c r="M68" s="0" t="str">
        <f aca="false">IF(D68&lt;5,"1) Under 5%",IF(D68&lt;10,"2) 5-9%",IF(D68&lt;15,"3) 10-14%",IF(D68&lt;25,"4) 15-24%","5) 25%+"))))</f>
        <v>4) 15-24%</v>
      </c>
      <c r="N68" s="0" t="str">
        <f aca="false">IF(F68&lt;50,"1) Under Rs 50",IF(F68&lt;100,"2) Rs 50-99",IF(F68&lt;200,"3) Rs 100-199",IF(F68&lt;500,"4) Rs 200-499","5) Rs 500+"))))</f>
        <v>1) Under Rs 50</v>
      </c>
      <c r="O68" s="0" t="n">
        <f aca="false">G68*E68/1000</f>
        <v>0.6</v>
      </c>
    </row>
    <row r="69" customFormat="false" ht="15" hidden="false" customHeight="false" outlineLevel="0" collapsed="false">
      <c r="A69" s="0" t="s">
        <v>106</v>
      </c>
      <c r="B69" s="0" t="s">
        <v>210</v>
      </c>
      <c r="C69" s="0" t="n">
        <v>58</v>
      </c>
      <c r="D69" s="0" t="n">
        <v>15</v>
      </c>
      <c r="E69" s="0" t="n">
        <v>2</v>
      </c>
      <c r="F69" s="0" t="n">
        <v>49</v>
      </c>
      <c r="G69" s="0" t="n">
        <v>100</v>
      </c>
      <c r="H69" s="0" t="s">
        <v>145</v>
      </c>
      <c r="I69" s="0" t="n">
        <v>100</v>
      </c>
      <c r="J69" s="0" t="n">
        <f aca="false">F69*E69</f>
        <v>98</v>
      </c>
      <c r="K69" s="0" t="str">
        <f aca="false">IF(G69&lt;1000,"1-Low",IF(G69&lt;5000,"2-Medium","3-Bulk"))</f>
        <v>1-Low</v>
      </c>
      <c r="L69" s="0" t="str">
        <f aca="false">IF(H69="TRUE","Out of stock","In stock")</f>
        <v>In stock</v>
      </c>
      <c r="M69" s="0" t="str">
        <f aca="false">IF(D69&lt;5,"1) Under 5%",IF(D69&lt;10,"2) 5-9%",IF(D69&lt;15,"3) 10-14%",IF(D69&lt;25,"4) 15-24%","5) 25%+"))))</f>
        <v>4) 15-24%</v>
      </c>
      <c r="N69" s="0" t="str">
        <f aca="false">IF(F69&lt;50,"1) Under Rs 50",IF(F69&lt;100,"2) Rs 50-99",IF(F69&lt;200,"3) Rs 100-199",IF(F69&lt;500,"4) Rs 200-499","5) Rs 500+"))))</f>
        <v>1) Under Rs 50</v>
      </c>
      <c r="O69" s="0" t="n">
        <f aca="false">G69*E69/1000</f>
        <v>0.2</v>
      </c>
    </row>
    <row r="70" customFormat="false" ht="15" hidden="false" customHeight="false" outlineLevel="0" collapsed="false">
      <c r="A70" s="0" t="s">
        <v>106</v>
      </c>
      <c r="B70" s="0" t="s">
        <v>211</v>
      </c>
      <c r="C70" s="0" t="n">
        <v>82</v>
      </c>
      <c r="D70" s="0" t="n">
        <v>15</v>
      </c>
      <c r="E70" s="0" t="n">
        <v>3</v>
      </c>
      <c r="F70" s="0" t="n">
        <v>69</v>
      </c>
      <c r="G70" s="0" t="n">
        <v>116</v>
      </c>
      <c r="H70" s="0" t="s">
        <v>145</v>
      </c>
      <c r="I70" s="0" t="n">
        <v>2</v>
      </c>
      <c r="J70" s="0" t="n">
        <f aca="false">F70*E70</f>
        <v>207</v>
      </c>
      <c r="K70" s="0" t="str">
        <f aca="false">IF(G70&lt;1000,"1-Low",IF(G70&lt;5000,"2-Medium","3-Bulk"))</f>
        <v>1-Low</v>
      </c>
      <c r="L70" s="0" t="str">
        <f aca="false">IF(H70="TRUE","Out of stock","In stock")</f>
        <v>In stock</v>
      </c>
      <c r="M70" s="0" t="str">
        <f aca="false">IF(D70&lt;5,"1) Under 5%",IF(D70&lt;10,"2) 5-9%",IF(D70&lt;15,"3) 10-14%",IF(D70&lt;25,"4) 15-24%","5) 25%+"))))</f>
        <v>4) 15-24%</v>
      </c>
      <c r="N70" s="0" t="str">
        <f aca="false">IF(F70&lt;50,"1) Under Rs 50",IF(F70&lt;100,"2) Rs 50-99",IF(F70&lt;200,"3) Rs 100-199",IF(F70&lt;500,"4) Rs 200-499","5) Rs 500+"))))</f>
        <v>2) Rs 50-99</v>
      </c>
      <c r="O70" s="0" t="n">
        <f aca="false">G70*E70/1000</f>
        <v>0.348</v>
      </c>
    </row>
    <row r="71" customFormat="false" ht="15" hidden="false" customHeight="false" outlineLevel="0" collapsed="false">
      <c r="A71" s="0" t="s">
        <v>106</v>
      </c>
      <c r="B71" s="0" t="s">
        <v>212</v>
      </c>
      <c r="C71" s="0" t="n">
        <v>70</v>
      </c>
      <c r="D71" s="0" t="n">
        <v>15</v>
      </c>
      <c r="E71" s="0" t="n">
        <v>3</v>
      </c>
      <c r="F71" s="0" t="n">
        <v>59</v>
      </c>
      <c r="G71" s="0" t="n">
        <v>116</v>
      </c>
      <c r="H71" s="0" t="s">
        <v>145</v>
      </c>
      <c r="I71" s="0" t="n">
        <v>2</v>
      </c>
      <c r="J71" s="0" t="n">
        <f aca="false">F71*E71</f>
        <v>177</v>
      </c>
      <c r="K71" s="0" t="str">
        <f aca="false">IF(G71&lt;1000,"1-Low",IF(G71&lt;5000,"2-Medium","3-Bulk"))</f>
        <v>1-Low</v>
      </c>
      <c r="L71" s="0" t="str">
        <f aca="false">IF(H71="TRUE","Out of stock","In stock")</f>
        <v>In stock</v>
      </c>
      <c r="M71" s="0" t="str">
        <f aca="false">IF(D71&lt;5,"1) Under 5%",IF(D71&lt;10,"2) 5-9%",IF(D71&lt;15,"3) 10-14%",IF(D71&lt;25,"4) 15-24%","5) 25%+"))))</f>
        <v>4) 15-24%</v>
      </c>
      <c r="N71" s="0" t="str">
        <f aca="false">IF(F71&lt;50,"1) Under Rs 50",IF(F71&lt;100,"2) Rs 50-99",IF(F71&lt;200,"3) Rs 100-199",IF(F71&lt;500,"4) Rs 200-499","5) Rs 500+"))))</f>
        <v>2) Rs 50-99</v>
      </c>
      <c r="O71" s="0" t="n">
        <f aca="false">G71*E71/1000</f>
        <v>0.348</v>
      </c>
    </row>
    <row r="72" customFormat="false" ht="15" hidden="false" customHeight="false" outlineLevel="0" collapsed="false">
      <c r="A72" s="0" t="s">
        <v>106</v>
      </c>
      <c r="B72" s="0" t="s">
        <v>213</v>
      </c>
      <c r="C72" s="0" t="n">
        <v>20</v>
      </c>
      <c r="D72" s="0" t="n">
        <v>15</v>
      </c>
      <c r="E72" s="0" t="n">
        <v>3</v>
      </c>
      <c r="F72" s="0" t="n">
        <v>17</v>
      </c>
      <c r="G72" s="0" t="n">
        <v>100</v>
      </c>
      <c r="H72" s="0" t="s">
        <v>145</v>
      </c>
      <c r="I72" s="0" t="n">
        <v>100</v>
      </c>
      <c r="J72" s="0" t="n">
        <f aca="false">F72*E72</f>
        <v>51</v>
      </c>
      <c r="K72" s="0" t="str">
        <f aca="false">IF(G72&lt;1000,"1-Low",IF(G72&lt;5000,"2-Medium","3-Bulk"))</f>
        <v>1-Low</v>
      </c>
      <c r="L72" s="0" t="str">
        <f aca="false">IF(H72="TRUE","Out of stock","In stock")</f>
        <v>In stock</v>
      </c>
      <c r="M72" s="0" t="str">
        <f aca="false">IF(D72&lt;5,"1) Under 5%",IF(D72&lt;10,"2) 5-9%",IF(D72&lt;15,"3) 10-14%",IF(D72&lt;25,"4) 15-24%","5) 25%+"))))</f>
        <v>4) 15-24%</v>
      </c>
      <c r="N72" s="0" t="str">
        <f aca="false">IF(F72&lt;50,"1) Under Rs 50",IF(F72&lt;100,"2) Rs 50-99",IF(F72&lt;200,"3) Rs 100-199",IF(F72&lt;500,"4) Rs 200-499","5) Rs 500+"))))</f>
        <v>1) Under Rs 50</v>
      </c>
      <c r="O72" s="0" t="n">
        <f aca="false">G72*E72/1000</f>
        <v>0.3</v>
      </c>
    </row>
    <row r="73" customFormat="false" ht="15" hidden="false" customHeight="false" outlineLevel="0" collapsed="false">
      <c r="A73" s="0" t="s">
        <v>106</v>
      </c>
      <c r="B73" s="0" t="s">
        <v>214</v>
      </c>
      <c r="C73" s="0" t="n">
        <v>60</v>
      </c>
      <c r="D73" s="0" t="n">
        <v>16</v>
      </c>
      <c r="E73" s="0" t="n">
        <v>3</v>
      </c>
      <c r="F73" s="0" t="n">
        <v>50</v>
      </c>
      <c r="G73" s="0" t="n">
        <v>500</v>
      </c>
      <c r="H73" s="0" t="s">
        <v>145</v>
      </c>
      <c r="I73" s="0" t="n">
        <v>500</v>
      </c>
      <c r="J73" s="0" t="n">
        <f aca="false">F73*E73</f>
        <v>150</v>
      </c>
      <c r="K73" s="0" t="str">
        <f aca="false">IF(G73&lt;1000,"1-Low",IF(G73&lt;5000,"2-Medium","3-Bulk"))</f>
        <v>1-Low</v>
      </c>
      <c r="L73" s="0" t="str">
        <f aca="false">IF(H73="TRUE","Out of stock","In stock")</f>
        <v>In stock</v>
      </c>
      <c r="M73" s="0" t="str">
        <f aca="false">IF(D73&lt;5,"1) Under 5%",IF(D73&lt;10,"2) 5-9%",IF(D73&lt;15,"3) 10-14%",IF(D73&lt;25,"4) 15-24%","5) 25%+"))))</f>
        <v>4) 15-24%</v>
      </c>
      <c r="N73" s="0" t="str">
        <f aca="false">IF(F73&lt;50,"1) Under Rs 50",IF(F73&lt;100,"2) Rs 50-99",IF(F73&lt;200,"3) Rs 100-199",IF(F73&lt;500,"4) Rs 200-499","5) Rs 500+"))))</f>
        <v>2) Rs 50-99</v>
      </c>
      <c r="O73" s="0" t="n">
        <f aca="false">G73*E73/1000</f>
        <v>1.5</v>
      </c>
    </row>
    <row r="74" customFormat="false" ht="15" hidden="false" customHeight="false" outlineLevel="0" collapsed="false">
      <c r="A74" s="0" t="s">
        <v>106</v>
      </c>
      <c r="B74" s="0" t="s">
        <v>215</v>
      </c>
      <c r="C74" s="0" t="n">
        <v>58</v>
      </c>
      <c r="D74" s="0" t="n">
        <v>15</v>
      </c>
      <c r="E74" s="0" t="n">
        <v>3</v>
      </c>
      <c r="F74" s="0" t="n">
        <v>49</v>
      </c>
      <c r="G74" s="0" t="n">
        <v>250</v>
      </c>
      <c r="H74" s="0" t="s">
        <v>145</v>
      </c>
      <c r="I74" s="0" t="n">
        <v>250</v>
      </c>
      <c r="J74" s="0" t="n">
        <f aca="false">F74*E74</f>
        <v>147</v>
      </c>
      <c r="K74" s="0" t="str">
        <f aca="false">IF(G74&lt;1000,"1-Low",IF(G74&lt;5000,"2-Medium","3-Bulk"))</f>
        <v>1-Low</v>
      </c>
      <c r="L74" s="0" t="str">
        <f aca="false">IF(H74="TRUE","Out of stock","In stock")</f>
        <v>In stock</v>
      </c>
      <c r="M74" s="0" t="str">
        <f aca="false">IF(D74&lt;5,"1) Under 5%",IF(D74&lt;10,"2) 5-9%",IF(D74&lt;15,"3) 10-14%",IF(D74&lt;25,"4) 15-24%","5) 25%+"))))</f>
        <v>4) 15-24%</v>
      </c>
      <c r="N74" s="0" t="str">
        <f aca="false">IF(F74&lt;50,"1) Under Rs 50",IF(F74&lt;100,"2) Rs 50-99",IF(F74&lt;200,"3) Rs 100-199",IF(F74&lt;500,"4) Rs 200-499","5) Rs 500+"))))</f>
        <v>1) Under Rs 50</v>
      </c>
      <c r="O74" s="0" t="n">
        <f aca="false">G74*E74/1000</f>
        <v>0.75</v>
      </c>
    </row>
    <row r="75" customFormat="false" ht="15" hidden="false" customHeight="false" outlineLevel="0" collapsed="false">
      <c r="A75" s="0" t="s">
        <v>106</v>
      </c>
      <c r="B75" s="0" t="s">
        <v>216</v>
      </c>
      <c r="C75" s="0" t="n">
        <v>54</v>
      </c>
      <c r="D75" s="0" t="n">
        <v>16</v>
      </c>
      <c r="E75" s="0" t="n">
        <v>6</v>
      </c>
      <c r="F75" s="0" t="n">
        <v>45</v>
      </c>
      <c r="G75" s="0" t="n">
        <v>500</v>
      </c>
      <c r="H75" s="0" t="s">
        <v>145</v>
      </c>
      <c r="I75" s="0" t="n">
        <v>500</v>
      </c>
      <c r="J75" s="0" t="n">
        <f aca="false">F75*E75</f>
        <v>270</v>
      </c>
      <c r="K75" s="0" t="str">
        <f aca="false">IF(G75&lt;1000,"1-Low",IF(G75&lt;5000,"2-Medium","3-Bulk"))</f>
        <v>1-Low</v>
      </c>
      <c r="L75" s="0" t="str">
        <f aca="false">IF(H75="TRUE","Out of stock","In stock")</f>
        <v>In stock</v>
      </c>
      <c r="M75" s="0" t="str">
        <f aca="false">IF(D75&lt;5,"1) Under 5%",IF(D75&lt;10,"2) 5-9%",IF(D75&lt;15,"3) 10-14%",IF(D75&lt;25,"4) 15-24%","5) 25%+"))))</f>
        <v>4) 15-24%</v>
      </c>
      <c r="N75" s="0" t="str">
        <f aca="false">IF(F75&lt;50,"1) Under Rs 50",IF(F75&lt;100,"2) Rs 50-99",IF(F75&lt;200,"3) Rs 100-199",IF(F75&lt;500,"4) Rs 200-499","5) Rs 500+"))))</f>
        <v>1) Under Rs 50</v>
      </c>
      <c r="O75" s="0" t="n">
        <f aca="false">G75*E75/1000</f>
        <v>3</v>
      </c>
    </row>
    <row r="76" customFormat="false" ht="15" hidden="false" customHeight="false" outlineLevel="0" collapsed="false">
      <c r="A76" s="0" t="s">
        <v>106</v>
      </c>
      <c r="B76" s="0" t="s">
        <v>217</v>
      </c>
      <c r="C76" s="0" t="n">
        <v>30</v>
      </c>
      <c r="D76" s="0" t="n">
        <v>16</v>
      </c>
      <c r="E76" s="0" t="n">
        <v>3</v>
      </c>
      <c r="F76" s="0" t="n">
        <v>25</v>
      </c>
      <c r="G76" s="0" t="n">
        <v>200</v>
      </c>
      <c r="H76" s="0" t="s">
        <v>145</v>
      </c>
      <c r="I76" s="0" t="n">
        <v>200</v>
      </c>
      <c r="J76" s="0" t="n">
        <f aca="false">F76*E76</f>
        <v>75</v>
      </c>
      <c r="K76" s="0" t="str">
        <f aca="false">IF(G76&lt;1000,"1-Low",IF(G76&lt;5000,"2-Medium","3-Bulk"))</f>
        <v>1-Low</v>
      </c>
      <c r="L76" s="0" t="str">
        <f aca="false">IF(H76="TRUE","Out of stock","In stock")</f>
        <v>In stock</v>
      </c>
      <c r="M76" s="0" t="str">
        <f aca="false">IF(D76&lt;5,"1) Under 5%",IF(D76&lt;10,"2) 5-9%",IF(D76&lt;15,"3) 10-14%",IF(D76&lt;25,"4) 15-24%","5) 25%+"))))</f>
        <v>4) 15-24%</v>
      </c>
      <c r="N76" s="0" t="str">
        <f aca="false">IF(F76&lt;50,"1) Under Rs 50",IF(F76&lt;100,"2) Rs 50-99",IF(F76&lt;200,"3) Rs 100-199",IF(F76&lt;500,"4) Rs 200-499","5) Rs 500+"))))</f>
        <v>1) Under Rs 50</v>
      </c>
      <c r="O76" s="0" t="n">
        <f aca="false">G76*E76/1000</f>
        <v>0.6</v>
      </c>
    </row>
    <row r="77" customFormat="false" ht="15" hidden="false" customHeight="false" outlineLevel="0" collapsed="false">
      <c r="A77" s="0" t="s">
        <v>106</v>
      </c>
      <c r="B77" s="0" t="s">
        <v>218</v>
      </c>
      <c r="C77" s="0" t="n">
        <v>54</v>
      </c>
      <c r="D77" s="0" t="n">
        <v>16</v>
      </c>
      <c r="E77" s="0" t="n">
        <v>6</v>
      </c>
      <c r="F77" s="0" t="n">
        <v>45</v>
      </c>
      <c r="G77" s="0" t="n">
        <v>500</v>
      </c>
      <c r="H77" s="0" t="s">
        <v>145</v>
      </c>
      <c r="I77" s="0" t="n">
        <v>500</v>
      </c>
      <c r="J77" s="0" t="n">
        <f aca="false">F77*E77</f>
        <v>270</v>
      </c>
      <c r="K77" s="0" t="str">
        <f aca="false">IF(G77&lt;1000,"1-Low",IF(G77&lt;5000,"2-Medium","3-Bulk"))</f>
        <v>1-Low</v>
      </c>
      <c r="L77" s="0" t="str">
        <f aca="false">IF(H77="TRUE","Out of stock","In stock")</f>
        <v>In stock</v>
      </c>
      <c r="M77" s="0" t="str">
        <f aca="false">IF(D77&lt;5,"1) Under 5%",IF(D77&lt;10,"2) 5-9%",IF(D77&lt;15,"3) 10-14%",IF(D77&lt;25,"4) 15-24%","5) 25%+"))))</f>
        <v>4) 15-24%</v>
      </c>
      <c r="N77" s="0" t="str">
        <f aca="false">IF(F77&lt;50,"1) Under Rs 50",IF(F77&lt;100,"2) Rs 50-99",IF(F77&lt;200,"3) Rs 100-199",IF(F77&lt;500,"4) Rs 200-499","5) Rs 500+"))))</f>
        <v>1) Under Rs 50</v>
      </c>
      <c r="O77" s="0" t="n">
        <f aca="false">G77*E77/1000</f>
        <v>3</v>
      </c>
    </row>
    <row r="78" customFormat="false" ht="15" hidden="false" customHeight="false" outlineLevel="0" collapsed="false">
      <c r="A78" s="0" t="s">
        <v>106</v>
      </c>
      <c r="B78" s="0" t="s">
        <v>219</v>
      </c>
      <c r="C78" s="0" t="n">
        <v>23</v>
      </c>
      <c r="D78" s="0" t="n">
        <v>17</v>
      </c>
      <c r="E78" s="0" t="n">
        <v>6</v>
      </c>
      <c r="F78" s="0" t="n">
        <v>19</v>
      </c>
      <c r="G78" s="0" t="n">
        <v>500</v>
      </c>
      <c r="H78" s="0" t="s">
        <v>145</v>
      </c>
      <c r="I78" s="0" t="n">
        <v>500</v>
      </c>
      <c r="J78" s="0" t="n">
        <f aca="false">F78*E78</f>
        <v>114</v>
      </c>
      <c r="K78" s="0" t="str">
        <f aca="false">IF(G78&lt;1000,"1-Low",IF(G78&lt;5000,"2-Medium","3-Bulk"))</f>
        <v>1-Low</v>
      </c>
      <c r="L78" s="0" t="str">
        <f aca="false">IF(H78="TRUE","Out of stock","In stock")</f>
        <v>In stock</v>
      </c>
      <c r="M78" s="0" t="str">
        <f aca="false">IF(D78&lt;5,"1) Under 5%",IF(D78&lt;10,"2) 5-9%",IF(D78&lt;15,"3) 10-14%",IF(D78&lt;25,"4) 15-24%","5) 25%+"))))</f>
        <v>4) 15-24%</v>
      </c>
      <c r="N78" s="0" t="str">
        <f aca="false">IF(F78&lt;50,"1) Under Rs 50",IF(F78&lt;100,"2) Rs 50-99",IF(F78&lt;200,"3) Rs 100-199",IF(F78&lt;500,"4) Rs 200-499","5) Rs 500+"))))</f>
        <v>1) Under Rs 50</v>
      </c>
      <c r="O78" s="0" t="n">
        <f aca="false">G78*E78/1000</f>
        <v>3</v>
      </c>
    </row>
    <row r="79" customFormat="false" ht="15" hidden="false" customHeight="false" outlineLevel="0" collapsed="false">
      <c r="A79" s="0" t="s">
        <v>106</v>
      </c>
      <c r="B79" s="0" t="s">
        <v>220</v>
      </c>
      <c r="C79" s="0" t="n">
        <v>177</v>
      </c>
      <c r="D79" s="0" t="n">
        <v>15</v>
      </c>
      <c r="E79" s="0" t="n">
        <v>3</v>
      </c>
      <c r="F79" s="0" t="n">
        <v>149</v>
      </c>
      <c r="G79" s="0" t="n">
        <v>58</v>
      </c>
      <c r="H79" s="0" t="s">
        <v>145</v>
      </c>
      <c r="I79" s="0" t="n">
        <v>1</v>
      </c>
      <c r="J79" s="0" t="n">
        <f aca="false">F79*E79</f>
        <v>447</v>
      </c>
      <c r="K79" s="0" t="str">
        <f aca="false">IF(G79&lt;1000,"1-Low",IF(G79&lt;5000,"2-Medium","3-Bulk"))</f>
        <v>1-Low</v>
      </c>
      <c r="L79" s="0" t="str">
        <f aca="false">IF(H79="TRUE","Out of stock","In stock")</f>
        <v>In stock</v>
      </c>
      <c r="M79" s="0" t="str">
        <f aca="false">IF(D79&lt;5,"1) Under 5%",IF(D79&lt;10,"2) 5-9%",IF(D79&lt;15,"3) 10-14%",IF(D79&lt;25,"4) 15-24%","5) 25%+"))))</f>
        <v>4) 15-24%</v>
      </c>
      <c r="N79" s="0" t="str">
        <f aca="false">IF(F79&lt;50,"1) Under Rs 50",IF(F79&lt;100,"2) Rs 50-99",IF(F79&lt;200,"3) Rs 100-199",IF(F79&lt;500,"4) Rs 200-499","5) Rs 500+"))))</f>
        <v>3) Rs 100-199</v>
      </c>
      <c r="O79" s="0" t="n">
        <f aca="false">G79*E79/1000</f>
        <v>0.174</v>
      </c>
    </row>
    <row r="80" customFormat="false" ht="15" hidden="false" customHeight="false" outlineLevel="0" collapsed="false">
      <c r="A80" s="0" t="s">
        <v>106</v>
      </c>
      <c r="B80" s="0" t="s">
        <v>221</v>
      </c>
      <c r="C80" s="0" t="n">
        <v>12</v>
      </c>
      <c r="D80" s="0" t="n">
        <v>16</v>
      </c>
      <c r="E80" s="0" t="n">
        <v>2</v>
      </c>
      <c r="F80" s="0" t="n">
        <v>10</v>
      </c>
      <c r="G80" s="0" t="n">
        <v>58</v>
      </c>
      <c r="H80" s="0" t="s">
        <v>145</v>
      </c>
      <c r="I80" s="0" t="n">
        <v>1</v>
      </c>
      <c r="J80" s="0" t="n">
        <f aca="false">F80*E80</f>
        <v>20</v>
      </c>
      <c r="K80" s="0" t="str">
        <f aca="false">IF(G80&lt;1000,"1-Low",IF(G80&lt;5000,"2-Medium","3-Bulk"))</f>
        <v>1-Low</v>
      </c>
      <c r="L80" s="0" t="str">
        <f aca="false">IF(H80="TRUE","Out of stock","In stock")</f>
        <v>In stock</v>
      </c>
      <c r="M80" s="0" t="str">
        <f aca="false">IF(D80&lt;5,"1) Under 5%",IF(D80&lt;10,"2) 5-9%",IF(D80&lt;15,"3) 10-14%",IF(D80&lt;25,"4) 15-24%","5) 25%+"))))</f>
        <v>4) 15-24%</v>
      </c>
      <c r="N80" s="0" t="str">
        <f aca="false">IF(F80&lt;50,"1) Under Rs 50",IF(F80&lt;100,"2) Rs 50-99",IF(F80&lt;200,"3) Rs 100-199",IF(F80&lt;500,"4) Rs 200-499","5) Rs 500+"))))</f>
        <v>1) Under Rs 50</v>
      </c>
      <c r="O80" s="0" t="n">
        <f aca="false">G80*E80/1000</f>
        <v>0.116</v>
      </c>
    </row>
    <row r="81" customFormat="false" ht="15" hidden="false" customHeight="false" outlineLevel="0" collapsed="false">
      <c r="A81" s="0" t="s">
        <v>106</v>
      </c>
      <c r="B81" s="0" t="s">
        <v>222</v>
      </c>
      <c r="C81" s="0" t="n">
        <v>25</v>
      </c>
      <c r="D81" s="0" t="n">
        <v>16</v>
      </c>
      <c r="E81" s="0" t="n">
        <v>2</v>
      </c>
      <c r="F81" s="0" t="n">
        <v>21</v>
      </c>
      <c r="G81" s="0" t="n">
        <v>300</v>
      </c>
      <c r="H81" s="0" t="s">
        <v>145</v>
      </c>
      <c r="I81" s="0" t="n">
        <v>300</v>
      </c>
      <c r="J81" s="0" t="n">
        <f aca="false">F81*E81</f>
        <v>42</v>
      </c>
      <c r="K81" s="0" t="str">
        <f aca="false">IF(G81&lt;1000,"1-Low",IF(G81&lt;5000,"2-Medium","3-Bulk"))</f>
        <v>1-Low</v>
      </c>
      <c r="L81" s="0" t="str">
        <f aca="false">IF(H81="TRUE","Out of stock","In stock")</f>
        <v>In stock</v>
      </c>
      <c r="M81" s="0" t="str">
        <f aca="false">IF(D81&lt;5,"1) Under 5%",IF(D81&lt;10,"2) 5-9%",IF(D81&lt;15,"3) 10-14%",IF(D81&lt;25,"4) 15-24%","5) 25%+"))))</f>
        <v>4) 15-24%</v>
      </c>
      <c r="N81" s="0" t="str">
        <f aca="false">IF(F81&lt;50,"1) Under Rs 50",IF(F81&lt;100,"2) Rs 50-99",IF(F81&lt;200,"3) Rs 100-199",IF(F81&lt;500,"4) Rs 200-499","5) Rs 500+"))))</f>
        <v>1) Under Rs 50</v>
      </c>
      <c r="O81" s="0" t="n">
        <f aca="false">G81*E81/1000</f>
        <v>0.6</v>
      </c>
    </row>
    <row r="82" customFormat="false" ht="15" hidden="false" customHeight="false" outlineLevel="0" collapsed="false">
      <c r="A82" s="0" t="s">
        <v>106</v>
      </c>
      <c r="B82" s="0" t="s">
        <v>223</v>
      </c>
      <c r="C82" s="0" t="n">
        <v>20</v>
      </c>
      <c r="D82" s="0" t="n">
        <v>15</v>
      </c>
      <c r="E82" s="0" t="n">
        <v>3</v>
      </c>
      <c r="F82" s="0" t="n">
        <v>17</v>
      </c>
      <c r="G82" s="0" t="n">
        <v>250</v>
      </c>
      <c r="H82" s="0" t="s">
        <v>145</v>
      </c>
      <c r="I82" s="0" t="n">
        <v>250</v>
      </c>
      <c r="J82" s="0" t="n">
        <f aca="false">F82*E82</f>
        <v>51</v>
      </c>
      <c r="K82" s="0" t="str">
        <f aca="false">IF(G82&lt;1000,"1-Low",IF(G82&lt;5000,"2-Medium","3-Bulk"))</f>
        <v>1-Low</v>
      </c>
      <c r="L82" s="0" t="str">
        <f aca="false">IF(H82="TRUE","Out of stock","In stock")</f>
        <v>In stock</v>
      </c>
      <c r="M82" s="0" t="str">
        <f aca="false">IF(D82&lt;5,"1) Under 5%",IF(D82&lt;10,"2) 5-9%",IF(D82&lt;15,"3) 10-14%",IF(D82&lt;25,"4) 15-24%","5) 25%+"))))</f>
        <v>4) 15-24%</v>
      </c>
      <c r="N82" s="0" t="str">
        <f aca="false">IF(F82&lt;50,"1) Under Rs 50",IF(F82&lt;100,"2) Rs 50-99",IF(F82&lt;200,"3) Rs 100-199",IF(F82&lt;500,"4) Rs 200-499","5) Rs 500+"))))</f>
        <v>1) Under Rs 50</v>
      </c>
      <c r="O82" s="0" t="n">
        <f aca="false">G82*E82/1000</f>
        <v>0.75</v>
      </c>
    </row>
    <row r="83" customFormat="false" ht="15" hidden="false" customHeight="false" outlineLevel="0" collapsed="false">
      <c r="A83" s="0" t="s">
        <v>106</v>
      </c>
      <c r="B83" s="0" t="s">
        <v>224</v>
      </c>
      <c r="C83" s="0" t="n">
        <v>110</v>
      </c>
      <c r="D83" s="0" t="n">
        <v>4</v>
      </c>
      <c r="E83" s="0" t="n">
        <v>2</v>
      </c>
      <c r="F83" s="0" t="n">
        <v>105</v>
      </c>
      <c r="G83" s="0" t="n">
        <v>1000</v>
      </c>
      <c r="H83" s="0" t="s">
        <v>145</v>
      </c>
      <c r="I83" s="0" t="n">
        <v>1</v>
      </c>
      <c r="J83" s="0" t="n">
        <f aca="false">F83*E83</f>
        <v>210</v>
      </c>
      <c r="K83" s="0" t="str">
        <f aca="false">IF(G83&lt;1000,"1-Low",IF(G83&lt;5000,"2-Medium","3-Bulk"))</f>
        <v>2-Medium</v>
      </c>
      <c r="L83" s="0" t="str">
        <f aca="false">IF(H83="TRUE","Out of stock","In stock")</f>
        <v>In stock</v>
      </c>
      <c r="M83" s="0" t="str">
        <f aca="false">IF(D83&lt;5,"1) Under 5%",IF(D83&lt;10,"2) 5-9%",IF(D83&lt;15,"3) 10-14%",IF(D83&lt;25,"4) 15-24%","5) 25%+"))))</f>
        <v>1) Under 5%</v>
      </c>
      <c r="N83" s="0" t="str">
        <f aca="false">IF(F83&lt;50,"1) Under Rs 50",IF(F83&lt;100,"2) Rs 50-99",IF(F83&lt;200,"3) Rs 100-199",IF(F83&lt;500,"4) Rs 200-499","5) Rs 500+"))))</f>
        <v>3) Rs 100-199</v>
      </c>
      <c r="O83" s="0" t="n">
        <f aca="false">G83*E83/1000</f>
        <v>2</v>
      </c>
    </row>
    <row r="84" customFormat="false" ht="15" hidden="false" customHeight="false" outlineLevel="0" collapsed="false">
      <c r="A84" s="0" t="s">
        <v>106</v>
      </c>
      <c r="B84" s="0" t="s">
        <v>225</v>
      </c>
      <c r="C84" s="0" t="n">
        <v>37</v>
      </c>
      <c r="D84" s="0" t="n">
        <v>16</v>
      </c>
      <c r="E84" s="0" t="n">
        <v>3</v>
      </c>
      <c r="F84" s="0" t="n">
        <v>31</v>
      </c>
      <c r="G84" s="0" t="n">
        <v>250</v>
      </c>
      <c r="H84" s="0" t="s">
        <v>145</v>
      </c>
      <c r="I84" s="0" t="n">
        <v>250</v>
      </c>
      <c r="J84" s="0" t="n">
        <f aca="false">F84*E84</f>
        <v>93</v>
      </c>
      <c r="K84" s="0" t="str">
        <f aca="false">IF(G84&lt;1000,"1-Low",IF(G84&lt;5000,"2-Medium","3-Bulk"))</f>
        <v>1-Low</v>
      </c>
      <c r="L84" s="0" t="str">
        <f aca="false">IF(H84="TRUE","Out of stock","In stock")</f>
        <v>In stock</v>
      </c>
      <c r="M84" s="0" t="str">
        <f aca="false">IF(D84&lt;5,"1) Under 5%",IF(D84&lt;10,"2) 5-9%",IF(D84&lt;15,"3) 10-14%",IF(D84&lt;25,"4) 15-24%","5) 25%+"))))</f>
        <v>4) 15-24%</v>
      </c>
      <c r="N84" s="0" t="str">
        <f aca="false">IF(F84&lt;50,"1) Under Rs 50",IF(F84&lt;100,"2) Rs 50-99",IF(F84&lt;200,"3) Rs 100-199",IF(F84&lt;500,"4) Rs 200-499","5) Rs 500+"))))</f>
        <v>1) Under Rs 50</v>
      </c>
      <c r="O84" s="0" t="n">
        <f aca="false">G84*E84/1000</f>
        <v>0.75</v>
      </c>
    </row>
    <row r="85" customFormat="false" ht="15" hidden="false" customHeight="false" outlineLevel="0" collapsed="false">
      <c r="A85" s="0" t="s">
        <v>106</v>
      </c>
      <c r="B85" s="0" t="s">
        <v>226</v>
      </c>
      <c r="C85" s="0" t="n">
        <v>16</v>
      </c>
      <c r="D85" s="0" t="n">
        <v>18</v>
      </c>
      <c r="E85" s="0" t="n">
        <v>3</v>
      </c>
      <c r="F85" s="0" t="n">
        <v>13</v>
      </c>
      <c r="G85" s="0" t="n">
        <v>500</v>
      </c>
      <c r="H85" s="0" t="s">
        <v>145</v>
      </c>
      <c r="I85" s="0" t="n">
        <v>500</v>
      </c>
      <c r="J85" s="0" t="n">
        <f aca="false">F85*E85</f>
        <v>39</v>
      </c>
      <c r="K85" s="0" t="str">
        <f aca="false">IF(G85&lt;1000,"1-Low",IF(G85&lt;5000,"2-Medium","3-Bulk"))</f>
        <v>1-Low</v>
      </c>
      <c r="L85" s="0" t="str">
        <f aca="false">IF(H85="TRUE","Out of stock","In stock")</f>
        <v>In stock</v>
      </c>
      <c r="M85" s="0" t="str">
        <f aca="false">IF(D85&lt;5,"1) Under 5%",IF(D85&lt;10,"2) 5-9%",IF(D85&lt;15,"3) 10-14%",IF(D85&lt;25,"4) 15-24%","5) 25%+"))))</f>
        <v>4) 15-24%</v>
      </c>
      <c r="N85" s="0" t="str">
        <f aca="false">IF(F85&lt;50,"1) Under Rs 50",IF(F85&lt;100,"2) Rs 50-99",IF(F85&lt;200,"3) Rs 100-199",IF(F85&lt;500,"4) Rs 200-499","5) Rs 500+"))))</f>
        <v>1) Under Rs 50</v>
      </c>
      <c r="O85" s="0" t="n">
        <f aca="false">G85*E85/1000</f>
        <v>1.5</v>
      </c>
    </row>
    <row r="86" customFormat="false" ht="15" hidden="false" customHeight="false" outlineLevel="0" collapsed="false">
      <c r="A86" s="0" t="s">
        <v>106</v>
      </c>
      <c r="B86" s="0" t="s">
        <v>227</v>
      </c>
      <c r="C86" s="0" t="n">
        <v>26</v>
      </c>
      <c r="D86" s="0" t="n">
        <v>19</v>
      </c>
      <c r="E86" s="0" t="n">
        <v>3</v>
      </c>
      <c r="F86" s="0" t="n">
        <v>21</v>
      </c>
      <c r="G86" s="0" t="n">
        <v>500</v>
      </c>
      <c r="H86" s="0" t="s">
        <v>145</v>
      </c>
      <c r="I86" s="0" t="n">
        <v>500</v>
      </c>
      <c r="J86" s="0" t="n">
        <f aca="false">F86*E86</f>
        <v>63</v>
      </c>
      <c r="K86" s="0" t="str">
        <f aca="false">IF(G86&lt;1000,"1-Low",IF(G86&lt;5000,"2-Medium","3-Bulk"))</f>
        <v>1-Low</v>
      </c>
      <c r="L86" s="0" t="str">
        <f aca="false">IF(H86="TRUE","Out of stock","In stock")</f>
        <v>In stock</v>
      </c>
      <c r="M86" s="0" t="str">
        <f aca="false">IF(D86&lt;5,"1) Under 5%",IF(D86&lt;10,"2) 5-9%",IF(D86&lt;15,"3) 10-14%",IF(D86&lt;25,"4) 15-24%","5) 25%+"))))</f>
        <v>4) 15-24%</v>
      </c>
      <c r="N86" s="0" t="str">
        <f aca="false">IF(F86&lt;50,"1) Under Rs 50",IF(F86&lt;100,"2) Rs 50-99",IF(F86&lt;200,"3) Rs 100-199",IF(F86&lt;500,"4) Rs 200-499","5) Rs 500+"))))</f>
        <v>1) Under Rs 50</v>
      </c>
      <c r="O86" s="0" t="n">
        <f aca="false">G86*E86/1000</f>
        <v>1.5</v>
      </c>
    </row>
    <row r="87" customFormat="false" ht="15" hidden="false" customHeight="false" outlineLevel="0" collapsed="false">
      <c r="A87" s="0" t="s">
        <v>106</v>
      </c>
      <c r="B87" s="0" t="s">
        <v>228</v>
      </c>
      <c r="C87" s="0" t="n">
        <v>19</v>
      </c>
      <c r="D87" s="0" t="n">
        <v>21</v>
      </c>
      <c r="E87" s="0" t="n">
        <v>3</v>
      </c>
      <c r="F87" s="0" t="n">
        <v>15</v>
      </c>
      <c r="G87" s="0" t="n">
        <v>500</v>
      </c>
      <c r="H87" s="0" t="s">
        <v>145</v>
      </c>
      <c r="I87" s="0" t="n">
        <v>500</v>
      </c>
      <c r="J87" s="0" t="n">
        <f aca="false">F87*E87</f>
        <v>45</v>
      </c>
      <c r="K87" s="0" t="str">
        <f aca="false">IF(G87&lt;1000,"1-Low",IF(G87&lt;5000,"2-Medium","3-Bulk"))</f>
        <v>1-Low</v>
      </c>
      <c r="L87" s="0" t="str">
        <f aca="false">IF(H87="TRUE","Out of stock","In stock")</f>
        <v>In stock</v>
      </c>
      <c r="M87" s="0" t="str">
        <f aca="false">IF(D87&lt;5,"1) Under 5%",IF(D87&lt;10,"2) 5-9%",IF(D87&lt;15,"3) 10-14%",IF(D87&lt;25,"4) 15-24%","5) 25%+"))))</f>
        <v>4) 15-24%</v>
      </c>
      <c r="N87" s="0" t="str">
        <f aca="false">IF(F87&lt;50,"1) Under Rs 50",IF(F87&lt;100,"2) Rs 50-99",IF(F87&lt;200,"3) Rs 100-199",IF(F87&lt;500,"4) Rs 200-499","5) Rs 500+"))))</f>
        <v>1) Under Rs 50</v>
      </c>
      <c r="O87" s="0" t="n">
        <f aca="false">G87*E87/1000</f>
        <v>1.5</v>
      </c>
    </row>
    <row r="88" customFormat="false" ht="15" hidden="false" customHeight="false" outlineLevel="0" collapsed="false">
      <c r="A88" s="0" t="s">
        <v>106</v>
      </c>
      <c r="B88" s="0" t="s">
        <v>229</v>
      </c>
      <c r="C88" s="0" t="n">
        <v>17</v>
      </c>
      <c r="D88" s="0" t="n">
        <v>23</v>
      </c>
      <c r="E88" s="0" t="n">
        <v>3</v>
      </c>
      <c r="F88" s="0" t="n">
        <v>13</v>
      </c>
      <c r="G88" s="0" t="n">
        <v>200</v>
      </c>
      <c r="H88" s="0" t="s">
        <v>145</v>
      </c>
      <c r="I88" s="0" t="n">
        <v>200</v>
      </c>
      <c r="J88" s="0" t="n">
        <f aca="false">F88*E88</f>
        <v>39</v>
      </c>
      <c r="K88" s="0" t="str">
        <f aca="false">IF(G88&lt;1000,"1-Low",IF(G88&lt;5000,"2-Medium","3-Bulk"))</f>
        <v>1-Low</v>
      </c>
      <c r="L88" s="0" t="str">
        <f aca="false">IF(H88="TRUE","Out of stock","In stock")</f>
        <v>In stock</v>
      </c>
      <c r="M88" s="0" t="str">
        <f aca="false">IF(D88&lt;5,"1) Under 5%",IF(D88&lt;10,"2) 5-9%",IF(D88&lt;15,"3) 10-14%",IF(D88&lt;25,"4) 15-24%","5) 25%+"))))</f>
        <v>4) 15-24%</v>
      </c>
      <c r="N88" s="0" t="str">
        <f aca="false">IF(F88&lt;50,"1) Under Rs 50",IF(F88&lt;100,"2) Rs 50-99",IF(F88&lt;200,"3) Rs 100-199",IF(F88&lt;500,"4) Rs 200-499","5) Rs 500+"))))</f>
        <v>1) Under Rs 50</v>
      </c>
      <c r="O88" s="0" t="n">
        <f aca="false">G88*E88/1000</f>
        <v>0.6</v>
      </c>
    </row>
    <row r="89" customFormat="false" ht="15" hidden="false" customHeight="false" outlineLevel="0" collapsed="false">
      <c r="A89" s="0" t="s">
        <v>106</v>
      </c>
      <c r="B89" s="0" t="s">
        <v>228</v>
      </c>
      <c r="C89" s="0" t="n">
        <v>13</v>
      </c>
      <c r="D89" s="0" t="n">
        <v>15</v>
      </c>
      <c r="E89" s="0" t="n">
        <v>0</v>
      </c>
      <c r="F89" s="0" t="n">
        <v>11</v>
      </c>
      <c r="G89" s="0" t="n">
        <v>250</v>
      </c>
      <c r="H89" s="0" t="s">
        <v>230</v>
      </c>
      <c r="I89" s="0" t="n">
        <v>200</v>
      </c>
      <c r="J89" s="0" t="n">
        <f aca="false">F89*E89</f>
        <v>0</v>
      </c>
      <c r="K89" s="0" t="str">
        <f aca="false">IF(G89&lt;1000,"1-Low",IF(G89&lt;5000,"2-Medium","3-Bulk"))</f>
        <v>1-Low</v>
      </c>
      <c r="L89" s="0" t="str">
        <f aca="false">IF(H89="TRUE","Out of stock","In stock")</f>
        <v>Out of stock</v>
      </c>
      <c r="M89" s="0" t="str">
        <f aca="false">IF(D89&lt;5,"1) Under 5%",IF(D89&lt;10,"2) 5-9%",IF(D89&lt;15,"3) 10-14%",IF(D89&lt;25,"4) 15-24%","5) 25%+"))))</f>
        <v>4) 15-24%</v>
      </c>
      <c r="N89" s="0" t="str">
        <f aca="false">IF(F89&lt;50,"1) Under Rs 50",IF(F89&lt;100,"2) Rs 50-99",IF(F89&lt;200,"3) Rs 100-199",IF(F89&lt;500,"4) Rs 200-499","5) Rs 500+"))))</f>
        <v>1) Under Rs 50</v>
      </c>
      <c r="O89" s="0" t="n">
        <f aca="false">G89*E89/1000</f>
        <v>0</v>
      </c>
    </row>
    <row r="90" customFormat="false" ht="15" hidden="false" customHeight="false" outlineLevel="0" collapsed="false">
      <c r="A90" s="0" t="s">
        <v>106</v>
      </c>
      <c r="B90" s="0" t="s">
        <v>226</v>
      </c>
      <c r="C90" s="0" t="n">
        <v>11</v>
      </c>
      <c r="D90" s="0" t="n">
        <v>18</v>
      </c>
      <c r="E90" s="0" t="n">
        <v>0</v>
      </c>
      <c r="F90" s="0" t="n">
        <v>9</v>
      </c>
      <c r="G90" s="0" t="n">
        <v>250</v>
      </c>
      <c r="H90" s="0" t="s">
        <v>230</v>
      </c>
      <c r="I90" s="0" t="n">
        <v>250</v>
      </c>
      <c r="J90" s="0" t="n">
        <f aca="false">F90*E90</f>
        <v>0</v>
      </c>
      <c r="K90" s="0" t="str">
        <f aca="false">IF(G90&lt;1000,"1-Low",IF(G90&lt;5000,"2-Medium","3-Bulk"))</f>
        <v>1-Low</v>
      </c>
      <c r="L90" s="0" t="str">
        <f aca="false">IF(H90="TRUE","Out of stock","In stock")</f>
        <v>Out of stock</v>
      </c>
      <c r="M90" s="0" t="str">
        <f aca="false">IF(D90&lt;5,"1) Under 5%",IF(D90&lt;10,"2) 5-9%",IF(D90&lt;15,"3) 10-14%",IF(D90&lt;25,"4) 15-24%","5) 25%+"))))</f>
        <v>4) 15-24%</v>
      </c>
      <c r="N90" s="0" t="str">
        <f aca="false">IF(F90&lt;50,"1) Under Rs 50",IF(F90&lt;100,"2) Rs 50-99",IF(F90&lt;200,"3) Rs 100-199",IF(F90&lt;500,"4) Rs 200-499","5) Rs 500+"))))</f>
        <v>1) Under Rs 50</v>
      </c>
      <c r="O90" s="0" t="n">
        <f aca="false">G90*E90/1000</f>
        <v>0</v>
      </c>
    </row>
    <row r="91" customFormat="false" ht="15" hidden="false" customHeight="false" outlineLevel="0" collapsed="false">
      <c r="A91" s="0" t="s">
        <v>106</v>
      </c>
      <c r="B91" s="0" t="s">
        <v>231</v>
      </c>
      <c r="C91" s="0" t="n">
        <v>35</v>
      </c>
      <c r="D91" s="0" t="n">
        <v>17</v>
      </c>
      <c r="E91" s="0" t="n">
        <v>0</v>
      </c>
      <c r="F91" s="0" t="n">
        <v>29</v>
      </c>
      <c r="G91" s="0" t="n">
        <v>200</v>
      </c>
      <c r="H91" s="0" t="s">
        <v>230</v>
      </c>
      <c r="I91" s="0" t="n">
        <v>200</v>
      </c>
      <c r="J91" s="0" t="n">
        <f aca="false">F91*E91</f>
        <v>0</v>
      </c>
      <c r="K91" s="0" t="str">
        <f aca="false">IF(G91&lt;1000,"1-Low",IF(G91&lt;5000,"2-Medium","3-Bulk"))</f>
        <v>1-Low</v>
      </c>
      <c r="L91" s="0" t="str">
        <f aca="false">IF(H91="TRUE","Out of stock","In stock")</f>
        <v>Out of stock</v>
      </c>
      <c r="M91" s="0" t="str">
        <f aca="false">IF(D91&lt;5,"1) Under 5%",IF(D91&lt;10,"2) 5-9%",IF(D91&lt;15,"3) 10-14%",IF(D91&lt;25,"4) 15-24%","5) 25%+"))))</f>
        <v>4) 15-24%</v>
      </c>
      <c r="N91" s="0" t="str">
        <f aca="false">IF(F91&lt;50,"1) Under Rs 50",IF(F91&lt;100,"2) Rs 50-99",IF(F91&lt;200,"3) Rs 100-199",IF(F91&lt;500,"4) Rs 200-499","5) Rs 500+"))))</f>
        <v>1) Under Rs 50</v>
      </c>
      <c r="O91" s="0" t="n">
        <f aca="false">G91*E91/1000</f>
        <v>0</v>
      </c>
    </row>
    <row r="92" customFormat="false" ht="15" hidden="false" customHeight="false" outlineLevel="0" collapsed="false">
      <c r="A92" s="0" t="s">
        <v>106</v>
      </c>
      <c r="B92" s="0" t="s">
        <v>232</v>
      </c>
      <c r="C92" s="0" t="n">
        <v>60</v>
      </c>
      <c r="D92" s="0" t="n">
        <v>5</v>
      </c>
      <c r="E92" s="0" t="n">
        <v>0</v>
      </c>
      <c r="F92" s="0" t="n">
        <v>57</v>
      </c>
      <c r="G92" s="0" t="n">
        <v>500</v>
      </c>
      <c r="H92" s="0" t="s">
        <v>230</v>
      </c>
      <c r="I92" s="0" t="n">
        <v>500</v>
      </c>
      <c r="J92" s="0" t="n">
        <f aca="false">F92*E92</f>
        <v>0</v>
      </c>
      <c r="K92" s="0" t="str">
        <f aca="false">IF(G92&lt;1000,"1-Low",IF(G92&lt;5000,"2-Medium","3-Bulk"))</f>
        <v>1-Low</v>
      </c>
      <c r="L92" s="0" t="str">
        <f aca="false">IF(H92="TRUE","Out of stock","In stock")</f>
        <v>Out of stock</v>
      </c>
      <c r="M92" s="0" t="str">
        <f aca="false">IF(D92&lt;5,"1) Under 5%",IF(D92&lt;10,"2) 5-9%",IF(D92&lt;15,"3) 10-14%",IF(D92&lt;25,"4) 15-24%","5) 25%+"))))</f>
        <v>2) 5-9%</v>
      </c>
      <c r="N92" s="0" t="str">
        <f aca="false">IF(F92&lt;50,"1) Under Rs 50",IF(F92&lt;100,"2) Rs 50-99",IF(F92&lt;200,"3) Rs 100-199",IF(F92&lt;500,"4) Rs 200-499","5) Rs 500+"))))</f>
        <v>2) Rs 50-99</v>
      </c>
      <c r="O92" s="0" t="n">
        <f aca="false">G92*E92/1000</f>
        <v>0</v>
      </c>
    </row>
    <row r="93" customFormat="false" ht="15" hidden="false" customHeight="false" outlineLevel="0" collapsed="false">
      <c r="A93" s="0" t="s">
        <v>106</v>
      </c>
      <c r="B93" s="0" t="s">
        <v>233</v>
      </c>
      <c r="C93" s="0" t="n">
        <v>41</v>
      </c>
      <c r="D93" s="0" t="n">
        <v>4</v>
      </c>
      <c r="E93" s="0" t="n">
        <v>0</v>
      </c>
      <c r="F93" s="0" t="n">
        <v>39</v>
      </c>
      <c r="G93" s="0" t="n">
        <v>200</v>
      </c>
      <c r="H93" s="0" t="s">
        <v>230</v>
      </c>
      <c r="I93" s="0" t="n">
        <v>200</v>
      </c>
      <c r="J93" s="0" t="n">
        <f aca="false">F93*E93</f>
        <v>0</v>
      </c>
      <c r="K93" s="0" t="str">
        <f aca="false">IF(G93&lt;1000,"1-Low",IF(G93&lt;5000,"2-Medium","3-Bulk"))</f>
        <v>1-Low</v>
      </c>
      <c r="L93" s="0" t="str">
        <f aca="false">IF(H93="TRUE","Out of stock","In stock")</f>
        <v>Out of stock</v>
      </c>
      <c r="M93" s="0" t="str">
        <f aca="false">IF(D93&lt;5,"1) Under 5%",IF(D93&lt;10,"2) 5-9%",IF(D93&lt;15,"3) 10-14%",IF(D93&lt;25,"4) 15-24%","5) 25%+"))))</f>
        <v>1) Under 5%</v>
      </c>
      <c r="N93" s="0" t="str">
        <f aca="false">IF(F93&lt;50,"1) Under Rs 50",IF(F93&lt;100,"2) Rs 50-99",IF(F93&lt;200,"3) Rs 100-199",IF(F93&lt;500,"4) Rs 200-499","5) Rs 500+"))))</f>
        <v>1) Under Rs 50</v>
      </c>
      <c r="O93" s="0" t="n">
        <f aca="false">G93*E93/1000</f>
        <v>0</v>
      </c>
    </row>
    <row r="94" customFormat="false" ht="15" hidden="false" customHeight="false" outlineLevel="0" collapsed="false">
      <c r="A94" s="0" t="s">
        <v>106</v>
      </c>
      <c r="B94" s="0" t="s">
        <v>234</v>
      </c>
      <c r="C94" s="0" t="n">
        <v>160</v>
      </c>
      <c r="D94" s="0" t="n">
        <v>5</v>
      </c>
      <c r="E94" s="0" t="n">
        <v>0</v>
      </c>
      <c r="F94" s="0" t="n">
        <v>152</v>
      </c>
      <c r="G94" s="0" t="n">
        <v>1000</v>
      </c>
      <c r="H94" s="0" t="s">
        <v>230</v>
      </c>
      <c r="I94" s="0" t="n">
        <v>1</v>
      </c>
      <c r="J94" s="0" t="n">
        <f aca="false">F94*E94</f>
        <v>0</v>
      </c>
      <c r="K94" s="0" t="str">
        <f aca="false">IF(G94&lt;1000,"1-Low",IF(G94&lt;5000,"2-Medium","3-Bulk"))</f>
        <v>2-Medium</v>
      </c>
      <c r="L94" s="0" t="str">
        <f aca="false">IF(H94="TRUE","Out of stock","In stock")</f>
        <v>Out of stock</v>
      </c>
      <c r="M94" s="0" t="str">
        <f aca="false">IF(D94&lt;5,"1) Under 5%",IF(D94&lt;10,"2) 5-9%",IF(D94&lt;15,"3) 10-14%",IF(D94&lt;25,"4) 15-24%","5) 25%+"))))</f>
        <v>2) 5-9%</v>
      </c>
      <c r="N94" s="0" t="str">
        <f aca="false">IF(F94&lt;50,"1) Under Rs 50",IF(F94&lt;100,"2) Rs 50-99",IF(F94&lt;200,"3) Rs 100-199",IF(F94&lt;500,"4) Rs 200-499","5) Rs 500+"))))</f>
        <v>3) Rs 100-199</v>
      </c>
      <c r="O94" s="0" t="n">
        <f aca="false">G94*E94/1000</f>
        <v>0</v>
      </c>
    </row>
    <row r="95" customFormat="false" ht="15" hidden="false" customHeight="false" outlineLevel="0" collapsed="false">
      <c r="A95" s="0" t="s">
        <v>96</v>
      </c>
      <c r="B95" s="0" t="s">
        <v>235</v>
      </c>
      <c r="C95" s="0" t="n">
        <v>12</v>
      </c>
      <c r="D95" s="0" t="n">
        <v>0</v>
      </c>
      <c r="E95" s="0" t="n">
        <v>6</v>
      </c>
      <c r="F95" s="0" t="n">
        <v>12</v>
      </c>
      <c r="G95" s="0" t="n">
        <v>70</v>
      </c>
      <c r="H95" s="0" t="s">
        <v>145</v>
      </c>
      <c r="I95" s="0" t="n">
        <v>70</v>
      </c>
      <c r="J95" s="0" t="n">
        <f aca="false">F95*E95</f>
        <v>72</v>
      </c>
      <c r="K95" s="0" t="str">
        <f aca="false">IF(G95&lt;1000,"1-Low",IF(G95&lt;5000,"2-Medium","3-Bulk"))</f>
        <v>1-Low</v>
      </c>
      <c r="L95" s="0" t="str">
        <f aca="false">IF(H95="TRUE","Out of stock","In stock")</f>
        <v>In stock</v>
      </c>
      <c r="M95" s="0" t="str">
        <f aca="false">IF(D95&lt;5,"1) Under 5%",IF(D95&lt;10,"2) 5-9%",IF(D95&lt;15,"3) 10-14%",IF(D95&lt;25,"4) 15-24%","5) 25%+"))))</f>
        <v>1) Under 5%</v>
      </c>
      <c r="N95" s="0" t="str">
        <f aca="false">IF(F95&lt;50,"1) Under Rs 50",IF(F95&lt;100,"2) Rs 50-99",IF(F95&lt;200,"3) Rs 100-199",IF(F95&lt;500,"4) Rs 200-499","5) Rs 500+"))))</f>
        <v>1) Under Rs 50</v>
      </c>
      <c r="O95" s="0" t="n">
        <f aca="false">G95*E95/1000</f>
        <v>0.42</v>
      </c>
    </row>
    <row r="96" customFormat="false" ht="15" hidden="false" customHeight="false" outlineLevel="0" collapsed="false">
      <c r="A96" s="0" t="s">
        <v>96</v>
      </c>
      <c r="B96" s="0" t="s">
        <v>236</v>
      </c>
      <c r="C96" s="0" t="n">
        <v>80</v>
      </c>
      <c r="D96" s="0" t="n">
        <v>15</v>
      </c>
      <c r="E96" s="0" t="n">
        <v>6</v>
      </c>
      <c r="F96" s="0" t="n">
        <v>68</v>
      </c>
      <c r="G96" s="0" t="n">
        <v>1000</v>
      </c>
      <c r="H96" s="0" t="s">
        <v>145</v>
      </c>
      <c r="I96" s="0" t="n">
        <v>1</v>
      </c>
      <c r="J96" s="0" t="n">
        <f aca="false">F96*E96</f>
        <v>408</v>
      </c>
      <c r="K96" s="0" t="str">
        <f aca="false">IF(G96&lt;1000,"1-Low",IF(G96&lt;5000,"2-Medium","3-Bulk"))</f>
        <v>2-Medium</v>
      </c>
      <c r="L96" s="0" t="str">
        <f aca="false">IF(H96="TRUE","Out of stock","In stock")</f>
        <v>In stock</v>
      </c>
      <c r="M96" s="0" t="str">
        <f aca="false">IF(D96&lt;5,"1) Under 5%",IF(D96&lt;10,"2) 5-9%",IF(D96&lt;15,"3) 10-14%",IF(D96&lt;25,"4) 15-24%","5) 25%+"))))</f>
        <v>4) 15-24%</v>
      </c>
      <c r="N96" s="0" t="str">
        <f aca="false">IF(F96&lt;50,"1) Under Rs 50",IF(F96&lt;100,"2) Rs 50-99",IF(F96&lt;200,"3) Rs 100-199",IF(F96&lt;500,"4) Rs 200-499","5) Rs 500+"))))</f>
        <v>2) Rs 50-99</v>
      </c>
      <c r="O96" s="0" t="n">
        <f aca="false">G96*E96/1000</f>
        <v>6</v>
      </c>
    </row>
    <row r="97" customFormat="false" ht="15" hidden="false" customHeight="false" outlineLevel="0" collapsed="false">
      <c r="A97" s="0" t="s">
        <v>96</v>
      </c>
      <c r="B97" s="0" t="s">
        <v>237</v>
      </c>
      <c r="C97" s="0" t="n">
        <v>24</v>
      </c>
      <c r="D97" s="0" t="n">
        <v>0</v>
      </c>
      <c r="E97" s="0" t="n">
        <v>6</v>
      </c>
      <c r="F97" s="0" t="n">
        <v>24</v>
      </c>
      <c r="G97" s="0" t="n">
        <v>1000</v>
      </c>
      <c r="H97" s="0" t="s">
        <v>145</v>
      </c>
      <c r="I97" s="0" t="n">
        <v>1</v>
      </c>
      <c r="J97" s="0" t="n">
        <f aca="false">F97*E97</f>
        <v>144</v>
      </c>
      <c r="K97" s="0" t="str">
        <f aca="false">IF(G97&lt;1000,"1-Low",IF(G97&lt;5000,"2-Medium","3-Bulk"))</f>
        <v>2-Medium</v>
      </c>
      <c r="L97" s="0" t="str">
        <f aca="false">IF(H97="TRUE","Out of stock","In stock")</f>
        <v>In stock</v>
      </c>
      <c r="M97" s="0" t="str">
        <f aca="false">IF(D97&lt;5,"1) Under 5%",IF(D97&lt;10,"2) 5-9%",IF(D97&lt;15,"3) 10-14%",IF(D97&lt;25,"4) 15-24%","5) 25%+"))))</f>
        <v>1) Under 5%</v>
      </c>
      <c r="N97" s="0" t="str">
        <f aca="false">IF(F97&lt;50,"1) Under Rs 50",IF(F97&lt;100,"2) Rs 50-99",IF(F97&lt;200,"3) Rs 100-199",IF(F97&lt;500,"4) Rs 200-499","5) Rs 500+"))))</f>
        <v>1) Under Rs 50</v>
      </c>
      <c r="O97" s="0" t="n">
        <f aca="false">G97*E97/1000</f>
        <v>6</v>
      </c>
    </row>
    <row r="98" customFormat="false" ht="15" hidden="false" customHeight="false" outlineLevel="0" collapsed="false">
      <c r="A98" s="0" t="s">
        <v>96</v>
      </c>
      <c r="B98" s="0" t="s">
        <v>238</v>
      </c>
      <c r="C98" s="0" t="n">
        <v>97</v>
      </c>
      <c r="D98" s="0" t="n">
        <v>0</v>
      </c>
      <c r="E98" s="0" t="n">
        <v>4</v>
      </c>
      <c r="F98" s="0" t="n">
        <v>97</v>
      </c>
      <c r="G98" s="0" t="n">
        <v>696</v>
      </c>
      <c r="H98" s="0" t="s">
        <v>145</v>
      </c>
      <c r="I98" s="0" t="n">
        <v>12</v>
      </c>
      <c r="J98" s="0" t="n">
        <f aca="false">F98*E98</f>
        <v>388</v>
      </c>
      <c r="K98" s="0" t="str">
        <f aca="false">IF(G98&lt;1000,"1-Low",IF(G98&lt;5000,"2-Medium","3-Bulk"))</f>
        <v>1-Low</v>
      </c>
      <c r="L98" s="0" t="str">
        <f aca="false">IF(H98="TRUE","Out of stock","In stock")</f>
        <v>In stock</v>
      </c>
      <c r="M98" s="0" t="str">
        <f aca="false">IF(D98&lt;5,"1) Under 5%",IF(D98&lt;10,"2) 5-9%",IF(D98&lt;15,"3) 10-14%",IF(D98&lt;25,"4) 15-24%","5) 25%+"))))</f>
        <v>1) Under 5%</v>
      </c>
      <c r="N98" s="0" t="str">
        <f aca="false">IF(F98&lt;50,"1) Under Rs 50",IF(F98&lt;100,"2) Rs 50-99",IF(F98&lt;200,"3) Rs 100-199",IF(F98&lt;500,"4) Rs 200-499","5) Rs 500+"))))</f>
        <v>2) Rs 50-99</v>
      </c>
      <c r="O98" s="0" t="n">
        <f aca="false">G98*E98/1000</f>
        <v>2.784</v>
      </c>
    </row>
    <row r="99" customFormat="false" ht="15" hidden="false" customHeight="false" outlineLevel="0" collapsed="false">
      <c r="A99" s="0" t="s">
        <v>96</v>
      </c>
      <c r="B99" s="0" t="s">
        <v>238</v>
      </c>
      <c r="C99" s="0" t="n">
        <v>65</v>
      </c>
      <c r="D99" s="0" t="n">
        <v>15</v>
      </c>
      <c r="E99" s="0" t="n">
        <v>4</v>
      </c>
      <c r="F99" s="0" t="n">
        <v>55</v>
      </c>
      <c r="G99" s="0" t="n">
        <v>348</v>
      </c>
      <c r="H99" s="0" t="s">
        <v>145</v>
      </c>
      <c r="I99" s="0" t="n">
        <v>6</v>
      </c>
      <c r="J99" s="0" t="n">
        <f aca="false">F99*E99</f>
        <v>220</v>
      </c>
      <c r="K99" s="0" t="str">
        <f aca="false">IF(G99&lt;1000,"1-Low",IF(G99&lt;5000,"2-Medium","3-Bulk"))</f>
        <v>1-Low</v>
      </c>
      <c r="L99" s="0" t="str">
        <f aca="false">IF(H99="TRUE","Out of stock","In stock")</f>
        <v>In stock</v>
      </c>
      <c r="M99" s="0" t="str">
        <f aca="false">IF(D99&lt;5,"1) Under 5%",IF(D99&lt;10,"2) 5-9%",IF(D99&lt;15,"3) 10-14%",IF(D99&lt;25,"4) 15-24%","5) 25%+"))))</f>
        <v>4) 15-24%</v>
      </c>
      <c r="N99" s="0" t="str">
        <f aca="false">IF(F99&lt;50,"1) Under Rs 50",IF(F99&lt;100,"2) Rs 50-99",IF(F99&lt;200,"3) Rs 100-199",IF(F99&lt;500,"4) Rs 200-499","5) Rs 500+"))))</f>
        <v>2) Rs 50-99</v>
      </c>
      <c r="O99" s="0" t="n">
        <f aca="false">G99*E99/1000</f>
        <v>1.392</v>
      </c>
    </row>
    <row r="100" customFormat="false" ht="15" hidden="false" customHeight="false" outlineLevel="0" collapsed="false">
      <c r="A100" s="0" t="s">
        <v>96</v>
      </c>
      <c r="B100" s="0" t="s">
        <v>239</v>
      </c>
      <c r="C100" s="0" t="n">
        <v>230</v>
      </c>
      <c r="D100" s="0" t="n">
        <v>4</v>
      </c>
      <c r="E100" s="0" t="n">
        <v>6</v>
      </c>
      <c r="F100" s="0" t="n">
        <v>219</v>
      </c>
      <c r="G100" s="0" t="n">
        <v>1000</v>
      </c>
      <c r="H100" s="0" t="s">
        <v>145</v>
      </c>
      <c r="I100" s="0" t="n">
        <v>1</v>
      </c>
      <c r="J100" s="0" t="n">
        <f aca="false">F100*E100</f>
        <v>1314</v>
      </c>
      <c r="K100" s="0" t="str">
        <f aca="false">IF(G100&lt;1000,"1-Low",IF(G100&lt;5000,"2-Medium","3-Bulk"))</f>
        <v>2-Medium</v>
      </c>
      <c r="L100" s="0" t="str">
        <f aca="false">IF(H100="TRUE","Out of stock","In stock")</f>
        <v>In stock</v>
      </c>
      <c r="M100" s="0" t="str">
        <f aca="false">IF(D100&lt;5,"1) Under 5%",IF(D100&lt;10,"2) 5-9%",IF(D100&lt;15,"3) 10-14%",IF(D100&lt;25,"4) 15-24%","5) 25%+"))))</f>
        <v>1) Under 5%</v>
      </c>
      <c r="N100" s="0" t="str">
        <f aca="false">IF(F100&lt;50,"1) Under Rs 50",IF(F100&lt;100,"2) Rs 50-99",IF(F100&lt;200,"3) Rs 100-199",IF(F100&lt;500,"4) Rs 200-499","5) Rs 500+"))))</f>
        <v>4) Rs 200-499</v>
      </c>
      <c r="O100" s="0" t="n">
        <f aca="false">G100*E100/1000</f>
        <v>6</v>
      </c>
    </row>
    <row r="101" customFormat="false" ht="15" hidden="false" customHeight="false" outlineLevel="0" collapsed="false">
      <c r="A101" s="0" t="s">
        <v>96</v>
      </c>
      <c r="B101" s="0" t="s">
        <v>240</v>
      </c>
      <c r="C101" s="0" t="n">
        <v>250</v>
      </c>
      <c r="D101" s="0" t="n">
        <v>2</v>
      </c>
      <c r="E101" s="0" t="n">
        <v>6</v>
      </c>
      <c r="F101" s="0" t="n">
        <v>245</v>
      </c>
      <c r="G101" s="0" t="n">
        <v>5000</v>
      </c>
      <c r="H101" s="0" t="s">
        <v>145</v>
      </c>
      <c r="I101" s="0" t="n">
        <v>5</v>
      </c>
      <c r="J101" s="0" t="n">
        <f aca="false">F101*E101</f>
        <v>1470</v>
      </c>
      <c r="K101" s="0" t="str">
        <f aca="false">IF(G101&lt;1000,"1-Low",IF(G101&lt;5000,"2-Medium","3-Bulk"))</f>
        <v>3-Bulk</v>
      </c>
      <c r="L101" s="0" t="str">
        <f aca="false">IF(H101="TRUE","Out of stock","In stock")</f>
        <v>In stock</v>
      </c>
      <c r="M101" s="0" t="str">
        <f aca="false">IF(D101&lt;5,"1) Under 5%",IF(D101&lt;10,"2) 5-9%",IF(D101&lt;15,"3) 10-14%",IF(D101&lt;25,"4) 15-24%","5) 25%+"))))</f>
        <v>1) Under 5%</v>
      </c>
      <c r="N101" s="0" t="str">
        <f aca="false">IF(F101&lt;50,"1) Under Rs 50",IF(F101&lt;100,"2) Rs 50-99",IF(F101&lt;200,"3) Rs 100-199",IF(F101&lt;500,"4) Rs 200-499","5) Rs 500+"))))</f>
        <v>4) Rs 200-499</v>
      </c>
      <c r="O101" s="0" t="n">
        <f aca="false">G101*E101/1000</f>
        <v>30</v>
      </c>
    </row>
    <row r="102" customFormat="false" ht="15" hidden="false" customHeight="false" outlineLevel="0" collapsed="false">
      <c r="A102" s="0" t="s">
        <v>96</v>
      </c>
      <c r="B102" s="0" t="s">
        <v>241</v>
      </c>
      <c r="C102" s="0" t="n">
        <v>255</v>
      </c>
      <c r="D102" s="0" t="n">
        <v>2</v>
      </c>
      <c r="E102" s="0" t="n">
        <v>6</v>
      </c>
      <c r="F102" s="0" t="n">
        <v>249</v>
      </c>
      <c r="G102" s="0" t="n">
        <v>500</v>
      </c>
      <c r="H102" s="0" t="s">
        <v>145</v>
      </c>
      <c r="I102" s="0" t="n">
        <v>500</v>
      </c>
      <c r="J102" s="0" t="n">
        <f aca="false">F102*E102</f>
        <v>1494</v>
      </c>
      <c r="K102" s="0" t="str">
        <f aca="false">IF(G102&lt;1000,"1-Low",IF(G102&lt;5000,"2-Medium","3-Bulk"))</f>
        <v>1-Low</v>
      </c>
      <c r="L102" s="0" t="str">
        <f aca="false">IF(H102="TRUE","Out of stock","In stock")</f>
        <v>In stock</v>
      </c>
      <c r="M102" s="0" t="str">
        <f aca="false">IF(D102&lt;5,"1) Under 5%",IF(D102&lt;10,"2) 5-9%",IF(D102&lt;15,"3) 10-14%",IF(D102&lt;25,"4) 15-24%","5) 25%+"))))</f>
        <v>1) Under 5%</v>
      </c>
      <c r="N102" s="0" t="str">
        <f aca="false">IF(F102&lt;50,"1) Under Rs 50",IF(F102&lt;100,"2) Rs 50-99",IF(F102&lt;200,"3) Rs 100-199",IF(F102&lt;500,"4) Rs 200-499","5) Rs 500+"))))</f>
        <v>4) Rs 200-499</v>
      </c>
      <c r="O102" s="0" t="n">
        <f aca="false">G102*E102/1000</f>
        <v>3</v>
      </c>
    </row>
    <row r="103" customFormat="false" ht="15" hidden="false" customHeight="false" outlineLevel="0" collapsed="false">
      <c r="A103" s="0" t="s">
        <v>96</v>
      </c>
      <c r="B103" s="0" t="s">
        <v>242</v>
      </c>
      <c r="C103" s="0" t="n">
        <v>85</v>
      </c>
      <c r="D103" s="0" t="n">
        <v>7</v>
      </c>
      <c r="E103" s="0" t="n">
        <v>4</v>
      </c>
      <c r="F103" s="0" t="n">
        <v>79</v>
      </c>
      <c r="G103" s="0" t="n">
        <v>348</v>
      </c>
      <c r="H103" s="0" t="s">
        <v>145</v>
      </c>
      <c r="I103" s="0" t="n">
        <v>6</v>
      </c>
      <c r="J103" s="0" t="n">
        <f aca="false">F103*E103</f>
        <v>316</v>
      </c>
      <c r="K103" s="0" t="str">
        <f aca="false">IF(G103&lt;1000,"1-Low",IF(G103&lt;5000,"2-Medium","3-Bulk"))</f>
        <v>1-Low</v>
      </c>
      <c r="L103" s="0" t="str">
        <f aca="false">IF(H103="TRUE","Out of stock","In stock")</f>
        <v>In stock</v>
      </c>
      <c r="M103" s="0" t="str">
        <f aca="false">IF(D103&lt;5,"1) Under 5%",IF(D103&lt;10,"2) 5-9%",IF(D103&lt;15,"3) 10-14%",IF(D103&lt;25,"4) 15-24%","5) 25%+"))))</f>
        <v>2) 5-9%</v>
      </c>
      <c r="N103" s="0" t="str">
        <f aca="false">IF(F103&lt;50,"1) Under Rs 50",IF(F103&lt;100,"2) Rs 50-99",IF(F103&lt;200,"3) Rs 100-199",IF(F103&lt;500,"4) Rs 200-499","5) Rs 500+"))))</f>
        <v>2) Rs 50-99</v>
      </c>
      <c r="O103" s="0" t="n">
        <f aca="false">G103*E103/1000</f>
        <v>1.392</v>
      </c>
    </row>
    <row r="104" customFormat="false" ht="15" hidden="false" customHeight="false" outlineLevel="0" collapsed="false">
      <c r="A104" s="0" t="s">
        <v>96</v>
      </c>
      <c r="B104" s="0" t="s">
        <v>243</v>
      </c>
      <c r="C104" s="0" t="n">
        <v>40</v>
      </c>
      <c r="D104" s="0" t="n">
        <v>10</v>
      </c>
      <c r="E104" s="0" t="n">
        <v>6</v>
      </c>
      <c r="F104" s="0" t="n">
        <v>36</v>
      </c>
      <c r="G104" s="0" t="n">
        <v>1000</v>
      </c>
      <c r="H104" s="0" t="s">
        <v>145</v>
      </c>
      <c r="I104" s="0" t="n">
        <v>1</v>
      </c>
      <c r="J104" s="0" t="n">
        <f aca="false">F104*E104</f>
        <v>216</v>
      </c>
      <c r="K104" s="0" t="str">
        <f aca="false">IF(G104&lt;1000,"1-Low",IF(G104&lt;5000,"2-Medium","3-Bulk"))</f>
        <v>2-Medium</v>
      </c>
      <c r="L104" s="0" t="str">
        <f aca="false">IF(H104="TRUE","Out of stock","In stock")</f>
        <v>In stock</v>
      </c>
      <c r="M104" s="0" t="str">
        <f aca="false">IF(D104&lt;5,"1) Under 5%",IF(D104&lt;10,"2) 5-9%",IF(D104&lt;15,"3) 10-14%",IF(D104&lt;25,"4) 15-24%","5) 25%+"))))</f>
        <v>3) 10-14%</v>
      </c>
      <c r="N104" s="0" t="str">
        <f aca="false">IF(F104&lt;50,"1) Under Rs 50",IF(F104&lt;100,"2) Rs 50-99",IF(F104&lt;200,"3) Rs 100-199",IF(F104&lt;500,"4) Rs 200-499","5) Rs 500+"))))</f>
        <v>1) Under Rs 50</v>
      </c>
      <c r="O104" s="0" t="n">
        <f aca="false">G104*E104/1000</f>
        <v>6</v>
      </c>
    </row>
    <row r="105" customFormat="false" ht="15" hidden="false" customHeight="false" outlineLevel="0" collapsed="false">
      <c r="A105" s="0" t="s">
        <v>96</v>
      </c>
      <c r="B105" s="0" t="s">
        <v>244</v>
      </c>
      <c r="C105" s="0" t="n">
        <v>215</v>
      </c>
      <c r="D105" s="0" t="n">
        <v>0</v>
      </c>
      <c r="E105" s="0" t="n">
        <v>6</v>
      </c>
      <c r="F105" s="0" t="n">
        <v>215</v>
      </c>
      <c r="G105" s="0" t="n">
        <v>1000</v>
      </c>
      <c r="H105" s="0" t="s">
        <v>145</v>
      </c>
      <c r="I105" s="0" t="n">
        <v>1</v>
      </c>
      <c r="J105" s="0" t="n">
        <f aca="false">F105*E105</f>
        <v>1290</v>
      </c>
      <c r="K105" s="0" t="str">
        <f aca="false">IF(G105&lt;1000,"1-Low",IF(G105&lt;5000,"2-Medium","3-Bulk"))</f>
        <v>2-Medium</v>
      </c>
      <c r="L105" s="0" t="str">
        <f aca="false">IF(H105="TRUE","Out of stock","In stock")</f>
        <v>In stock</v>
      </c>
      <c r="M105" s="0" t="str">
        <f aca="false">IF(D105&lt;5,"1) Under 5%",IF(D105&lt;10,"2) 5-9%",IF(D105&lt;15,"3) 10-14%",IF(D105&lt;25,"4) 15-24%","5) 25%+"))))</f>
        <v>1) Under 5%</v>
      </c>
      <c r="N105" s="0" t="str">
        <f aca="false">IF(F105&lt;50,"1) Under Rs 50",IF(F105&lt;100,"2) Rs 50-99",IF(F105&lt;200,"3) Rs 100-199",IF(F105&lt;500,"4) Rs 200-499","5) Rs 500+"))))</f>
        <v>4) Rs 200-499</v>
      </c>
      <c r="O105" s="0" t="n">
        <f aca="false">G105*E105/1000</f>
        <v>6</v>
      </c>
    </row>
    <row r="106" customFormat="false" ht="15" hidden="false" customHeight="false" outlineLevel="0" collapsed="false">
      <c r="A106" s="0" t="s">
        <v>96</v>
      </c>
      <c r="B106" s="0" t="s">
        <v>116</v>
      </c>
      <c r="C106" s="0" t="n">
        <v>925</v>
      </c>
      <c r="D106" s="0" t="n">
        <v>0</v>
      </c>
      <c r="E106" s="0" t="n">
        <v>6</v>
      </c>
      <c r="F106" s="0" t="n">
        <v>925</v>
      </c>
      <c r="G106" s="0" t="n">
        <v>5000</v>
      </c>
      <c r="H106" s="0" t="s">
        <v>145</v>
      </c>
      <c r="I106" s="0" t="n">
        <v>5</v>
      </c>
      <c r="J106" s="0" t="n">
        <f aca="false">F106*E106</f>
        <v>5550</v>
      </c>
      <c r="K106" s="0" t="str">
        <f aca="false">IF(G106&lt;1000,"1-Low",IF(G106&lt;5000,"2-Medium","3-Bulk"))</f>
        <v>3-Bulk</v>
      </c>
      <c r="L106" s="0" t="str">
        <f aca="false">IF(H106="TRUE","Out of stock","In stock")</f>
        <v>In stock</v>
      </c>
      <c r="M106" s="0" t="str">
        <f aca="false">IF(D106&lt;5,"1) Under 5%",IF(D106&lt;10,"2) 5-9%",IF(D106&lt;15,"3) 10-14%",IF(D106&lt;25,"4) 15-24%","5) 25%+"))))</f>
        <v>1) Under 5%</v>
      </c>
      <c r="N106" s="0" t="str">
        <f aca="false">IF(F106&lt;50,"1) Under Rs 50",IF(F106&lt;100,"2) Rs 50-99",IF(F106&lt;200,"3) Rs 100-199",IF(F106&lt;500,"4) Rs 200-499","5) Rs 500+"))))</f>
        <v>5) Rs 500+</v>
      </c>
      <c r="O106" s="0" t="n">
        <f aca="false">G106*E106/1000</f>
        <v>30</v>
      </c>
    </row>
    <row r="107" customFormat="false" ht="15" hidden="false" customHeight="false" outlineLevel="0" collapsed="false">
      <c r="A107" s="0" t="s">
        <v>96</v>
      </c>
      <c r="B107" s="0" t="s">
        <v>245</v>
      </c>
      <c r="C107" s="0" t="n">
        <v>225</v>
      </c>
      <c r="D107" s="0" t="n">
        <v>11</v>
      </c>
      <c r="E107" s="0" t="n">
        <v>6</v>
      </c>
      <c r="F107" s="0" t="n">
        <v>199</v>
      </c>
      <c r="G107" s="0" t="n">
        <v>1000</v>
      </c>
      <c r="H107" s="0" t="s">
        <v>145</v>
      </c>
      <c r="I107" s="0" t="n">
        <v>1</v>
      </c>
      <c r="J107" s="0" t="n">
        <f aca="false">F107*E107</f>
        <v>1194</v>
      </c>
      <c r="K107" s="0" t="str">
        <f aca="false">IF(G107&lt;1000,"1-Low",IF(G107&lt;5000,"2-Medium","3-Bulk"))</f>
        <v>2-Medium</v>
      </c>
      <c r="L107" s="0" t="str">
        <f aca="false">IF(H107="TRUE","Out of stock","In stock")</f>
        <v>In stock</v>
      </c>
      <c r="M107" s="0" t="str">
        <f aca="false">IF(D107&lt;5,"1) Under 5%",IF(D107&lt;10,"2) 5-9%",IF(D107&lt;15,"3) 10-14%",IF(D107&lt;25,"4) 15-24%","5) 25%+"))))</f>
        <v>3) 10-14%</v>
      </c>
      <c r="N107" s="0" t="str">
        <f aca="false">IF(F107&lt;50,"1) Under Rs 50",IF(F107&lt;100,"2) Rs 50-99",IF(F107&lt;200,"3) Rs 100-199",IF(F107&lt;500,"4) Rs 200-499","5) Rs 500+"))))</f>
        <v>3) Rs 100-199</v>
      </c>
      <c r="O107" s="0" t="n">
        <f aca="false">G107*E107/1000</f>
        <v>6</v>
      </c>
    </row>
    <row r="108" customFormat="false" ht="15" hidden="false" customHeight="false" outlineLevel="0" collapsed="false">
      <c r="A108" s="0" t="s">
        <v>96</v>
      </c>
      <c r="B108" s="0" t="s">
        <v>246</v>
      </c>
      <c r="C108" s="0" t="n">
        <v>210</v>
      </c>
      <c r="D108" s="0" t="n">
        <v>0</v>
      </c>
      <c r="E108" s="0" t="n">
        <v>6</v>
      </c>
      <c r="F108" s="0" t="n">
        <v>210</v>
      </c>
      <c r="G108" s="0" t="n">
        <v>1000</v>
      </c>
      <c r="H108" s="0" t="s">
        <v>145</v>
      </c>
      <c r="I108" s="0" t="n">
        <v>1</v>
      </c>
      <c r="J108" s="0" t="n">
        <f aca="false">F108*E108</f>
        <v>1260</v>
      </c>
      <c r="K108" s="0" t="str">
        <f aca="false">IF(G108&lt;1000,"1-Low",IF(G108&lt;5000,"2-Medium","3-Bulk"))</f>
        <v>2-Medium</v>
      </c>
      <c r="L108" s="0" t="str">
        <f aca="false">IF(H108="TRUE","Out of stock","In stock")</f>
        <v>In stock</v>
      </c>
      <c r="M108" s="0" t="str">
        <f aca="false">IF(D108&lt;5,"1) Under 5%",IF(D108&lt;10,"2) 5-9%",IF(D108&lt;15,"3) 10-14%",IF(D108&lt;25,"4) 15-24%","5) 25%+"))))</f>
        <v>1) Under 5%</v>
      </c>
      <c r="N108" s="0" t="str">
        <f aca="false">IF(F108&lt;50,"1) Under Rs 50",IF(F108&lt;100,"2) Rs 50-99",IF(F108&lt;200,"3) Rs 100-199",IF(F108&lt;500,"4) Rs 200-499","5) Rs 500+"))))</f>
        <v>4) Rs 200-499</v>
      </c>
      <c r="O108" s="0" t="n">
        <f aca="false">G108*E108/1000</f>
        <v>6</v>
      </c>
    </row>
    <row r="109" customFormat="false" ht="15" hidden="false" customHeight="false" outlineLevel="0" collapsed="false">
      <c r="A109" s="0" t="s">
        <v>96</v>
      </c>
      <c r="B109" s="0" t="s">
        <v>241</v>
      </c>
      <c r="C109" s="0" t="n">
        <v>505</v>
      </c>
      <c r="D109" s="0" t="n">
        <v>1</v>
      </c>
      <c r="E109" s="0" t="n">
        <v>2</v>
      </c>
      <c r="F109" s="0" t="n">
        <v>499</v>
      </c>
      <c r="G109" s="0" t="n">
        <v>1000</v>
      </c>
      <c r="H109" s="0" t="s">
        <v>145</v>
      </c>
      <c r="I109" s="0" t="n">
        <v>1</v>
      </c>
      <c r="J109" s="0" t="n">
        <f aca="false">F109*E109</f>
        <v>998</v>
      </c>
      <c r="K109" s="0" t="str">
        <f aca="false">IF(G109&lt;1000,"1-Low",IF(G109&lt;5000,"2-Medium","3-Bulk"))</f>
        <v>2-Medium</v>
      </c>
      <c r="L109" s="0" t="str">
        <f aca="false">IF(H109="TRUE","Out of stock","In stock")</f>
        <v>In stock</v>
      </c>
      <c r="M109" s="0" t="str">
        <f aca="false">IF(D109&lt;5,"1) Under 5%",IF(D109&lt;10,"2) 5-9%",IF(D109&lt;15,"3) 10-14%",IF(D109&lt;25,"4) 15-24%","5) 25%+"))))</f>
        <v>1) Under 5%</v>
      </c>
      <c r="N109" s="0" t="str">
        <f aca="false">IF(F109&lt;50,"1) Under Rs 50",IF(F109&lt;100,"2) Rs 50-99",IF(F109&lt;200,"3) Rs 100-199",IF(F109&lt;500,"4) Rs 200-499","5) Rs 500+"))))</f>
        <v>4) Rs 200-499</v>
      </c>
      <c r="O109" s="0" t="n">
        <f aca="false">G109*E109/1000</f>
        <v>2</v>
      </c>
    </row>
    <row r="110" customFormat="false" ht="15" hidden="false" customHeight="false" outlineLevel="0" collapsed="false">
      <c r="A110" s="0" t="s">
        <v>96</v>
      </c>
      <c r="B110" s="0" t="s">
        <v>247</v>
      </c>
      <c r="C110" s="0" t="n">
        <v>460</v>
      </c>
      <c r="D110" s="0" t="n">
        <v>13</v>
      </c>
      <c r="E110" s="0" t="n">
        <v>6</v>
      </c>
      <c r="F110" s="0" t="n">
        <v>399</v>
      </c>
      <c r="G110" s="0" t="n">
        <v>10000</v>
      </c>
      <c r="H110" s="0" t="s">
        <v>145</v>
      </c>
      <c r="I110" s="0" t="n">
        <v>10</v>
      </c>
      <c r="J110" s="0" t="n">
        <f aca="false">F110*E110</f>
        <v>2394</v>
      </c>
      <c r="K110" s="0" t="str">
        <f aca="false">IF(G110&lt;1000,"1-Low",IF(G110&lt;5000,"2-Medium","3-Bulk"))</f>
        <v>3-Bulk</v>
      </c>
      <c r="L110" s="0" t="str">
        <f aca="false">IF(H110="TRUE","Out of stock","In stock")</f>
        <v>In stock</v>
      </c>
      <c r="M110" s="0" t="str">
        <f aca="false">IF(D110&lt;5,"1) Under 5%",IF(D110&lt;10,"2) 5-9%",IF(D110&lt;15,"3) 10-14%",IF(D110&lt;25,"4) 15-24%","5) 25%+"))))</f>
        <v>3) 10-14%</v>
      </c>
      <c r="N110" s="0" t="str">
        <f aca="false">IF(F110&lt;50,"1) Under Rs 50",IF(F110&lt;100,"2) Rs 50-99",IF(F110&lt;200,"3) Rs 100-199",IF(F110&lt;500,"4) Rs 200-499","5) Rs 500+"))))</f>
        <v>4) Rs 200-499</v>
      </c>
      <c r="O110" s="0" t="n">
        <f aca="false">G110*E110/1000</f>
        <v>60</v>
      </c>
    </row>
    <row r="111" customFormat="false" ht="15" hidden="false" customHeight="false" outlineLevel="0" collapsed="false">
      <c r="A111" s="0" t="s">
        <v>96</v>
      </c>
      <c r="B111" s="0" t="s">
        <v>248</v>
      </c>
      <c r="C111" s="0" t="n">
        <v>160</v>
      </c>
      <c r="D111" s="0" t="n">
        <v>6</v>
      </c>
      <c r="E111" s="0" t="n">
        <v>4</v>
      </c>
      <c r="F111" s="0" t="n">
        <v>149</v>
      </c>
      <c r="G111" s="0" t="n">
        <v>1000</v>
      </c>
      <c r="H111" s="0" t="s">
        <v>145</v>
      </c>
      <c r="I111" s="0" t="n">
        <v>1</v>
      </c>
      <c r="J111" s="0" t="n">
        <f aca="false">F111*E111</f>
        <v>596</v>
      </c>
      <c r="K111" s="0" t="str">
        <f aca="false">IF(G111&lt;1000,"1-Low",IF(G111&lt;5000,"2-Medium","3-Bulk"))</f>
        <v>2-Medium</v>
      </c>
      <c r="L111" s="0" t="str">
        <f aca="false">IF(H111="TRUE","Out of stock","In stock")</f>
        <v>In stock</v>
      </c>
      <c r="M111" s="0" t="str">
        <f aca="false">IF(D111&lt;5,"1) Under 5%",IF(D111&lt;10,"2) 5-9%",IF(D111&lt;15,"3) 10-14%",IF(D111&lt;25,"4) 15-24%","5) 25%+"))))</f>
        <v>2) 5-9%</v>
      </c>
      <c r="N111" s="0" t="str">
        <f aca="false">IF(F111&lt;50,"1) Under Rs 50",IF(F111&lt;100,"2) Rs 50-99",IF(F111&lt;200,"3) Rs 100-199",IF(F111&lt;500,"4) Rs 200-499","5) Rs 500+"))))</f>
        <v>3) Rs 100-199</v>
      </c>
      <c r="O111" s="0" t="n">
        <f aca="false">G111*E111/1000</f>
        <v>4</v>
      </c>
    </row>
    <row r="112" customFormat="false" ht="15" hidden="false" customHeight="false" outlineLevel="0" collapsed="false">
      <c r="A112" s="0" t="s">
        <v>96</v>
      </c>
      <c r="B112" s="0" t="s">
        <v>249</v>
      </c>
      <c r="C112" s="0" t="n">
        <v>520</v>
      </c>
      <c r="D112" s="0" t="n">
        <v>2</v>
      </c>
      <c r="E112" s="0" t="n">
        <v>6</v>
      </c>
      <c r="F112" s="0" t="n">
        <v>509</v>
      </c>
      <c r="G112" s="0" t="n">
        <v>1000</v>
      </c>
      <c r="H112" s="0" t="s">
        <v>145</v>
      </c>
      <c r="I112" s="0" t="n">
        <v>1</v>
      </c>
      <c r="J112" s="0" t="n">
        <f aca="false">F112*E112</f>
        <v>3054</v>
      </c>
      <c r="K112" s="0" t="str">
        <f aca="false">IF(G112&lt;1000,"1-Low",IF(G112&lt;5000,"2-Medium","3-Bulk"))</f>
        <v>2-Medium</v>
      </c>
      <c r="L112" s="0" t="str">
        <f aca="false">IF(H112="TRUE","Out of stock","In stock")</f>
        <v>In stock</v>
      </c>
      <c r="M112" s="0" t="str">
        <f aca="false">IF(D112&lt;5,"1) Under 5%",IF(D112&lt;10,"2) 5-9%",IF(D112&lt;15,"3) 10-14%",IF(D112&lt;25,"4) 15-24%","5) 25%+"))))</f>
        <v>1) Under 5%</v>
      </c>
      <c r="N112" s="0" t="str">
        <f aca="false">IF(F112&lt;50,"1) Under Rs 50",IF(F112&lt;100,"2) Rs 50-99",IF(F112&lt;200,"3) Rs 100-199",IF(F112&lt;500,"4) Rs 200-499","5) Rs 500+"))))</f>
        <v>5) Rs 500+</v>
      </c>
      <c r="O112" s="0" t="n">
        <f aca="false">G112*E112/1000</f>
        <v>6</v>
      </c>
    </row>
    <row r="113" customFormat="false" ht="15" hidden="false" customHeight="false" outlineLevel="0" collapsed="false">
      <c r="A113" s="0" t="s">
        <v>96</v>
      </c>
      <c r="B113" s="0" t="s">
        <v>250</v>
      </c>
      <c r="C113" s="0" t="n">
        <v>197</v>
      </c>
      <c r="D113" s="0" t="n">
        <v>3</v>
      </c>
      <c r="E113" s="0" t="n">
        <v>3</v>
      </c>
      <c r="F113" s="0" t="n">
        <v>191</v>
      </c>
      <c r="G113" s="0" t="n">
        <v>1000</v>
      </c>
      <c r="H113" s="0" t="s">
        <v>145</v>
      </c>
      <c r="I113" s="0" t="n">
        <v>1</v>
      </c>
      <c r="J113" s="0" t="n">
        <f aca="false">F113*E113</f>
        <v>573</v>
      </c>
      <c r="K113" s="0" t="str">
        <f aca="false">IF(G113&lt;1000,"1-Low",IF(G113&lt;5000,"2-Medium","3-Bulk"))</f>
        <v>2-Medium</v>
      </c>
      <c r="L113" s="0" t="str">
        <f aca="false">IF(H113="TRUE","Out of stock","In stock")</f>
        <v>In stock</v>
      </c>
      <c r="M113" s="0" t="str">
        <f aca="false">IF(D113&lt;5,"1) Under 5%",IF(D113&lt;10,"2) 5-9%",IF(D113&lt;15,"3) 10-14%",IF(D113&lt;25,"4) 15-24%","5) 25%+"))))</f>
        <v>1) Under 5%</v>
      </c>
      <c r="N113" s="0" t="str">
        <f aca="false">IF(F113&lt;50,"1) Under Rs 50",IF(F113&lt;100,"2) Rs 50-99",IF(F113&lt;200,"3) Rs 100-199",IF(F113&lt;500,"4) Rs 200-499","5) Rs 500+"))))</f>
        <v>3) Rs 100-199</v>
      </c>
      <c r="O113" s="0" t="n">
        <f aca="false">G113*E113/1000</f>
        <v>3</v>
      </c>
    </row>
    <row r="114" customFormat="false" ht="15" hidden="false" customHeight="false" outlineLevel="0" collapsed="false">
      <c r="A114" s="0" t="s">
        <v>96</v>
      </c>
      <c r="B114" s="0" t="s">
        <v>251</v>
      </c>
      <c r="C114" s="0" t="n">
        <v>50</v>
      </c>
      <c r="D114" s="0" t="n">
        <v>2</v>
      </c>
      <c r="E114" s="0" t="n">
        <v>6</v>
      </c>
      <c r="F114" s="0" t="n">
        <v>49</v>
      </c>
      <c r="G114" s="0" t="n">
        <v>450</v>
      </c>
      <c r="H114" s="0" t="s">
        <v>145</v>
      </c>
      <c r="I114" s="0" t="n">
        <v>450</v>
      </c>
      <c r="J114" s="0" t="n">
        <f aca="false">F114*E114</f>
        <v>294</v>
      </c>
      <c r="K114" s="0" t="str">
        <f aca="false">IF(G114&lt;1000,"1-Low",IF(G114&lt;5000,"2-Medium","3-Bulk"))</f>
        <v>1-Low</v>
      </c>
      <c r="L114" s="0" t="str">
        <f aca="false">IF(H114="TRUE","Out of stock","In stock")</f>
        <v>In stock</v>
      </c>
      <c r="M114" s="0" t="str">
        <f aca="false">IF(D114&lt;5,"1) Under 5%",IF(D114&lt;10,"2) 5-9%",IF(D114&lt;15,"3) 10-14%",IF(D114&lt;25,"4) 15-24%","5) 25%+"))))</f>
        <v>1) Under 5%</v>
      </c>
      <c r="N114" s="0" t="str">
        <f aca="false">IF(F114&lt;50,"1) Under Rs 50",IF(F114&lt;100,"2) Rs 50-99",IF(F114&lt;200,"3) Rs 100-199",IF(F114&lt;500,"4) Rs 200-499","5) Rs 500+"))))</f>
        <v>1) Under Rs 50</v>
      </c>
      <c r="O114" s="0" t="n">
        <f aca="false">G114*E114/1000</f>
        <v>2.7</v>
      </c>
    </row>
    <row r="115" customFormat="false" ht="15" hidden="false" customHeight="false" outlineLevel="0" collapsed="false">
      <c r="A115" s="0" t="s">
        <v>96</v>
      </c>
      <c r="B115" s="0" t="s">
        <v>252</v>
      </c>
      <c r="C115" s="0" t="n">
        <v>64</v>
      </c>
      <c r="D115" s="0" t="n">
        <v>3</v>
      </c>
      <c r="E115" s="0" t="n">
        <v>2</v>
      </c>
      <c r="F115" s="0" t="n">
        <v>62</v>
      </c>
      <c r="G115" s="0" t="n">
        <v>1000</v>
      </c>
      <c r="H115" s="0" t="s">
        <v>145</v>
      </c>
      <c r="I115" s="0" t="n">
        <v>1</v>
      </c>
      <c r="J115" s="0" t="n">
        <f aca="false">F115*E115</f>
        <v>124</v>
      </c>
      <c r="K115" s="0" t="str">
        <f aca="false">IF(G115&lt;1000,"1-Low",IF(G115&lt;5000,"2-Medium","3-Bulk"))</f>
        <v>2-Medium</v>
      </c>
      <c r="L115" s="0" t="str">
        <f aca="false">IF(H115="TRUE","Out of stock","In stock")</f>
        <v>In stock</v>
      </c>
      <c r="M115" s="0" t="str">
        <f aca="false">IF(D115&lt;5,"1) Under 5%",IF(D115&lt;10,"2) 5-9%",IF(D115&lt;15,"3) 10-14%",IF(D115&lt;25,"4) 15-24%","5) 25%+"))))</f>
        <v>1) Under 5%</v>
      </c>
      <c r="N115" s="0" t="str">
        <f aca="false">IF(F115&lt;50,"1) Under Rs 50",IF(F115&lt;100,"2) Rs 50-99",IF(F115&lt;200,"3) Rs 100-199",IF(F115&lt;500,"4) Rs 200-499","5) Rs 500+"))))</f>
        <v>2) Rs 50-99</v>
      </c>
      <c r="O115" s="0" t="n">
        <f aca="false">G115*E115/1000</f>
        <v>2</v>
      </c>
    </row>
    <row r="116" customFormat="false" ht="15" hidden="false" customHeight="false" outlineLevel="0" collapsed="false">
      <c r="A116" s="0" t="s">
        <v>96</v>
      </c>
      <c r="B116" s="0" t="s">
        <v>110</v>
      </c>
      <c r="C116" s="0" t="n">
        <v>1005</v>
      </c>
      <c r="D116" s="0" t="n">
        <v>0</v>
      </c>
      <c r="E116" s="0" t="n">
        <v>6</v>
      </c>
      <c r="F116" s="0" t="n">
        <v>999</v>
      </c>
      <c r="G116" s="0" t="n">
        <v>5000</v>
      </c>
      <c r="H116" s="0" t="s">
        <v>145</v>
      </c>
      <c r="I116" s="0" t="n">
        <v>5</v>
      </c>
      <c r="J116" s="0" t="n">
        <f aca="false">F116*E116</f>
        <v>5994</v>
      </c>
      <c r="K116" s="0" t="str">
        <f aca="false">IF(G116&lt;1000,"1-Low",IF(G116&lt;5000,"2-Medium","3-Bulk"))</f>
        <v>3-Bulk</v>
      </c>
      <c r="L116" s="0" t="str">
        <f aca="false">IF(H116="TRUE","Out of stock","In stock")</f>
        <v>In stock</v>
      </c>
      <c r="M116" s="0" t="str">
        <f aca="false">IF(D116&lt;5,"1) Under 5%",IF(D116&lt;10,"2) 5-9%",IF(D116&lt;15,"3) 10-14%",IF(D116&lt;25,"4) 15-24%","5) 25%+"))))</f>
        <v>1) Under 5%</v>
      </c>
      <c r="N116" s="0" t="str">
        <f aca="false">IF(F116&lt;50,"1) Under Rs 50",IF(F116&lt;100,"2) Rs 50-99",IF(F116&lt;200,"3) Rs 100-199",IF(F116&lt;500,"4) Rs 200-499","5) Rs 500+"))))</f>
        <v>5) Rs 500+</v>
      </c>
      <c r="O116" s="0" t="n">
        <f aca="false">G116*E116/1000</f>
        <v>30</v>
      </c>
    </row>
    <row r="117" customFormat="false" ht="15" hidden="false" customHeight="false" outlineLevel="0" collapsed="false">
      <c r="A117" s="0" t="s">
        <v>96</v>
      </c>
      <c r="B117" s="0" t="s">
        <v>253</v>
      </c>
      <c r="C117" s="0" t="n">
        <v>25</v>
      </c>
      <c r="D117" s="0" t="n">
        <v>0</v>
      </c>
      <c r="E117" s="0" t="n">
        <v>6</v>
      </c>
      <c r="F117" s="0" t="n">
        <v>25</v>
      </c>
      <c r="G117" s="0" t="n">
        <v>50</v>
      </c>
      <c r="H117" s="0" t="s">
        <v>145</v>
      </c>
      <c r="I117" s="0" t="n">
        <v>50</v>
      </c>
      <c r="J117" s="0" t="n">
        <f aca="false">F117*E117</f>
        <v>150</v>
      </c>
      <c r="K117" s="0" t="str">
        <f aca="false">IF(G117&lt;1000,"1-Low",IF(G117&lt;5000,"2-Medium","3-Bulk"))</f>
        <v>1-Low</v>
      </c>
      <c r="L117" s="0" t="str">
        <f aca="false">IF(H117="TRUE","Out of stock","In stock")</f>
        <v>In stock</v>
      </c>
      <c r="M117" s="0" t="str">
        <f aca="false">IF(D117&lt;5,"1) Under 5%",IF(D117&lt;10,"2) 5-9%",IF(D117&lt;15,"3) 10-14%",IF(D117&lt;25,"4) 15-24%","5) 25%+"))))</f>
        <v>1) Under 5%</v>
      </c>
      <c r="N117" s="0" t="str">
        <f aca="false">IF(F117&lt;50,"1) Under Rs 50",IF(F117&lt;100,"2) Rs 50-99",IF(F117&lt;200,"3) Rs 100-199",IF(F117&lt;500,"4) Rs 200-499","5) Rs 500+"))))</f>
        <v>1) Under Rs 50</v>
      </c>
      <c r="O117" s="0" t="n">
        <f aca="false">G117*E117/1000</f>
        <v>0.3</v>
      </c>
    </row>
    <row r="118" customFormat="false" ht="15" hidden="false" customHeight="false" outlineLevel="0" collapsed="false">
      <c r="A118" s="0" t="s">
        <v>96</v>
      </c>
      <c r="B118" s="0" t="s">
        <v>254</v>
      </c>
      <c r="C118" s="0" t="n">
        <v>185</v>
      </c>
      <c r="D118" s="0" t="n">
        <v>1</v>
      </c>
      <c r="E118" s="0" t="n">
        <v>4</v>
      </c>
      <c r="F118" s="0" t="n">
        <v>183</v>
      </c>
      <c r="G118" s="0" t="n">
        <v>1000</v>
      </c>
      <c r="H118" s="0" t="s">
        <v>145</v>
      </c>
      <c r="I118" s="0" t="n">
        <v>500</v>
      </c>
      <c r="J118" s="0" t="n">
        <f aca="false">F118*E118</f>
        <v>732</v>
      </c>
      <c r="K118" s="0" t="str">
        <f aca="false">IF(G118&lt;1000,"1-Low",IF(G118&lt;5000,"2-Medium","3-Bulk"))</f>
        <v>2-Medium</v>
      </c>
      <c r="L118" s="0" t="str">
        <f aca="false">IF(H118="TRUE","Out of stock","In stock")</f>
        <v>In stock</v>
      </c>
      <c r="M118" s="0" t="str">
        <f aca="false">IF(D118&lt;5,"1) Under 5%",IF(D118&lt;10,"2) 5-9%",IF(D118&lt;15,"3) 10-14%",IF(D118&lt;25,"4) 15-24%","5) 25%+"))))</f>
        <v>1) Under 5%</v>
      </c>
      <c r="N118" s="0" t="str">
        <f aca="false">IF(F118&lt;50,"1) Under Rs 50",IF(F118&lt;100,"2) Rs 50-99",IF(F118&lt;200,"3) Rs 100-199",IF(F118&lt;500,"4) Rs 200-499","5) Rs 500+"))))</f>
        <v>3) Rs 100-199</v>
      </c>
      <c r="O118" s="0" t="n">
        <f aca="false">G118*E118/1000</f>
        <v>4</v>
      </c>
    </row>
    <row r="119" customFormat="false" ht="15" hidden="false" customHeight="false" outlineLevel="0" collapsed="false">
      <c r="A119" s="0" t="s">
        <v>96</v>
      </c>
      <c r="B119" s="0" t="s">
        <v>255</v>
      </c>
      <c r="C119" s="0" t="n">
        <v>230</v>
      </c>
      <c r="D119" s="0" t="n">
        <v>11</v>
      </c>
      <c r="E119" s="0" t="n">
        <v>6</v>
      </c>
      <c r="F119" s="0" t="n">
        <v>203</v>
      </c>
      <c r="G119" s="0" t="n">
        <v>1000</v>
      </c>
      <c r="H119" s="0" t="s">
        <v>145</v>
      </c>
      <c r="I119" s="0" t="n">
        <v>1</v>
      </c>
      <c r="J119" s="0" t="n">
        <f aca="false">F119*E119</f>
        <v>1218</v>
      </c>
      <c r="K119" s="0" t="str">
        <f aca="false">IF(G119&lt;1000,"1-Low",IF(G119&lt;5000,"2-Medium","3-Bulk"))</f>
        <v>2-Medium</v>
      </c>
      <c r="L119" s="0" t="str">
        <f aca="false">IF(H119="TRUE","Out of stock","In stock")</f>
        <v>In stock</v>
      </c>
      <c r="M119" s="0" t="str">
        <f aca="false">IF(D119&lt;5,"1) Under 5%",IF(D119&lt;10,"2) 5-9%",IF(D119&lt;15,"3) 10-14%",IF(D119&lt;25,"4) 15-24%","5) 25%+"))))</f>
        <v>3) 10-14%</v>
      </c>
      <c r="N119" s="0" t="str">
        <f aca="false">IF(F119&lt;50,"1) Under Rs 50",IF(F119&lt;100,"2) Rs 50-99",IF(F119&lt;200,"3) Rs 100-199",IF(F119&lt;500,"4) Rs 200-499","5) Rs 500+"))))</f>
        <v>4) Rs 200-499</v>
      </c>
      <c r="O119" s="0" t="n">
        <f aca="false">G119*E119/1000</f>
        <v>6</v>
      </c>
    </row>
    <row r="120" customFormat="false" ht="15" hidden="false" customHeight="false" outlineLevel="0" collapsed="false">
      <c r="A120" s="0" t="s">
        <v>96</v>
      </c>
      <c r="B120" s="0" t="s">
        <v>112</v>
      </c>
      <c r="C120" s="0" t="n">
        <v>1200</v>
      </c>
      <c r="D120" s="0" t="n">
        <v>18</v>
      </c>
      <c r="E120" s="0" t="n">
        <v>6</v>
      </c>
      <c r="F120" s="0" t="n">
        <v>984</v>
      </c>
      <c r="G120" s="0" t="n">
        <v>5000</v>
      </c>
      <c r="H120" s="0" t="s">
        <v>145</v>
      </c>
      <c r="I120" s="0" t="n">
        <v>5</v>
      </c>
      <c r="J120" s="0" t="n">
        <f aca="false">F120*E120</f>
        <v>5904</v>
      </c>
      <c r="K120" s="0" t="str">
        <f aca="false">IF(G120&lt;1000,"1-Low",IF(G120&lt;5000,"2-Medium","3-Bulk"))</f>
        <v>3-Bulk</v>
      </c>
      <c r="L120" s="0" t="str">
        <f aca="false">IF(H120="TRUE","Out of stock","In stock")</f>
        <v>In stock</v>
      </c>
      <c r="M120" s="0" t="str">
        <f aca="false">IF(D120&lt;5,"1) Under 5%",IF(D120&lt;10,"2) 5-9%",IF(D120&lt;15,"3) 10-14%",IF(D120&lt;25,"4) 15-24%","5) 25%+"))))</f>
        <v>4) 15-24%</v>
      </c>
      <c r="N120" s="0" t="str">
        <f aca="false">IF(F120&lt;50,"1) Under Rs 50",IF(F120&lt;100,"2) Rs 50-99",IF(F120&lt;200,"3) Rs 100-199",IF(F120&lt;500,"4) Rs 200-499","5) Rs 500+"))))</f>
        <v>5) Rs 500+</v>
      </c>
      <c r="O120" s="0" t="n">
        <f aca="false">G120*E120/1000</f>
        <v>30</v>
      </c>
    </row>
    <row r="121" customFormat="false" ht="15" hidden="false" customHeight="false" outlineLevel="0" collapsed="false">
      <c r="A121" s="0" t="s">
        <v>96</v>
      </c>
      <c r="B121" s="0" t="s">
        <v>256</v>
      </c>
      <c r="C121" s="0" t="n">
        <v>80</v>
      </c>
      <c r="D121" s="0" t="n">
        <v>15</v>
      </c>
      <c r="E121" s="0" t="n">
        <v>6</v>
      </c>
      <c r="F121" s="0" t="n">
        <v>68</v>
      </c>
      <c r="G121" s="0" t="n">
        <v>500</v>
      </c>
      <c r="H121" s="0" t="s">
        <v>145</v>
      </c>
      <c r="I121" s="0" t="n">
        <v>500</v>
      </c>
      <c r="J121" s="0" t="n">
        <f aca="false">F121*E121</f>
        <v>408</v>
      </c>
      <c r="K121" s="0" t="str">
        <f aca="false">IF(G121&lt;1000,"1-Low",IF(G121&lt;5000,"2-Medium","3-Bulk"))</f>
        <v>1-Low</v>
      </c>
      <c r="L121" s="0" t="str">
        <f aca="false">IF(H121="TRUE","Out of stock","In stock")</f>
        <v>In stock</v>
      </c>
      <c r="M121" s="0" t="str">
        <f aca="false">IF(D121&lt;5,"1) Under 5%",IF(D121&lt;10,"2) 5-9%",IF(D121&lt;15,"3) 10-14%",IF(D121&lt;25,"4) 15-24%","5) 25%+"))))</f>
        <v>4) 15-24%</v>
      </c>
      <c r="N121" s="0" t="str">
        <f aca="false">IF(F121&lt;50,"1) Under Rs 50",IF(F121&lt;100,"2) Rs 50-99",IF(F121&lt;200,"3) Rs 100-199",IF(F121&lt;500,"4) Rs 200-499","5) Rs 500+"))))</f>
        <v>2) Rs 50-99</v>
      </c>
      <c r="O121" s="0" t="n">
        <f aca="false">G121*E121/1000</f>
        <v>3</v>
      </c>
    </row>
    <row r="122" customFormat="false" ht="15" hidden="false" customHeight="false" outlineLevel="0" collapsed="false">
      <c r="A122" s="0" t="s">
        <v>96</v>
      </c>
      <c r="B122" s="0" t="s">
        <v>257</v>
      </c>
      <c r="C122" s="0" t="n">
        <v>94</v>
      </c>
      <c r="D122" s="0" t="n">
        <v>0</v>
      </c>
      <c r="E122" s="0" t="n">
        <v>1</v>
      </c>
      <c r="F122" s="0" t="n">
        <v>94</v>
      </c>
      <c r="G122" s="0" t="n">
        <v>500</v>
      </c>
      <c r="H122" s="0" t="s">
        <v>145</v>
      </c>
      <c r="I122" s="0" t="n">
        <v>500</v>
      </c>
      <c r="J122" s="0" t="n">
        <f aca="false">F122*E122</f>
        <v>94</v>
      </c>
      <c r="K122" s="0" t="str">
        <f aca="false">IF(G122&lt;1000,"1-Low",IF(G122&lt;5000,"2-Medium","3-Bulk"))</f>
        <v>1-Low</v>
      </c>
      <c r="L122" s="0" t="str">
        <f aca="false">IF(H122="TRUE","Out of stock","In stock")</f>
        <v>In stock</v>
      </c>
      <c r="M122" s="0" t="str">
        <f aca="false">IF(D122&lt;5,"1) Under 5%",IF(D122&lt;10,"2) 5-9%",IF(D122&lt;15,"3) 10-14%",IF(D122&lt;25,"4) 15-24%","5) 25%+"))))</f>
        <v>1) Under 5%</v>
      </c>
      <c r="N122" s="0" t="str">
        <f aca="false">IF(F122&lt;50,"1) Under Rs 50",IF(F122&lt;100,"2) Rs 50-99",IF(F122&lt;200,"3) Rs 100-199",IF(F122&lt;500,"4) Rs 200-499","5) Rs 500+"))))</f>
        <v>2) Rs 50-99</v>
      </c>
      <c r="O122" s="0" t="n">
        <f aca="false">G122*E122/1000</f>
        <v>0.5</v>
      </c>
    </row>
    <row r="123" customFormat="false" ht="15" hidden="false" customHeight="false" outlineLevel="0" collapsed="false">
      <c r="A123" s="0" t="s">
        <v>96</v>
      </c>
      <c r="B123" s="0" t="s">
        <v>102</v>
      </c>
      <c r="C123" s="0" t="n">
        <v>1250</v>
      </c>
      <c r="D123" s="0" t="n">
        <v>8</v>
      </c>
      <c r="E123" s="0" t="n">
        <v>6</v>
      </c>
      <c r="F123" s="0" t="n">
        <v>1143</v>
      </c>
      <c r="G123" s="0" t="n">
        <v>5000</v>
      </c>
      <c r="H123" s="0" t="s">
        <v>145</v>
      </c>
      <c r="I123" s="0" t="n">
        <v>5</v>
      </c>
      <c r="J123" s="0" t="n">
        <f aca="false">F123*E123</f>
        <v>6858</v>
      </c>
      <c r="K123" s="0" t="str">
        <f aca="false">IF(G123&lt;1000,"1-Low",IF(G123&lt;5000,"2-Medium","3-Bulk"))</f>
        <v>3-Bulk</v>
      </c>
      <c r="L123" s="0" t="str">
        <f aca="false">IF(H123="TRUE","Out of stock","In stock")</f>
        <v>In stock</v>
      </c>
      <c r="M123" s="0" t="str">
        <f aca="false">IF(D123&lt;5,"1) Under 5%",IF(D123&lt;10,"2) 5-9%",IF(D123&lt;15,"3) 10-14%",IF(D123&lt;25,"4) 15-24%","5) 25%+"))))</f>
        <v>2) 5-9%</v>
      </c>
      <c r="N123" s="0" t="str">
        <f aca="false">IF(F123&lt;50,"1) Under Rs 50",IF(F123&lt;100,"2) Rs 50-99",IF(F123&lt;200,"3) Rs 100-199",IF(F123&lt;500,"4) Rs 200-499","5) Rs 500+"))))</f>
        <v>5) Rs 500+</v>
      </c>
      <c r="O123" s="0" t="n">
        <f aca="false">G123*E123/1000</f>
        <v>30</v>
      </c>
    </row>
    <row r="124" customFormat="false" ht="15" hidden="false" customHeight="false" outlineLevel="0" collapsed="false">
      <c r="A124" s="0" t="s">
        <v>96</v>
      </c>
      <c r="B124" s="0" t="s">
        <v>258</v>
      </c>
      <c r="C124" s="0" t="n">
        <v>54</v>
      </c>
      <c r="D124" s="0" t="n">
        <v>5</v>
      </c>
      <c r="E124" s="0" t="n">
        <v>6</v>
      </c>
      <c r="F124" s="0" t="n">
        <v>51</v>
      </c>
      <c r="G124" s="0" t="n">
        <v>200</v>
      </c>
      <c r="H124" s="0" t="s">
        <v>145</v>
      </c>
      <c r="I124" s="0" t="n">
        <v>200</v>
      </c>
      <c r="J124" s="0" t="n">
        <f aca="false">F124*E124</f>
        <v>306</v>
      </c>
      <c r="K124" s="0" t="str">
        <f aca="false">IF(G124&lt;1000,"1-Low",IF(G124&lt;5000,"2-Medium","3-Bulk"))</f>
        <v>1-Low</v>
      </c>
      <c r="L124" s="0" t="str">
        <f aca="false">IF(H124="TRUE","Out of stock","In stock")</f>
        <v>In stock</v>
      </c>
      <c r="M124" s="0" t="str">
        <f aca="false">IF(D124&lt;5,"1) Under 5%",IF(D124&lt;10,"2) 5-9%",IF(D124&lt;15,"3) 10-14%",IF(D124&lt;25,"4) 15-24%","5) 25%+"))))</f>
        <v>2) 5-9%</v>
      </c>
      <c r="N124" s="0" t="str">
        <f aca="false">IF(F124&lt;50,"1) Under Rs 50",IF(F124&lt;100,"2) Rs 50-99",IF(F124&lt;200,"3) Rs 100-199",IF(F124&lt;500,"4) Rs 200-499","5) Rs 500+"))))</f>
        <v>2) Rs 50-99</v>
      </c>
      <c r="O124" s="0" t="n">
        <f aca="false">G124*E124/1000</f>
        <v>1.2</v>
      </c>
    </row>
    <row r="125" customFormat="false" ht="15" hidden="false" customHeight="false" outlineLevel="0" collapsed="false">
      <c r="A125" s="0" t="s">
        <v>96</v>
      </c>
      <c r="B125" s="0" t="s">
        <v>259</v>
      </c>
      <c r="C125" s="0" t="n">
        <v>15</v>
      </c>
      <c r="D125" s="0" t="n">
        <v>0</v>
      </c>
      <c r="E125" s="0" t="n">
        <v>3</v>
      </c>
      <c r="F125" s="0" t="n">
        <v>15</v>
      </c>
      <c r="G125" s="0" t="n">
        <v>60</v>
      </c>
      <c r="H125" s="0" t="s">
        <v>145</v>
      </c>
      <c r="I125" s="0" t="n">
        <v>60</v>
      </c>
      <c r="J125" s="0" t="n">
        <f aca="false">F125*E125</f>
        <v>45</v>
      </c>
      <c r="K125" s="0" t="str">
        <f aca="false">IF(G125&lt;1000,"1-Low",IF(G125&lt;5000,"2-Medium","3-Bulk"))</f>
        <v>1-Low</v>
      </c>
      <c r="L125" s="0" t="str">
        <f aca="false">IF(H125="TRUE","Out of stock","In stock")</f>
        <v>In stock</v>
      </c>
      <c r="M125" s="0" t="str">
        <f aca="false">IF(D125&lt;5,"1) Under 5%",IF(D125&lt;10,"2) 5-9%",IF(D125&lt;15,"3) 10-14%",IF(D125&lt;25,"4) 15-24%","5) 25%+"))))</f>
        <v>1) Under 5%</v>
      </c>
      <c r="N125" s="0" t="str">
        <f aca="false">IF(F125&lt;50,"1) Under Rs 50",IF(F125&lt;100,"2) Rs 50-99",IF(F125&lt;200,"3) Rs 100-199",IF(F125&lt;500,"4) Rs 200-499","5) Rs 500+"))))</f>
        <v>1) Under Rs 50</v>
      </c>
      <c r="O125" s="0" t="n">
        <f aca="false">G125*E125/1000</f>
        <v>0.18</v>
      </c>
    </row>
    <row r="126" customFormat="false" ht="15" hidden="false" customHeight="false" outlineLevel="0" collapsed="false">
      <c r="A126" s="0" t="s">
        <v>96</v>
      </c>
      <c r="B126" s="0" t="s">
        <v>260</v>
      </c>
      <c r="C126" s="0" t="n">
        <v>25</v>
      </c>
      <c r="D126" s="0" t="n">
        <v>8</v>
      </c>
      <c r="E126" s="0" t="n">
        <v>3</v>
      </c>
      <c r="F126" s="0" t="n">
        <v>23</v>
      </c>
      <c r="G126" s="0" t="n">
        <v>100</v>
      </c>
      <c r="H126" s="0" t="s">
        <v>145</v>
      </c>
      <c r="I126" s="0" t="n">
        <v>100</v>
      </c>
      <c r="J126" s="0" t="n">
        <f aca="false">F126*E126</f>
        <v>69</v>
      </c>
      <c r="K126" s="0" t="str">
        <f aca="false">IF(G126&lt;1000,"1-Low",IF(G126&lt;5000,"2-Medium","3-Bulk"))</f>
        <v>1-Low</v>
      </c>
      <c r="L126" s="0" t="str">
        <f aca="false">IF(H126="TRUE","Out of stock","In stock")</f>
        <v>In stock</v>
      </c>
      <c r="M126" s="0" t="str">
        <f aca="false">IF(D126&lt;5,"1) Under 5%",IF(D126&lt;10,"2) 5-9%",IF(D126&lt;15,"3) 10-14%",IF(D126&lt;25,"4) 15-24%","5) 25%+"))))</f>
        <v>2) 5-9%</v>
      </c>
      <c r="N126" s="0" t="str">
        <f aca="false">IF(F126&lt;50,"1) Under Rs 50",IF(F126&lt;100,"2) Rs 50-99",IF(F126&lt;200,"3) Rs 100-199",IF(F126&lt;500,"4) Rs 200-499","5) Rs 500+"))))</f>
        <v>1) Under Rs 50</v>
      </c>
      <c r="O126" s="0" t="n">
        <f aca="false">G126*E126/1000</f>
        <v>0.3</v>
      </c>
    </row>
    <row r="127" customFormat="false" ht="15" hidden="false" customHeight="false" outlineLevel="0" collapsed="false">
      <c r="A127" s="0" t="s">
        <v>96</v>
      </c>
      <c r="B127" s="0" t="s">
        <v>261</v>
      </c>
      <c r="C127" s="0" t="n">
        <v>15</v>
      </c>
      <c r="D127" s="0" t="n">
        <v>0</v>
      </c>
      <c r="E127" s="0" t="n">
        <v>6</v>
      </c>
      <c r="F127" s="0" t="n">
        <v>15</v>
      </c>
      <c r="G127" s="0" t="n">
        <v>60</v>
      </c>
      <c r="H127" s="0" t="s">
        <v>145</v>
      </c>
      <c r="I127" s="0" t="n">
        <v>60</v>
      </c>
      <c r="J127" s="0" t="n">
        <f aca="false">F127*E127</f>
        <v>90</v>
      </c>
      <c r="K127" s="0" t="str">
        <f aca="false">IF(G127&lt;1000,"1-Low",IF(G127&lt;5000,"2-Medium","3-Bulk"))</f>
        <v>1-Low</v>
      </c>
      <c r="L127" s="0" t="str">
        <f aca="false">IF(H127="TRUE","Out of stock","In stock")</f>
        <v>In stock</v>
      </c>
      <c r="M127" s="0" t="str">
        <f aca="false">IF(D127&lt;5,"1) Under 5%",IF(D127&lt;10,"2) 5-9%",IF(D127&lt;15,"3) 10-14%",IF(D127&lt;25,"4) 15-24%","5) 25%+"))))</f>
        <v>1) Under 5%</v>
      </c>
      <c r="N127" s="0" t="str">
        <f aca="false">IF(F127&lt;50,"1) Under Rs 50",IF(F127&lt;100,"2) Rs 50-99",IF(F127&lt;200,"3) Rs 100-199",IF(F127&lt;500,"4) Rs 200-499","5) Rs 500+"))))</f>
        <v>1) Under Rs 50</v>
      </c>
      <c r="O127" s="0" t="n">
        <f aca="false">G127*E127/1000</f>
        <v>0.36</v>
      </c>
    </row>
    <row r="128" customFormat="false" ht="15" hidden="false" customHeight="false" outlineLevel="0" collapsed="false">
      <c r="A128" s="0" t="s">
        <v>96</v>
      </c>
      <c r="B128" s="0" t="s">
        <v>262</v>
      </c>
      <c r="C128" s="0" t="n">
        <v>315</v>
      </c>
      <c r="D128" s="0" t="n">
        <v>1</v>
      </c>
      <c r="E128" s="0" t="n">
        <v>6</v>
      </c>
      <c r="F128" s="0" t="n">
        <v>309</v>
      </c>
      <c r="G128" s="0" t="n">
        <v>500</v>
      </c>
      <c r="H128" s="0" t="s">
        <v>145</v>
      </c>
      <c r="I128" s="0" t="n">
        <v>500</v>
      </c>
      <c r="J128" s="0" t="n">
        <f aca="false">F128*E128</f>
        <v>1854</v>
      </c>
      <c r="K128" s="0" t="str">
        <f aca="false">IF(G128&lt;1000,"1-Low",IF(G128&lt;5000,"2-Medium","3-Bulk"))</f>
        <v>1-Low</v>
      </c>
      <c r="L128" s="0" t="str">
        <f aca="false">IF(H128="TRUE","Out of stock","In stock")</f>
        <v>In stock</v>
      </c>
      <c r="M128" s="0" t="str">
        <f aca="false">IF(D128&lt;5,"1) Under 5%",IF(D128&lt;10,"2) 5-9%",IF(D128&lt;15,"3) 10-14%",IF(D128&lt;25,"4) 15-24%","5) 25%+"))))</f>
        <v>1) Under 5%</v>
      </c>
      <c r="N128" s="0" t="str">
        <f aca="false">IF(F128&lt;50,"1) Under Rs 50",IF(F128&lt;100,"2) Rs 50-99",IF(F128&lt;200,"3) Rs 100-199",IF(F128&lt;500,"4) Rs 200-499","5) Rs 500+"))))</f>
        <v>4) Rs 200-499</v>
      </c>
      <c r="O128" s="0" t="n">
        <f aca="false">G128*E128/1000</f>
        <v>3</v>
      </c>
    </row>
    <row r="129" customFormat="false" ht="15" hidden="false" customHeight="false" outlineLevel="0" collapsed="false">
      <c r="A129" s="0" t="s">
        <v>96</v>
      </c>
      <c r="B129" s="0" t="s">
        <v>263</v>
      </c>
      <c r="C129" s="0" t="n">
        <v>92</v>
      </c>
      <c r="D129" s="0" t="n">
        <v>4</v>
      </c>
      <c r="E129" s="0" t="n">
        <v>4</v>
      </c>
      <c r="F129" s="0" t="n">
        <v>88</v>
      </c>
      <c r="G129" s="0" t="n">
        <v>500</v>
      </c>
      <c r="H129" s="0" t="s">
        <v>145</v>
      </c>
      <c r="I129" s="0" t="n">
        <v>500</v>
      </c>
      <c r="J129" s="0" t="n">
        <f aca="false">F129*E129</f>
        <v>352</v>
      </c>
      <c r="K129" s="0" t="str">
        <f aca="false">IF(G129&lt;1000,"1-Low",IF(G129&lt;5000,"2-Medium","3-Bulk"))</f>
        <v>1-Low</v>
      </c>
      <c r="L129" s="0" t="str">
        <f aca="false">IF(H129="TRUE","Out of stock","In stock")</f>
        <v>In stock</v>
      </c>
      <c r="M129" s="0" t="str">
        <f aca="false">IF(D129&lt;5,"1) Under 5%",IF(D129&lt;10,"2) 5-9%",IF(D129&lt;15,"3) 10-14%",IF(D129&lt;25,"4) 15-24%","5) 25%+"))))</f>
        <v>1) Under 5%</v>
      </c>
      <c r="N129" s="0" t="str">
        <f aca="false">IF(F129&lt;50,"1) Under Rs 50",IF(F129&lt;100,"2) Rs 50-99",IF(F129&lt;200,"3) Rs 100-199",IF(F129&lt;500,"4) Rs 200-499","5) Rs 500+"))))</f>
        <v>2) Rs 50-99</v>
      </c>
      <c r="O129" s="0" t="n">
        <f aca="false">G129*E129/1000</f>
        <v>2</v>
      </c>
    </row>
    <row r="130" customFormat="false" ht="15" hidden="false" customHeight="false" outlineLevel="0" collapsed="false">
      <c r="A130" s="0" t="s">
        <v>96</v>
      </c>
      <c r="B130" s="0" t="s">
        <v>264</v>
      </c>
      <c r="C130" s="0" t="n">
        <v>64</v>
      </c>
      <c r="D130" s="0" t="n">
        <v>0</v>
      </c>
      <c r="E130" s="0" t="n">
        <v>6</v>
      </c>
      <c r="F130" s="0" t="n">
        <v>64</v>
      </c>
      <c r="G130" s="0" t="n">
        <v>1000</v>
      </c>
      <c r="H130" s="0" t="s">
        <v>145</v>
      </c>
      <c r="I130" s="0" t="n">
        <v>1</v>
      </c>
      <c r="J130" s="0" t="n">
        <f aca="false">F130*E130</f>
        <v>384</v>
      </c>
      <c r="K130" s="0" t="str">
        <f aca="false">IF(G130&lt;1000,"1-Low",IF(G130&lt;5000,"2-Medium","3-Bulk"))</f>
        <v>2-Medium</v>
      </c>
      <c r="L130" s="0" t="str">
        <f aca="false">IF(H130="TRUE","Out of stock","In stock")</f>
        <v>In stock</v>
      </c>
      <c r="M130" s="0" t="str">
        <f aca="false">IF(D130&lt;5,"1) Under 5%",IF(D130&lt;10,"2) 5-9%",IF(D130&lt;15,"3) 10-14%",IF(D130&lt;25,"4) 15-24%","5) 25%+"))))</f>
        <v>1) Under 5%</v>
      </c>
      <c r="N130" s="0" t="str">
        <f aca="false">IF(F130&lt;50,"1) Under Rs 50",IF(F130&lt;100,"2) Rs 50-99",IF(F130&lt;200,"3) Rs 100-199",IF(F130&lt;500,"4) Rs 200-499","5) Rs 500+"))))</f>
        <v>2) Rs 50-99</v>
      </c>
      <c r="O130" s="0" t="n">
        <f aca="false">G130*E130/1000</f>
        <v>6</v>
      </c>
    </row>
    <row r="131" customFormat="false" ht="15" hidden="false" customHeight="false" outlineLevel="0" collapsed="false">
      <c r="A131" s="0" t="s">
        <v>96</v>
      </c>
      <c r="B131" s="0" t="s">
        <v>265</v>
      </c>
      <c r="C131" s="0" t="n">
        <v>15</v>
      </c>
      <c r="D131" s="0" t="n">
        <v>0</v>
      </c>
      <c r="E131" s="0" t="n">
        <v>4</v>
      </c>
      <c r="F131" s="0" t="n">
        <v>15</v>
      </c>
      <c r="G131" s="0" t="n">
        <v>100</v>
      </c>
      <c r="H131" s="0" t="s">
        <v>145</v>
      </c>
      <c r="I131" s="0" t="n">
        <v>100</v>
      </c>
      <c r="J131" s="0" t="n">
        <f aca="false">F131*E131</f>
        <v>60</v>
      </c>
      <c r="K131" s="0" t="str">
        <f aca="false">IF(G131&lt;1000,"1-Low",IF(G131&lt;5000,"2-Medium","3-Bulk"))</f>
        <v>1-Low</v>
      </c>
      <c r="L131" s="0" t="str">
        <f aca="false">IF(H131="TRUE","Out of stock","In stock")</f>
        <v>In stock</v>
      </c>
      <c r="M131" s="0" t="str">
        <f aca="false">IF(D131&lt;5,"1) Under 5%",IF(D131&lt;10,"2) 5-9%",IF(D131&lt;15,"3) 10-14%",IF(D131&lt;25,"4) 15-24%","5) 25%+"))))</f>
        <v>1) Under 5%</v>
      </c>
      <c r="N131" s="0" t="str">
        <f aca="false">IF(F131&lt;50,"1) Under Rs 50",IF(F131&lt;100,"2) Rs 50-99",IF(F131&lt;200,"3) Rs 100-199",IF(F131&lt;500,"4) Rs 200-499","5) Rs 500+"))))</f>
        <v>1) Under Rs 50</v>
      </c>
      <c r="O131" s="0" t="n">
        <f aca="false">G131*E131/1000</f>
        <v>0.4</v>
      </c>
    </row>
    <row r="132" customFormat="false" ht="15" hidden="false" customHeight="false" outlineLevel="0" collapsed="false">
      <c r="A132" s="0" t="s">
        <v>96</v>
      </c>
      <c r="B132" s="0" t="s">
        <v>266</v>
      </c>
      <c r="C132" s="0" t="n">
        <v>598</v>
      </c>
      <c r="D132" s="0" t="n">
        <v>3</v>
      </c>
      <c r="E132" s="0" t="n">
        <v>6</v>
      </c>
      <c r="F132" s="0" t="n">
        <v>579</v>
      </c>
      <c r="G132" s="0" t="n">
        <v>1000</v>
      </c>
      <c r="H132" s="0" t="s">
        <v>145</v>
      </c>
      <c r="I132" s="0" t="n">
        <v>1</v>
      </c>
      <c r="J132" s="0" t="n">
        <f aca="false">F132*E132</f>
        <v>3474</v>
      </c>
      <c r="K132" s="0" t="str">
        <f aca="false">IF(G132&lt;1000,"1-Low",IF(G132&lt;5000,"2-Medium","3-Bulk"))</f>
        <v>2-Medium</v>
      </c>
      <c r="L132" s="0" t="str">
        <f aca="false">IF(H132="TRUE","Out of stock","In stock")</f>
        <v>In stock</v>
      </c>
      <c r="M132" s="0" t="str">
        <f aca="false">IF(D132&lt;5,"1) Under 5%",IF(D132&lt;10,"2) 5-9%",IF(D132&lt;15,"3) 10-14%",IF(D132&lt;25,"4) 15-24%","5) 25%+"))))</f>
        <v>1) Under 5%</v>
      </c>
      <c r="N132" s="0" t="str">
        <f aca="false">IF(F132&lt;50,"1) Under Rs 50",IF(F132&lt;100,"2) Rs 50-99",IF(F132&lt;200,"3) Rs 100-199",IF(F132&lt;500,"4) Rs 200-499","5) Rs 500+"))))</f>
        <v>5) Rs 500+</v>
      </c>
      <c r="O132" s="0" t="n">
        <f aca="false">G132*E132/1000</f>
        <v>6</v>
      </c>
    </row>
    <row r="133" customFormat="false" ht="15" hidden="false" customHeight="false" outlineLevel="0" collapsed="false">
      <c r="A133" s="0" t="s">
        <v>96</v>
      </c>
      <c r="B133" s="0" t="s">
        <v>267</v>
      </c>
      <c r="C133" s="0" t="n">
        <v>20</v>
      </c>
      <c r="D133" s="0" t="n">
        <v>0</v>
      </c>
      <c r="E133" s="0" t="n">
        <v>1</v>
      </c>
      <c r="F133" s="0" t="n">
        <v>20</v>
      </c>
      <c r="G133" s="0" t="n">
        <v>70</v>
      </c>
      <c r="H133" s="0" t="s">
        <v>145</v>
      </c>
      <c r="I133" s="0" t="n">
        <v>70</v>
      </c>
      <c r="J133" s="0" t="n">
        <f aca="false">F133*E133</f>
        <v>20</v>
      </c>
      <c r="K133" s="0" t="str">
        <f aca="false">IF(G133&lt;1000,"1-Low",IF(G133&lt;5000,"2-Medium","3-Bulk"))</f>
        <v>1-Low</v>
      </c>
      <c r="L133" s="0" t="str">
        <f aca="false">IF(H133="TRUE","Out of stock","In stock")</f>
        <v>In stock</v>
      </c>
      <c r="M133" s="0" t="str">
        <f aca="false">IF(D133&lt;5,"1) Under 5%",IF(D133&lt;10,"2) 5-9%",IF(D133&lt;15,"3) 10-14%",IF(D133&lt;25,"4) 15-24%","5) 25%+"))))</f>
        <v>1) Under 5%</v>
      </c>
      <c r="N133" s="0" t="str">
        <f aca="false">IF(F133&lt;50,"1) Under Rs 50",IF(F133&lt;100,"2) Rs 50-99",IF(F133&lt;200,"3) Rs 100-199",IF(F133&lt;500,"4) Rs 200-499","5) Rs 500+"))))</f>
        <v>1) Under Rs 50</v>
      </c>
      <c r="O133" s="0" t="n">
        <f aca="false">G133*E133/1000</f>
        <v>0.07</v>
      </c>
    </row>
    <row r="134" customFormat="false" ht="15" hidden="false" customHeight="false" outlineLevel="0" collapsed="false">
      <c r="A134" s="0" t="s">
        <v>96</v>
      </c>
      <c r="B134" s="0" t="s">
        <v>268</v>
      </c>
      <c r="C134" s="0" t="n">
        <v>60</v>
      </c>
      <c r="D134" s="0" t="n">
        <v>0</v>
      </c>
      <c r="E134" s="0" t="n">
        <v>6</v>
      </c>
      <c r="F134" s="0" t="n">
        <v>60</v>
      </c>
      <c r="G134" s="0" t="n">
        <v>1000</v>
      </c>
      <c r="H134" s="0" t="s">
        <v>145</v>
      </c>
      <c r="I134" s="0" t="n">
        <v>1</v>
      </c>
      <c r="J134" s="0" t="n">
        <f aca="false">F134*E134</f>
        <v>360</v>
      </c>
      <c r="K134" s="0" t="str">
        <f aca="false">IF(G134&lt;1000,"1-Low",IF(G134&lt;5000,"2-Medium","3-Bulk"))</f>
        <v>2-Medium</v>
      </c>
      <c r="L134" s="0" t="str">
        <f aca="false">IF(H134="TRUE","Out of stock","In stock")</f>
        <v>In stock</v>
      </c>
      <c r="M134" s="0" t="str">
        <f aca="false">IF(D134&lt;5,"1) Under 5%",IF(D134&lt;10,"2) 5-9%",IF(D134&lt;15,"3) 10-14%",IF(D134&lt;25,"4) 15-24%","5) 25%+"))))</f>
        <v>1) Under 5%</v>
      </c>
      <c r="N134" s="0" t="str">
        <f aca="false">IF(F134&lt;50,"1) Under Rs 50",IF(F134&lt;100,"2) Rs 50-99",IF(F134&lt;200,"3) Rs 100-199",IF(F134&lt;500,"4) Rs 200-499","5) Rs 500+"))))</f>
        <v>2) Rs 50-99</v>
      </c>
      <c r="O134" s="0" t="n">
        <f aca="false">G134*E134/1000</f>
        <v>6</v>
      </c>
    </row>
    <row r="135" customFormat="false" ht="15" hidden="false" customHeight="false" outlineLevel="0" collapsed="false">
      <c r="A135" s="0" t="s">
        <v>96</v>
      </c>
      <c r="B135" s="0" t="s">
        <v>269</v>
      </c>
      <c r="C135" s="0" t="n">
        <v>216</v>
      </c>
      <c r="D135" s="0" t="n">
        <v>7</v>
      </c>
      <c r="E135" s="0" t="n">
        <v>6</v>
      </c>
      <c r="F135" s="0" t="n">
        <v>199</v>
      </c>
      <c r="G135" s="0" t="n">
        <v>1000</v>
      </c>
      <c r="H135" s="0" t="s">
        <v>145</v>
      </c>
      <c r="I135" s="0" t="n">
        <v>1</v>
      </c>
      <c r="J135" s="0" t="n">
        <f aca="false">F135*E135</f>
        <v>1194</v>
      </c>
      <c r="K135" s="0" t="str">
        <f aca="false">IF(G135&lt;1000,"1-Low",IF(G135&lt;5000,"2-Medium","3-Bulk"))</f>
        <v>2-Medium</v>
      </c>
      <c r="L135" s="0" t="str">
        <f aca="false">IF(H135="TRUE","Out of stock","In stock")</f>
        <v>In stock</v>
      </c>
      <c r="M135" s="0" t="str">
        <f aca="false">IF(D135&lt;5,"1) Under 5%",IF(D135&lt;10,"2) 5-9%",IF(D135&lt;15,"3) 10-14%",IF(D135&lt;25,"4) 15-24%","5) 25%+"))))</f>
        <v>2) 5-9%</v>
      </c>
      <c r="N135" s="0" t="str">
        <f aca="false">IF(F135&lt;50,"1) Under Rs 50",IF(F135&lt;100,"2) Rs 50-99",IF(F135&lt;200,"3) Rs 100-199",IF(F135&lt;500,"4) Rs 200-499","5) Rs 500+"))))</f>
        <v>3) Rs 100-199</v>
      </c>
      <c r="O135" s="0" t="n">
        <f aca="false">G135*E135/1000</f>
        <v>6</v>
      </c>
    </row>
    <row r="136" customFormat="false" ht="15" hidden="false" customHeight="false" outlineLevel="0" collapsed="false">
      <c r="A136" s="0" t="s">
        <v>96</v>
      </c>
      <c r="B136" s="0" t="s">
        <v>270</v>
      </c>
      <c r="C136" s="0" t="n">
        <v>15</v>
      </c>
      <c r="D136" s="0" t="n">
        <v>0</v>
      </c>
      <c r="E136" s="0" t="n">
        <v>6</v>
      </c>
      <c r="F136" s="0" t="n">
        <v>15</v>
      </c>
      <c r="G136" s="0" t="n">
        <v>38</v>
      </c>
      <c r="H136" s="0" t="s">
        <v>145</v>
      </c>
      <c r="I136" s="0" t="n">
        <v>38</v>
      </c>
      <c r="J136" s="0" t="n">
        <f aca="false">F136*E136</f>
        <v>90</v>
      </c>
      <c r="K136" s="0" t="str">
        <f aca="false">IF(G136&lt;1000,"1-Low",IF(G136&lt;5000,"2-Medium","3-Bulk"))</f>
        <v>1-Low</v>
      </c>
      <c r="L136" s="0" t="str">
        <f aca="false">IF(H136="TRUE","Out of stock","In stock")</f>
        <v>In stock</v>
      </c>
      <c r="M136" s="0" t="str">
        <f aca="false">IF(D136&lt;5,"1) Under 5%",IF(D136&lt;10,"2) 5-9%",IF(D136&lt;15,"3) 10-14%",IF(D136&lt;25,"4) 15-24%","5) 25%+"))))</f>
        <v>1) Under 5%</v>
      </c>
      <c r="N136" s="0" t="str">
        <f aca="false">IF(F136&lt;50,"1) Under Rs 50",IF(F136&lt;100,"2) Rs 50-99",IF(F136&lt;200,"3) Rs 100-199",IF(F136&lt;500,"4) Rs 200-499","5) Rs 500+"))))</f>
        <v>1) Under Rs 50</v>
      </c>
      <c r="O136" s="0" t="n">
        <f aca="false">G136*E136/1000</f>
        <v>0.228</v>
      </c>
    </row>
    <row r="137" customFormat="false" ht="15" hidden="false" customHeight="false" outlineLevel="0" collapsed="false">
      <c r="A137" s="0" t="s">
        <v>96</v>
      </c>
      <c r="B137" s="0" t="s">
        <v>271</v>
      </c>
      <c r="C137" s="0" t="n">
        <v>23</v>
      </c>
      <c r="D137" s="0" t="n">
        <v>0</v>
      </c>
      <c r="E137" s="0" t="n">
        <v>6</v>
      </c>
      <c r="F137" s="0" t="n">
        <v>23</v>
      </c>
      <c r="G137" s="0" t="n">
        <v>200</v>
      </c>
      <c r="H137" s="0" t="s">
        <v>145</v>
      </c>
      <c r="I137" s="0" t="n">
        <v>200</v>
      </c>
      <c r="J137" s="0" t="n">
        <f aca="false">F137*E137</f>
        <v>138</v>
      </c>
      <c r="K137" s="0" t="str">
        <f aca="false">IF(G137&lt;1000,"1-Low",IF(G137&lt;5000,"2-Medium","3-Bulk"))</f>
        <v>1-Low</v>
      </c>
      <c r="L137" s="0" t="str">
        <f aca="false">IF(H137="TRUE","Out of stock","In stock")</f>
        <v>In stock</v>
      </c>
      <c r="M137" s="0" t="str">
        <f aca="false">IF(D137&lt;5,"1) Under 5%",IF(D137&lt;10,"2) 5-9%",IF(D137&lt;15,"3) 10-14%",IF(D137&lt;25,"4) 15-24%","5) 25%+"))))</f>
        <v>1) Under 5%</v>
      </c>
      <c r="N137" s="0" t="str">
        <f aca="false">IF(F137&lt;50,"1) Under Rs 50",IF(F137&lt;100,"2) Rs 50-99",IF(F137&lt;200,"3) Rs 100-199",IF(F137&lt;500,"4) Rs 200-499","5) Rs 500+"))))</f>
        <v>1) Under Rs 50</v>
      </c>
      <c r="O137" s="0" t="n">
        <f aca="false">G137*E137/1000</f>
        <v>1.2</v>
      </c>
    </row>
    <row r="138" customFormat="false" ht="15" hidden="false" customHeight="false" outlineLevel="0" collapsed="false">
      <c r="A138" s="0" t="s">
        <v>96</v>
      </c>
      <c r="B138" s="0" t="s">
        <v>272</v>
      </c>
      <c r="C138" s="0" t="n">
        <v>79</v>
      </c>
      <c r="D138" s="0" t="n">
        <v>0</v>
      </c>
      <c r="E138" s="0" t="n">
        <v>2</v>
      </c>
      <c r="F138" s="0" t="n">
        <v>79</v>
      </c>
      <c r="G138" s="0" t="n">
        <v>400</v>
      </c>
      <c r="H138" s="0" t="s">
        <v>145</v>
      </c>
      <c r="I138" s="0" t="n">
        <v>400</v>
      </c>
      <c r="J138" s="0" t="n">
        <f aca="false">F138*E138</f>
        <v>158</v>
      </c>
      <c r="K138" s="0" t="str">
        <f aca="false">IF(G138&lt;1000,"1-Low",IF(G138&lt;5000,"2-Medium","3-Bulk"))</f>
        <v>1-Low</v>
      </c>
      <c r="L138" s="0" t="str">
        <f aca="false">IF(H138="TRUE","Out of stock","In stock")</f>
        <v>In stock</v>
      </c>
      <c r="M138" s="0" t="str">
        <f aca="false">IF(D138&lt;5,"1) Under 5%",IF(D138&lt;10,"2) 5-9%",IF(D138&lt;15,"3) 10-14%",IF(D138&lt;25,"4) 15-24%","5) 25%+"))))</f>
        <v>1) Under 5%</v>
      </c>
      <c r="N138" s="0" t="str">
        <f aca="false">IF(F138&lt;50,"1) Under Rs 50",IF(F138&lt;100,"2) Rs 50-99",IF(F138&lt;200,"3) Rs 100-199",IF(F138&lt;500,"4) Rs 200-499","5) Rs 500+"))))</f>
        <v>2) Rs 50-99</v>
      </c>
      <c r="O138" s="0" t="n">
        <f aca="false">G138*E138/1000</f>
        <v>0.8</v>
      </c>
    </row>
    <row r="139" customFormat="false" ht="15" hidden="false" customHeight="false" outlineLevel="0" collapsed="false">
      <c r="A139" s="0" t="s">
        <v>96</v>
      </c>
      <c r="B139" s="0" t="s">
        <v>273</v>
      </c>
      <c r="C139" s="0" t="n">
        <v>315</v>
      </c>
      <c r="D139" s="0" t="n">
        <v>10</v>
      </c>
      <c r="E139" s="0" t="n">
        <v>6</v>
      </c>
      <c r="F139" s="0" t="n">
        <v>283</v>
      </c>
      <c r="G139" s="0" t="n">
        <v>5000</v>
      </c>
      <c r="H139" s="0" t="s">
        <v>145</v>
      </c>
      <c r="I139" s="0" t="n">
        <v>5</v>
      </c>
      <c r="J139" s="0" t="n">
        <f aca="false">F139*E139</f>
        <v>1698</v>
      </c>
      <c r="K139" s="0" t="str">
        <f aca="false">IF(G139&lt;1000,"1-Low",IF(G139&lt;5000,"2-Medium","3-Bulk"))</f>
        <v>3-Bulk</v>
      </c>
      <c r="L139" s="0" t="str">
        <f aca="false">IF(H139="TRUE","Out of stock","In stock")</f>
        <v>In stock</v>
      </c>
      <c r="M139" s="0" t="str">
        <f aca="false">IF(D139&lt;5,"1) Under 5%",IF(D139&lt;10,"2) 5-9%",IF(D139&lt;15,"3) 10-14%",IF(D139&lt;25,"4) 15-24%","5) 25%+"))))</f>
        <v>3) 10-14%</v>
      </c>
      <c r="N139" s="0" t="str">
        <f aca="false">IF(F139&lt;50,"1) Under Rs 50",IF(F139&lt;100,"2) Rs 50-99",IF(F139&lt;200,"3) Rs 100-199",IF(F139&lt;500,"4) Rs 200-499","5) Rs 500+"))))</f>
        <v>4) Rs 200-499</v>
      </c>
      <c r="O139" s="0" t="n">
        <f aca="false">G139*E139/1000</f>
        <v>30</v>
      </c>
    </row>
    <row r="140" customFormat="false" ht="15" hidden="false" customHeight="false" outlineLevel="0" collapsed="false">
      <c r="A140" s="0" t="s">
        <v>96</v>
      </c>
      <c r="B140" s="0" t="s">
        <v>268</v>
      </c>
      <c r="C140" s="0" t="n">
        <v>295</v>
      </c>
      <c r="D140" s="0" t="n">
        <v>10</v>
      </c>
      <c r="E140" s="0" t="n">
        <v>6</v>
      </c>
      <c r="F140" s="0" t="n">
        <v>265</v>
      </c>
      <c r="G140" s="0" t="n">
        <v>5000</v>
      </c>
      <c r="H140" s="0" t="s">
        <v>145</v>
      </c>
      <c r="I140" s="0" t="n">
        <v>5</v>
      </c>
      <c r="J140" s="0" t="n">
        <f aca="false">F140*E140</f>
        <v>1590</v>
      </c>
      <c r="K140" s="0" t="str">
        <f aca="false">IF(G140&lt;1000,"1-Low",IF(G140&lt;5000,"2-Medium","3-Bulk"))</f>
        <v>3-Bulk</v>
      </c>
      <c r="L140" s="0" t="str">
        <f aca="false">IF(H140="TRUE","Out of stock","In stock")</f>
        <v>In stock</v>
      </c>
      <c r="M140" s="0" t="str">
        <f aca="false">IF(D140&lt;5,"1) Under 5%",IF(D140&lt;10,"2) 5-9%",IF(D140&lt;15,"3) 10-14%",IF(D140&lt;25,"4) 15-24%","5) 25%+"))))</f>
        <v>3) 10-14%</v>
      </c>
      <c r="N140" s="0" t="str">
        <f aca="false">IF(F140&lt;50,"1) Under Rs 50",IF(F140&lt;100,"2) Rs 50-99",IF(F140&lt;200,"3) Rs 100-199",IF(F140&lt;500,"4) Rs 200-499","5) Rs 500+"))))</f>
        <v>4) Rs 200-499</v>
      </c>
      <c r="O140" s="0" t="n">
        <f aca="false">G140*E140/1000</f>
        <v>30</v>
      </c>
    </row>
    <row r="141" customFormat="false" ht="15" hidden="false" customHeight="false" outlineLevel="0" collapsed="false">
      <c r="A141" s="0" t="s">
        <v>96</v>
      </c>
      <c r="B141" s="0" t="s">
        <v>274</v>
      </c>
      <c r="C141" s="0" t="n">
        <v>579</v>
      </c>
      <c r="D141" s="0" t="n">
        <v>10</v>
      </c>
      <c r="E141" s="0" t="n">
        <v>6</v>
      </c>
      <c r="F141" s="0" t="n">
        <v>521</v>
      </c>
      <c r="G141" s="0" t="n">
        <v>1000</v>
      </c>
      <c r="H141" s="0" t="s">
        <v>145</v>
      </c>
      <c r="I141" s="0" t="n">
        <v>1</v>
      </c>
      <c r="J141" s="0" t="n">
        <f aca="false">F141*E141</f>
        <v>3126</v>
      </c>
      <c r="K141" s="0" t="str">
        <f aca="false">IF(G141&lt;1000,"1-Low",IF(G141&lt;5000,"2-Medium","3-Bulk"))</f>
        <v>2-Medium</v>
      </c>
      <c r="L141" s="0" t="str">
        <f aca="false">IF(H141="TRUE","Out of stock","In stock")</f>
        <v>In stock</v>
      </c>
      <c r="M141" s="0" t="str">
        <f aca="false">IF(D141&lt;5,"1) Under 5%",IF(D141&lt;10,"2) 5-9%",IF(D141&lt;15,"3) 10-14%",IF(D141&lt;25,"4) 15-24%","5) 25%+"))))</f>
        <v>3) 10-14%</v>
      </c>
      <c r="N141" s="0" t="str">
        <f aca="false">IF(F141&lt;50,"1) Under Rs 50",IF(F141&lt;100,"2) Rs 50-99",IF(F141&lt;200,"3) Rs 100-199",IF(F141&lt;500,"4) Rs 200-499","5) Rs 500+"))))</f>
        <v>5) Rs 500+</v>
      </c>
      <c r="O141" s="0" t="n">
        <f aca="false">G141*E141/1000</f>
        <v>6</v>
      </c>
    </row>
    <row r="142" customFormat="false" ht="15" hidden="false" customHeight="false" outlineLevel="0" collapsed="false">
      <c r="A142" s="0" t="s">
        <v>96</v>
      </c>
      <c r="B142" s="0" t="s">
        <v>275</v>
      </c>
      <c r="C142" s="0" t="n">
        <v>210</v>
      </c>
      <c r="D142" s="0" t="n">
        <v>5</v>
      </c>
      <c r="E142" s="0" t="n">
        <v>6</v>
      </c>
      <c r="F142" s="0" t="n">
        <v>199</v>
      </c>
      <c r="G142" s="0" t="n">
        <v>1000</v>
      </c>
      <c r="H142" s="0" t="s">
        <v>145</v>
      </c>
      <c r="I142" s="0" t="n">
        <v>1</v>
      </c>
      <c r="J142" s="0" t="n">
        <f aca="false">F142*E142</f>
        <v>1194</v>
      </c>
      <c r="K142" s="0" t="str">
        <f aca="false">IF(G142&lt;1000,"1-Low",IF(G142&lt;5000,"2-Medium","3-Bulk"))</f>
        <v>2-Medium</v>
      </c>
      <c r="L142" s="0" t="str">
        <f aca="false">IF(H142="TRUE","Out of stock","In stock")</f>
        <v>In stock</v>
      </c>
      <c r="M142" s="0" t="str">
        <f aca="false">IF(D142&lt;5,"1) Under 5%",IF(D142&lt;10,"2) 5-9%",IF(D142&lt;15,"3) 10-14%",IF(D142&lt;25,"4) 15-24%","5) 25%+"))))</f>
        <v>2) 5-9%</v>
      </c>
      <c r="N142" s="0" t="str">
        <f aca="false">IF(F142&lt;50,"1) Under Rs 50",IF(F142&lt;100,"2) Rs 50-99",IF(F142&lt;200,"3) Rs 100-199",IF(F142&lt;500,"4) Rs 200-499","5) Rs 500+"))))</f>
        <v>3) Rs 100-199</v>
      </c>
      <c r="O142" s="0" t="n">
        <f aca="false">G142*E142/1000</f>
        <v>6</v>
      </c>
    </row>
    <row r="143" customFormat="false" ht="15" hidden="false" customHeight="false" outlineLevel="0" collapsed="false">
      <c r="A143" s="0" t="s">
        <v>96</v>
      </c>
      <c r="B143" s="0" t="s">
        <v>276</v>
      </c>
      <c r="C143" s="0" t="n">
        <v>40</v>
      </c>
      <c r="D143" s="0" t="n">
        <v>7</v>
      </c>
      <c r="E143" s="0" t="n">
        <v>3</v>
      </c>
      <c r="F143" s="0" t="n">
        <v>37</v>
      </c>
      <c r="G143" s="0" t="n">
        <v>100</v>
      </c>
      <c r="H143" s="0" t="s">
        <v>145</v>
      </c>
      <c r="I143" s="0" t="n">
        <v>100</v>
      </c>
      <c r="J143" s="0" t="n">
        <f aca="false">F143*E143</f>
        <v>111</v>
      </c>
      <c r="K143" s="0" t="str">
        <f aca="false">IF(G143&lt;1000,"1-Low",IF(G143&lt;5000,"2-Medium","3-Bulk"))</f>
        <v>1-Low</v>
      </c>
      <c r="L143" s="0" t="str">
        <f aca="false">IF(H143="TRUE","Out of stock","In stock")</f>
        <v>In stock</v>
      </c>
      <c r="M143" s="0" t="str">
        <f aca="false">IF(D143&lt;5,"1) Under 5%",IF(D143&lt;10,"2) 5-9%",IF(D143&lt;15,"3) 10-14%",IF(D143&lt;25,"4) 15-24%","5) 25%+"))))</f>
        <v>2) 5-9%</v>
      </c>
      <c r="N143" s="0" t="str">
        <f aca="false">IF(F143&lt;50,"1) Under Rs 50",IF(F143&lt;100,"2) Rs 50-99",IF(F143&lt;200,"3) Rs 100-199",IF(F143&lt;500,"4) Rs 200-499","5) Rs 500+"))))</f>
        <v>1) Under Rs 50</v>
      </c>
      <c r="O143" s="0" t="n">
        <f aca="false">G143*E143/1000</f>
        <v>0.3</v>
      </c>
    </row>
    <row r="144" customFormat="false" ht="15" hidden="false" customHeight="false" outlineLevel="0" collapsed="false">
      <c r="A144" s="0" t="s">
        <v>96</v>
      </c>
      <c r="B144" s="0" t="s">
        <v>277</v>
      </c>
      <c r="C144" s="0" t="n">
        <v>18</v>
      </c>
      <c r="D144" s="0" t="n">
        <v>0</v>
      </c>
      <c r="E144" s="0" t="n">
        <v>6</v>
      </c>
      <c r="F144" s="0" t="n">
        <v>18</v>
      </c>
      <c r="G144" s="0" t="n">
        <v>100</v>
      </c>
      <c r="H144" s="0" t="s">
        <v>145</v>
      </c>
      <c r="I144" s="0" t="n">
        <v>100</v>
      </c>
      <c r="J144" s="0" t="n">
        <f aca="false">F144*E144</f>
        <v>108</v>
      </c>
      <c r="K144" s="0" t="str">
        <f aca="false">IF(G144&lt;1000,"1-Low",IF(G144&lt;5000,"2-Medium","3-Bulk"))</f>
        <v>1-Low</v>
      </c>
      <c r="L144" s="0" t="str">
        <f aca="false">IF(H144="TRUE","Out of stock","In stock")</f>
        <v>In stock</v>
      </c>
      <c r="M144" s="0" t="str">
        <f aca="false">IF(D144&lt;5,"1) Under 5%",IF(D144&lt;10,"2) 5-9%",IF(D144&lt;15,"3) 10-14%",IF(D144&lt;25,"4) 15-24%","5) 25%+"))))</f>
        <v>1) Under 5%</v>
      </c>
      <c r="N144" s="0" t="str">
        <f aca="false">IF(F144&lt;50,"1) Under Rs 50",IF(F144&lt;100,"2) Rs 50-99",IF(F144&lt;200,"3) Rs 100-199",IF(F144&lt;500,"4) Rs 200-499","5) Rs 500+"))))</f>
        <v>1) Under Rs 50</v>
      </c>
      <c r="O144" s="0" t="n">
        <f aca="false">G144*E144/1000</f>
        <v>0.6</v>
      </c>
    </row>
    <row r="145" customFormat="false" ht="15" hidden="false" customHeight="false" outlineLevel="0" collapsed="false">
      <c r="A145" s="0" t="s">
        <v>96</v>
      </c>
      <c r="B145" s="0" t="s">
        <v>278</v>
      </c>
      <c r="C145" s="0" t="n">
        <v>56</v>
      </c>
      <c r="D145" s="0" t="n">
        <v>3</v>
      </c>
      <c r="E145" s="0" t="n">
        <v>4</v>
      </c>
      <c r="F145" s="0" t="n">
        <v>54</v>
      </c>
      <c r="G145" s="0" t="n">
        <v>200</v>
      </c>
      <c r="H145" s="0" t="s">
        <v>145</v>
      </c>
      <c r="I145" s="0" t="n">
        <v>200</v>
      </c>
      <c r="J145" s="0" t="n">
        <f aca="false">F145*E145</f>
        <v>216</v>
      </c>
      <c r="K145" s="0" t="str">
        <f aca="false">IF(G145&lt;1000,"1-Low",IF(G145&lt;5000,"2-Medium","3-Bulk"))</f>
        <v>1-Low</v>
      </c>
      <c r="L145" s="0" t="str">
        <f aca="false">IF(H145="TRUE","Out of stock","In stock")</f>
        <v>In stock</v>
      </c>
      <c r="M145" s="0" t="str">
        <f aca="false">IF(D145&lt;5,"1) Under 5%",IF(D145&lt;10,"2) 5-9%",IF(D145&lt;15,"3) 10-14%",IF(D145&lt;25,"4) 15-24%","5) 25%+"))))</f>
        <v>1) Under 5%</v>
      </c>
      <c r="N145" s="0" t="str">
        <f aca="false">IF(F145&lt;50,"1) Under Rs 50",IF(F145&lt;100,"2) Rs 50-99",IF(F145&lt;200,"3) Rs 100-199",IF(F145&lt;500,"4) Rs 200-499","5) Rs 500+"))))</f>
        <v>2) Rs 50-99</v>
      </c>
      <c r="O145" s="0" t="n">
        <f aca="false">G145*E145/1000</f>
        <v>0.8</v>
      </c>
    </row>
    <row r="146" customFormat="false" ht="15" hidden="false" customHeight="false" outlineLevel="0" collapsed="false">
      <c r="A146" s="0" t="s">
        <v>96</v>
      </c>
      <c r="B146" s="0" t="s">
        <v>97</v>
      </c>
      <c r="C146" s="0" t="n">
        <v>1240</v>
      </c>
      <c r="D146" s="0" t="n">
        <v>0</v>
      </c>
      <c r="E146" s="0" t="n">
        <v>6</v>
      </c>
      <c r="F146" s="0" t="n">
        <v>1240</v>
      </c>
      <c r="G146" s="0" t="n">
        <v>5000</v>
      </c>
      <c r="H146" s="0" t="s">
        <v>145</v>
      </c>
      <c r="I146" s="0" t="n">
        <v>5</v>
      </c>
      <c r="J146" s="0" t="n">
        <f aca="false">F146*E146</f>
        <v>7440</v>
      </c>
      <c r="K146" s="0" t="str">
        <f aca="false">IF(G146&lt;1000,"1-Low",IF(G146&lt;5000,"2-Medium","3-Bulk"))</f>
        <v>3-Bulk</v>
      </c>
      <c r="L146" s="0" t="str">
        <f aca="false">IF(H146="TRUE","Out of stock","In stock")</f>
        <v>In stock</v>
      </c>
      <c r="M146" s="0" t="str">
        <f aca="false">IF(D146&lt;5,"1) Under 5%",IF(D146&lt;10,"2) 5-9%",IF(D146&lt;15,"3) 10-14%",IF(D146&lt;25,"4) 15-24%","5) 25%+"))))</f>
        <v>1) Under 5%</v>
      </c>
      <c r="N146" s="0" t="str">
        <f aca="false">IF(F146&lt;50,"1) Under Rs 50",IF(F146&lt;100,"2) Rs 50-99",IF(F146&lt;200,"3) Rs 100-199",IF(F146&lt;500,"4) Rs 200-499","5) Rs 500+"))))</f>
        <v>5) Rs 500+</v>
      </c>
      <c r="O146" s="0" t="n">
        <f aca="false">G146*E146/1000</f>
        <v>30</v>
      </c>
    </row>
    <row r="147" customFormat="false" ht="15" hidden="false" customHeight="false" outlineLevel="0" collapsed="false">
      <c r="A147" s="0" t="s">
        <v>96</v>
      </c>
      <c r="B147" s="0" t="s">
        <v>279</v>
      </c>
      <c r="C147" s="0" t="n">
        <v>120</v>
      </c>
      <c r="D147" s="0" t="n">
        <v>1</v>
      </c>
      <c r="E147" s="0" t="n">
        <v>3</v>
      </c>
      <c r="F147" s="0" t="n">
        <v>118</v>
      </c>
      <c r="G147" s="0" t="n">
        <v>240</v>
      </c>
      <c r="H147" s="0" t="s">
        <v>145</v>
      </c>
      <c r="I147" s="0" t="n">
        <v>240</v>
      </c>
      <c r="J147" s="0" t="n">
        <f aca="false">F147*E147</f>
        <v>354</v>
      </c>
      <c r="K147" s="0" t="str">
        <f aca="false">IF(G147&lt;1000,"1-Low",IF(G147&lt;5000,"2-Medium","3-Bulk"))</f>
        <v>1-Low</v>
      </c>
      <c r="L147" s="0" t="str">
        <f aca="false">IF(H147="TRUE","Out of stock","In stock")</f>
        <v>In stock</v>
      </c>
      <c r="M147" s="0" t="str">
        <f aca="false">IF(D147&lt;5,"1) Under 5%",IF(D147&lt;10,"2) 5-9%",IF(D147&lt;15,"3) 10-14%",IF(D147&lt;25,"4) 15-24%","5) 25%+"))))</f>
        <v>1) Under 5%</v>
      </c>
      <c r="N147" s="0" t="str">
        <f aca="false">IF(F147&lt;50,"1) Under Rs 50",IF(F147&lt;100,"2) Rs 50-99",IF(F147&lt;200,"3) Rs 100-199",IF(F147&lt;500,"4) Rs 200-499","5) Rs 500+"))))</f>
        <v>3) Rs 100-199</v>
      </c>
      <c r="O147" s="0" t="n">
        <f aca="false">G147*E147/1000</f>
        <v>0.72</v>
      </c>
    </row>
    <row r="148" customFormat="false" ht="15" hidden="false" customHeight="false" outlineLevel="0" collapsed="false">
      <c r="A148" s="0" t="s">
        <v>96</v>
      </c>
      <c r="B148" s="0" t="s">
        <v>107</v>
      </c>
      <c r="C148" s="0" t="n">
        <v>1050</v>
      </c>
      <c r="D148" s="0" t="n">
        <v>1</v>
      </c>
      <c r="E148" s="0" t="n">
        <v>6</v>
      </c>
      <c r="F148" s="0" t="n">
        <v>1039</v>
      </c>
      <c r="G148" s="0" t="n">
        <v>5000</v>
      </c>
      <c r="H148" s="0" t="s">
        <v>145</v>
      </c>
      <c r="I148" s="0" t="n">
        <v>5</v>
      </c>
      <c r="J148" s="0" t="n">
        <f aca="false">F148*E148</f>
        <v>6234</v>
      </c>
      <c r="K148" s="0" t="str">
        <f aca="false">IF(G148&lt;1000,"1-Low",IF(G148&lt;5000,"2-Medium","3-Bulk"))</f>
        <v>3-Bulk</v>
      </c>
      <c r="L148" s="0" t="str">
        <f aca="false">IF(H148="TRUE","Out of stock","In stock")</f>
        <v>In stock</v>
      </c>
      <c r="M148" s="0" t="str">
        <f aca="false">IF(D148&lt;5,"1) Under 5%",IF(D148&lt;10,"2) 5-9%",IF(D148&lt;15,"3) 10-14%",IF(D148&lt;25,"4) 15-24%","5) 25%+"))))</f>
        <v>1) Under 5%</v>
      </c>
      <c r="N148" s="0" t="str">
        <f aca="false">IF(F148&lt;50,"1) Under Rs 50",IF(F148&lt;100,"2) Rs 50-99",IF(F148&lt;200,"3) Rs 100-199",IF(F148&lt;500,"4) Rs 200-499","5) Rs 500+"))))</f>
        <v>5) Rs 500+</v>
      </c>
      <c r="O148" s="0" t="n">
        <f aca="false">G148*E148/1000</f>
        <v>30</v>
      </c>
    </row>
    <row r="149" customFormat="false" ht="15" hidden="false" customHeight="false" outlineLevel="0" collapsed="false">
      <c r="A149" s="0" t="s">
        <v>96</v>
      </c>
      <c r="B149" s="0" t="s">
        <v>280</v>
      </c>
      <c r="C149" s="0" t="n">
        <v>110</v>
      </c>
      <c r="D149" s="0" t="n">
        <v>13</v>
      </c>
      <c r="E149" s="0" t="n">
        <v>4</v>
      </c>
      <c r="F149" s="0" t="n">
        <v>95</v>
      </c>
      <c r="G149" s="0" t="n">
        <v>348</v>
      </c>
      <c r="H149" s="0" t="s">
        <v>145</v>
      </c>
      <c r="I149" s="0" t="n">
        <v>6</v>
      </c>
      <c r="J149" s="0" t="n">
        <f aca="false">F149*E149</f>
        <v>380</v>
      </c>
      <c r="K149" s="0" t="str">
        <f aca="false">IF(G149&lt;1000,"1-Low",IF(G149&lt;5000,"2-Medium","3-Bulk"))</f>
        <v>1-Low</v>
      </c>
      <c r="L149" s="0" t="str">
        <f aca="false">IF(H149="TRUE","Out of stock","In stock")</f>
        <v>In stock</v>
      </c>
      <c r="M149" s="0" t="str">
        <f aca="false">IF(D149&lt;5,"1) Under 5%",IF(D149&lt;10,"2) 5-9%",IF(D149&lt;15,"3) 10-14%",IF(D149&lt;25,"4) 15-24%","5) 25%+"))))</f>
        <v>3) 10-14%</v>
      </c>
      <c r="N149" s="0" t="str">
        <f aca="false">IF(F149&lt;50,"1) Under Rs 50",IF(F149&lt;100,"2) Rs 50-99",IF(F149&lt;200,"3) Rs 100-199",IF(F149&lt;500,"4) Rs 200-499","5) Rs 500+"))))</f>
        <v>2) Rs 50-99</v>
      </c>
      <c r="O149" s="0" t="n">
        <f aca="false">G149*E149/1000</f>
        <v>1.392</v>
      </c>
    </row>
    <row r="150" customFormat="false" ht="15" hidden="false" customHeight="false" outlineLevel="0" collapsed="false">
      <c r="A150" s="0" t="s">
        <v>96</v>
      </c>
      <c r="B150" s="0" t="s">
        <v>281</v>
      </c>
      <c r="C150" s="0" t="n">
        <v>585</v>
      </c>
      <c r="D150" s="0" t="n">
        <v>21</v>
      </c>
      <c r="E150" s="0" t="n">
        <v>6</v>
      </c>
      <c r="F150" s="0" t="n">
        <v>462</v>
      </c>
      <c r="G150" s="0" t="n">
        <v>5000</v>
      </c>
      <c r="H150" s="0" t="s">
        <v>145</v>
      </c>
      <c r="I150" s="0" t="n">
        <v>5</v>
      </c>
      <c r="J150" s="0" t="n">
        <f aca="false">F150*E150</f>
        <v>2772</v>
      </c>
      <c r="K150" s="0" t="str">
        <f aca="false">IF(G150&lt;1000,"1-Low",IF(G150&lt;5000,"2-Medium","3-Bulk"))</f>
        <v>3-Bulk</v>
      </c>
      <c r="L150" s="0" t="str">
        <f aca="false">IF(H150="TRUE","Out of stock","In stock")</f>
        <v>In stock</v>
      </c>
      <c r="M150" s="0" t="str">
        <f aca="false">IF(D150&lt;5,"1) Under 5%",IF(D150&lt;10,"2) 5-9%",IF(D150&lt;15,"3) 10-14%",IF(D150&lt;25,"4) 15-24%","5) 25%+"))))</f>
        <v>4) 15-24%</v>
      </c>
      <c r="N150" s="0" t="str">
        <f aca="false">IF(F150&lt;50,"1) Under Rs 50",IF(F150&lt;100,"2) Rs 50-99",IF(F150&lt;200,"3) Rs 100-199",IF(F150&lt;500,"4) Rs 200-499","5) Rs 500+"))))</f>
        <v>4) Rs 200-499</v>
      </c>
      <c r="O150" s="0" t="n">
        <f aca="false">G150*E150/1000</f>
        <v>30</v>
      </c>
    </row>
    <row r="151" customFormat="false" ht="15" hidden="false" customHeight="false" outlineLevel="0" collapsed="false">
      <c r="A151" s="0" t="s">
        <v>96</v>
      </c>
      <c r="B151" s="0" t="s">
        <v>282</v>
      </c>
      <c r="C151" s="0" t="n">
        <v>175</v>
      </c>
      <c r="D151" s="0" t="n">
        <v>0</v>
      </c>
      <c r="E151" s="0" t="n">
        <v>5</v>
      </c>
      <c r="F151" s="0" t="n">
        <v>175</v>
      </c>
      <c r="G151" s="0" t="n">
        <v>1000</v>
      </c>
      <c r="H151" s="0" t="s">
        <v>145</v>
      </c>
      <c r="I151" s="0" t="n">
        <v>1</v>
      </c>
      <c r="J151" s="0" t="n">
        <f aca="false">F151*E151</f>
        <v>875</v>
      </c>
      <c r="K151" s="0" t="str">
        <f aca="false">IF(G151&lt;1000,"1-Low",IF(G151&lt;5000,"2-Medium","3-Bulk"))</f>
        <v>2-Medium</v>
      </c>
      <c r="L151" s="0" t="str">
        <f aca="false">IF(H151="TRUE","Out of stock","In stock")</f>
        <v>In stock</v>
      </c>
      <c r="M151" s="0" t="str">
        <f aca="false">IF(D151&lt;5,"1) Under 5%",IF(D151&lt;10,"2) 5-9%",IF(D151&lt;15,"3) 10-14%",IF(D151&lt;25,"4) 15-24%","5) 25%+"))))</f>
        <v>1) Under 5%</v>
      </c>
      <c r="N151" s="0" t="str">
        <f aca="false">IF(F151&lt;50,"1) Under Rs 50",IF(F151&lt;100,"2) Rs 50-99",IF(F151&lt;200,"3) Rs 100-199",IF(F151&lt;500,"4) Rs 200-499","5) Rs 500+"))))</f>
        <v>3) Rs 100-199</v>
      </c>
      <c r="O151" s="0" t="n">
        <f aca="false">G151*E151/1000</f>
        <v>5</v>
      </c>
    </row>
    <row r="152" customFormat="false" ht="15" hidden="false" customHeight="false" outlineLevel="0" collapsed="false">
      <c r="A152" s="0" t="s">
        <v>96</v>
      </c>
      <c r="B152" s="0" t="s">
        <v>283</v>
      </c>
      <c r="C152" s="0" t="n">
        <v>78</v>
      </c>
      <c r="D152" s="0" t="n">
        <v>7</v>
      </c>
      <c r="E152" s="0" t="n">
        <v>5</v>
      </c>
      <c r="F152" s="0" t="n">
        <v>72</v>
      </c>
      <c r="G152" s="0" t="n">
        <v>100</v>
      </c>
      <c r="H152" s="0" t="s">
        <v>145</v>
      </c>
      <c r="I152" s="0" t="n">
        <v>100</v>
      </c>
      <c r="J152" s="0" t="n">
        <f aca="false">F152*E152</f>
        <v>360</v>
      </c>
      <c r="K152" s="0" t="str">
        <f aca="false">IF(G152&lt;1000,"1-Low",IF(G152&lt;5000,"2-Medium","3-Bulk"))</f>
        <v>1-Low</v>
      </c>
      <c r="L152" s="0" t="str">
        <f aca="false">IF(H152="TRUE","Out of stock","In stock")</f>
        <v>In stock</v>
      </c>
      <c r="M152" s="0" t="str">
        <f aca="false">IF(D152&lt;5,"1) Under 5%",IF(D152&lt;10,"2) 5-9%",IF(D152&lt;15,"3) 10-14%",IF(D152&lt;25,"4) 15-24%","5) 25%+"))))</f>
        <v>2) 5-9%</v>
      </c>
      <c r="N152" s="0" t="str">
        <f aca="false">IF(F152&lt;50,"1) Under Rs 50",IF(F152&lt;100,"2) Rs 50-99",IF(F152&lt;200,"3) Rs 100-199",IF(F152&lt;500,"4) Rs 200-499","5) Rs 500+"))))</f>
        <v>2) Rs 50-99</v>
      </c>
      <c r="O152" s="0" t="n">
        <f aca="false">G152*E152/1000</f>
        <v>0.5</v>
      </c>
    </row>
    <row r="153" customFormat="false" ht="15" hidden="false" customHeight="false" outlineLevel="0" collapsed="false">
      <c r="A153" s="0" t="s">
        <v>96</v>
      </c>
      <c r="B153" s="0" t="s">
        <v>284</v>
      </c>
      <c r="C153" s="0" t="n">
        <v>90</v>
      </c>
      <c r="D153" s="0" t="n">
        <v>16</v>
      </c>
      <c r="E153" s="0" t="n">
        <v>6</v>
      </c>
      <c r="F153" s="0" t="n">
        <v>75</v>
      </c>
      <c r="G153" s="0" t="n">
        <v>100</v>
      </c>
      <c r="H153" s="0" t="s">
        <v>145</v>
      </c>
      <c r="I153" s="0" t="n">
        <v>100</v>
      </c>
      <c r="J153" s="0" t="n">
        <f aca="false">F153*E153</f>
        <v>450</v>
      </c>
      <c r="K153" s="0" t="str">
        <f aca="false">IF(G153&lt;1000,"1-Low",IF(G153&lt;5000,"2-Medium","3-Bulk"))</f>
        <v>1-Low</v>
      </c>
      <c r="L153" s="0" t="str">
        <f aca="false">IF(H153="TRUE","Out of stock","In stock")</f>
        <v>In stock</v>
      </c>
      <c r="M153" s="0" t="str">
        <f aca="false">IF(D153&lt;5,"1) Under 5%",IF(D153&lt;10,"2) 5-9%",IF(D153&lt;15,"3) 10-14%",IF(D153&lt;25,"4) 15-24%","5) 25%+"))))</f>
        <v>4) 15-24%</v>
      </c>
      <c r="N153" s="0" t="str">
        <f aca="false">IF(F153&lt;50,"1) Under Rs 50",IF(F153&lt;100,"2) Rs 50-99",IF(F153&lt;200,"3) Rs 100-199",IF(F153&lt;500,"4) Rs 200-499","5) Rs 500+"))))</f>
        <v>2) Rs 50-99</v>
      </c>
      <c r="O153" s="0" t="n">
        <f aca="false">G153*E153/1000</f>
        <v>0.6</v>
      </c>
    </row>
    <row r="154" customFormat="false" ht="15" hidden="false" customHeight="false" outlineLevel="0" collapsed="false">
      <c r="A154" s="0" t="s">
        <v>96</v>
      </c>
      <c r="B154" s="0" t="s">
        <v>285</v>
      </c>
      <c r="C154" s="0" t="n">
        <v>210</v>
      </c>
      <c r="D154" s="0" t="n">
        <v>1</v>
      </c>
      <c r="E154" s="0" t="n">
        <v>2</v>
      </c>
      <c r="F154" s="0" t="n">
        <v>206</v>
      </c>
      <c r="G154" s="0" t="n">
        <v>1000</v>
      </c>
      <c r="H154" s="0" t="s">
        <v>145</v>
      </c>
      <c r="I154" s="0" t="n">
        <v>1</v>
      </c>
      <c r="J154" s="0" t="n">
        <f aca="false">F154*E154</f>
        <v>412</v>
      </c>
      <c r="K154" s="0" t="str">
        <f aca="false">IF(G154&lt;1000,"1-Low",IF(G154&lt;5000,"2-Medium","3-Bulk"))</f>
        <v>2-Medium</v>
      </c>
      <c r="L154" s="0" t="str">
        <f aca="false">IF(H154="TRUE","Out of stock","In stock")</f>
        <v>In stock</v>
      </c>
      <c r="M154" s="0" t="str">
        <f aca="false">IF(D154&lt;5,"1) Under 5%",IF(D154&lt;10,"2) 5-9%",IF(D154&lt;15,"3) 10-14%",IF(D154&lt;25,"4) 15-24%","5) 25%+"))))</f>
        <v>1) Under 5%</v>
      </c>
      <c r="N154" s="0" t="str">
        <f aca="false">IF(F154&lt;50,"1) Under Rs 50",IF(F154&lt;100,"2) Rs 50-99",IF(F154&lt;200,"3) Rs 100-199",IF(F154&lt;500,"4) Rs 200-499","5) Rs 500+"))))</f>
        <v>4) Rs 200-499</v>
      </c>
      <c r="O154" s="0" t="n">
        <f aca="false">G154*E154/1000</f>
        <v>2</v>
      </c>
    </row>
    <row r="155" customFormat="false" ht="15" hidden="false" customHeight="false" outlineLevel="0" collapsed="false">
      <c r="A155" s="0" t="s">
        <v>96</v>
      </c>
      <c r="B155" s="0" t="s">
        <v>286</v>
      </c>
      <c r="C155" s="0" t="n">
        <v>295</v>
      </c>
      <c r="D155" s="0" t="n">
        <v>4</v>
      </c>
      <c r="E155" s="0" t="n">
        <v>6</v>
      </c>
      <c r="F155" s="0" t="n">
        <v>281</v>
      </c>
      <c r="G155" s="0" t="n">
        <v>500</v>
      </c>
      <c r="H155" s="0" t="s">
        <v>145</v>
      </c>
      <c r="I155" s="0" t="n">
        <v>500</v>
      </c>
      <c r="J155" s="0" t="n">
        <f aca="false">F155*E155</f>
        <v>1686</v>
      </c>
      <c r="K155" s="0" t="str">
        <f aca="false">IF(G155&lt;1000,"1-Low",IF(G155&lt;5000,"2-Medium","3-Bulk"))</f>
        <v>1-Low</v>
      </c>
      <c r="L155" s="0" t="str">
        <f aca="false">IF(H155="TRUE","Out of stock","In stock")</f>
        <v>In stock</v>
      </c>
      <c r="M155" s="0" t="str">
        <f aca="false">IF(D155&lt;5,"1) Under 5%",IF(D155&lt;10,"2) 5-9%",IF(D155&lt;15,"3) 10-14%",IF(D155&lt;25,"4) 15-24%","5) 25%+"))))</f>
        <v>1) Under 5%</v>
      </c>
      <c r="N155" s="0" t="str">
        <f aca="false">IF(F155&lt;50,"1) Under Rs 50",IF(F155&lt;100,"2) Rs 50-99",IF(F155&lt;200,"3) Rs 100-199",IF(F155&lt;500,"4) Rs 200-499","5) Rs 500+"))))</f>
        <v>4) Rs 200-499</v>
      </c>
      <c r="O155" s="0" t="n">
        <f aca="false">G155*E155/1000</f>
        <v>3</v>
      </c>
    </row>
    <row r="156" customFormat="false" ht="15" hidden="false" customHeight="false" outlineLevel="0" collapsed="false">
      <c r="A156" s="0" t="s">
        <v>96</v>
      </c>
      <c r="B156" s="0" t="s">
        <v>287</v>
      </c>
      <c r="C156" s="0" t="n">
        <v>40</v>
      </c>
      <c r="D156" s="0" t="n">
        <v>5</v>
      </c>
      <c r="E156" s="0" t="n">
        <v>3</v>
      </c>
      <c r="F156" s="0" t="n">
        <v>38</v>
      </c>
      <c r="G156" s="0" t="n">
        <v>100</v>
      </c>
      <c r="H156" s="0" t="s">
        <v>145</v>
      </c>
      <c r="I156" s="0" t="n">
        <v>100</v>
      </c>
      <c r="J156" s="0" t="n">
        <f aca="false">F156*E156</f>
        <v>114</v>
      </c>
      <c r="K156" s="0" t="str">
        <f aca="false">IF(G156&lt;1000,"1-Low",IF(G156&lt;5000,"2-Medium","3-Bulk"))</f>
        <v>1-Low</v>
      </c>
      <c r="L156" s="0" t="str">
        <f aca="false">IF(H156="TRUE","Out of stock","In stock")</f>
        <v>In stock</v>
      </c>
      <c r="M156" s="0" t="str">
        <f aca="false">IF(D156&lt;5,"1) Under 5%",IF(D156&lt;10,"2) 5-9%",IF(D156&lt;15,"3) 10-14%",IF(D156&lt;25,"4) 15-24%","5) 25%+"))))</f>
        <v>2) 5-9%</v>
      </c>
      <c r="N156" s="0" t="str">
        <f aca="false">IF(F156&lt;50,"1) Under Rs 50",IF(F156&lt;100,"2) Rs 50-99",IF(F156&lt;200,"3) Rs 100-199",IF(F156&lt;500,"4) Rs 200-499","5) Rs 500+"))))</f>
        <v>1) Under Rs 50</v>
      </c>
      <c r="O156" s="0" t="n">
        <f aca="false">G156*E156/1000</f>
        <v>0.3</v>
      </c>
    </row>
    <row r="157" customFormat="false" ht="15" hidden="false" customHeight="false" outlineLevel="0" collapsed="false">
      <c r="A157" s="0" t="s">
        <v>96</v>
      </c>
      <c r="B157" s="0" t="s">
        <v>288</v>
      </c>
      <c r="C157" s="0" t="n">
        <v>30</v>
      </c>
      <c r="D157" s="0" t="n">
        <v>3</v>
      </c>
      <c r="E157" s="0" t="n">
        <v>6</v>
      </c>
      <c r="F157" s="0" t="n">
        <v>29</v>
      </c>
      <c r="G157" s="0" t="n">
        <v>100</v>
      </c>
      <c r="H157" s="0" t="s">
        <v>145</v>
      </c>
      <c r="I157" s="0" t="n">
        <v>100</v>
      </c>
      <c r="J157" s="0" t="n">
        <f aca="false">F157*E157</f>
        <v>174</v>
      </c>
      <c r="K157" s="0" t="str">
        <f aca="false">IF(G157&lt;1000,"1-Low",IF(G157&lt;5000,"2-Medium","3-Bulk"))</f>
        <v>1-Low</v>
      </c>
      <c r="L157" s="0" t="str">
        <f aca="false">IF(H157="TRUE","Out of stock","In stock")</f>
        <v>In stock</v>
      </c>
      <c r="M157" s="0" t="str">
        <f aca="false">IF(D157&lt;5,"1) Under 5%",IF(D157&lt;10,"2) 5-9%",IF(D157&lt;15,"3) 10-14%",IF(D157&lt;25,"4) 15-24%","5) 25%+"))))</f>
        <v>1) Under 5%</v>
      </c>
      <c r="N157" s="0" t="str">
        <f aca="false">IF(F157&lt;50,"1) Under Rs 50",IF(F157&lt;100,"2) Rs 50-99",IF(F157&lt;200,"3) Rs 100-199",IF(F157&lt;500,"4) Rs 200-499","5) Rs 500+"))))</f>
        <v>1) Under Rs 50</v>
      </c>
      <c r="O157" s="0" t="n">
        <f aca="false">G157*E157/1000</f>
        <v>0.6</v>
      </c>
    </row>
    <row r="158" customFormat="false" ht="15" hidden="false" customHeight="false" outlineLevel="0" collapsed="false">
      <c r="A158" s="0" t="s">
        <v>96</v>
      </c>
      <c r="B158" s="0" t="s">
        <v>289</v>
      </c>
      <c r="C158" s="0" t="n">
        <v>37</v>
      </c>
      <c r="D158" s="0" t="n">
        <v>10</v>
      </c>
      <c r="E158" s="0" t="n">
        <v>4</v>
      </c>
      <c r="F158" s="0" t="n">
        <v>33</v>
      </c>
      <c r="G158" s="0" t="n">
        <v>50</v>
      </c>
      <c r="H158" s="0" t="s">
        <v>145</v>
      </c>
      <c r="I158" s="0" t="n">
        <v>50</v>
      </c>
      <c r="J158" s="0" t="n">
        <f aca="false">F158*E158</f>
        <v>132</v>
      </c>
      <c r="K158" s="0" t="str">
        <f aca="false">IF(G158&lt;1000,"1-Low",IF(G158&lt;5000,"2-Medium","3-Bulk"))</f>
        <v>1-Low</v>
      </c>
      <c r="L158" s="0" t="str">
        <f aca="false">IF(H158="TRUE","Out of stock","In stock")</f>
        <v>In stock</v>
      </c>
      <c r="M158" s="0" t="str">
        <f aca="false">IF(D158&lt;5,"1) Under 5%",IF(D158&lt;10,"2) 5-9%",IF(D158&lt;15,"3) 10-14%",IF(D158&lt;25,"4) 15-24%","5) 25%+"))))</f>
        <v>3) 10-14%</v>
      </c>
      <c r="N158" s="0" t="str">
        <f aca="false">IF(F158&lt;50,"1) Under Rs 50",IF(F158&lt;100,"2) Rs 50-99",IF(F158&lt;200,"3) Rs 100-199",IF(F158&lt;500,"4) Rs 200-499","5) Rs 500+"))))</f>
        <v>1) Under Rs 50</v>
      </c>
      <c r="O158" s="0" t="n">
        <f aca="false">G158*E158/1000</f>
        <v>0.2</v>
      </c>
    </row>
    <row r="159" customFormat="false" ht="15" hidden="false" customHeight="false" outlineLevel="0" collapsed="false">
      <c r="A159" s="0" t="s">
        <v>96</v>
      </c>
      <c r="B159" s="0" t="s">
        <v>290</v>
      </c>
      <c r="C159" s="0" t="n">
        <v>95</v>
      </c>
      <c r="D159" s="0" t="n">
        <v>6</v>
      </c>
      <c r="E159" s="0" t="n">
        <v>2</v>
      </c>
      <c r="F159" s="0" t="n">
        <v>89</v>
      </c>
      <c r="G159" s="0" t="n">
        <v>1000</v>
      </c>
      <c r="H159" s="0" t="s">
        <v>145</v>
      </c>
      <c r="I159" s="0" t="n">
        <v>500</v>
      </c>
      <c r="J159" s="0" t="n">
        <f aca="false">F159*E159</f>
        <v>178</v>
      </c>
      <c r="K159" s="0" t="str">
        <f aca="false">IF(G159&lt;1000,"1-Low",IF(G159&lt;5000,"2-Medium","3-Bulk"))</f>
        <v>2-Medium</v>
      </c>
      <c r="L159" s="0" t="str">
        <f aca="false">IF(H159="TRUE","Out of stock","In stock")</f>
        <v>In stock</v>
      </c>
      <c r="M159" s="0" t="str">
        <f aca="false">IF(D159&lt;5,"1) Under 5%",IF(D159&lt;10,"2) 5-9%",IF(D159&lt;15,"3) 10-14%",IF(D159&lt;25,"4) 15-24%","5) 25%+"))))</f>
        <v>2) 5-9%</v>
      </c>
      <c r="N159" s="0" t="str">
        <f aca="false">IF(F159&lt;50,"1) Under Rs 50",IF(F159&lt;100,"2) Rs 50-99",IF(F159&lt;200,"3) Rs 100-199",IF(F159&lt;500,"4) Rs 200-499","5) Rs 500+"))))</f>
        <v>2) Rs 50-99</v>
      </c>
      <c r="O159" s="0" t="n">
        <f aca="false">G159*E159/1000</f>
        <v>2</v>
      </c>
    </row>
    <row r="160" customFormat="false" ht="15" hidden="false" customHeight="false" outlineLevel="0" collapsed="false">
      <c r="A160" s="0" t="s">
        <v>96</v>
      </c>
      <c r="B160" s="0" t="s">
        <v>291</v>
      </c>
      <c r="C160" s="0" t="n">
        <v>112</v>
      </c>
      <c r="D160" s="0" t="n">
        <v>2</v>
      </c>
      <c r="E160" s="0" t="n">
        <v>6</v>
      </c>
      <c r="F160" s="0" t="n">
        <v>109</v>
      </c>
      <c r="G160" s="0" t="n">
        <v>400</v>
      </c>
      <c r="H160" s="0" t="s">
        <v>145</v>
      </c>
      <c r="I160" s="0" t="n">
        <v>400</v>
      </c>
      <c r="J160" s="0" t="n">
        <f aca="false">F160*E160</f>
        <v>654</v>
      </c>
      <c r="K160" s="0" t="str">
        <f aca="false">IF(G160&lt;1000,"1-Low",IF(G160&lt;5000,"2-Medium","3-Bulk"))</f>
        <v>1-Low</v>
      </c>
      <c r="L160" s="0" t="str">
        <f aca="false">IF(H160="TRUE","Out of stock","In stock")</f>
        <v>In stock</v>
      </c>
      <c r="M160" s="0" t="str">
        <f aca="false">IF(D160&lt;5,"1) Under 5%",IF(D160&lt;10,"2) 5-9%",IF(D160&lt;15,"3) 10-14%",IF(D160&lt;25,"4) 15-24%","5) 25%+"))))</f>
        <v>1) Under 5%</v>
      </c>
      <c r="N160" s="0" t="str">
        <f aca="false">IF(F160&lt;50,"1) Under Rs 50",IF(F160&lt;100,"2) Rs 50-99",IF(F160&lt;200,"3) Rs 100-199",IF(F160&lt;500,"4) Rs 200-499","5) Rs 500+"))))</f>
        <v>3) Rs 100-199</v>
      </c>
      <c r="O160" s="0" t="n">
        <f aca="false">G160*E160/1000</f>
        <v>2.4</v>
      </c>
    </row>
    <row r="161" customFormat="false" ht="15" hidden="false" customHeight="false" outlineLevel="0" collapsed="false">
      <c r="A161" s="0" t="s">
        <v>96</v>
      </c>
      <c r="B161" s="0" t="s">
        <v>292</v>
      </c>
      <c r="C161" s="0" t="n">
        <v>450</v>
      </c>
      <c r="D161" s="0" t="n">
        <v>16</v>
      </c>
      <c r="E161" s="0" t="n">
        <v>6</v>
      </c>
      <c r="F161" s="0" t="n">
        <v>375</v>
      </c>
      <c r="G161" s="0" t="n">
        <v>10000</v>
      </c>
      <c r="H161" s="0" t="s">
        <v>145</v>
      </c>
      <c r="I161" s="0" t="n">
        <v>10</v>
      </c>
      <c r="J161" s="0" t="n">
        <f aca="false">F161*E161</f>
        <v>2250</v>
      </c>
      <c r="K161" s="0" t="str">
        <f aca="false">IF(G161&lt;1000,"1-Low",IF(G161&lt;5000,"2-Medium","3-Bulk"))</f>
        <v>3-Bulk</v>
      </c>
      <c r="L161" s="0" t="str">
        <f aca="false">IF(H161="TRUE","Out of stock","In stock")</f>
        <v>In stock</v>
      </c>
      <c r="M161" s="0" t="str">
        <f aca="false">IF(D161&lt;5,"1) Under 5%",IF(D161&lt;10,"2) 5-9%",IF(D161&lt;15,"3) 10-14%",IF(D161&lt;25,"4) 15-24%","5) 25%+"))))</f>
        <v>4) 15-24%</v>
      </c>
      <c r="N161" s="0" t="str">
        <f aca="false">IF(F161&lt;50,"1) Under Rs 50",IF(F161&lt;100,"2) Rs 50-99",IF(F161&lt;200,"3) Rs 100-199",IF(F161&lt;500,"4) Rs 200-499","5) Rs 500+"))))</f>
        <v>4) Rs 200-499</v>
      </c>
      <c r="O161" s="0" t="n">
        <f aca="false">G161*E161/1000</f>
        <v>60</v>
      </c>
    </row>
    <row r="162" customFormat="false" ht="15" hidden="false" customHeight="false" outlineLevel="0" collapsed="false">
      <c r="A162" s="0" t="s">
        <v>96</v>
      </c>
      <c r="B162" s="0" t="s">
        <v>293</v>
      </c>
      <c r="C162" s="0" t="n">
        <v>39</v>
      </c>
      <c r="D162" s="0" t="n">
        <v>2</v>
      </c>
      <c r="E162" s="0" t="n">
        <v>1</v>
      </c>
      <c r="F162" s="0" t="n">
        <v>38</v>
      </c>
      <c r="G162" s="0" t="n">
        <v>50</v>
      </c>
      <c r="H162" s="0" t="s">
        <v>145</v>
      </c>
      <c r="I162" s="0" t="n">
        <v>50</v>
      </c>
      <c r="J162" s="0" t="n">
        <f aca="false">F162*E162</f>
        <v>38</v>
      </c>
      <c r="K162" s="0" t="str">
        <f aca="false">IF(G162&lt;1000,"1-Low",IF(G162&lt;5000,"2-Medium","3-Bulk"))</f>
        <v>1-Low</v>
      </c>
      <c r="L162" s="0" t="str">
        <f aca="false">IF(H162="TRUE","Out of stock","In stock")</f>
        <v>In stock</v>
      </c>
      <c r="M162" s="0" t="str">
        <f aca="false">IF(D162&lt;5,"1) Under 5%",IF(D162&lt;10,"2) 5-9%",IF(D162&lt;15,"3) 10-14%",IF(D162&lt;25,"4) 15-24%","5) 25%+"))))</f>
        <v>1) Under 5%</v>
      </c>
      <c r="N162" s="0" t="str">
        <f aca="false">IF(F162&lt;50,"1) Under Rs 50",IF(F162&lt;100,"2) Rs 50-99",IF(F162&lt;200,"3) Rs 100-199",IF(F162&lt;500,"4) Rs 200-499","5) Rs 500+"))))</f>
        <v>1) Under Rs 50</v>
      </c>
      <c r="O162" s="0" t="n">
        <f aca="false">G162*E162/1000</f>
        <v>0.05</v>
      </c>
    </row>
    <row r="163" customFormat="false" ht="15" hidden="false" customHeight="false" outlineLevel="0" collapsed="false">
      <c r="A163" s="0" t="s">
        <v>96</v>
      </c>
      <c r="B163" s="0" t="s">
        <v>294</v>
      </c>
      <c r="C163" s="0" t="n">
        <v>205</v>
      </c>
      <c r="D163" s="0" t="n">
        <v>7</v>
      </c>
      <c r="E163" s="0" t="n">
        <v>6</v>
      </c>
      <c r="F163" s="0" t="n">
        <v>190</v>
      </c>
      <c r="G163" s="0" t="n">
        <v>1000</v>
      </c>
      <c r="H163" s="0" t="s">
        <v>145</v>
      </c>
      <c r="I163" s="0" t="n">
        <v>1</v>
      </c>
      <c r="J163" s="0" t="n">
        <f aca="false">F163*E163</f>
        <v>1140</v>
      </c>
      <c r="K163" s="0" t="str">
        <f aca="false">IF(G163&lt;1000,"1-Low",IF(G163&lt;5000,"2-Medium","3-Bulk"))</f>
        <v>2-Medium</v>
      </c>
      <c r="L163" s="0" t="str">
        <f aca="false">IF(H163="TRUE","Out of stock","In stock")</f>
        <v>In stock</v>
      </c>
      <c r="M163" s="0" t="str">
        <f aca="false">IF(D163&lt;5,"1) Under 5%",IF(D163&lt;10,"2) 5-9%",IF(D163&lt;15,"3) 10-14%",IF(D163&lt;25,"4) 15-24%","5) 25%+"))))</f>
        <v>2) 5-9%</v>
      </c>
      <c r="N163" s="0" t="str">
        <f aca="false">IF(F163&lt;50,"1) Under Rs 50",IF(F163&lt;100,"2) Rs 50-99",IF(F163&lt;200,"3) Rs 100-199",IF(F163&lt;500,"4) Rs 200-499","5) Rs 500+"))))</f>
        <v>3) Rs 100-199</v>
      </c>
      <c r="O163" s="0" t="n">
        <f aca="false">G163*E163/1000</f>
        <v>6</v>
      </c>
    </row>
    <row r="164" customFormat="false" ht="15" hidden="false" customHeight="false" outlineLevel="0" collapsed="false">
      <c r="A164" s="0" t="s">
        <v>96</v>
      </c>
      <c r="B164" s="0" t="s">
        <v>295</v>
      </c>
      <c r="C164" s="0" t="n">
        <v>400</v>
      </c>
      <c r="D164" s="0" t="n">
        <v>25</v>
      </c>
      <c r="E164" s="0" t="n">
        <v>1</v>
      </c>
      <c r="F164" s="0" t="n">
        <v>299</v>
      </c>
      <c r="G164" s="0" t="n">
        <v>250</v>
      </c>
      <c r="H164" s="0" t="s">
        <v>145</v>
      </c>
      <c r="I164" s="0" t="n">
        <v>250</v>
      </c>
      <c r="J164" s="0" t="n">
        <f aca="false">F164*E164</f>
        <v>299</v>
      </c>
      <c r="K164" s="0" t="str">
        <f aca="false">IF(G164&lt;1000,"1-Low",IF(G164&lt;5000,"2-Medium","3-Bulk"))</f>
        <v>1-Low</v>
      </c>
      <c r="L164" s="0" t="str">
        <f aca="false">IF(H164="TRUE","Out of stock","In stock")</f>
        <v>In stock</v>
      </c>
      <c r="M164" s="0" t="str">
        <f aca="false">IF(D164&lt;5,"1) Under 5%",IF(D164&lt;10,"2) 5-9%",IF(D164&lt;15,"3) 10-14%",IF(D164&lt;25,"4) 15-24%","5) 25%+"))))</f>
        <v>5) 25%+</v>
      </c>
      <c r="N164" s="0" t="str">
        <f aca="false">IF(F164&lt;50,"1) Under Rs 50",IF(F164&lt;100,"2) Rs 50-99",IF(F164&lt;200,"3) Rs 100-199",IF(F164&lt;500,"4) Rs 200-499","5) Rs 500+"))))</f>
        <v>4) Rs 200-499</v>
      </c>
      <c r="O164" s="0" t="n">
        <f aca="false">G164*E164/1000</f>
        <v>0.25</v>
      </c>
    </row>
    <row r="165" customFormat="false" ht="15" hidden="false" customHeight="false" outlineLevel="0" collapsed="false">
      <c r="A165" s="0" t="s">
        <v>96</v>
      </c>
      <c r="B165" s="0" t="s">
        <v>296</v>
      </c>
      <c r="C165" s="0" t="n">
        <v>70</v>
      </c>
      <c r="D165" s="0" t="n">
        <v>14</v>
      </c>
      <c r="E165" s="0" t="n">
        <v>6</v>
      </c>
      <c r="F165" s="0" t="n">
        <v>60</v>
      </c>
      <c r="G165" s="0" t="n">
        <v>50</v>
      </c>
      <c r="H165" s="0" t="s">
        <v>145</v>
      </c>
      <c r="I165" s="0" t="n">
        <v>50</v>
      </c>
      <c r="J165" s="0" t="n">
        <f aca="false">F165*E165</f>
        <v>360</v>
      </c>
      <c r="K165" s="0" t="str">
        <f aca="false">IF(G165&lt;1000,"1-Low",IF(G165&lt;5000,"2-Medium","3-Bulk"))</f>
        <v>1-Low</v>
      </c>
      <c r="L165" s="0" t="str">
        <f aca="false">IF(H165="TRUE","Out of stock","In stock")</f>
        <v>In stock</v>
      </c>
      <c r="M165" s="0" t="str">
        <f aca="false">IF(D165&lt;5,"1) Under 5%",IF(D165&lt;10,"2) 5-9%",IF(D165&lt;15,"3) 10-14%",IF(D165&lt;25,"4) 15-24%","5) 25%+"))))</f>
        <v>3) 10-14%</v>
      </c>
      <c r="N165" s="0" t="str">
        <f aca="false">IF(F165&lt;50,"1) Under Rs 50",IF(F165&lt;100,"2) Rs 50-99",IF(F165&lt;200,"3) Rs 100-199",IF(F165&lt;500,"4) Rs 200-499","5) Rs 500+"))))</f>
        <v>2) Rs 50-99</v>
      </c>
      <c r="O165" s="0" t="n">
        <f aca="false">G165*E165/1000</f>
        <v>0.3</v>
      </c>
    </row>
    <row r="166" customFormat="false" ht="15" hidden="false" customHeight="false" outlineLevel="0" collapsed="false">
      <c r="A166" s="0" t="s">
        <v>96</v>
      </c>
      <c r="B166" s="0" t="s">
        <v>126</v>
      </c>
      <c r="C166" s="0" t="n">
        <v>350</v>
      </c>
      <c r="D166" s="0" t="n">
        <v>28</v>
      </c>
      <c r="E166" s="0" t="n">
        <v>6</v>
      </c>
      <c r="F166" s="0" t="n">
        <v>251</v>
      </c>
      <c r="G166" s="0" t="n">
        <v>250</v>
      </c>
      <c r="H166" s="0" t="s">
        <v>145</v>
      </c>
      <c r="I166" s="0" t="n">
        <v>250</v>
      </c>
      <c r="J166" s="0" t="n">
        <f aca="false">F166*E166</f>
        <v>1506</v>
      </c>
      <c r="K166" s="0" t="str">
        <f aca="false">IF(G166&lt;1000,"1-Low",IF(G166&lt;5000,"2-Medium","3-Bulk"))</f>
        <v>1-Low</v>
      </c>
      <c r="L166" s="0" t="str">
        <f aca="false">IF(H166="TRUE","Out of stock","In stock")</f>
        <v>In stock</v>
      </c>
      <c r="M166" s="0" t="str">
        <f aca="false">IF(D166&lt;5,"1) Under 5%",IF(D166&lt;10,"2) 5-9%",IF(D166&lt;15,"3) 10-14%",IF(D166&lt;25,"4) 15-24%","5) 25%+"))))</f>
        <v>5) 25%+</v>
      </c>
      <c r="N166" s="0" t="str">
        <f aca="false">IF(F166&lt;50,"1) Under Rs 50",IF(F166&lt;100,"2) Rs 50-99",IF(F166&lt;200,"3) Rs 100-199",IF(F166&lt;500,"4) Rs 200-499","5) Rs 500+"))))</f>
        <v>4) Rs 200-499</v>
      </c>
      <c r="O166" s="0" t="n">
        <f aca="false">G166*E166/1000</f>
        <v>1.5</v>
      </c>
    </row>
    <row r="167" customFormat="false" ht="15" hidden="false" customHeight="false" outlineLevel="0" collapsed="false">
      <c r="A167" s="0" t="s">
        <v>96</v>
      </c>
      <c r="B167" s="0" t="s">
        <v>297</v>
      </c>
      <c r="C167" s="0" t="n">
        <v>25</v>
      </c>
      <c r="D167" s="0" t="n">
        <v>0</v>
      </c>
      <c r="E167" s="0" t="n">
        <v>4</v>
      </c>
      <c r="F167" s="0" t="n">
        <v>25</v>
      </c>
      <c r="G167" s="0" t="n">
        <v>50</v>
      </c>
      <c r="H167" s="0" t="s">
        <v>145</v>
      </c>
      <c r="I167" s="0" t="n">
        <v>50</v>
      </c>
      <c r="J167" s="0" t="n">
        <f aca="false">F167*E167</f>
        <v>100</v>
      </c>
      <c r="K167" s="0" t="str">
        <f aca="false">IF(G167&lt;1000,"1-Low",IF(G167&lt;5000,"2-Medium","3-Bulk"))</f>
        <v>1-Low</v>
      </c>
      <c r="L167" s="0" t="str">
        <f aca="false">IF(H167="TRUE","Out of stock","In stock")</f>
        <v>In stock</v>
      </c>
      <c r="M167" s="0" t="str">
        <f aca="false">IF(D167&lt;5,"1) Under 5%",IF(D167&lt;10,"2) 5-9%",IF(D167&lt;15,"3) 10-14%",IF(D167&lt;25,"4) 15-24%","5) 25%+"))))</f>
        <v>1) Under 5%</v>
      </c>
      <c r="N167" s="0" t="str">
        <f aca="false">IF(F167&lt;50,"1) Under Rs 50",IF(F167&lt;100,"2) Rs 50-99",IF(F167&lt;200,"3) Rs 100-199",IF(F167&lt;500,"4) Rs 200-499","5) Rs 500+"))))</f>
        <v>1) Under Rs 50</v>
      </c>
      <c r="O167" s="0" t="n">
        <f aca="false">G167*E167/1000</f>
        <v>0.2</v>
      </c>
    </row>
    <row r="168" customFormat="false" ht="15" hidden="false" customHeight="false" outlineLevel="0" collapsed="false">
      <c r="A168" s="0" t="s">
        <v>96</v>
      </c>
      <c r="B168" s="0" t="s">
        <v>298</v>
      </c>
      <c r="C168" s="0" t="n">
        <v>235</v>
      </c>
      <c r="D168" s="0" t="n">
        <v>9</v>
      </c>
      <c r="E168" s="0" t="n">
        <v>6</v>
      </c>
      <c r="F168" s="0" t="n">
        <v>212</v>
      </c>
      <c r="G168" s="0" t="n">
        <v>500</v>
      </c>
      <c r="H168" s="0" t="s">
        <v>145</v>
      </c>
      <c r="I168" s="0" t="n">
        <v>500</v>
      </c>
      <c r="J168" s="0" t="n">
        <f aca="false">F168*E168</f>
        <v>1272</v>
      </c>
      <c r="K168" s="0" t="str">
        <f aca="false">IF(G168&lt;1000,"1-Low",IF(G168&lt;5000,"2-Medium","3-Bulk"))</f>
        <v>1-Low</v>
      </c>
      <c r="L168" s="0" t="str">
        <f aca="false">IF(H168="TRUE","Out of stock","In stock")</f>
        <v>In stock</v>
      </c>
      <c r="M168" s="0" t="str">
        <f aca="false">IF(D168&lt;5,"1) Under 5%",IF(D168&lt;10,"2) 5-9%",IF(D168&lt;15,"3) 10-14%",IF(D168&lt;25,"4) 15-24%","5) 25%+"))))</f>
        <v>2) 5-9%</v>
      </c>
      <c r="N168" s="0" t="str">
        <f aca="false">IF(F168&lt;50,"1) Under Rs 50",IF(F168&lt;100,"2) Rs 50-99",IF(F168&lt;200,"3) Rs 100-199",IF(F168&lt;500,"4) Rs 200-499","5) Rs 500+"))))</f>
        <v>4) Rs 200-499</v>
      </c>
      <c r="O168" s="0" t="n">
        <f aca="false">G168*E168/1000</f>
        <v>3</v>
      </c>
    </row>
    <row r="169" customFormat="false" ht="15" hidden="false" customHeight="false" outlineLevel="0" collapsed="false">
      <c r="A169" s="0" t="s">
        <v>96</v>
      </c>
      <c r="B169" s="0" t="s">
        <v>299</v>
      </c>
      <c r="C169" s="0" t="n">
        <v>85</v>
      </c>
      <c r="D169" s="0" t="n">
        <v>9</v>
      </c>
      <c r="E169" s="0" t="n">
        <v>6</v>
      </c>
      <c r="F169" s="0" t="n">
        <v>77</v>
      </c>
      <c r="G169" s="0" t="n">
        <v>500</v>
      </c>
      <c r="H169" s="0" t="s">
        <v>145</v>
      </c>
      <c r="I169" s="0" t="n">
        <v>500</v>
      </c>
      <c r="J169" s="0" t="n">
        <f aca="false">F169*E169</f>
        <v>462</v>
      </c>
      <c r="K169" s="0" t="str">
        <f aca="false">IF(G169&lt;1000,"1-Low",IF(G169&lt;5000,"2-Medium","3-Bulk"))</f>
        <v>1-Low</v>
      </c>
      <c r="L169" s="0" t="str">
        <f aca="false">IF(H169="TRUE","Out of stock","In stock")</f>
        <v>In stock</v>
      </c>
      <c r="M169" s="0" t="str">
        <f aca="false">IF(D169&lt;5,"1) Under 5%",IF(D169&lt;10,"2) 5-9%",IF(D169&lt;15,"3) 10-14%",IF(D169&lt;25,"4) 15-24%","5) 25%+"))))</f>
        <v>2) 5-9%</v>
      </c>
      <c r="N169" s="0" t="str">
        <f aca="false">IF(F169&lt;50,"1) Under Rs 50",IF(F169&lt;100,"2) Rs 50-99",IF(F169&lt;200,"3) Rs 100-199",IF(F169&lt;500,"4) Rs 200-499","5) Rs 500+"))))</f>
        <v>2) Rs 50-99</v>
      </c>
      <c r="O169" s="0" t="n">
        <f aca="false">G169*E169/1000</f>
        <v>3</v>
      </c>
    </row>
    <row r="170" customFormat="false" ht="15" hidden="false" customHeight="false" outlineLevel="0" collapsed="false">
      <c r="A170" s="0" t="s">
        <v>96</v>
      </c>
      <c r="B170" s="0" t="s">
        <v>292</v>
      </c>
      <c r="C170" s="0" t="n">
        <v>52</v>
      </c>
      <c r="D170" s="0" t="n">
        <v>0</v>
      </c>
      <c r="E170" s="0" t="n">
        <v>4</v>
      </c>
      <c r="F170" s="0" t="n">
        <v>52</v>
      </c>
      <c r="G170" s="0" t="n">
        <v>1000</v>
      </c>
      <c r="H170" s="0" t="s">
        <v>145</v>
      </c>
      <c r="I170" s="0" t="n">
        <v>1</v>
      </c>
      <c r="J170" s="0" t="n">
        <f aca="false">F170*E170</f>
        <v>208</v>
      </c>
      <c r="K170" s="0" t="str">
        <f aca="false">IF(G170&lt;1000,"1-Low",IF(G170&lt;5000,"2-Medium","3-Bulk"))</f>
        <v>2-Medium</v>
      </c>
      <c r="L170" s="0" t="str">
        <f aca="false">IF(H170="TRUE","Out of stock","In stock")</f>
        <v>In stock</v>
      </c>
      <c r="M170" s="0" t="str">
        <f aca="false">IF(D170&lt;5,"1) Under 5%",IF(D170&lt;10,"2) 5-9%",IF(D170&lt;15,"3) 10-14%",IF(D170&lt;25,"4) 15-24%","5) 25%+"))))</f>
        <v>1) Under 5%</v>
      </c>
      <c r="N170" s="0" t="str">
        <f aca="false">IF(F170&lt;50,"1) Under Rs 50",IF(F170&lt;100,"2) Rs 50-99",IF(F170&lt;200,"3) Rs 100-199",IF(F170&lt;500,"4) Rs 200-499","5) Rs 500+"))))</f>
        <v>2) Rs 50-99</v>
      </c>
      <c r="O170" s="0" t="n">
        <f aca="false">G170*E170/1000</f>
        <v>4</v>
      </c>
    </row>
    <row r="171" customFormat="false" ht="15" hidden="false" customHeight="false" outlineLevel="0" collapsed="false">
      <c r="A171" s="0" t="s">
        <v>96</v>
      </c>
      <c r="B171" s="0" t="s">
        <v>300</v>
      </c>
      <c r="C171" s="0" t="n">
        <v>45</v>
      </c>
      <c r="D171" s="0" t="n">
        <v>2</v>
      </c>
      <c r="E171" s="0" t="n">
        <v>6</v>
      </c>
      <c r="F171" s="0" t="n">
        <v>44</v>
      </c>
      <c r="G171" s="0" t="n">
        <v>100</v>
      </c>
      <c r="H171" s="0" t="s">
        <v>145</v>
      </c>
      <c r="I171" s="0" t="n">
        <v>100</v>
      </c>
      <c r="J171" s="0" t="n">
        <f aca="false">F171*E171</f>
        <v>264</v>
      </c>
      <c r="K171" s="0" t="str">
        <f aca="false">IF(G171&lt;1000,"1-Low",IF(G171&lt;5000,"2-Medium","3-Bulk"))</f>
        <v>1-Low</v>
      </c>
      <c r="L171" s="0" t="str">
        <f aca="false">IF(H171="TRUE","Out of stock","In stock")</f>
        <v>In stock</v>
      </c>
      <c r="M171" s="0" t="str">
        <f aca="false">IF(D171&lt;5,"1) Under 5%",IF(D171&lt;10,"2) 5-9%",IF(D171&lt;15,"3) 10-14%",IF(D171&lt;25,"4) 15-24%","5) 25%+"))))</f>
        <v>1) Under 5%</v>
      </c>
      <c r="N171" s="0" t="str">
        <f aca="false">IF(F171&lt;50,"1) Under Rs 50",IF(F171&lt;100,"2) Rs 50-99",IF(F171&lt;200,"3) Rs 100-199",IF(F171&lt;500,"4) Rs 200-499","5) Rs 500+"))))</f>
        <v>1) Under Rs 50</v>
      </c>
      <c r="O171" s="0" t="n">
        <f aca="false">G171*E171/1000</f>
        <v>0.6</v>
      </c>
    </row>
    <row r="172" customFormat="false" ht="15" hidden="false" customHeight="false" outlineLevel="0" collapsed="false">
      <c r="A172" s="0" t="s">
        <v>96</v>
      </c>
      <c r="B172" s="0" t="s">
        <v>301</v>
      </c>
      <c r="C172" s="0" t="n">
        <v>35</v>
      </c>
      <c r="D172" s="0" t="n">
        <v>2</v>
      </c>
      <c r="E172" s="0" t="n">
        <v>3</v>
      </c>
      <c r="F172" s="0" t="n">
        <v>34</v>
      </c>
      <c r="G172" s="0" t="n">
        <v>500</v>
      </c>
      <c r="H172" s="0" t="s">
        <v>145</v>
      </c>
      <c r="I172" s="0" t="n">
        <v>500</v>
      </c>
      <c r="J172" s="0" t="n">
        <f aca="false">F172*E172</f>
        <v>102</v>
      </c>
      <c r="K172" s="0" t="str">
        <f aca="false">IF(G172&lt;1000,"1-Low",IF(G172&lt;5000,"2-Medium","3-Bulk"))</f>
        <v>1-Low</v>
      </c>
      <c r="L172" s="0" t="str">
        <f aca="false">IF(H172="TRUE","Out of stock","In stock")</f>
        <v>In stock</v>
      </c>
      <c r="M172" s="0" t="str">
        <f aca="false">IF(D172&lt;5,"1) Under 5%",IF(D172&lt;10,"2) 5-9%",IF(D172&lt;15,"3) 10-14%",IF(D172&lt;25,"4) 15-24%","5) 25%+"))))</f>
        <v>1) Under 5%</v>
      </c>
      <c r="N172" s="0" t="str">
        <f aca="false">IF(F172&lt;50,"1) Under Rs 50",IF(F172&lt;100,"2) Rs 50-99",IF(F172&lt;200,"3) Rs 100-199",IF(F172&lt;500,"4) Rs 200-499","5) Rs 500+"))))</f>
        <v>1) Under Rs 50</v>
      </c>
      <c r="O172" s="0" t="n">
        <f aca="false">G172*E172/1000</f>
        <v>1.5</v>
      </c>
    </row>
    <row r="173" customFormat="false" ht="15" hidden="false" customHeight="false" outlineLevel="0" collapsed="false">
      <c r="A173" s="0" t="s">
        <v>96</v>
      </c>
      <c r="B173" s="0" t="s">
        <v>302</v>
      </c>
      <c r="C173" s="0" t="n">
        <v>245</v>
      </c>
      <c r="D173" s="0" t="n">
        <v>29</v>
      </c>
      <c r="E173" s="0" t="n">
        <v>6</v>
      </c>
      <c r="F173" s="0" t="n">
        <v>172</v>
      </c>
      <c r="G173" s="0" t="n">
        <v>200</v>
      </c>
      <c r="H173" s="0" t="s">
        <v>145</v>
      </c>
      <c r="I173" s="0" t="n">
        <v>200</v>
      </c>
      <c r="J173" s="0" t="n">
        <f aca="false">F173*E173</f>
        <v>1032</v>
      </c>
      <c r="K173" s="0" t="str">
        <f aca="false">IF(G173&lt;1000,"1-Low",IF(G173&lt;5000,"2-Medium","3-Bulk"))</f>
        <v>1-Low</v>
      </c>
      <c r="L173" s="0" t="str">
        <f aca="false">IF(H173="TRUE","Out of stock","In stock")</f>
        <v>In stock</v>
      </c>
      <c r="M173" s="0" t="str">
        <f aca="false">IF(D173&lt;5,"1) Under 5%",IF(D173&lt;10,"2) 5-9%",IF(D173&lt;15,"3) 10-14%",IF(D173&lt;25,"4) 15-24%","5) 25%+"))))</f>
        <v>5) 25%+</v>
      </c>
      <c r="N173" s="0" t="str">
        <f aca="false">IF(F173&lt;50,"1) Under Rs 50",IF(F173&lt;100,"2) Rs 50-99",IF(F173&lt;200,"3) Rs 100-199",IF(F173&lt;500,"4) Rs 200-499","5) Rs 500+"))))</f>
        <v>3) Rs 100-199</v>
      </c>
      <c r="O173" s="0" t="n">
        <f aca="false">G173*E173/1000</f>
        <v>1.2</v>
      </c>
    </row>
    <row r="174" customFormat="false" ht="15" hidden="false" customHeight="false" outlineLevel="0" collapsed="false">
      <c r="A174" s="0" t="s">
        <v>96</v>
      </c>
      <c r="B174" s="0" t="s">
        <v>303</v>
      </c>
      <c r="C174" s="0" t="n">
        <v>101</v>
      </c>
      <c r="D174" s="0" t="n">
        <v>6</v>
      </c>
      <c r="E174" s="0" t="n">
        <v>4</v>
      </c>
      <c r="F174" s="0" t="n">
        <v>94</v>
      </c>
      <c r="G174" s="0" t="n">
        <v>500</v>
      </c>
      <c r="H174" s="0" t="s">
        <v>145</v>
      </c>
      <c r="I174" s="0" t="n">
        <v>500</v>
      </c>
      <c r="J174" s="0" t="n">
        <f aca="false">F174*E174</f>
        <v>376</v>
      </c>
      <c r="K174" s="0" t="str">
        <f aca="false">IF(G174&lt;1000,"1-Low",IF(G174&lt;5000,"2-Medium","3-Bulk"))</f>
        <v>1-Low</v>
      </c>
      <c r="L174" s="0" t="str">
        <f aca="false">IF(H174="TRUE","Out of stock","In stock")</f>
        <v>In stock</v>
      </c>
      <c r="M174" s="0" t="str">
        <f aca="false">IF(D174&lt;5,"1) Under 5%",IF(D174&lt;10,"2) 5-9%",IF(D174&lt;15,"3) 10-14%",IF(D174&lt;25,"4) 15-24%","5) 25%+"))))</f>
        <v>2) 5-9%</v>
      </c>
      <c r="N174" s="0" t="str">
        <f aca="false">IF(F174&lt;50,"1) Under Rs 50",IF(F174&lt;100,"2) Rs 50-99",IF(F174&lt;200,"3) Rs 100-199",IF(F174&lt;500,"4) Rs 200-499","5) Rs 500+"))))</f>
        <v>2) Rs 50-99</v>
      </c>
      <c r="O174" s="0" t="n">
        <f aca="false">G174*E174/1000</f>
        <v>2</v>
      </c>
    </row>
    <row r="175" customFormat="false" ht="15" hidden="false" customHeight="false" outlineLevel="0" collapsed="false">
      <c r="A175" s="0" t="s">
        <v>96</v>
      </c>
      <c r="B175" s="0" t="s">
        <v>304</v>
      </c>
      <c r="C175" s="0" t="n">
        <v>325</v>
      </c>
      <c r="D175" s="0" t="n">
        <v>12</v>
      </c>
      <c r="E175" s="0" t="n">
        <v>6</v>
      </c>
      <c r="F175" s="0" t="n">
        <v>283</v>
      </c>
      <c r="G175" s="0" t="n">
        <v>250</v>
      </c>
      <c r="H175" s="0" t="s">
        <v>145</v>
      </c>
      <c r="I175" s="0" t="n">
        <v>250</v>
      </c>
      <c r="J175" s="0" t="n">
        <f aca="false">F175*E175</f>
        <v>1698</v>
      </c>
      <c r="K175" s="0" t="str">
        <f aca="false">IF(G175&lt;1000,"1-Low",IF(G175&lt;5000,"2-Medium","3-Bulk"))</f>
        <v>1-Low</v>
      </c>
      <c r="L175" s="0" t="str">
        <f aca="false">IF(H175="TRUE","Out of stock","In stock")</f>
        <v>In stock</v>
      </c>
      <c r="M175" s="0" t="str">
        <f aca="false">IF(D175&lt;5,"1) Under 5%",IF(D175&lt;10,"2) 5-9%",IF(D175&lt;15,"3) 10-14%",IF(D175&lt;25,"4) 15-24%","5) 25%+"))))</f>
        <v>3) 10-14%</v>
      </c>
      <c r="N175" s="0" t="str">
        <f aca="false">IF(F175&lt;50,"1) Under Rs 50",IF(F175&lt;100,"2) Rs 50-99",IF(F175&lt;200,"3) Rs 100-199",IF(F175&lt;500,"4) Rs 200-499","5) Rs 500+"))))</f>
        <v>4) Rs 200-499</v>
      </c>
      <c r="O175" s="0" t="n">
        <f aca="false">G175*E175/1000</f>
        <v>1.5</v>
      </c>
    </row>
    <row r="176" customFormat="false" ht="15" hidden="false" customHeight="false" outlineLevel="0" collapsed="false">
      <c r="A176" s="0" t="s">
        <v>96</v>
      </c>
      <c r="B176" s="0" t="s">
        <v>305</v>
      </c>
      <c r="C176" s="0" t="n">
        <v>60</v>
      </c>
      <c r="D176" s="0" t="n">
        <v>10</v>
      </c>
      <c r="E176" s="0" t="n">
        <v>6</v>
      </c>
      <c r="F176" s="0" t="n">
        <v>54</v>
      </c>
      <c r="G176" s="0" t="n">
        <v>500</v>
      </c>
      <c r="H176" s="0" t="s">
        <v>145</v>
      </c>
      <c r="I176" s="0" t="n">
        <v>500</v>
      </c>
      <c r="J176" s="0" t="n">
        <f aca="false">F176*E176</f>
        <v>324</v>
      </c>
      <c r="K176" s="0" t="str">
        <f aca="false">IF(G176&lt;1000,"1-Low",IF(G176&lt;5000,"2-Medium","3-Bulk"))</f>
        <v>1-Low</v>
      </c>
      <c r="L176" s="0" t="str">
        <f aca="false">IF(H176="TRUE","Out of stock","In stock")</f>
        <v>In stock</v>
      </c>
      <c r="M176" s="0" t="str">
        <f aca="false">IF(D176&lt;5,"1) Under 5%",IF(D176&lt;10,"2) 5-9%",IF(D176&lt;15,"3) 10-14%",IF(D176&lt;25,"4) 15-24%","5) 25%+"))))</f>
        <v>3) 10-14%</v>
      </c>
      <c r="N176" s="0" t="str">
        <f aca="false">IF(F176&lt;50,"1) Under Rs 50",IF(F176&lt;100,"2) Rs 50-99",IF(F176&lt;200,"3) Rs 100-199",IF(F176&lt;500,"4) Rs 200-499","5) Rs 500+"))))</f>
        <v>2) Rs 50-99</v>
      </c>
      <c r="O176" s="0" t="n">
        <f aca="false">G176*E176/1000</f>
        <v>3</v>
      </c>
    </row>
    <row r="177" customFormat="false" ht="15" hidden="false" customHeight="false" outlineLevel="0" collapsed="false">
      <c r="A177" s="0" t="s">
        <v>96</v>
      </c>
      <c r="B177" s="0" t="s">
        <v>306</v>
      </c>
      <c r="C177" s="0" t="n">
        <v>134</v>
      </c>
      <c r="D177" s="0" t="n">
        <v>6</v>
      </c>
      <c r="E177" s="0" t="n">
        <v>6</v>
      </c>
      <c r="F177" s="0" t="n">
        <v>125</v>
      </c>
      <c r="G177" s="0" t="n">
        <v>500</v>
      </c>
      <c r="H177" s="0" t="s">
        <v>145</v>
      </c>
      <c r="I177" s="0" t="n">
        <v>500</v>
      </c>
      <c r="J177" s="0" t="n">
        <f aca="false">F177*E177</f>
        <v>750</v>
      </c>
      <c r="K177" s="0" t="str">
        <f aca="false">IF(G177&lt;1000,"1-Low",IF(G177&lt;5000,"2-Medium","3-Bulk"))</f>
        <v>1-Low</v>
      </c>
      <c r="L177" s="0" t="str">
        <f aca="false">IF(H177="TRUE","Out of stock","In stock")</f>
        <v>In stock</v>
      </c>
      <c r="M177" s="0" t="str">
        <f aca="false">IF(D177&lt;5,"1) Under 5%",IF(D177&lt;10,"2) 5-9%",IF(D177&lt;15,"3) 10-14%",IF(D177&lt;25,"4) 15-24%","5) 25%+"))))</f>
        <v>2) 5-9%</v>
      </c>
      <c r="N177" s="0" t="str">
        <f aca="false">IF(F177&lt;50,"1) Under Rs 50",IF(F177&lt;100,"2) Rs 50-99",IF(F177&lt;200,"3) Rs 100-199",IF(F177&lt;500,"4) Rs 200-499","5) Rs 500+"))))</f>
        <v>3) Rs 100-199</v>
      </c>
      <c r="O177" s="0" t="n">
        <f aca="false">G177*E177/1000</f>
        <v>3</v>
      </c>
    </row>
    <row r="178" customFormat="false" ht="15" hidden="false" customHeight="false" outlineLevel="0" collapsed="false">
      <c r="A178" s="0" t="s">
        <v>96</v>
      </c>
      <c r="B178" s="0" t="s">
        <v>283</v>
      </c>
      <c r="C178" s="0" t="n">
        <v>42</v>
      </c>
      <c r="D178" s="0" t="n">
        <v>2</v>
      </c>
      <c r="E178" s="0" t="n">
        <v>2</v>
      </c>
      <c r="F178" s="0" t="n">
        <v>41</v>
      </c>
      <c r="G178" s="0" t="n">
        <v>50</v>
      </c>
      <c r="H178" s="0" t="s">
        <v>145</v>
      </c>
      <c r="I178" s="0" t="n">
        <v>50</v>
      </c>
      <c r="J178" s="0" t="n">
        <f aca="false">F178*E178</f>
        <v>82</v>
      </c>
      <c r="K178" s="0" t="str">
        <f aca="false">IF(G178&lt;1000,"1-Low",IF(G178&lt;5000,"2-Medium","3-Bulk"))</f>
        <v>1-Low</v>
      </c>
      <c r="L178" s="0" t="str">
        <f aca="false">IF(H178="TRUE","Out of stock","In stock")</f>
        <v>In stock</v>
      </c>
      <c r="M178" s="0" t="str">
        <f aca="false">IF(D178&lt;5,"1) Under 5%",IF(D178&lt;10,"2) 5-9%",IF(D178&lt;15,"3) 10-14%",IF(D178&lt;25,"4) 15-24%","5) 25%+"))))</f>
        <v>1) Under 5%</v>
      </c>
      <c r="N178" s="0" t="str">
        <f aca="false">IF(F178&lt;50,"1) Under Rs 50",IF(F178&lt;100,"2) Rs 50-99",IF(F178&lt;200,"3) Rs 100-199",IF(F178&lt;500,"4) Rs 200-499","5) Rs 500+"))))</f>
        <v>1) Under Rs 50</v>
      </c>
      <c r="O178" s="0" t="n">
        <f aca="false">G178*E178/1000</f>
        <v>0.1</v>
      </c>
    </row>
    <row r="179" customFormat="false" ht="15" hidden="false" customHeight="false" outlineLevel="0" collapsed="false">
      <c r="A179" s="0" t="s">
        <v>96</v>
      </c>
      <c r="B179" s="0" t="s">
        <v>307</v>
      </c>
      <c r="C179" s="0" t="n">
        <v>70</v>
      </c>
      <c r="D179" s="0" t="n">
        <v>14</v>
      </c>
      <c r="E179" s="0" t="n">
        <v>2</v>
      </c>
      <c r="F179" s="0" t="n">
        <v>60</v>
      </c>
      <c r="G179" s="0" t="n">
        <v>100</v>
      </c>
      <c r="H179" s="0" t="s">
        <v>145</v>
      </c>
      <c r="I179" s="0" t="n">
        <v>100</v>
      </c>
      <c r="J179" s="0" t="n">
        <f aca="false">F179*E179</f>
        <v>120</v>
      </c>
      <c r="K179" s="0" t="str">
        <f aca="false">IF(G179&lt;1000,"1-Low",IF(G179&lt;5000,"2-Medium","3-Bulk"))</f>
        <v>1-Low</v>
      </c>
      <c r="L179" s="0" t="str">
        <f aca="false">IF(H179="TRUE","Out of stock","In stock")</f>
        <v>In stock</v>
      </c>
      <c r="M179" s="0" t="str">
        <f aca="false">IF(D179&lt;5,"1) Under 5%",IF(D179&lt;10,"2) 5-9%",IF(D179&lt;15,"3) 10-14%",IF(D179&lt;25,"4) 15-24%","5) 25%+"))))</f>
        <v>3) 10-14%</v>
      </c>
      <c r="N179" s="0" t="str">
        <f aca="false">IF(F179&lt;50,"1) Under Rs 50",IF(F179&lt;100,"2) Rs 50-99",IF(F179&lt;200,"3) Rs 100-199",IF(F179&lt;500,"4) Rs 200-499","5) Rs 500+"))))</f>
        <v>2) Rs 50-99</v>
      </c>
      <c r="O179" s="0" t="n">
        <f aca="false">G179*E179/1000</f>
        <v>0.2</v>
      </c>
    </row>
    <row r="180" customFormat="false" ht="15" hidden="false" customHeight="false" outlineLevel="0" collapsed="false">
      <c r="A180" s="0" t="s">
        <v>96</v>
      </c>
      <c r="B180" s="0" t="s">
        <v>308</v>
      </c>
      <c r="C180" s="0" t="n">
        <v>70</v>
      </c>
      <c r="D180" s="0" t="n">
        <v>7</v>
      </c>
      <c r="E180" s="0" t="n">
        <v>2</v>
      </c>
      <c r="F180" s="0" t="n">
        <v>65</v>
      </c>
      <c r="G180" s="0" t="n">
        <v>100</v>
      </c>
      <c r="H180" s="0" t="s">
        <v>145</v>
      </c>
      <c r="I180" s="0" t="n">
        <v>100</v>
      </c>
      <c r="J180" s="0" t="n">
        <f aca="false">F180*E180</f>
        <v>130</v>
      </c>
      <c r="K180" s="0" t="str">
        <f aca="false">IF(G180&lt;1000,"1-Low",IF(G180&lt;5000,"2-Medium","3-Bulk"))</f>
        <v>1-Low</v>
      </c>
      <c r="L180" s="0" t="str">
        <f aca="false">IF(H180="TRUE","Out of stock","In stock")</f>
        <v>In stock</v>
      </c>
      <c r="M180" s="0" t="str">
        <f aca="false">IF(D180&lt;5,"1) Under 5%",IF(D180&lt;10,"2) 5-9%",IF(D180&lt;15,"3) 10-14%",IF(D180&lt;25,"4) 15-24%","5) 25%+"))))</f>
        <v>2) 5-9%</v>
      </c>
      <c r="N180" s="0" t="str">
        <f aca="false">IF(F180&lt;50,"1) Under Rs 50",IF(F180&lt;100,"2) Rs 50-99",IF(F180&lt;200,"3) Rs 100-199",IF(F180&lt;500,"4) Rs 200-499","5) Rs 500+"))))</f>
        <v>2) Rs 50-99</v>
      </c>
      <c r="O180" s="0" t="n">
        <f aca="false">G180*E180/1000</f>
        <v>0.2</v>
      </c>
    </row>
    <row r="181" customFormat="false" ht="15" hidden="false" customHeight="false" outlineLevel="0" collapsed="false">
      <c r="A181" s="0" t="s">
        <v>96</v>
      </c>
      <c r="B181" s="0" t="s">
        <v>309</v>
      </c>
      <c r="C181" s="0" t="n">
        <v>132</v>
      </c>
      <c r="D181" s="0" t="n">
        <v>3</v>
      </c>
      <c r="E181" s="0" t="n">
        <v>6</v>
      </c>
      <c r="F181" s="0" t="n">
        <v>128</v>
      </c>
      <c r="G181" s="0" t="n">
        <v>400</v>
      </c>
      <c r="H181" s="0" t="s">
        <v>145</v>
      </c>
      <c r="I181" s="0" t="n">
        <v>400</v>
      </c>
      <c r="J181" s="0" t="n">
        <f aca="false">F181*E181</f>
        <v>768</v>
      </c>
      <c r="K181" s="0" t="str">
        <f aca="false">IF(G181&lt;1000,"1-Low",IF(G181&lt;5000,"2-Medium","3-Bulk"))</f>
        <v>1-Low</v>
      </c>
      <c r="L181" s="0" t="str">
        <f aca="false">IF(H181="TRUE","Out of stock","In stock")</f>
        <v>In stock</v>
      </c>
      <c r="M181" s="0" t="str">
        <f aca="false">IF(D181&lt;5,"1) Under 5%",IF(D181&lt;10,"2) 5-9%",IF(D181&lt;15,"3) 10-14%",IF(D181&lt;25,"4) 15-24%","5) 25%+"))))</f>
        <v>1) Under 5%</v>
      </c>
      <c r="N181" s="0" t="str">
        <f aca="false">IF(F181&lt;50,"1) Under Rs 50",IF(F181&lt;100,"2) Rs 50-99",IF(F181&lt;200,"3) Rs 100-199",IF(F181&lt;500,"4) Rs 200-499","5) Rs 500+"))))</f>
        <v>3) Rs 100-199</v>
      </c>
      <c r="O181" s="0" t="n">
        <f aca="false">G181*E181/1000</f>
        <v>2.4</v>
      </c>
    </row>
    <row r="182" customFormat="false" ht="15" hidden="false" customHeight="false" outlineLevel="0" collapsed="false">
      <c r="A182" s="0" t="s">
        <v>96</v>
      </c>
      <c r="B182" s="0" t="s">
        <v>310</v>
      </c>
      <c r="C182" s="0" t="n">
        <v>65</v>
      </c>
      <c r="D182" s="0" t="n">
        <v>9</v>
      </c>
      <c r="E182" s="0" t="n">
        <v>6</v>
      </c>
      <c r="F182" s="0" t="n">
        <v>59</v>
      </c>
      <c r="G182" s="0" t="n">
        <v>1000</v>
      </c>
      <c r="H182" s="0" t="s">
        <v>145</v>
      </c>
      <c r="I182" s="0" t="n">
        <v>1</v>
      </c>
      <c r="J182" s="0" t="n">
        <f aca="false">F182*E182</f>
        <v>354</v>
      </c>
      <c r="K182" s="0" t="str">
        <f aca="false">IF(G182&lt;1000,"1-Low",IF(G182&lt;5000,"2-Medium","3-Bulk"))</f>
        <v>2-Medium</v>
      </c>
      <c r="L182" s="0" t="str">
        <f aca="false">IF(H182="TRUE","Out of stock","In stock")</f>
        <v>In stock</v>
      </c>
      <c r="M182" s="0" t="str">
        <f aca="false">IF(D182&lt;5,"1) Under 5%",IF(D182&lt;10,"2) 5-9%",IF(D182&lt;15,"3) 10-14%",IF(D182&lt;25,"4) 15-24%","5) 25%+"))))</f>
        <v>2) 5-9%</v>
      </c>
      <c r="N182" s="0" t="str">
        <f aca="false">IF(F182&lt;50,"1) Under Rs 50",IF(F182&lt;100,"2) Rs 50-99",IF(F182&lt;200,"3) Rs 100-199",IF(F182&lt;500,"4) Rs 200-499","5) Rs 500+"))))</f>
        <v>2) Rs 50-99</v>
      </c>
      <c r="O182" s="0" t="n">
        <f aca="false">G182*E182/1000</f>
        <v>6</v>
      </c>
    </row>
    <row r="183" customFormat="false" ht="15" hidden="false" customHeight="false" outlineLevel="0" collapsed="false">
      <c r="A183" s="0" t="s">
        <v>96</v>
      </c>
      <c r="B183" s="0" t="s">
        <v>311</v>
      </c>
      <c r="C183" s="0" t="n">
        <v>260</v>
      </c>
      <c r="D183" s="0" t="n">
        <v>20</v>
      </c>
      <c r="E183" s="0" t="n">
        <v>6</v>
      </c>
      <c r="F183" s="0" t="n">
        <v>208</v>
      </c>
      <c r="G183" s="0" t="n">
        <v>1000</v>
      </c>
      <c r="H183" s="0" t="s">
        <v>145</v>
      </c>
      <c r="I183" s="0" t="n">
        <v>1</v>
      </c>
      <c r="J183" s="0" t="n">
        <f aca="false">F183*E183</f>
        <v>1248</v>
      </c>
      <c r="K183" s="0" t="str">
        <f aca="false">IF(G183&lt;1000,"1-Low",IF(G183&lt;5000,"2-Medium","3-Bulk"))</f>
        <v>2-Medium</v>
      </c>
      <c r="L183" s="0" t="str">
        <f aca="false">IF(H183="TRUE","Out of stock","In stock")</f>
        <v>In stock</v>
      </c>
      <c r="M183" s="0" t="str">
        <f aca="false">IF(D183&lt;5,"1) Under 5%",IF(D183&lt;10,"2) 5-9%",IF(D183&lt;15,"3) 10-14%",IF(D183&lt;25,"4) 15-24%","5) 25%+"))))</f>
        <v>4) 15-24%</v>
      </c>
      <c r="N183" s="0" t="str">
        <f aca="false">IF(F183&lt;50,"1) Under Rs 50",IF(F183&lt;100,"2) Rs 50-99",IF(F183&lt;200,"3) Rs 100-199",IF(F183&lt;500,"4) Rs 200-499","5) Rs 500+"))))</f>
        <v>4) Rs 200-499</v>
      </c>
      <c r="O183" s="0" t="n">
        <f aca="false">G183*E183/1000</f>
        <v>6</v>
      </c>
    </row>
    <row r="184" customFormat="false" ht="15" hidden="false" customHeight="false" outlineLevel="0" collapsed="false">
      <c r="A184" s="0" t="s">
        <v>96</v>
      </c>
      <c r="B184" s="0" t="s">
        <v>312</v>
      </c>
      <c r="C184" s="0" t="n">
        <v>99</v>
      </c>
      <c r="D184" s="0" t="n">
        <v>10</v>
      </c>
      <c r="E184" s="0" t="n">
        <v>6</v>
      </c>
      <c r="F184" s="0" t="n">
        <v>89</v>
      </c>
      <c r="G184" s="0" t="n">
        <v>200</v>
      </c>
      <c r="H184" s="0" t="s">
        <v>145</v>
      </c>
      <c r="I184" s="0" t="n">
        <v>200</v>
      </c>
      <c r="J184" s="0" t="n">
        <f aca="false">F184*E184</f>
        <v>534</v>
      </c>
      <c r="K184" s="0" t="str">
        <f aca="false">IF(G184&lt;1000,"1-Low",IF(G184&lt;5000,"2-Medium","3-Bulk"))</f>
        <v>1-Low</v>
      </c>
      <c r="L184" s="0" t="str">
        <f aca="false">IF(H184="TRUE","Out of stock","In stock")</f>
        <v>In stock</v>
      </c>
      <c r="M184" s="0" t="str">
        <f aca="false">IF(D184&lt;5,"1) Under 5%",IF(D184&lt;10,"2) 5-9%",IF(D184&lt;15,"3) 10-14%",IF(D184&lt;25,"4) 15-24%","5) 25%+"))))</f>
        <v>3) 10-14%</v>
      </c>
      <c r="N184" s="0" t="str">
        <f aca="false">IF(F184&lt;50,"1) Under Rs 50",IF(F184&lt;100,"2) Rs 50-99",IF(F184&lt;200,"3) Rs 100-199",IF(F184&lt;500,"4) Rs 200-499","5) Rs 500+"))))</f>
        <v>2) Rs 50-99</v>
      </c>
      <c r="O184" s="0" t="n">
        <f aca="false">G184*E184/1000</f>
        <v>1.2</v>
      </c>
    </row>
    <row r="185" customFormat="false" ht="15" hidden="false" customHeight="false" outlineLevel="0" collapsed="false">
      <c r="A185" s="0" t="s">
        <v>96</v>
      </c>
      <c r="B185" s="0" t="s">
        <v>313</v>
      </c>
      <c r="C185" s="0" t="n">
        <v>65</v>
      </c>
      <c r="D185" s="0" t="n">
        <v>10</v>
      </c>
      <c r="E185" s="0" t="n">
        <v>3</v>
      </c>
      <c r="F185" s="0" t="n">
        <v>58</v>
      </c>
      <c r="G185" s="0" t="n">
        <v>500</v>
      </c>
      <c r="H185" s="0" t="s">
        <v>145</v>
      </c>
      <c r="I185" s="0" t="n">
        <v>500</v>
      </c>
      <c r="J185" s="0" t="n">
        <f aca="false">F185*E185</f>
        <v>174</v>
      </c>
      <c r="K185" s="0" t="str">
        <f aca="false">IF(G185&lt;1000,"1-Low",IF(G185&lt;5000,"2-Medium","3-Bulk"))</f>
        <v>1-Low</v>
      </c>
      <c r="L185" s="0" t="str">
        <f aca="false">IF(H185="TRUE","Out of stock","In stock")</f>
        <v>In stock</v>
      </c>
      <c r="M185" s="0" t="str">
        <f aca="false">IF(D185&lt;5,"1) Under 5%",IF(D185&lt;10,"2) 5-9%",IF(D185&lt;15,"3) 10-14%",IF(D185&lt;25,"4) 15-24%","5) 25%+"))))</f>
        <v>3) 10-14%</v>
      </c>
      <c r="N185" s="0" t="str">
        <f aca="false">IF(F185&lt;50,"1) Under Rs 50",IF(F185&lt;100,"2) Rs 50-99",IF(F185&lt;200,"3) Rs 100-199",IF(F185&lt;500,"4) Rs 200-499","5) Rs 500+"))))</f>
        <v>2) Rs 50-99</v>
      </c>
      <c r="O185" s="0" t="n">
        <f aca="false">G185*E185/1000</f>
        <v>1.5</v>
      </c>
    </row>
    <row r="186" customFormat="false" ht="15" hidden="false" customHeight="false" outlineLevel="0" collapsed="false">
      <c r="A186" s="0" t="s">
        <v>96</v>
      </c>
      <c r="B186" s="0" t="s">
        <v>314</v>
      </c>
      <c r="C186" s="0" t="n">
        <v>135</v>
      </c>
      <c r="D186" s="0" t="n">
        <v>7</v>
      </c>
      <c r="E186" s="0" t="n">
        <v>1</v>
      </c>
      <c r="F186" s="0" t="n">
        <v>125</v>
      </c>
      <c r="G186" s="0" t="n">
        <v>500</v>
      </c>
      <c r="H186" s="0" t="s">
        <v>145</v>
      </c>
      <c r="I186" s="0" t="n">
        <v>500</v>
      </c>
      <c r="J186" s="0" t="n">
        <f aca="false">F186*E186</f>
        <v>125</v>
      </c>
      <c r="K186" s="0" t="str">
        <f aca="false">IF(G186&lt;1000,"1-Low",IF(G186&lt;5000,"2-Medium","3-Bulk"))</f>
        <v>1-Low</v>
      </c>
      <c r="L186" s="0" t="str">
        <f aca="false">IF(H186="TRUE","Out of stock","In stock")</f>
        <v>In stock</v>
      </c>
      <c r="M186" s="0" t="str">
        <f aca="false">IF(D186&lt;5,"1) Under 5%",IF(D186&lt;10,"2) 5-9%",IF(D186&lt;15,"3) 10-14%",IF(D186&lt;25,"4) 15-24%","5) 25%+"))))</f>
        <v>2) 5-9%</v>
      </c>
      <c r="N186" s="0" t="str">
        <f aca="false">IF(F186&lt;50,"1) Under Rs 50",IF(F186&lt;100,"2) Rs 50-99",IF(F186&lt;200,"3) Rs 100-199",IF(F186&lt;500,"4) Rs 200-499","5) Rs 500+"))))</f>
        <v>3) Rs 100-199</v>
      </c>
      <c r="O186" s="0" t="n">
        <f aca="false">G186*E186/1000</f>
        <v>0.5</v>
      </c>
    </row>
    <row r="187" customFormat="false" ht="15" hidden="false" customHeight="false" outlineLevel="0" collapsed="false">
      <c r="A187" s="0" t="s">
        <v>96</v>
      </c>
      <c r="B187" s="0" t="s">
        <v>315</v>
      </c>
      <c r="C187" s="0" t="n">
        <v>90</v>
      </c>
      <c r="D187" s="0" t="n">
        <v>10</v>
      </c>
      <c r="E187" s="0" t="n">
        <v>2</v>
      </c>
      <c r="F187" s="0" t="n">
        <v>81</v>
      </c>
      <c r="G187" s="0" t="n">
        <v>50</v>
      </c>
      <c r="H187" s="0" t="s">
        <v>145</v>
      </c>
      <c r="I187" s="0" t="n">
        <v>50</v>
      </c>
      <c r="J187" s="0" t="n">
        <f aca="false">F187*E187</f>
        <v>162</v>
      </c>
      <c r="K187" s="0" t="str">
        <f aca="false">IF(G187&lt;1000,"1-Low",IF(G187&lt;5000,"2-Medium","3-Bulk"))</f>
        <v>1-Low</v>
      </c>
      <c r="L187" s="0" t="str">
        <f aca="false">IF(H187="TRUE","Out of stock","In stock")</f>
        <v>In stock</v>
      </c>
      <c r="M187" s="0" t="str">
        <f aca="false">IF(D187&lt;5,"1) Under 5%",IF(D187&lt;10,"2) 5-9%",IF(D187&lt;15,"3) 10-14%",IF(D187&lt;25,"4) 15-24%","5) 25%+"))))</f>
        <v>3) 10-14%</v>
      </c>
      <c r="N187" s="0" t="str">
        <f aca="false">IF(F187&lt;50,"1) Under Rs 50",IF(F187&lt;100,"2) Rs 50-99",IF(F187&lt;200,"3) Rs 100-199",IF(F187&lt;500,"4) Rs 200-499","5) Rs 500+"))))</f>
        <v>2) Rs 50-99</v>
      </c>
      <c r="O187" s="0" t="n">
        <f aca="false">G187*E187/1000</f>
        <v>0.1</v>
      </c>
    </row>
    <row r="188" customFormat="false" ht="15" hidden="false" customHeight="false" outlineLevel="0" collapsed="false">
      <c r="A188" s="0" t="s">
        <v>96</v>
      </c>
      <c r="B188" s="0" t="s">
        <v>316</v>
      </c>
      <c r="C188" s="0" t="n">
        <v>135</v>
      </c>
      <c r="D188" s="0" t="n">
        <v>14</v>
      </c>
      <c r="E188" s="0" t="n">
        <v>6</v>
      </c>
      <c r="F188" s="0" t="n">
        <v>115</v>
      </c>
      <c r="G188" s="0" t="n">
        <v>100</v>
      </c>
      <c r="H188" s="0" t="s">
        <v>145</v>
      </c>
      <c r="I188" s="0" t="n">
        <v>100</v>
      </c>
      <c r="J188" s="0" t="n">
        <f aca="false">F188*E188</f>
        <v>690</v>
      </c>
      <c r="K188" s="0" t="str">
        <f aca="false">IF(G188&lt;1000,"1-Low",IF(G188&lt;5000,"2-Medium","3-Bulk"))</f>
        <v>1-Low</v>
      </c>
      <c r="L188" s="0" t="str">
        <f aca="false">IF(H188="TRUE","Out of stock","In stock")</f>
        <v>In stock</v>
      </c>
      <c r="M188" s="0" t="str">
        <f aca="false">IF(D188&lt;5,"1) Under 5%",IF(D188&lt;10,"2) 5-9%",IF(D188&lt;15,"3) 10-14%",IF(D188&lt;25,"4) 15-24%","5) 25%+"))))</f>
        <v>3) 10-14%</v>
      </c>
      <c r="N188" s="0" t="str">
        <f aca="false">IF(F188&lt;50,"1) Under Rs 50",IF(F188&lt;100,"2) Rs 50-99",IF(F188&lt;200,"3) Rs 100-199",IF(F188&lt;500,"4) Rs 200-499","5) Rs 500+"))))</f>
        <v>3) Rs 100-199</v>
      </c>
      <c r="O188" s="0" t="n">
        <f aca="false">G188*E188/1000</f>
        <v>0.6</v>
      </c>
    </row>
    <row r="189" customFormat="false" ht="15" hidden="false" customHeight="false" outlineLevel="0" collapsed="false">
      <c r="A189" s="0" t="s">
        <v>96</v>
      </c>
      <c r="B189" s="0" t="s">
        <v>317</v>
      </c>
      <c r="C189" s="0" t="n">
        <v>150</v>
      </c>
      <c r="D189" s="0" t="n">
        <v>10</v>
      </c>
      <c r="E189" s="0" t="n">
        <v>4</v>
      </c>
      <c r="F189" s="0" t="n">
        <v>134</v>
      </c>
      <c r="G189" s="0" t="n">
        <v>1000</v>
      </c>
      <c r="H189" s="0" t="s">
        <v>145</v>
      </c>
      <c r="I189" s="0" t="n">
        <v>1</v>
      </c>
      <c r="J189" s="0" t="n">
        <f aca="false">F189*E189</f>
        <v>536</v>
      </c>
      <c r="K189" s="0" t="str">
        <f aca="false">IF(G189&lt;1000,"1-Low",IF(G189&lt;5000,"2-Medium","3-Bulk"))</f>
        <v>2-Medium</v>
      </c>
      <c r="L189" s="0" t="str">
        <f aca="false">IF(H189="TRUE","Out of stock","In stock")</f>
        <v>In stock</v>
      </c>
      <c r="M189" s="0" t="str">
        <f aca="false">IF(D189&lt;5,"1) Under 5%",IF(D189&lt;10,"2) 5-9%",IF(D189&lt;15,"3) 10-14%",IF(D189&lt;25,"4) 15-24%","5) 25%+"))))</f>
        <v>3) 10-14%</v>
      </c>
      <c r="N189" s="0" t="str">
        <f aca="false">IF(F189&lt;50,"1) Under Rs 50",IF(F189&lt;100,"2) Rs 50-99",IF(F189&lt;200,"3) Rs 100-199",IF(F189&lt;500,"4) Rs 200-499","5) Rs 500+"))))</f>
        <v>3) Rs 100-199</v>
      </c>
      <c r="O189" s="0" t="n">
        <f aca="false">G189*E189/1000</f>
        <v>4</v>
      </c>
    </row>
    <row r="190" customFormat="false" ht="15" hidden="false" customHeight="false" outlineLevel="0" collapsed="false">
      <c r="A190" s="0" t="s">
        <v>96</v>
      </c>
      <c r="B190" s="0" t="s">
        <v>318</v>
      </c>
      <c r="C190" s="0" t="n">
        <v>95</v>
      </c>
      <c r="D190" s="0" t="n">
        <v>7</v>
      </c>
      <c r="E190" s="0" t="n">
        <v>5</v>
      </c>
      <c r="F190" s="0" t="n">
        <v>88</v>
      </c>
      <c r="G190" s="0" t="n">
        <v>500</v>
      </c>
      <c r="H190" s="0" t="s">
        <v>145</v>
      </c>
      <c r="I190" s="0" t="n">
        <v>500</v>
      </c>
      <c r="J190" s="0" t="n">
        <f aca="false">F190*E190</f>
        <v>440</v>
      </c>
      <c r="K190" s="0" t="str">
        <f aca="false">IF(G190&lt;1000,"1-Low",IF(G190&lt;5000,"2-Medium","3-Bulk"))</f>
        <v>1-Low</v>
      </c>
      <c r="L190" s="0" t="str">
        <f aca="false">IF(H190="TRUE","Out of stock","In stock")</f>
        <v>In stock</v>
      </c>
      <c r="M190" s="0" t="str">
        <f aca="false">IF(D190&lt;5,"1) Under 5%",IF(D190&lt;10,"2) 5-9%",IF(D190&lt;15,"3) 10-14%",IF(D190&lt;25,"4) 15-24%","5) 25%+"))))</f>
        <v>2) 5-9%</v>
      </c>
      <c r="N190" s="0" t="str">
        <f aca="false">IF(F190&lt;50,"1) Under Rs 50",IF(F190&lt;100,"2) Rs 50-99",IF(F190&lt;200,"3) Rs 100-199",IF(F190&lt;500,"4) Rs 200-499","5) Rs 500+"))))</f>
        <v>2) Rs 50-99</v>
      </c>
      <c r="O190" s="0" t="n">
        <f aca="false">G190*E190/1000</f>
        <v>2.5</v>
      </c>
    </row>
    <row r="191" customFormat="false" ht="15" hidden="false" customHeight="false" outlineLevel="0" collapsed="false">
      <c r="A191" s="0" t="s">
        <v>96</v>
      </c>
      <c r="B191" s="0" t="s">
        <v>272</v>
      </c>
      <c r="C191" s="0" t="n">
        <v>199</v>
      </c>
      <c r="D191" s="0" t="n">
        <v>7</v>
      </c>
      <c r="E191" s="0" t="n">
        <v>6</v>
      </c>
      <c r="F191" s="0" t="n">
        <v>184</v>
      </c>
      <c r="G191" s="0" t="n">
        <v>1000</v>
      </c>
      <c r="H191" s="0" t="s">
        <v>145</v>
      </c>
      <c r="I191" s="0" t="n">
        <v>1</v>
      </c>
      <c r="J191" s="0" t="n">
        <f aca="false">F191*E191</f>
        <v>1104</v>
      </c>
      <c r="K191" s="0" t="str">
        <f aca="false">IF(G191&lt;1000,"1-Low",IF(G191&lt;5000,"2-Medium","3-Bulk"))</f>
        <v>2-Medium</v>
      </c>
      <c r="L191" s="0" t="str">
        <f aca="false">IF(H191="TRUE","Out of stock","In stock")</f>
        <v>In stock</v>
      </c>
      <c r="M191" s="0" t="str">
        <f aca="false">IF(D191&lt;5,"1) Under 5%",IF(D191&lt;10,"2) 5-9%",IF(D191&lt;15,"3) 10-14%",IF(D191&lt;25,"4) 15-24%","5) 25%+"))))</f>
        <v>2) 5-9%</v>
      </c>
      <c r="N191" s="0" t="str">
        <f aca="false">IF(F191&lt;50,"1) Under Rs 50",IF(F191&lt;100,"2) Rs 50-99",IF(F191&lt;200,"3) Rs 100-199",IF(F191&lt;500,"4) Rs 200-499","5) Rs 500+"))))</f>
        <v>3) Rs 100-199</v>
      </c>
      <c r="O191" s="0" t="n">
        <f aca="false">G191*E191/1000</f>
        <v>6</v>
      </c>
    </row>
    <row r="192" customFormat="false" ht="15" hidden="false" customHeight="false" outlineLevel="0" collapsed="false">
      <c r="A192" s="0" t="s">
        <v>96</v>
      </c>
      <c r="B192" s="0" t="s">
        <v>319</v>
      </c>
      <c r="C192" s="0" t="n">
        <v>485</v>
      </c>
      <c r="D192" s="0" t="n">
        <v>7</v>
      </c>
      <c r="E192" s="0" t="n">
        <v>6</v>
      </c>
      <c r="F192" s="0" t="n">
        <v>449</v>
      </c>
      <c r="G192" s="0" t="n">
        <v>2000</v>
      </c>
      <c r="H192" s="0" t="s">
        <v>145</v>
      </c>
      <c r="I192" s="0" t="n">
        <v>2</v>
      </c>
      <c r="J192" s="0" t="n">
        <f aca="false">F192*E192</f>
        <v>2694</v>
      </c>
      <c r="K192" s="0" t="str">
        <f aca="false">IF(G192&lt;1000,"1-Low",IF(G192&lt;5000,"2-Medium","3-Bulk"))</f>
        <v>2-Medium</v>
      </c>
      <c r="L192" s="0" t="str">
        <f aca="false">IF(H192="TRUE","Out of stock","In stock")</f>
        <v>In stock</v>
      </c>
      <c r="M192" s="0" t="str">
        <f aca="false">IF(D192&lt;5,"1) Under 5%",IF(D192&lt;10,"2) 5-9%",IF(D192&lt;15,"3) 10-14%",IF(D192&lt;25,"4) 15-24%","5) 25%+"))))</f>
        <v>2) 5-9%</v>
      </c>
      <c r="N192" s="0" t="str">
        <f aca="false">IF(F192&lt;50,"1) Under Rs 50",IF(F192&lt;100,"2) Rs 50-99",IF(F192&lt;200,"3) Rs 100-199",IF(F192&lt;500,"4) Rs 200-499","5) Rs 500+"))))</f>
        <v>4) Rs 200-499</v>
      </c>
      <c r="O192" s="0" t="n">
        <f aca="false">G192*E192/1000</f>
        <v>12</v>
      </c>
    </row>
    <row r="193" customFormat="false" ht="15" hidden="false" customHeight="false" outlineLevel="0" collapsed="false">
      <c r="A193" s="0" t="s">
        <v>96</v>
      </c>
      <c r="B193" s="0" t="s">
        <v>320</v>
      </c>
      <c r="C193" s="0" t="n">
        <v>210</v>
      </c>
      <c r="D193" s="0" t="n">
        <v>0</v>
      </c>
      <c r="E193" s="0" t="n">
        <v>4</v>
      </c>
      <c r="F193" s="0" t="n">
        <v>210</v>
      </c>
      <c r="G193" s="0" t="n">
        <v>400</v>
      </c>
      <c r="H193" s="0" t="s">
        <v>145</v>
      </c>
      <c r="I193" s="0" t="n">
        <v>400</v>
      </c>
      <c r="J193" s="0" t="n">
        <f aca="false">F193*E193</f>
        <v>840</v>
      </c>
      <c r="K193" s="0" t="str">
        <f aca="false">IF(G193&lt;1000,"1-Low",IF(G193&lt;5000,"2-Medium","3-Bulk"))</f>
        <v>1-Low</v>
      </c>
      <c r="L193" s="0" t="str">
        <f aca="false">IF(H193="TRUE","Out of stock","In stock")</f>
        <v>In stock</v>
      </c>
      <c r="M193" s="0" t="str">
        <f aca="false">IF(D193&lt;5,"1) Under 5%",IF(D193&lt;10,"2) 5-9%",IF(D193&lt;15,"3) 10-14%",IF(D193&lt;25,"4) 15-24%","5) 25%+"))))</f>
        <v>1) Under 5%</v>
      </c>
      <c r="N193" s="0" t="str">
        <f aca="false">IF(F193&lt;50,"1) Under Rs 50",IF(F193&lt;100,"2) Rs 50-99",IF(F193&lt;200,"3) Rs 100-199",IF(F193&lt;500,"4) Rs 200-499","5) Rs 500+"))))</f>
        <v>4) Rs 200-499</v>
      </c>
      <c r="O193" s="0" t="n">
        <f aca="false">G193*E193/1000</f>
        <v>1.6</v>
      </c>
    </row>
    <row r="194" customFormat="false" ht="15" hidden="false" customHeight="false" outlineLevel="0" collapsed="false">
      <c r="A194" s="0" t="s">
        <v>96</v>
      </c>
      <c r="B194" s="0" t="s">
        <v>321</v>
      </c>
      <c r="C194" s="0" t="n">
        <v>75</v>
      </c>
      <c r="D194" s="0" t="n">
        <v>8</v>
      </c>
      <c r="E194" s="0" t="n">
        <v>1</v>
      </c>
      <c r="F194" s="0" t="n">
        <v>69</v>
      </c>
      <c r="G194" s="0" t="n">
        <v>500</v>
      </c>
      <c r="H194" s="0" t="s">
        <v>145</v>
      </c>
      <c r="I194" s="0" t="n">
        <v>500</v>
      </c>
      <c r="J194" s="0" t="n">
        <f aca="false">F194*E194</f>
        <v>69</v>
      </c>
      <c r="K194" s="0" t="str">
        <f aca="false">IF(G194&lt;1000,"1-Low",IF(G194&lt;5000,"2-Medium","3-Bulk"))</f>
        <v>1-Low</v>
      </c>
      <c r="L194" s="0" t="str">
        <f aca="false">IF(H194="TRUE","Out of stock","In stock")</f>
        <v>In stock</v>
      </c>
      <c r="M194" s="0" t="str">
        <f aca="false">IF(D194&lt;5,"1) Under 5%",IF(D194&lt;10,"2) 5-9%",IF(D194&lt;15,"3) 10-14%",IF(D194&lt;25,"4) 15-24%","5) 25%+"))))</f>
        <v>2) 5-9%</v>
      </c>
      <c r="N194" s="0" t="str">
        <f aca="false">IF(F194&lt;50,"1) Under Rs 50",IF(F194&lt;100,"2) Rs 50-99",IF(F194&lt;200,"3) Rs 100-199",IF(F194&lt;500,"4) Rs 200-499","5) Rs 500+"))))</f>
        <v>2) Rs 50-99</v>
      </c>
      <c r="O194" s="0" t="n">
        <f aca="false">G194*E194/1000</f>
        <v>0.5</v>
      </c>
    </row>
    <row r="195" customFormat="false" ht="15" hidden="false" customHeight="false" outlineLevel="0" collapsed="false">
      <c r="A195" s="0" t="s">
        <v>96</v>
      </c>
      <c r="B195" s="0" t="s">
        <v>322</v>
      </c>
      <c r="C195" s="0" t="n">
        <v>98</v>
      </c>
      <c r="D195" s="0" t="n">
        <v>9</v>
      </c>
      <c r="E195" s="0" t="n">
        <v>5</v>
      </c>
      <c r="F195" s="0" t="n">
        <v>89</v>
      </c>
      <c r="G195" s="0" t="n">
        <v>100</v>
      </c>
      <c r="H195" s="0" t="s">
        <v>145</v>
      </c>
      <c r="I195" s="0" t="n">
        <v>100</v>
      </c>
      <c r="J195" s="0" t="n">
        <f aca="false">F195*E195</f>
        <v>445</v>
      </c>
      <c r="K195" s="0" t="str">
        <f aca="false">IF(G195&lt;1000,"1-Low",IF(G195&lt;5000,"2-Medium","3-Bulk"))</f>
        <v>1-Low</v>
      </c>
      <c r="L195" s="0" t="str">
        <f aca="false">IF(H195="TRUE","Out of stock","In stock")</f>
        <v>In stock</v>
      </c>
      <c r="M195" s="0" t="str">
        <f aca="false">IF(D195&lt;5,"1) Under 5%",IF(D195&lt;10,"2) 5-9%",IF(D195&lt;15,"3) 10-14%",IF(D195&lt;25,"4) 15-24%","5) 25%+"))))</f>
        <v>2) 5-9%</v>
      </c>
      <c r="N195" s="0" t="str">
        <f aca="false">IF(F195&lt;50,"1) Under Rs 50",IF(F195&lt;100,"2) Rs 50-99",IF(F195&lt;200,"3) Rs 100-199",IF(F195&lt;500,"4) Rs 200-499","5) Rs 500+"))))</f>
        <v>2) Rs 50-99</v>
      </c>
      <c r="O195" s="0" t="n">
        <f aca="false">G195*E195/1000</f>
        <v>0.5</v>
      </c>
    </row>
    <row r="196" customFormat="false" ht="15" hidden="false" customHeight="false" outlineLevel="0" collapsed="false">
      <c r="A196" s="0" t="s">
        <v>96</v>
      </c>
      <c r="B196" s="0" t="s">
        <v>323</v>
      </c>
      <c r="C196" s="0" t="n">
        <v>94</v>
      </c>
      <c r="D196" s="0" t="n">
        <v>4</v>
      </c>
      <c r="E196" s="0" t="n">
        <v>6</v>
      </c>
      <c r="F196" s="0" t="n">
        <v>90</v>
      </c>
      <c r="G196" s="0" t="n">
        <v>500</v>
      </c>
      <c r="H196" s="0" t="s">
        <v>145</v>
      </c>
      <c r="I196" s="0" t="n">
        <v>500</v>
      </c>
      <c r="J196" s="0" t="n">
        <f aca="false">F196*E196</f>
        <v>540</v>
      </c>
      <c r="K196" s="0" t="str">
        <f aca="false">IF(G196&lt;1000,"1-Low",IF(G196&lt;5000,"2-Medium","3-Bulk"))</f>
        <v>1-Low</v>
      </c>
      <c r="L196" s="0" t="str">
        <f aca="false">IF(H196="TRUE","Out of stock","In stock")</f>
        <v>In stock</v>
      </c>
      <c r="M196" s="0" t="str">
        <f aca="false">IF(D196&lt;5,"1) Under 5%",IF(D196&lt;10,"2) 5-9%",IF(D196&lt;15,"3) 10-14%",IF(D196&lt;25,"4) 15-24%","5) 25%+"))))</f>
        <v>1) Under 5%</v>
      </c>
      <c r="N196" s="0" t="str">
        <f aca="false">IF(F196&lt;50,"1) Under Rs 50",IF(F196&lt;100,"2) Rs 50-99",IF(F196&lt;200,"3) Rs 100-199",IF(F196&lt;500,"4) Rs 200-499","5) Rs 500+"))))</f>
        <v>2) Rs 50-99</v>
      </c>
      <c r="O196" s="0" t="n">
        <f aca="false">G196*E196/1000</f>
        <v>3</v>
      </c>
    </row>
    <row r="197" customFormat="false" ht="15" hidden="false" customHeight="false" outlineLevel="0" collapsed="false">
      <c r="A197" s="0" t="s">
        <v>96</v>
      </c>
      <c r="B197" s="0" t="s">
        <v>324</v>
      </c>
      <c r="C197" s="0" t="n">
        <v>30</v>
      </c>
      <c r="D197" s="0" t="n">
        <v>6</v>
      </c>
      <c r="E197" s="0" t="n">
        <v>6</v>
      </c>
      <c r="F197" s="0" t="n">
        <v>28</v>
      </c>
      <c r="G197" s="0" t="n">
        <v>500</v>
      </c>
      <c r="H197" s="0" t="s">
        <v>145</v>
      </c>
      <c r="I197" s="0" t="n">
        <v>500</v>
      </c>
      <c r="J197" s="0" t="n">
        <f aca="false">F197*E197</f>
        <v>168</v>
      </c>
      <c r="K197" s="0" t="str">
        <f aca="false">IF(G197&lt;1000,"1-Low",IF(G197&lt;5000,"2-Medium","3-Bulk"))</f>
        <v>1-Low</v>
      </c>
      <c r="L197" s="0" t="str">
        <f aca="false">IF(H197="TRUE","Out of stock","In stock")</f>
        <v>In stock</v>
      </c>
      <c r="M197" s="0" t="str">
        <f aca="false">IF(D197&lt;5,"1) Under 5%",IF(D197&lt;10,"2) 5-9%",IF(D197&lt;15,"3) 10-14%",IF(D197&lt;25,"4) 15-24%","5) 25%+"))))</f>
        <v>2) 5-9%</v>
      </c>
      <c r="N197" s="0" t="str">
        <f aca="false">IF(F197&lt;50,"1) Under Rs 50",IF(F197&lt;100,"2) Rs 50-99",IF(F197&lt;200,"3) Rs 100-199",IF(F197&lt;500,"4) Rs 200-499","5) Rs 500+"))))</f>
        <v>1) Under Rs 50</v>
      </c>
      <c r="O197" s="0" t="n">
        <f aca="false">G197*E197/1000</f>
        <v>3</v>
      </c>
    </row>
    <row r="198" customFormat="false" ht="15" hidden="false" customHeight="false" outlineLevel="0" collapsed="false">
      <c r="A198" s="0" t="s">
        <v>96</v>
      </c>
      <c r="B198" s="0" t="s">
        <v>325</v>
      </c>
      <c r="C198" s="0" t="n">
        <v>95</v>
      </c>
      <c r="D198" s="0" t="n">
        <v>9</v>
      </c>
      <c r="E198" s="0" t="n">
        <v>6</v>
      </c>
      <c r="F198" s="0" t="n">
        <v>86</v>
      </c>
      <c r="G198" s="0" t="n">
        <v>200</v>
      </c>
      <c r="H198" s="0" t="s">
        <v>145</v>
      </c>
      <c r="I198" s="0" t="n">
        <v>200</v>
      </c>
      <c r="J198" s="0" t="n">
        <f aca="false">F198*E198</f>
        <v>516</v>
      </c>
      <c r="K198" s="0" t="str">
        <f aca="false">IF(G198&lt;1000,"1-Low",IF(G198&lt;5000,"2-Medium","3-Bulk"))</f>
        <v>1-Low</v>
      </c>
      <c r="L198" s="0" t="str">
        <f aca="false">IF(H198="TRUE","Out of stock","In stock")</f>
        <v>In stock</v>
      </c>
      <c r="M198" s="0" t="str">
        <f aca="false">IF(D198&lt;5,"1) Under 5%",IF(D198&lt;10,"2) 5-9%",IF(D198&lt;15,"3) 10-14%",IF(D198&lt;25,"4) 15-24%","5) 25%+"))))</f>
        <v>2) 5-9%</v>
      </c>
      <c r="N198" s="0" t="str">
        <f aca="false">IF(F198&lt;50,"1) Under Rs 50",IF(F198&lt;100,"2) Rs 50-99",IF(F198&lt;200,"3) Rs 100-199",IF(F198&lt;500,"4) Rs 200-499","5) Rs 500+"))))</f>
        <v>2) Rs 50-99</v>
      </c>
      <c r="O198" s="0" t="n">
        <f aca="false">G198*E198/1000</f>
        <v>1.2</v>
      </c>
    </row>
    <row r="199" customFormat="false" ht="15" hidden="false" customHeight="false" outlineLevel="0" collapsed="false">
      <c r="A199" s="0" t="s">
        <v>96</v>
      </c>
      <c r="B199" s="0" t="s">
        <v>326</v>
      </c>
      <c r="C199" s="0" t="n">
        <v>60</v>
      </c>
      <c r="D199" s="0" t="n">
        <v>28</v>
      </c>
      <c r="E199" s="0" t="n">
        <v>3</v>
      </c>
      <c r="F199" s="0" t="n">
        <v>43</v>
      </c>
      <c r="G199" s="0" t="n">
        <v>260</v>
      </c>
      <c r="H199" s="0" t="s">
        <v>145</v>
      </c>
      <c r="I199" s="0" t="n">
        <v>260</v>
      </c>
      <c r="J199" s="0" t="n">
        <f aca="false">F199*E199</f>
        <v>129</v>
      </c>
      <c r="K199" s="0" t="str">
        <f aca="false">IF(G199&lt;1000,"1-Low",IF(G199&lt;5000,"2-Medium","3-Bulk"))</f>
        <v>1-Low</v>
      </c>
      <c r="L199" s="0" t="str">
        <f aca="false">IF(H199="TRUE","Out of stock","In stock")</f>
        <v>In stock</v>
      </c>
      <c r="M199" s="0" t="str">
        <f aca="false">IF(D199&lt;5,"1) Under 5%",IF(D199&lt;10,"2) 5-9%",IF(D199&lt;15,"3) 10-14%",IF(D199&lt;25,"4) 15-24%","5) 25%+"))))</f>
        <v>5) 25%+</v>
      </c>
      <c r="N199" s="0" t="str">
        <f aca="false">IF(F199&lt;50,"1) Under Rs 50",IF(F199&lt;100,"2) Rs 50-99",IF(F199&lt;200,"3) Rs 100-199",IF(F199&lt;500,"4) Rs 200-499","5) Rs 500+"))))</f>
        <v>1) Under Rs 50</v>
      </c>
      <c r="O199" s="0" t="n">
        <f aca="false">G199*E199/1000</f>
        <v>0.78</v>
      </c>
    </row>
    <row r="200" customFormat="false" ht="15" hidden="false" customHeight="false" outlineLevel="0" collapsed="false">
      <c r="A200" s="0" t="s">
        <v>96</v>
      </c>
      <c r="B200" s="0" t="s">
        <v>327</v>
      </c>
      <c r="C200" s="0" t="n">
        <v>160</v>
      </c>
      <c r="D200" s="0" t="n">
        <v>50</v>
      </c>
      <c r="E200" s="0" t="n">
        <v>6</v>
      </c>
      <c r="F200" s="0" t="n">
        <v>80</v>
      </c>
      <c r="G200" s="0" t="n">
        <v>500</v>
      </c>
      <c r="H200" s="0" t="s">
        <v>145</v>
      </c>
      <c r="I200" s="0" t="n">
        <v>500</v>
      </c>
      <c r="J200" s="0" t="n">
        <f aca="false">F200*E200</f>
        <v>480</v>
      </c>
      <c r="K200" s="0" t="str">
        <f aca="false">IF(G200&lt;1000,"1-Low",IF(G200&lt;5000,"2-Medium","3-Bulk"))</f>
        <v>1-Low</v>
      </c>
      <c r="L200" s="0" t="str">
        <f aca="false">IF(H200="TRUE","Out of stock","In stock")</f>
        <v>In stock</v>
      </c>
      <c r="M200" s="0" t="str">
        <f aca="false">IF(D200&lt;5,"1) Under 5%",IF(D200&lt;10,"2) 5-9%",IF(D200&lt;15,"3) 10-14%",IF(D200&lt;25,"4) 15-24%","5) 25%+"))))</f>
        <v>5) 25%+</v>
      </c>
      <c r="N200" s="0" t="str">
        <f aca="false">IF(F200&lt;50,"1) Under Rs 50",IF(F200&lt;100,"2) Rs 50-99",IF(F200&lt;200,"3) Rs 100-199",IF(F200&lt;500,"4) Rs 200-499","5) Rs 500+"))))</f>
        <v>2) Rs 50-99</v>
      </c>
      <c r="O200" s="0" t="n">
        <f aca="false">G200*E200/1000</f>
        <v>3</v>
      </c>
    </row>
    <row r="201" customFormat="false" ht="15" hidden="false" customHeight="false" outlineLevel="0" collapsed="false">
      <c r="A201" s="0" t="s">
        <v>96</v>
      </c>
      <c r="B201" s="0" t="s">
        <v>328</v>
      </c>
      <c r="C201" s="0" t="n">
        <v>25</v>
      </c>
      <c r="D201" s="0" t="n">
        <v>20</v>
      </c>
      <c r="E201" s="0" t="n">
        <v>6</v>
      </c>
      <c r="F201" s="0" t="n">
        <v>20</v>
      </c>
      <c r="G201" s="0" t="n">
        <v>60</v>
      </c>
      <c r="H201" s="0" t="s">
        <v>145</v>
      </c>
      <c r="I201" s="0" t="n">
        <v>60</v>
      </c>
      <c r="J201" s="0" t="n">
        <f aca="false">F201*E201</f>
        <v>120</v>
      </c>
      <c r="K201" s="0" t="str">
        <f aca="false">IF(G201&lt;1000,"1-Low",IF(G201&lt;5000,"2-Medium","3-Bulk"))</f>
        <v>1-Low</v>
      </c>
      <c r="L201" s="0" t="str">
        <f aca="false">IF(H201="TRUE","Out of stock","In stock")</f>
        <v>In stock</v>
      </c>
      <c r="M201" s="0" t="str">
        <f aca="false">IF(D201&lt;5,"1) Under 5%",IF(D201&lt;10,"2) 5-9%",IF(D201&lt;15,"3) 10-14%",IF(D201&lt;25,"4) 15-24%","5) 25%+"))))</f>
        <v>4) 15-24%</v>
      </c>
      <c r="N201" s="0" t="str">
        <f aca="false">IF(F201&lt;50,"1) Under Rs 50",IF(F201&lt;100,"2) Rs 50-99",IF(F201&lt;200,"3) Rs 100-199",IF(F201&lt;500,"4) Rs 200-499","5) Rs 500+"))))</f>
        <v>1) Under Rs 50</v>
      </c>
      <c r="O201" s="0" t="n">
        <f aca="false">G201*E201/1000</f>
        <v>0.36</v>
      </c>
    </row>
    <row r="202" customFormat="false" ht="15" hidden="false" customHeight="false" outlineLevel="0" collapsed="false">
      <c r="A202" s="0" t="s">
        <v>96</v>
      </c>
      <c r="B202" s="0" t="s">
        <v>329</v>
      </c>
      <c r="C202" s="0" t="n">
        <v>113</v>
      </c>
      <c r="D202" s="0" t="n">
        <v>10</v>
      </c>
      <c r="E202" s="0" t="n">
        <v>5</v>
      </c>
      <c r="F202" s="0" t="n">
        <v>101</v>
      </c>
      <c r="G202" s="0" t="n">
        <v>200</v>
      </c>
      <c r="H202" s="0" t="s">
        <v>145</v>
      </c>
      <c r="I202" s="0" t="n">
        <v>200</v>
      </c>
      <c r="J202" s="0" t="n">
        <f aca="false">F202*E202</f>
        <v>505</v>
      </c>
      <c r="K202" s="0" t="str">
        <f aca="false">IF(G202&lt;1000,"1-Low",IF(G202&lt;5000,"2-Medium","3-Bulk"))</f>
        <v>1-Low</v>
      </c>
      <c r="L202" s="0" t="str">
        <f aca="false">IF(H202="TRUE","Out of stock","In stock")</f>
        <v>In stock</v>
      </c>
      <c r="M202" s="0" t="str">
        <f aca="false">IF(D202&lt;5,"1) Under 5%",IF(D202&lt;10,"2) 5-9%",IF(D202&lt;15,"3) 10-14%",IF(D202&lt;25,"4) 15-24%","5) 25%+"))))</f>
        <v>3) 10-14%</v>
      </c>
      <c r="N202" s="0" t="str">
        <f aca="false">IF(F202&lt;50,"1) Under Rs 50",IF(F202&lt;100,"2) Rs 50-99",IF(F202&lt;200,"3) Rs 100-199",IF(F202&lt;500,"4) Rs 200-499","5) Rs 500+"))))</f>
        <v>3) Rs 100-199</v>
      </c>
      <c r="O202" s="0" t="n">
        <f aca="false">G202*E202/1000</f>
        <v>1</v>
      </c>
    </row>
    <row r="203" customFormat="false" ht="15" hidden="false" customHeight="false" outlineLevel="0" collapsed="false">
      <c r="A203" s="0" t="s">
        <v>96</v>
      </c>
      <c r="B203" s="0" t="s">
        <v>330</v>
      </c>
      <c r="C203" s="0" t="n">
        <v>110</v>
      </c>
      <c r="D203" s="0" t="n">
        <v>4</v>
      </c>
      <c r="E203" s="0" t="n">
        <v>6</v>
      </c>
      <c r="F203" s="0" t="n">
        <v>105</v>
      </c>
      <c r="G203" s="0" t="n">
        <v>250</v>
      </c>
      <c r="H203" s="0" t="s">
        <v>145</v>
      </c>
      <c r="I203" s="0" t="n">
        <v>500</v>
      </c>
      <c r="J203" s="0" t="n">
        <f aca="false">F203*E203</f>
        <v>630</v>
      </c>
      <c r="K203" s="0" t="str">
        <f aca="false">IF(G203&lt;1000,"1-Low",IF(G203&lt;5000,"2-Medium","3-Bulk"))</f>
        <v>1-Low</v>
      </c>
      <c r="L203" s="0" t="str">
        <f aca="false">IF(H203="TRUE","Out of stock","In stock")</f>
        <v>In stock</v>
      </c>
      <c r="M203" s="0" t="str">
        <f aca="false">IF(D203&lt;5,"1) Under 5%",IF(D203&lt;10,"2) 5-9%",IF(D203&lt;15,"3) 10-14%",IF(D203&lt;25,"4) 15-24%","5) 25%+"))))</f>
        <v>1) Under 5%</v>
      </c>
      <c r="N203" s="0" t="str">
        <f aca="false">IF(F203&lt;50,"1) Under Rs 50",IF(F203&lt;100,"2) Rs 50-99",IF(F203&lt;200,"3) Rs 100-199",IF(F203&lt;500,"4) Rs 200-499","5) Rs 500+"))))</f>
        <v>3) Rs 100-199</v>
      </c>
      <c r="O203" s="0" t="n">
        <f aca="false">G203*E203/1000</f>
        <v>1.5</v>
      </c>
    </row>
    <row r="204" customFormat="false" ht="15" hidden="false" customHeight="false" outlineLevel="0" collapsed="false">
      <c r="A204" s="0" t="s">
        <v>96</v>
      </c>
      <c r="B204" s="0" t="s">
        <v>331</v>
      </c>
      <c r="C204" s="0" t="n">
        <v>250</v>
      </c>
      <c r="D204" s="0" t="n">
        <v>0</v>
      </c>
      <c r="E204" s="0" t="n">
        <v>3</v>
      </c>
      <c r="F204" s="0" t="n">
        <v>250</v>
      </c>
      <c r="G204" s="0" t="n">
        <v>500</v>
      </c>
      <c r="H204" s="0" t="s">
        <v>145</v>
      </c>
      <c r="I204" s="0" t="n">
        <v>500</v>
      </c>
      <c r="J204" s="0" t="n">
        <f aca="false">F204*E204</f>
        <v>750</v>
      </c>
      <c r="K204" s="0" t="str">
        <f aca="false">IF(G204&lt;1000,"1-Low",IF(G204&lt;5000,"2-Medium","3-Bulk"))</f>
        <v>1-Low</v>
      </c>
      <c r="L204" s="0" t="str">
        <f aca="false">IF(H204="TRUE","Out of stock","In stock")</f>
        <v>In stock</v>
      </c>
      <c r="M204" s="0" t="str">
        <f aca="false">IF(D204&lt;5,"1) Under 5%",IF(D204&lt;10,"2) 5-9%",IF(D204&lt;15,"3) 10-14%",IF(D204&lt;25,"4) 15-24%","5) 25%+"))))</f>
        <v>1) Under 5%</v>
      </c>
      <c r="N204" s="0" t="str">
        <f aca="false">IF(F204&lt;50,"1) Under Rs 50",IF(F204&lt;100,"2) Rs 50-99",IF(F204&lt;200,"3) Rs 100-199",IF(F204&lt;500,"4) Rs 200-499","5) Rs 500+"))))</f>
        <v>4) Rs 200-499</v>
      </c>
      <c r="O204" s="0" t="n">
        <f aca="false">G204*E204/1000</f>
        <v>1.5</v>
      </c>
    </row>
    <row r="205" customFormat="false" ht="15" hidden="false" customHeight="false" outlineLevel="0" collapsed="false">
      <c r="A205" s="0" t="s">
        <v>96</v>
      </c>
      <c r="B205" s="0" t="s">
        <v>332</v>
      </c>
      <c r="C205" s="0" t="n">
        <v>135</v>
      </c>
      <c r="D205" s="0" t="n">
        <v>0</v>
      </c>
      <c r="E205" s="0" t="n">
        <v>2</v>
      </c>
      <c r="F205" s="0" t="n">
        <v>135</v>
      </c>
      <c r="G205" s="0" t="n">
        <v>500</v>
      </c>
      <c r="H205" s="0" t="s">
        <v>145</v>
      </c>
      <c r="I205" s="0" t="n">
        <v>500</v>
      </c>
      <c r="J205" s="0" t="n">
        <f aca="false">F205*E205</f>
        <v>270</v>
      </c>
      <c r="K205" s="0" t="str">
        <f aca="false">IF(G205&lt;1000,"1-Low",IF(G205&lt;5000,"2-Medium","3-Bulk"))</f>
        <v>1-Low</v>
      </c>
      <c r="L205" s="0" t="str">
        <f aca="false">IF(H205="TRUE","Out of stock","In stock")</f>
        <v>In stock</v>
      </c>
      <c r="M205" s="0" t="str">
        <f aca="false">IF(D205&lt;5,"1) Under 5%",IF(D205&lt;10,"2) 5-9%",IF(D205&lt;15,"3) 10-14%",IF(D205&lt;25,"4) 15-24%","5) 25%+"))))</f>
        <v>1) Under 5%</v>
      </c>
      <c r="N205" s="0" t="str">
        <f aca="false">IF(F205&lt;50,"1) Under Rs 50",IF(F205&lt;100,"2) Rs 50-99",IF(F205&lt;200,"3) Rs 100-199",IF(F205&lt;500,"4) Rs 200-499","5) Rs 500+"))))</f>
        <v>3) Rs 100-199</v>
      </c>
      <c r="O205" s="0" t="n">
        <f aca="false">G205*E205/1000</f>
        <v>1</v>
      </c>
    </row>
    <row r="206" customFormat="false" ht="15" hidden="false" customHeight="false" outlineLevel="0" collapsed="false">
      <c r="A206" s="0" t="s">
        <v>96</v>
      </c>
      <c r="B206" s="0" t="s">
        <v>333</v>
      </c>
      <c r="C206" s="0" t="n">
        <v>37</v>
      </c>
      <c r="D206" s="0" t="n">
        <v>0</v>
      </c>
      <c r="E206" s="0" t="n">
        <v>6</v>
      </c>
      <c r="F206" s="0" t="n">
        <v>37</v>
      </c>
      <c r="G206" s="0" t="n">
        <v>100</v>
      </c>
      <c r="H206" s="0" t="s">
        <v>145</v>
      </c>
      <c r="I206" s="0" t="n">
        <v>100</v>
      </c>
      <c r="J206" s="0" t="n">
        <f aca="false">F206*E206</f>
        <v>222</v>
      </c>
      <c r="K206" s="0" t="str">
        <f aca="false">IF(G206&lt;1000,"1-Low",IF(G206&lt;5000,"2-Medium","3-Bulk"))</f>
        <v>1-Low</v>
      </c>
      <c r="L206" s="0" t="str">
        <f aca="false">IF(H206="TRUE","Out of stock","In stock")</f>
        <v>In stock</v>
      </c>
      <c r="M206" s="0" t="str">
        <f aca="false">IF(D206&lt;5,"1) Under 5%",IF(D206&lt;10,"2) 5-9%",IF(D206&lt;15,"3) 10-14%",IF(D206&lt;25,"4) 15-24%","5) 25%+"))))</f>
        <v>1) Under 5%</v>
      </c>
      <c r="N206" s="0" t="str">
        <f aca="false">IF(F206&lt;50,"1) Under Rs 50",IF(F206&lt;100,"2) Rs 50-99",IF(F206&lt;200,"3) Rs 100-199",IF(F206&lt;500,"4) Rs 200-499","5) Rs 500+"))))</f>
        <v>1) Under Rs 50</v>
      </c>
      <c r="O206" s="0" t="n">
        <f aca="false">G206*E206/1000</f>
        <v>0.6</v>
      </c>
    </row>
    <row r="207" customFormat="false" ht="15" hidden="false" customHeight="false" outlineLevel="0" collapsed="false">
      <c r="A207" s="0" t="s">
        <v>96</v>
      </c>
      <c r="B207" s="0" t="s">
        <v>334</v>
      </c>
      <c r="C207" s="0" t="n">
        <v>180</v>
      </c>
      <c r="D207" s="0" t="n">
        <v>1</v>
      </c>
      <c r="E207" s="0" t="n">
        <v>5</v>
      </c>
      <c r="F207" s="0" t="n">
        <v>178</v>
      </c>
      <c r="G207" s="0" t="n">
        <v>1000</v>
      </c>
      <c r="H207" s="0" t="s">
        <v>145</v>
      </c>
      <c r="I207" s="0" t="n">
        <v>200</v>
      </c>
      <c r="J207" s="0" t="n">
        <f aca="false">F207*E207</f>
        <v>890</v>
      </c>
      <c r="K207" s="0" t="str">
        <f aca="false">IF(G207&lt;1000,"1-Low",IF(G207&lt;5000,"2-Medium","3-Bulk"))</f>
        <v>2-Medium</v>
      </c>
      <c r="L207" s="0" t="str">
        <f aca="false">IF(H207="TRUE","Out of stock","In stock")</f>
        <v>In stock</v>
      </c>
      <c r="M207" s="0" t="str">
        <f aca="false">IF(D207&lt;5,"1) Under 5%",IF(D207&lt;10,"2) 5-9%",IF(D207&lt;15,"3) 10-14%",IF(D207&lt;25,"4) 15-24%","5) 25%+"))))</f>
        <v>1) Under 5%</v>
      </c>
      <c r="N207" s="0" t="str">
        <f aca="false">IF(F207&lt;50,"1) Under Rs 50",IF(F207&lt;100,"2) Rs 50-99",IF(F207&lt;200,"3) Rs 100-199",IF(F207&lt;500,"4) Rs 200-499","5) Rs 500+"))))</f>
        <v>3) Rs 100-199</v>
      </c>
      <c r="O207" s="0" t="n">
        <f aca="false">G207*E207/1000</f>
        <v>5</v>
      </c>
    </row>
    <row r="208" customFormat="false" ht="15" hidden="false" customHeight="false" outlineLevel="0" collapsed="false">
      <c r="A208" s="0" t="s">
        <v>96</v>
      </c>
      <c r="B208" s="0" t="s">
        <v>335</v>
      </c>
      <c r="C208" s="0" t="n">
        <v>64</v>
      </c>
      <c r="D208" s="0" t="n">
        <v>0</v>
      </c>
      <c r="E208" s="0" t="n">
        <v>5</v>
      </c>
      <c r="F208" s="0" t="n">
        <v>64</v>
      </c>
      <c r="G208" s="0" t="n">
        <v>500</v>
      </c>
      <c r="H208" s="0" t="s">
        <v>145</v>
      </c>
      <c r="I208" s="0" t="n">
        <v>500</v>
      </c>
      <c r="J208" s="0" t="n">
        <f aca="false">F208*E208</f>
        <v>320</v>
      </c>
      <c r="K208" s="0" t="str">
        <f aca="false">IF(G208&lt;1000,"1-Low",IF(G208&lt;5000,"2-Medium","3-Bulk"))</f>
        <v>1-Low</v>
      </c>
      <c r="L208" s="0" t="str">
        <f aca="false">IF(H208="TRUE","Out of stock","In stock")</f>
        <v>In stock</v>
      </c>
      <c r="M208" s="0" t="str">
        <f aca="false">IF(D208&lt;5,"1) Under 5%",IF(D208&lt;10,"2) 5-9%",IF(D208&lt;15,"3) 10-14%",IF(D208&lt;25,"4) 15-24%","5) 25%+"))))</f>
        <v>1) Under 5%</v>
      </c>
      <c r="N208" s="0" t="str">
        <f aca="false">IF(F208&lt;50,"1) Under Rs 50",IF(F208&lt;100,"2) Rs 50-99",IF(F208&lt;200,"3) Rs 100-199",IF(F208&lt;500,"4) Rs 200-499","5) Rs 500+"))))</f>
        <v>2) Rs 50-99</v>
      </c>
      <c r="O208" s="0" t="n">
        <f aca="false">G208*E208/1000</f>
        <v>2.5</v>
      </c>
    </row>
    <row r="209" customFormat="false" ht="15" hidden="false" customHeight="false" outlineLevel="0" collapsed="false">
      <c r="A209" s="0" t="s">
        <v>96</v>
      </c>
      <c r="B209" s="0" t="s">
        <v>336</v>
      </c>
      <c r="C209" s="0" t="n">
        <v>50</v>
      </c>
      <c r="D209" s="0" t="n">
        <v>0</v>
      </c>
      <c r="E209" s="0" t="n">
        <v>2</v>
      </c>
      <c r="F209" s="0" t="n">
        <v>50</v>
      </c>
      <c r="G209" s="0" t="n">
        <v>200</v>
      </c>
      <c r="H209" s="0" t="s">
        <v>145</v>
      </c>
      <c r="I209" s="0" t="n">
        <v>200</v>
      </c>
      <c r="J209" s="0" t="n">
        <f aca="false">F209*E209</f>
        <v>100</v>
      </c>
      <c r="K209" s="0" t="str">
        <f aca="false">IF(G209&lt;1000,"1-Low",IF(G209&lt;5000,"2-Medium","3-Bulk"))</f>
        <v>1-Low</v>
      </c>
      <c r="L209" s="0" t="str">
        <f aca="false">IF(H209="TRUE","Out of stock","In stock")</f>
        <v>In stock</v>
      </c>
      <c r="M209" s="0" t="str">
        <f aca="false">IF(D209&lt;5,"1) Under 5%",IF(D209&lt;10,"2) 5-9%",IF(D209&lt;15,"3) 10-14%",IF(D209&lt;25,"4) 15-24%","5) 25%+"))))</f>
        <v>1) Under 5%</v>
      </c>
      <c r="N209" s="0" t="str">
        <f aca="false">IF(F209&lt;50,"1) Under Rs 50",IF(F209&lt;100,"2) Rs 50-99",IF(F209&lt;200,"3) Rs 100-199",IF(F209&lt;500,"4) Rs 200-499","5) Rs 500+"))))</f>
        <v>2) Rs 50-99</v>
      </c>
      <c r="O209" s="0" t="n">
        <f aca="false">G209*E209/1000</f>
        <v>0.4</v>
      </c>
    </row>
    <row r="210" customFormat="false" ht="15" hidden="false" customHeight="false" outlineLevel="0" collapsed="false">
      <c r="A210" s="0" t="s">
        <v>96</v>
      </c>
      <c r="B210" s="0" t="s">
        <v>337</v>
      </c>
      <c r="C210" s="0" t="n">
        <v>80</v>
      </c>
      <c r="D210" s="0" t="n">
        <v>10</v>
      </c>
      <c r="E210" s="0" t="n">
        <v>6</v>
      </c>
      <c r="F210" s="0" t="n">
        <v>72</v>
      </c>
      <c r="G210" s="0" t="n">
        <v>500</v>
      </c>
      <c r="H210" s="0" t="s">
        <v>145</v>
      </c>
      <c r="I210" s="0" t="n">
        <v>500</v>
      </c>
      <c r="J210" s="0" t="n">
        <f aca="false">F210*E210</f>
        <v>432</v>
      </c>
      <c r="K210" s="0" t="str">
        <f aca="false">IF(G210&lt;1000,"1-Low",IF(G210&lt;5000,"2-Medium","3-Bulk"))</f>
        <v>1-Low</v>
      </c>
      <c r="L210" s="0" t="str">
        <f aca="false">IF(H210="TRUE","Out of stock","In stock")</f>
        <v>In stock</v>
      </c>
      <c r="M210" s="0" t="str">
        <f aca="false">IF(D210&lt;5,"1) Under 5%",IF(D210&lt;10,"2) 5-9%",IF(D210&lt;15,"3) 10-14%",IF(D210&lt;25,"4) 15-24%","5) 25%+"))))</f>
        <v>3) 10-14%</v>
      </c>
      <c r="N210" s="0" t="str">
        <f aca="false">IF(F210&lt;50,"1) Under Rs 50",IF(F210&lt;100,"2) Rs 50-99",IF(F210&lt;200,"3) Rs 100-199",IF(F210&lt;500,"4) Rs 200-499","5) Rs 500+"))))</f>
        <v>2) Rs 50-99</v>
      </c>
      <c r="O210" s="0" t="n">
        <f aca="false">G210*E210/1000</f>
        <v>3</v>
      </c>
    </row>
    <row r="211" customFormat="false" ht="15" hidden="false" customHeight="false" outlineLevel="0" collapsed="false">
      <c r="A211" s="0" t="s">
        <v>96</v>
      </c>
      <c r="B211" s="0" t="s">
        <v>338</v>
      </c>
      <c r="C211" s="0" t="n">
        <v>200</v>
      </c>
      <c r="D211" s="0" t="n">
        <v>1</v>
      </c>
      <c r="E211" s="0" t="n">
        <v>6</v>
      </c>
      <c r="F211" s="0" t="n">
        <v>198</v>
      </c>
      <c r="G211" s="0" t="n">
        <v>50</v>
      </c>
      <c r="H211" s="0" t="s">
        <v>145</v>
      </c>
      <c r="I211" s="0" t="n">
        <v>50</v>
      </c>
      <c r="J211" s="0" t="n">
        <f aca="false">F211*E211</f>
        <v>1188</v>
      </c>
      <c r="K211" s="0" t="str">
        <f aca="false">IF(G211&lt;1000,"1-Low",IF(G211&lt;5000,"2-Medium","3-Bulk"))</f>
        <v>1-Low</v>
      </c>
      <c r="L211" s="0" t="str">
        <f aca="false">IF(H211="TRUE","Out of stock","In stock")</f>
        <v>In stock</v>
      </c>
      <c r="M211" s="0" t="str">
        <f aca="false">IF(D211&lt;5,"1) Under 5%",IF(D211&lt;10,"2) 5-9%",IF(D211&lt;15,"3) 10-14%",IF(D211&lt;25,"4) 15-24%","5) 25%+"))))</f>
        <v>1) Under 5%</v>
      </c>
      <c r="N211" s="0" t="str">
        <f aca="false">IF(F211&lt;50,"1) Under Rs 50",IF(F211&lt;100,"2) Rs 50-99",IF(F211&lt;200,"3) Rs 100-199",IF(F211&lt;500,"4) Rs 200-499","5) Rs 500+"))))</f>
        <v>3) Rs 100-199</v>
      </c>
      <c r="O211" s="0" t="n">
        <f aca="false">G211*E211/1000</f>
        <v>0.3</v>
      </c>
    </row>
    <row r="212" customFormat="false" ht="15" hidden="false" customHeight="false" outlineLevel="0" collapsed="false">
      <c r="A212" s="0" t="s">
        <v>96</v>
      </c>
      <c r="B212" s="0" t="s">
        <v>339</v>
      </c>
      <c r="C212" s="0" t="n">
        <v>95</v>
      </c>
      <c r="D212" s="0" t="n">
        <v>0</v>
      </c>
      <c r="E212" s="0" t="n">
        <v>1</v>
      </c>
      <c r="F212" s="0" t="n">
        <v>95</v>
      </c>
      <c r="G212" s="0" t="n">
        <v>200</v>
      </c>
      <c r="H212" s="0" t="s">
        <v>145</v>
      </c>
      <c r="I212" s="0" t="n">
        <v>200</v>
      </c>
      <c r="J212" s="0" t="n">
        <f aca="false">F212*E212</f>
        <v>95</v>
      </c>
      <c r="K212" s="0" t="str">
        <f aca="false">IF(G212&lt;1000,"1-Low",IF(G212&lt;5000,"2-Medium","3-Bulk"))</f>
        <v>1-Low</v>
      </c>
      <c r="L212" s="0" t="str">
        <f aca="false">IF(H212="TRUE","Out of stock","In stock")</f>
        <v>In stock</v>
      </c>
      <c r="M212" s="0" t="str">
        <f aca="false">IF(D212&lt;5,"1) Under 5%",IF(D212&lt;10,"2) 5-9%",IF(D212&lt;15,"3) 10-14%",IF(D212&lt;25,"4) 15-24%","5) 25%+"))))</f>
        <v>1) Under 5%</v>
      </c>
      <c r="N212" s="0" t="str">
        <f aca="false">IF(F212&lt;50,"1) Under Rs 50",IF(F212&lt;100,"2) Rs 50-99",IF(F212&lt;200,"3) Rs 100-199",IF(F212&lt;500,"4) Rs 200-499","5) Rs 500+"))))</f>
        <v>2) Rs 50-99</v>
      </c>
      <c r="O212" s="0" t="n">
        <f aca="false">G212*E212/1000</f>
        <v>0.2</v>
      </c>
    </row>
    <row r="213" customFormat="false" ht="15" hidden="false" customHeight="false" outlineLevel="0" collapsed="false">
      <c r="A213" s="0" t="s">
        <v>96</v>
      </c>
      <c r="B213" s="0" t="s">
        <v>340</v>
      </c>
      <c r="C213" s="0" t="n">
        <v>190</v>
      </c>
      <c r="D213" s="0" t="n">
        <v>11</v>
      </c>
      <c r="E213" s="0" t="n">
        <v>4</v>
      </c>
      <c r="F213" s="0" t="n">
        <v>169</v>
      </c>
      <c r="G213" s="0" t="n">
        <v>100</v>
      </c>
      <c r="H213" s="0" t="s">
        <v>145</v>
      </c>
      <c r="I213" s="0" t="n">
        <v>100</v>
      </c>
      <c r="J213" s="0" t="n">
        <f aca="false">F213*E213</f>
        <v>676</v>
      </c>
      <c r="K213" s="0" t="str">
        <f aca="false">IF(G213&lt;1000,"1-Low",IF(G213&lt;5000,"2-Medium","3-Bulk"))</f>
        <v>1-Low</v>
      </c>
      <c r="L213" s="0" t="str">
        <f aca="false">IF(H213="TRUE","Out of stock","In stock")</f>
        <v>In stock</v>
      </c>
      <c r="M213" s="0" t="str">
        <f aca="false">IF(D213&lt;5,"1) Under 5%",IF(D213&lt;10,"2) 5-9%",IF(D213&lt;15,"3) 10-14%",IF(D213&lt;25,"4) 15-24%","5) 25%+"))))</f>
        <v>3) 10-14%</v>
      </c>
      <c r="N213" s="0" t="str">
        <f aca="false">IF(F213&lt;50,"1) Under Rs 50",IF(F213&lt;100,"2) Rs 50-99",IF(F213&lt;200,"3) Rs 100-199",IF(F213&lt;500,"4) Rs 200-499","5) Rs 500+"))))</f>
        <v>3) Rs 100-199</v>
      </c>
      <c r="O213" s="0" t="n">
        <f aca="false">G213*E213/1000</f>
        <v>0.4</v>
      </c>
    </row>
    <row r="214" customFormat="false" ht="15" hidden="false" customHeight="false" outlineLevel="0" collapsed="false">
      <c r="A214" s="0" t="s">
        <v>96</v>
      </c>
      <c r="B214" s="0" t="s">
        <v>341</v>
      </c>
      <c r="C214" s="0" t="n">
        <v>20</v>
      </c>
      <c r="D214" s="0" t="n">
        <v>0</v>
      </c>
      <c r="E214" s="0" t="n">
        <v>2</v>
      </c>
      <c r="F214" s="0" t="n">
        <v>20</v>
      </c>
      <c r="G214" s="0" t="n">
        <v>100</v>
      </c>
      <c r="H214" s="0" t="s">
        <v>145</v>
      </c>
      <c r="I214" s="0" t="n">
        <v>100</v>
      </c>
      <c r="J214" s="0" t="n">
        <f aca="false">F214*E214</f>
        <v>40</v>
      </c>
      <c r="K214" s="0" t="str">
        <f aca="false">IF(G214&lt;1000,"1-Low",IF(G214&lt;5000,"2-Medium","3-Bulk"))</f>
        <v>1-Low</v>
      </c>
      <c r="L214" s="0" t="str">
        <f aca="false">IF(H214="TRUE","Out of stock","In stock")</f>
        <v>In stock</v>
      </c>
      <c r="M214" s="0" t="str">
        <f aca="false">IF(D214&lt;5,"1) Under 5%",IF(D214&lt;10,"2) 5-9%",IF(D214&lt;15,"3) 10-14%",IF(D214&lt;25,"4) 15-24%","5) 25%+"))))</f>
        <v>1) Under 5%</v>
      </c>
      <c r="N214" s="0" t="str">
        <f aca="false">IF(F214&lt;50,"1) Under Rs 50",IF(F214&lt;100,"2) Rs 50-99",IF(F214&lt;200,"3) Rs 100-199",IF(F214&lt;500,"4) Rs 200-499","5) Rs 500+"))))</f>
        <v>1) Under Rs 50</v>
      </c>
      <c r="O214" s="0" t="n">
        <f aca="false">G214*E214/1000</f>
        <v>0.2</v>
      </c>
    </row>
    <row r="215" customFormat="false" ht="15" hidden="false" customHeight="false" outlineLevel="0" collapsed="false">
      <c r="A215" s="0" t="s">
        <v>96</v>
      </c>
      <c r="B215" s="0" t="s">
        <v>342</v>
      </c>
      <c r="C215" s="0" t="n">
        <v>33</v>
      </c>
      <c r="D215" s="0" t="n">
        <v>3</v>
      </c>
      <c r="E215" s="0" t="n">
        <v>6</v>
      </c>
      <c r="F215" s="0" t="n">
        <v>32</v>
      </c>
      <c r="G215" s="0" t="n">
        <v>100</v>
      </c>
      <c r="H215" s="0" t="s">
        <v>145</v>
      </c>
      <c r="I215" s="0" t="n">
        <v>100</v>
      </c>
      <c r="J215" s="0" t="n">
        <f aca="false">F215*E215</f>
        <v>192</v>
      </c>
      <c r="K215" s="0" t="str">
        <f aca="false">IF(G215&lt;1000,"1-Low",IF(G215&lt;5000,"2-Medium","3-Bulk"))</f>
        <v>1-Low</v>
      </c>
      <c r="L215" s="0" t="str">
        <f aca="false">IF(H215="TRUE","Out of stock","In stock")</f>
        <v>In stock</v>
      </c>
      <c r="M215" s="0" t="str">
        <f aca="false">IF(D215&lt;5,"1) Under 5%",IF(D215&lt;10,"2) 5-9%",IF(D215&lt;15,"3) 10-14%",IF(D215&lt;25,"4) 15-24%","5) 25%+"))))</f>
        <v>1) Under 5%</v>
      </c>
      <c r="N215" s="0" t="str">
        <f aca="false">IF(F215&lt;50,"1) Under Rs 50",IF(F215&lt;100,"2) Rs 50-99",IF(F215&lt;200,"3) Rs 100-199",IF(F215&lt;500,"4) Rs 200-499","5) Rs 500+"))))</f>
        <v>1) Under Rs 50</v>
      </c>
      <c r="O215" s="0" t="n">
        <f aca="false">G215*E215/1000</f>
        <v>0.6</v>
      </c>
    </row>
    <row r="216" customFormat="false" ht="15" hidden="false" customHeight="false" outlineLevel="0" collapsed="false">
      <c r="A216" s="0" t="s">
        <v>96</v>
      </c>
      <c r="B216" s="0" t="s">
        <v>343</v>
      </c>
      <c r="C216" s="0" t="n">
        <v>185</v>
      </c>
      <c r="D216" s="0" t="n">
        <v>9</v>
      </c>
      <c r="E216" s="0" t="n">
        <v>6</v>
      </c>
      <c r="F216" s="0" t="n">
        <v>167</v>
      </c>
      <c r="G216" s="0" t="n">
        <v>225</v>
      </c>
      <c r="H216" s="0" t="s">
        <v>145</v>
      </c>
      <c r="I216" s="0" t="n">
        <v>225</v>
      </c>
      <c r="J216" s="0" t="n">
        <f aca="false">F216*E216</f>
        <v>1002</v>
      </c>
      <c r="K216" s="0" t="str">
        <f aca="false">IF(G216&lt;1000,"1-Low",IF(G216&lt;5000,"2-Medium","3-Bulk"))</f>
        <v>1-Low</v>
      </c>
      <c r="L216" s="0" t="str">
        <f aca="false">IF(H216="TRUE","Out of stock","In stock")</f>
        <v>In stock</v>
      </c>
      <c r="M216" s="0" t="str">
        <f aca="false">IF(D216&lt;5,"1) Under 5%",IF(D216&lt;10,"2) 5-9%",IF(D216&lt;15,"3) 10-14%",IF(D216&lt;25,"4) 15-24%","5) 25%+"))))</f>
        <v>2) 5-9%</v>
      </c>
      <c r="N216" s="0" t="str">
        <f aca="false">IF(F216&lt;50,"1) Under Rs 50",IF(F216&lt;100,"2) Rs 50-99",IF(F216&lt;200,"3) Rs 100-199",IF(F216&lt;500,"4) Rs 200-499","5) Rs 500+"))))</f>
        <v>3) Rs 100-199</v>
      </c>
      <c r="O216" s="0" t="n">
        <f aca="false">G216*E216/1000</f>
        <v>1.35</v>
      </c>
    </row>
    <row r="217" customFormat="false" ht="15" hidden="false" customHeight="false" outlineLevel="0" collapsed="false">
      <c r="A217" s="0" t="s">
        <v>96</v>
      </c>
      <c r="B217" s="0" t="s">
        <v>344</v>
      </c>
      <c r="C217" s="0" t="n">
        <v>91</v>
      </c>
      <c r="D217" s="0" t="n">
        <v>14</v>
      </c>
      <c r="E217" s="0" t="n">
        <v>6</v>
      </c>
      <c r="F217" s="0" t="n">
        <v>78</v>
      </c>
      <c r="G217" s="0" t="n">
        <v>500</v>
      </c>
      <c r="H217" s="0" t="s">
        <v>145</v>
      </c>
      <c r="I217" s="0" t="n">
        <v>500</v>
      </c>
      <c r="J217" s="0" t="n">
        <f aca="false">F217*E217</f>
        <v>468</v>
      </c>
      <c r="K217" s="0" t="str">
        <f aca="false">IF(G217&lt;1000,"1-Low",IF(G217&lt;5000,"2-Medium","3-Bulk"))</f>
        <v>1-Low</v>
      </c>
      <c r="L217" s="0" t="str">
        <f aca="false">IF(H217="TRUE","Out of stock","In stock")</f>
        <v>In stock</v>
      </c>
      <c r="M217" s="0" t="str">
        <f aca="false">IF(D217&lt;5,"1) Under 5%",IF(D217&lt;10,"2) 5-9%",IF(D217&lt;15,"3) 10-14%",IF(D217&lt;25,"4) 15-24%","5) 25%+"))))</f>
        <v>3) 10-14%</v>
      </c>
      <c r="N217" s="0" t="str">
        <f aca="false">IF(F217&lt;50,"1) Under Rs 50",IF(F217&lt;100,"2) Rs 50-99",IF(F217&lt;200,"3) Rs 100-199",IF(F217&lt;500,"4) Rs 200-499","5) Rs 500+"))))</f>
        <v>2) Rs 50-99</v>
      </c>
      <c r="O217" s="0" t="n">
        <f aca="false">G217*E217/1000</f>
        <v>3</v>
      </c>
    </row>
    <row r="218" customFormat="false" ht="15" hidden="false" customHeight="false" outlineLevel="0" collapsed="false">
      <c r="A218" s="0" t="s">
        <v>96</v>
      </c>
      <c r="B218" s="0" t="s">
        <v>307</v>
      </c>
      <c r="C218" s="0" t="n">
        <v>37</v>
      </c>
      <c r="D218" s="0" t="n">
        <v>2</v>
      </c>
      <c r="E218" s="0" t="n">
        <v>6</v>
      </c>
      <c r="F218" s="0" t="n">
        <v>36</v>
      </c>
      <c r="G218" s="0" t="n">
        <v>50</v>
      </c>
      <c r="H218" s="0" t="s">
        <v>145</v>
      </c>
      <c r="I218" s="0" t="n">
        <v>50</v>
      </c>
      <c r="J218" s="0" t="n">
        <f aca="false">F218*E218</f>
        <v>216</v>
      </c>
      <c r="K218" s="0" t="str">
        <f aca="false">IF(G218&lt;1000,"1-Low",IF(G218&lt;5000,"2-Medium","3-Bulk"))</f>
        <v>1-Low</v>
      </c>
      <c r="L218" s="0" t="str">
        <f aca="false">IF(H218="TRUE","Out of stock","In stock")</f>
        <v>In stock</v>
      </c>
      <c r="M218" s="0" t="str">
        <f aca="false">IF(D218&lt;5,"1) Under 5%",IF(D218&lt;10,"2) 5-9%",IF(D218&lt;15,"3) 10-14%",IF(D218&lt;25,"4) 15-24%","5) 25%+"))))</f>
        <v>1) Under 5%</v>
      </c>
      <c r="N218" s="0" t="str">
        <f aca="false">IF(F218&lt;50,"1) Under Rs 50",IF(F218&lt;100,"2) Rs 50-99",IF(F218&lt;200,"3) Rs 100-199",IF(F218&lt;500,"4) Rs 200-499","5) Rs 500+"))))</f>
        <v>1) Under Rs 50</v>
      </c>
      <c r="O218" s="0" t="n">
        <f aca="false">G218*E218/1000</f>
        <v>0.3</v>
      </c>
    </row>
    <row r="219" customFormat="false" ht="15" hidden="false" customHeight="false" outlineLevel="0" collapsed="false">
      <c r="A219" s="0" t="s">
        <v>96</v>
      </c>
      <c r="B219" s="0" t="s">
        <v>345</v>
      </c>
      <c r="C219" s="0" t="n">
        <v>160</v>
      </c>
      <c r="D219" s="0" t="n">
        <v>50</v>
      </c>
      <c r="E219" s="0" t="n">
        <v>6</v>
      </c>
      <c r="F219" s="0" t="n">
        <v>80</v>
      </c>
      <c r="G219" s="0" t="n">
        <v>500</v>
      </c>
      <c r="H219" s="0" t="s">
        <v>145</v>
      </c>
      <c r="I219" s="0" t="n">
        <v>500</v>
      </c>
      <c r="J219" s="0" t="n">
        <f aca="false">F219*E219</f>
        <v>480</v>
      </c>
      <c r="K219" s="0" t="str">
        <f aca="false">IF(G219&lt;1000,"1-Low",IF(G219&lt;5000,"2-Medium","3-Bulk"))</f>
        <v>1-Low</v>
      </c>
      <c r="L219" s="0" t="str">
        <f aca="false">IF(H219="TRUE","Out of stock","In stock")</f>
        <v>In stock</v>
      </c>
      <c r="M219" s="0" t="str">
        <f aca="false">IF(D219&lt;5,"1) Under 5%",IF(D219&lt;10,"2) 5-9%",IF(D219&lt;15,"3) 10-14%",IF(D219&lt;25,"4) 15-24%","5) 25%+"))))</f>
        <v>5) 25%+</v>
      </c>
      <c r="N219" s="0" t="str">
        <f aca="false">IF(F219&lt;50,"1) Under Rs 50",IF(F219&lt;100,"2) Rs 50-99",IF(F219&lt;200,"3) Rs 100-199",IF(F219&lt;500,"4) Rs 200-499","5) Rs 500+"))))</f>
        <v>2) Rs 50-99</v>
      </c>
      <c r="O219" s="0" t="n">
        <f aca="false">G219*E219/1000</f>
        <v>3</v>
      </c>
    </row>
    <row r="220" customFormat="false" ht="15" hidden="false" customHeight="false" outlineLevel="0" collapsed="false">
      <c r="A220" s="0" t="s">
        <v>96</v>
      </c>
      <c r="B220" s="0" t="s">
        <v>346</v>
      </c>
      <c r="C220" s="0" t="n">
        <v>180</v>
      </c>
      <c r="D220" s="0" t="n">
        <v>10</v>
      </c>
      <c r="E220" s="0" t="n">
        <v>2</v>
      </c>
      <c r="F220" s="0" t="n">
        <v>162</v>
      </c>
      <c r="G220" s="0" t="n">
        <v>500</v>
      </c>
      <c r="H220" s="0" t="s">
        <v>145</v>
      </c>
      <c r="I220" s="0" t="n">
        <v>500</v>
      </c>
      <c r="J220" s="0" t="n">
        <f aca="false">F220*E220</f>
        <v>324</v>
      </c>
      <c r="K220" s="0" t="str">
        <f aca="false">IF(G220&lt;1000,"1-Low",IF(G220&lt;5000,"2-Medium","3-Bulk"))</f>
        <v>1-Low</v>
      </c>
      <c r="L220" s="0" t="str">
        <f aca="false">IF(H220="TRUE","Out of stock","In stock")</f>
        <v>In stock</v>
      </c>
      <c r="M220" s="0" t="str">
        <f aca="false">IF(D220&lt;5,"1) Under 5%",IF(D220&lt;10,"2) 5-9%",IF(D220&lt;15,"3) 10-14%",IF(D220&lt;25,"4) 15-24%","5) 25%+"))))</f>
        <v>3) 10-14%</v>
      </c>
      <c r="N220" s="0" t="str">
        <f aca="false">IF(F220&lt;50,"1) Under Rs 50",IF(F220&lt;100,"2) Rs 50-99",IF(F220&lt;200,"3) Rs 100-199",IF(F220&lt;500,"4) Rs 200-499","5) Rs 500+"))))</f>
        <v>3) Rs 100-199</v>
      </c>
      <c r="O220" s="0" t="n">
        <f aca="false">G220*E220/1000</f>
        <v>1</v>
      </c>
    </row>
    <row r="221" customFormat="false" ht="15" hidden="false" customHeight="false" outlineLevel="0" collapsed="false">
      <c r="A221" s="0" t="s">
        <v>96</v>
      </c>
      <c r="B221" s="0" t="s">
        <v>347</v>
      </c>
      <c r="C221" s="0" t="n">
        <v>60</v>
      </c>
      <c r="D221" s="0" t="n">
        <v>10</v>
      </c>
      <c r="E221" s="0" t="n">
        <v>1</v>
      </c>
      <c r="F221" s="0" t="n">
        <v>54</v>
      </c>
      <c r="G221" s="0" t="n">
        <v>280</v>
      </c>
      <c r="H221" s="0" t="s">
        <v>145</v>
      </c>
      <c r="I221" s="0" t="n">
        <v>280</v>
      </c>
      <c r="J221" s="0" t="n">
        <f aca="false">F221*E221</f>
        <v>54</v>
      </c>
      <c r="K221" s="0" t="str">
        <f aca="false">IF(G221&lt;1000,"1-Low",IF(G221&lt;5000,"2-Medium","3-Bulk"))</f>
        <v>1-Low</v>
      </c>
      <c r="L221" s="0" t="str">
        <f aca="false">IF(H221="TRUE","Out of stock","In stock")</f>
        <v>In stock</v>
      </c>
      <c r="M221" s="0" t="str">
        <f aca="false">IF(D221&lt;5,"1) Under 5%",IF(D221&lt;10,"2) 5-9%",IF(D221&lt;15,"3) 10-14%",IF(D221&lt;25,"4) 15-24%","5) 25%+"))))</f>
        <v>3) 10-14%</v>
      </c>
      <c r="N221" s="0" t="str">
        <f aca="false">IF(F221&lt;50,"1) Under Rs 50",IF(F221&lt;100,"2) Rs 50-99",IF(F221&lt;200,"3) Rs 100-199",IF(F221&lt;500,"4) Rs 200-499","5) Rs 500+"))))</f>
        <v>2) Rs 50-99</v>
      </c>
      <c r="O221" s="0" t="n">
        <f aca="false">G221*E221/1000</f>
        <v>0.28</v>
      </c>
    </row>
    <row r="222" customFormat="false" ht="15" hidden="false" customHeight="false" outlineLevel="0" collapsed="false">
      <c r="A222" s="0" t="s">
        <v>96</v>
      </c>
      <c r="B222" s="0" t="s">
        <v>348</v>
      </c>
      <c r="C222" s="0" t="n">
        <v>35</v>
      </c>
      <c r="D222" s="0" t="n">
        <v>2</v>
      </c>
      <c r="E222" s="0" t="n">
        <v>1</v>
      </c>
      <c r="F222" s="0" t="n">
        <v>34</v>
      </c>
      <c r="G222" s="0" t="n">
        <v>50</v>
      </c>
      <c r="H222" s="0" t="s">
        <v>145</v>
      </c>
      <c r="I222" s="0" t="n">
        <v>50</v>
      </c>
      <c r="J222" s="0" t="n">
        <f aca="false">F222*E222</f>
        <v>34</v>
      </c>
      <c r="K222" s="0" t="str">
        <f aca="false">IF(G222&lt;1000,"1-Low",IF(G222&lt;5000,"2-Medium","3-Bulk"))</f>
        <v>1-Low</v>
      </c>
      <c r="L222" s="0" t="str">
        <f aca="false">IF(H222="TRUE","Out of stock","In stock")</f>
        <v>In stock</v>
      </c>
      <c r="M222" s="0" t="str">
        <f aca="false">IF(D222&lt;5,"1) Under 5%",IF(D222&lt;10,"2) 5-9%",IF(D222&lt;15,"3) 10-14%",IF(D222&lt;25,"4) 15-24%","5) 25%+"))))</f>
        <v>1) Under 5%</v>
      </c>
      <c r="N222" s="0" t="str">
        <f aca="false">IF(F222&lt;50,"1) Under Rs 50",IF(F222&lt;100,"2) Rs 50-99",IF(F222&lt;200,"3) Rs 100-199",IF(F222&lt;500,"4) Rs 200-499","5) Rs 500+"))))</f>
        <v>1) Under Rs 50</v>
      </c>
      <c r="O222" s="0" t="n">
        <f aca="false">G222*E222/1000</f>
        <v>0.05</v>
      </c>
    </row>
    <row r="223" customFormat="false" ht="15" hidden="false" customHeight="false" outlineLevel="0" collapsed="false">
      <c r="A223" s="0" t="s">
        <v>96</v>
      </c>
      <c r="B223" s="0" t="s">
        <v>349</v>
      </c>
      <c r="C223" s="0" t="n">
        <v>89</v>
      </c>
      <c r="D223" s="0" t="n">
        <v>10</v>
      </c>
      <c r="E223" s="0" t="n">
        <v>2</v>
      </c>
      <c r="F223" s="0" t="n">
        <v>80</v>
      </c>
      <c r="G223" s="0" t="n">
        <v>40</v>
      </c>
      <c r="H223" s="0" t="s">
        <v>145</v>
      </c>
      <c r="I223" s="0" t="n">
        <v>40</v>
      </c>
      <c r="J223" s="0" t="n">
        <f aca="false">F223*E223</f>
        <v>160</v>
      </c>
      <c r="K223" s="0" t="str">
        <f aca="false">IF(G223&lt;1000,"1-Low",IF(G223&lt;5000,"2-Medium","3-Bulk"))</f>
        <v>1-Low</v>
      </c>
      <c r="L223" s="0" t="str">
        <f aca="false">IF(H223="TRUE","Out of stock","In stock")</f>
        <v>In stock</v>
      </c>
      <c r="M223" s="0" t="str">
        <f aca="false">IF(D223&lt;5,"1) Under 5%",IF(D223&lt;10,"2) 5-9%",IF(D223&lt;15,"3) 10-14%",IF(D223&lt;25,"4) 15-24%","5) 25%+"))))</f>
        <v>3) 10-14%</v>
      </c>
      <c r="N223" s="0" t="str">
        <f aca="false">IF(F223&lt;50,"1) Under Rs 50",IF(F223&lt;100,"2) Rs 50-99",IF(F223&lt;200,"3) Rs 100-199",IF(F223&lt;500,"4) Rs 200-499","5) Rs 500+"))))</f>
        <v>2) Rs 50-99</v>
      </c>
      <c r="O223" s="0" t="n">
        <f aca="false">G223*E223/1000</f>
        <v>0.08</v>
      </c>
    </row>
    <row r="224" customFormat="false" ht="15" hidden="false" customHeight="false" outlineLevel="0" collapsed="false">
      <c r="A224" s="0" t="s">
        <v>96</v>
      </c>
      <c r="B224" s="0" t="s">
        <v>350</v>
      </c>
      <c r="C224" s="0" t="n">
        <v>80</v>
      </c>
      <c r="D224" s="0" t="n">
        <v>10</v>
      </c>
      <c r="E224" s="0" t="n">
        <v>5</v>
      </c>
      <c r="F224" s="0" t="n">
        <v>72</v>
      </c>
      <c r="G224" s="0" t="n">
        <v>500</v>
      </c>
      <c r="H224" s="0" t="s">
        <v>145</v>
      </c>
      <c r="I224" s="0" t="n">
        <v>500</v>
      </c>
      <c r="J224" s="0" t="n">
        <f aca="false">F224*E224</f>
        <v>360</v>
      </c>
      <c r="K224" s="0" t="str">
        <f aca="false">IF(G224&lt;1000,"1-Low",IF(G224&lt;5000,"2-Medium","3-Bulk"))</f>
        <v>1-Low</v>
      </c>
      <c r="L224" s="0" t="str">
        <f aca="false">IF(H224="TRUE","Out of stock","In stock")</f>
        <v>In stock</v>
      </c>
      <c r="M224" s="0" t="str">
        <f aca="false">IF(D224&lt;5,"1) Under 5%",IF(D224&lt;10,"2) 5-9%",IF(D224&lt;15,"3) 10-14%",IF(D224&lt;25,"4) 15-24%","5) 25%+"))))</f>
        <v>3) 10-14%</v>
      </c>
      <c r="N224" s="0" t="str">
        <f aca="false">IF(F224&lt;50,"1) Under Rs 50",IF(F224&lt;100,"2) Rs 50-99",IF(F224&lt;200,"3) Rs 100-199",IF(F224&lt;500,"4) Rs 200-499","5) Rs 500+"))))</f>
        <v>2) Rs 50-99</v>
      </c>
      <c r="O224" s="0" t="n">
        <f aca="false">G224*E224/1000</f>
        <v>2.5</v>
      </c>
    </row>
    <row r="225" customFormat="false" ht="15" hidden="false" customHeight="false" outlineLevel="0" collapsed="false">
      <c r="A225" s="0" t="s">
        <v>96</v>
      </c>
      <c r="B225" s="0" t="s">
        <v>351</v>
      </c>
      <c r="C225" s="0" t="n">
        <v>44</v>
      </c>
      <c r="D225" s="0" t="n">
        <v>0</v>
      </c>
      <c r="E225" s="0" t="n">
        <v>2</v>
      </c>
      <c r="F225" s="0" t="n">
        <v>44</v>
      </c>
      <c r="G225" s="0" t="n">
        <v>60</v>
      </c>
      <c r="H225" s="0" t="s">
        <v>145</v>
      </c>
      <c r="I225" s="0" t="n">
        <v>60</v>
      </c>
      <c r="J225" s="0" t="n">
        <f aca="false">F225*E225</f>
        <v>88</v>
      </c>
      <c r="K225" s="0" t="str">
        <f aca="false">IF(G225&lt;1000,"1-Low",IF(G225&lt;5000,"2-Medium","3-Bulk"))</f>
        <v>1-Low</v>
      </c>
      <c r="L225" s="0" t="str">
        <f aca="false">IF(H225="TRUE","Out of stock","In stock")</f>
        <v>In stock</v>
      </c>
      <c r="M225" s="0" t="str">
        <f aca="false">IF(D225&lt;5,"1) Under 5%",IF(D225&lt;10,"2) 5-9%",IF(D225&lt;15,"3) 10-14%",IF(D225&lt;25,"4) 15-24%","5) 25%+"))))</f>
        <v>1) Under 5%</v>
      </c>
      <c r="N225" s="0" t="str">
        <f aca="false">IF(F225&lt;50,"1) Under Rs 50",IF(F225&lt;100,"2) Rs 50-99",IF(F225&lt;200,"3) Rs 100-199",IF(F225&lt;500,"4) Rs 200-499","5) Rs 500+"))))</f>
        <v>1) Under Rs 50</v>
      </c>
      <c r="O225" s="0" t="n">
        <f aca="false">G225*E225/1000</f>
        <v>0.12</v>
      </c>
    </row>
    <row r="226" customFormat="false" ht="15" hidden="false" customHeight="false" outlineLevel="0" collapsed="false">
      <c r="A226" s="0" t="s">
        <v>96</v>
      </c>
      <c r="B226" s="0" t="s">
        <v>83</v>
      </c>
      <c r="C226" s="0" t="n">
        <v>1050</v>
      </c>
      <c r="D226" s="0" t="n">
        <v>1</v>
      </c>
      <c r="E226" s="0" t="n">
        <v>6</v>
      </c>
      <c r="F226" s="0" t="n">
        <v>1035</v>
      </c>
      <c r="G226" s="0" t="n">
        <v>5000</v>
      </c>
      <c r="H226" s="0" t="s">
        <v>145</v>
      </c>
      <c r="I226" s="0" t="n">
        <v>5</v>
      </c>
      <c r="J226" s="0" t="n">
        <f aca="false">F226*E226</f>
        <v>6210</v>
      </c>
      <c r="K226" s="0" t="str">
        <f aca="false">IF(G226&lt;1000,"1-Low",IF(G226&lt;5000,"2-Medium","3-Bulk"))</f>
        <v>3-Bulk</v>
      </c>
      <c r="L226" s="0" t="str">
        <f aca="false">IF(H226="TRUE","Out of stock","In stock")</f>
        <v>In stock</v>
      </c>
      <c r="M226" s="0" t="str">
        <f aca="false">IF(D226&lt;5,"1) Under 5%",IF(D226&lt;10,"2) 5-9%",IF(D226&lt;15,"3) 10-14%",IF(D226&lt;25,"4) 15-24%","5) 25%+"))))</f>
        <v>1) Under 5%</v>
      </c>
      <c r="N226" s="0" t="str">
        <f aca="false">IF(F226&lt;50,"1) Under Rs 50",IF(F226&lt;100,"2) Rs 50-99",IF(F226&lt;200,"3) Rs 100-199",IF(F226&lt;500,"4) Rs 200-499","5) Rs 500+"))))</f>
        <v>5) Rs 500+</v>
      </c>
      <c r="O226" s="0" t="n">
        <f aca="false">G226*E226/1000</f>
        <v>30</v>
      </c>
    </row>
    <row r="227" customFormat="false" ht="15" hidden="false" customHeight="false" outlineLevel="0" collapsed="false">
      <c r="A227" s="0" t="s">
        <v>96</v>
      </c>
      <c r="B227" s="0" t="s">
        <v>352</v>
      </c>
      <c r="C227" s="0" t="n">
        <v>99</v>
      </c>
      <c r="D227" s="0" t="n">
        <v>5</v>
      </c>
      <c r="E227" s="0" t="n">
        <v>6</v>
      </c>
      <c r="F227" s="0" t="n">
        <v>94</v>
      </c>
      <c r="G227" s="0" t="n">
        <v>165</v>
      </c>
      <c r="H227" s="0" t="s">
        <v>145</v>
      </c>
      <c r="I227" s="0" t="n">
        <v>165</v>
      </c>
      <c r="J227" s="0" t="n">
        <f aca="false">F227*E227</f>
        <v>564</v>
      </c>
      <c r="K227" s="0" t="str">
        <f aca="false">IF(G227&lt;1000,"1-Low",IF(G227&lt;5000,"2-Medium","3-Bulk"))</f>
        <v>1-Low</v>
      </c>
      <c r="L227" s="0" t="str">
        <f aca="false">IF(H227="TRUE","Out of stock","In stock")</f>
        <v>In stock</v>
      </c>
      <c r="M227" s="0" t="str">
        <f aca="false">IF(D227&lt;5,"1) Under 5%",IF(D227&lt;10,"2) 5-9%",IF(D227&lt;15,"3) 10-14%",IF(D227&lt;25,"4) 15-24%","5) 25%+"))))</f>
        <v>2) 5-9%</v>
      </c>
      <c r="N227" s="0" t="str">
        <f aca="false">IF(F227&lt;50,"1) Under Rs 50",IF(F227&lt;100,"2) Rs 50-99",IF(F227&lt;200,"3) Rs 100-199",IF(F227&lt;500,"4) Rs 200-499","5) Rs 500+"))))</f>
        <v>2) Rs 50-99</v>
      </c>
      <c r="O227" s="0" t="n">
        <f aca="false">G227*E227/1000</f>
        <v>0.99</v>
      </c>
    </row>
    <row r="228" customFormat="false" ht="15" hidden="false" customHeight="false" outlineLevel="0" collapsed="false">
      <c r="A228" s="0" t="s">
        <v>96</v>
      </c>
      <c r="B228" s="0" t="s">
        <v>353</v>
      </c>
      <c r="C228" s="0" t="n">
        <v>230</v>
      </c>
      <c r="D228" s="0" t="n">
        <v>0</v>
      </c>
      <c r="E228" s="0" t="n">
        <v>1</v>
      </c>
      <c r="F228" s="0" t="n">
        <v>230</v>
      </c>
      <c r="G228" s="0" t="n">
        <v>623</v>
      </c>
      <c r="H228" s="0" t="s">
        <v>145</v>
      </c>
      <c r="I228" s="0" t="n">
        <v>623</v>
      </c>
      <c r="J228" s="0" t="n">
        <f aca="false">F228*E228</f>
        <v>230</v>
      </c>
      <c r="K228" s="0" t="str">
        <f aca="false">IF(G228&lt;1000,"1-Low",IF(G228&lt;5000,"2-Medium","3-Bulk"))</f>
        <v>1-Low</v>
      </c>
      <c r="L228" s="0" t="str">
        <f aca="false">IF(H228="TRUE","Out of stock","In stock")</f>
        <v>In stock</v>
      </c>
      <c r="M228" s="0" t="str">
        <f aca="false">IF(D228&lt;5,"1) Under 5%",IF(D228&lt;10,"2) 5-9%",IF(D228&lt;15,"3) 10-14%",IF(D228&lt;25,"4) 15-24%","5) 25%+"))))</f>
        <v>1) Under 5%</v>
      </c>
      <c r="N228" s="0" t="str">
        <f aca="false">IF(F228&lt;50,"1) Under Rs 50",IF(F228&lt;100,"2) Rs 50-99",IF(F228&lt;200,"3) Rs 100-199",IF(F228&lt;500,"4) Rs 200-499","5) Rs 500+"))))</f>
        <v>4) Rs 200-499</v>
      </c>
      <c r="O228" s="0" t="n">
        <f aca="false">G228*E228/1000</f>
        <v>0.623</v>
      </c>
    </row>
    <row r="229" customFormat="false" ht="15" hidden="false" customHeight="false" outlineLevel="0" collapsed="false">
      <c r="A229" s="0" t="s">
        <v>96</v>
      </c>
      <c r="B229" s="0" t="s">
        <v>354</v>
      </c>
      <c r="C229" s="0" t="n">
        <v>60</v>
      </c>
      <c r="D229" s="0" t="n">
        <v>6</v>
      </c>
      <c r="E229" s="0" t="n">
        <v>3</v>
      </c>
      <c r="F229" s="0" t="n">
        <v>56</v>
      </c>
      <c r="G229" s="0" t="n">
        <v>1000</v>
      </c>
      <c r="H229" s="0" t="s">
        <v>145</v>
      </c>
      <c r="I229" s="0" t="n">
        <v>1</v>
      </c>
      <c r="J229" s="0" t="n">
        <f aca="false">F229*E229</f>
        <v>168</v>
      </c>
      <c r="K229" s="0" t="str">
        <f aca="false">IF(G229&lt;1000,"1-Low",IF(G229&lt;5000,"2-Medium","3-Bulk"))</f>
        <v>2-Medium</v>
      </c>
      <c r="L229" s="0" t="str">
        <f aca="false">IF(H229="TRUE","Out of stock","In stock")</f>
        <v>In stock</v>
      </c>
      <c r="M229" s="0" t="str">
        <f aca="false">IF(D229&lt;5,"1) Under 5%",IF(D229&lt;10,"2) 5-9%",IF(D229&lt;15,"3) 10-14%",IF(D229&lt;25,"4) 15-24%","5) 25%+"))))</f>
        <v>2) 5-9%</v>
      </c>
      <c r="N229" s="0" t="str">
        <f aca="false">IF(F229&lt;50,"1) Under Rs 50",IF(F229&lt;100,"2) Rs 50-99",IF(F229&lt;200,"3) Rs 100-199",IF(F229&lt;500,"4) Rs 200-499","5) Rs 500+"))))</f>
        <v>2) Rs 50-99</v>
      </c>
      <c r="O229" s="0" t="n">
        <f aca="false">G229*E229/1000</f>
        <v>3</v>
      </c>
    </row>
    <row r="230" customFormat="false" ht="15" hidden="false" customHeight="false" outlineLevel="0" collapsed="false">
      <c r="A230" s="0" t="s">
        <v>96</v>
      </c>
      <c r="B230" s="0" t="s">
        <v>355</v>
      </c>
      <c r="C230" s="0" t="n">
        <v>120</v>
      </c>
      <c r="D230" s="0" t="n">
        <v>1</v>
      </c>
      <c r="E230" s="0" t="n">
        <v>2</v>
      </c>
      <c r="F230" s="0" t="n">
        <v>118</v>
      </c>
      <c r="G230" s="0" t="n">
        <v>240</v>
      </c>
      <c r="H230" s="0" t="s">
        <v>145</v>
      </c>
      <c r="I230" s="0" t="n">
        <v>240</v>
      </c>
      <c r="J230" s="0" t="n">
        <f aca="false">F230*E230</f>
        <v>236</v>
      </c>
      <c r="K230" s="0" t="str">
        <f aca="false">IF(G230&lt;1000,"1-Low",IF(G230&lt;5000,"2-Medium","3-Bulk"))</f>
        <v>1-Low</v>
      </c>
      <c r="L230" s="0" t="str">
        <f aca="false">IF(H230="TRUE","Out of stock","In stock")</f>
        <v>In stock</v>
      </c>
      <c r="M230" s="0" t="str">
        <f aca="false">IF(D230&lt;5,"1) Under 5%",IF(D230&lt;10,"2) 5-9%",IF(D230&lt;15,"3) 10-14%",IF(D230&lt;25,"4) 15-24%","5) 25%+"))))</f>
        <v>1) Under 5%</v>
      </c>
      <c r="N230" s="0" t="str">
        <f aca="false">IF(F230&lt;50,"1) Under Rs 50",IF(F230&lt;100,"2) Rs 50-99",IF(F230&lt;200,"3) Rs 100-199",IF(F230&lt;500,"4) Rs 200-499","5) Rs 500+"))))</f>
        <v>3) Rs 100-199</v>
      </c>
      <c r="O230" s="0" t="n">
        <f aca="false">G230*E230/1000</f>
        <v>0.48</v>
      </c>
    </row>
    <row r="231" customFormat="false" ht="15" hidden="false" customHeight="false" outlineLevel="0" collapsed="false">
      <c r="A231" s="0" t="s">
        <v>96</v>
      </c>
      <c r="B231" s="0" t="s">
        <v>356</v>
      </c>
      <c r="C231" s="0" t="n">
        <v>43</v>
      </c>
      <c r="D231" s="0" t="n">
        <v>0</v>
      </c>
      <c r="E231" s="0" t="n">
        <v>6</v>
      </c>
      <c r="F231" s="0" t="n">
        <v>43</v>
      </c>
      <c r="G231" s="0" t="n">
        <v>200</v>
      </c>
      <c r="H231" s="0" t="s">
        <v>145</v>
      </c>
      <c r="I231" s="0" t="n">
        <v>200</v>
      </c>
      <c r="J231" s="0" t="n">
        <f aca="false">F231*E231</f>
        <v>258</v>
      </c>
      <c r="K231" s="0" t="str">
        <f aca="false">IF(G231&lt;1000,"1-Low",IF(G231&lt;5000,"2-Medium","3-Bulk"))</f>
        <v>1-Low</v>
      </c>
      <c r="L231" s="0" t="str">
        <f aca="false">IF(H231="TRUE","Out of stock","In stock")</f>
        <v>In stock</v>
      </c>
      <c r="M231" s="0" t="str">
        <f aca="false">IF(D231&lt;5,"1) Under 5%",IF(D231&lt;10,"2) 5-9%",IF(D231&lt;15,"3) 10-14%",IF(D231&lt;25,"4) 15-24%","5) 25%+"))))</f>
        <v>1) Under 5%</v>
      </c>
      <c r="N231" s="0" t="str">
        <f aca="false">IF(F231&lt;50,"1) Under Rs 50",IF(F231&lt;100,"2) Rs 50-99",IF(F231&lt;200,"3) Rs 100-199",IF(F231&lt;500,"4) Rs 200-499","5) Rs 500+"))))</f>
        <v>1) Under Rs 50</v>
      </c>
      <c r="O231" s="0" t="n">
        <f aca="false">G231*E231/1000</f>
        <v>1.2</v>
      </c>
    </row>
    <row r="232" customFormat="false" ht="15" hidden="false" customHeight="false" outlineLevel="0" collapsed="false">
      <c r="A232" s="0" t="s">
        <v>96</v>
      </c>
      <c r="B232" s="0" t="s">
        <v>357</v>
      </c>
      <c r="C232" s="0" t="n">
        <v>25</v>
      </c>
      <c r="D232" s="0" t="n">
        <v>0</v>
      </c>
      <c r="E232" s="0" t="n">
        <v>6</v>
      </c>
      <c r="F232" s="0" t="n">
        <v>25</v>
      </c>
      <c r="G232" s="0" t="n">
        <v>60</v>
      </c>
      <c r="H232" s="0" t="s">
        <v>145</v>
      </c>
      <c r="I232" s="0" t="n">
        <v>60</v>
      </c>
      <c r="J232" s="0" t="n">
        <f aca="false">F232*E232</f>
        <v>150</v>
      </c>
      <c r="K232" s="0" t="str">
        <f aca="false">IF(G232&lt;1000,"1-Low",IF(G232&lt;5000,"2-Medium","3-Bulk"))</f>
        <v>1-Low</v>
      </c>
      <c r="L232" s="0" t="str">
        <f aca="false">IF(H232="TRUE","Out of stock","In stock")</f>
        <v>In stock</v>
      </c>
      <c r="M232" s="0" t="str">
        <f aca="false">IF(D232&lt;5,"1) Under 5%",IF(D232&lt;10,"2) 5-9%",IF(D232&lt;15,"3) 10-14%",IF(D232&lt;25,"4) 15-24%","5) 25%+"))))</f>
        <v>1) Under 5%</v>
      </c>
      <c r="N232" s="0" t="str">
        <f aca="false">IF(F232&lt;50,"1) Under Rs 50",IF(F232&lt;100,"2) Rs 50-99",IF(F232&lt;200,"3) Rs 100-199",IF(F232&lt;500,"4) Rs 200-499","5) Rs 500+"))))</f>
        <v>1) Under Rs 50</v>
      </c>
      <c r="O232" s="0" t="n">
        <f aca="false">G232*E232/1000</f>
        <v>0.36</v>
      </c>
    </row>
    <row r="233" customFormat="false" ht="15" hidden="false" customHeight="false" outlineLevel="0" collapsed="false">
      <c r="A233" s="0" t="s">
        <v>96</v>
      </c>
      <c r="B233" s="0" t="s">
        <v>358</v>
      </c>
      <c r="C233" s="0" t="n">
        <v>15</v>
      </c>
      <c r="D233" s="0" t="n">
        <v>0</v>
      </c>
      <c r="E233" s="0" t="n">
        <v>5</v>
      </c>
      <c r="F233" s="0" t="n">
        <v>15</v>
      </c>
      <c r="G233" s="0" t="n">
        <v>60</v>
      </c>
      <c r="H233" s="0" t="s">
        <v>145</v>
      </c>
      <c r="I233" s="0" t="n">
        <v>60</v>
      </c>
      <c r="J233" s="0" t="n">
        <f aca="false">F233*E233</f>
        <v>75</v>
      </c>
      <c r="K233" s="0" t="str">
        <f aca="false">IF(G233&lt;1000,"1-Low",IF(G233&lt;5000,"2-Medium","3-Bulk"))</f>
        <v>1-Low</v>
      </c>
      <c r="L233" s="0" t="str">
        <f aca="false">IF(H233="TRUE","Out of stock","In stock")</f>
        <v>In stock</v>
      </c>
      <c r="M233" s="0" t="str">
        <f aca="false">IF(D233&lt;5,"1) Under 5%",IF(D233&lt;10,"2) 5-9%",IF(D233&lt;15,"3) 10-14%",IF(D233&lt;25,"4) 15-24%","5) 25%+"))))</f>
        <v>1) Under 5%</v>
      </c>
      <c r="N233" s="0" t="str">
        <f aca="false">IF(F233&lt;50,"1) Under Rs 50",IF(F233&lt;100,"2) Rs 50-99",IF(F233&lt;200,"3) Rs 100-199",IF(F233&lt;500,"4) Rs 200-499","5) Rs 500+"))))</f>
        <v>1) Under Rs 50</v>
      </c>
      <c r="O233" s="0" t="n">
        <f aca="false">G233*E233/1000</f>
        <v>0.3</v>
      </c>
    </row>
    <row r="234" customFormat="false" ht="15" hidden="false" customHeight="false" outlineLevel="0" collapsed="false">
      <c r="A234" s="0" t="s">
        <v>96</v>
      </c>
      <c r="B234" s="0" t="s">
        <v>289</v>
      </c>
      <c r="C234" s="0" t="n">
        <v>70</v>
      </c>
      <c r="D234" s="0" t="n">
        <v>0</v>
      </c>
      <c r="E234" s="0" t="n">
        <v>2</v>
      </c>
      <c r="F234" s="0" t="n">
        <v>70</v>
      </c>
      <c r="G234" s="0" t="n">
        <v>100</v>
      </c>
      <c r="H234" s="0" t="s">
        <v>145</v>
      </c>
      <c r="I234" s="0" t="n">
        <v>100</v>
      </c>
      <c r="J234" s="0" t="n">
        <f aca="false">F234*E234</f>
        <v>140</v>
      </c>
      <c r="K234" s="0" t="str">
        <f aca="false">IF(G234&lt;1000,"1-Low",IF(G234&lt;5000,"2-Medium","3-Bulk"))</f>
        <v>1-Low</v>
      </c>
      <c r="L234" s="0" t="str">
        <f aca="false">IF(H234="TRUE","Out of stock","In stock")</f>
        <v>In stock</v>
      </c>
      <c r="M234" s="0" t="str">
        <f aca="false">IF(D234&lt;5,"1) Under 5%",IF(D234&lt;10,"2) 5-9%",IF(D234&lt;15,"3) 10-14%",IF(D234&lt;25,"4) 15-24%","5) 25%+"))))</f>
        <v>1) Under 5%</v>
      </c>
      <c r="N234" s="0" t="str">
        <f aca="false">IF(F234&lt;50,"1) Under Rs 50",IF(F234&lt;100,"2) Rs 50-99",IF(F234&lt;200,"3) Rs 100-199",IF(F234&lt;500,"4) Rs 200-499","5) Rs 500+"))))</f>
        <v>2) Rs 50-99</v>
      </c>
      <c r="O234" s="0" t="n">
        <f aca="false">G234*E234/1000</f>
        <v>0.2</v>
      </c>
    </row>
    <row r="235" customFormat="false" ht="15" hidden="false" customHeight="false" outlineLevel="0" collapsed="false">
      <c r="A235" s="0" t="s">
        <v>96</v>
      </c>
      <c r="B235" s="0" t="s">
        <v>359</v>
      </c>
      <c r="C235" s="0" t="n">
        <v>220</v>
      </c>
      <c r="D235" s="0" t="n">
        <v>6</v>
      </c>
      <c r="E235" s="0" t="n">
        <v>6</v>
      </c>
      <c r="F235" s="0" t="n">
        <v>205</v>
      </c>
      <c r="G235" s="0" t="n">
        <v>623</v>
      </c>
      <c r="H235" s="0" t="s">
        <v>145</v>
      </c>
      <c r="I235" s="0" t="n">
        <v>680</v>
      </c>
      <c r="J235" s="0" t="n">
        <f aca="false">F235*E235</f>
        <v>1230</v>
      </c>
      <c r="K235" s="0" t="str">
        <f aca="false">IF(G235&lt;1000,"1-Low",IF(G235&lt;5000,"2-Medium","3-Bulk"))</f>
        <v>1-Low</v>
      </c>
      <c r="L235" s="0" t="str">
        <f aca="false">IF(H235="TRUE","Out of stock","In stock")</f>
        <v>In stock</v>
      </c>
      <c r="M235" s="0" t="str">
        <f aca="false">IF(D235&lt;5,"1) Under 5%",IF(D235&lt;10,"2) 5-9%",IF(D235&lt;15,"3) 10-14%",IF(D235&lt;25,"4) 15-24%","5) 25%+"))))</f>
        <v>2) 5-9%</v>
      </c>
      <c r="N235" s="0" t="str">
        <f aca="false">IF(F235&lt;50,"1) Under Rs 50",IF(F235&lt;100,"2) Rs 50-99",IF(F235&lt;200,"3) Rs 100-199",IF(F235&lt;500,"4) Rs 200-499","5) Rs 500+"))))</f>
        <v>4) Rs 200-499</v>
      </c>
      <c r="O235" s="0" t="n">
        <f aca="false">G235*E235/1000</f>
        <v>3.738</v>
      </c>
    </row>
    <row r="236" customFormat="false" ht="15" hidden="false" customHeight="false" outlineLevel="0" collapsed="false">
      <c r="A236" s="0" t="s">
        <v>96</v>
      </c>
      <c r="B236" s="0" t="s">
        <v>360</v>
      </c>
      <c r="C236" s="0" t="n">
        <v>55</v>
      </c>
      <c r="D236" s="0" t="n">
        <v>16</v>
      </c>
      <c r="E236" s="0" t="n">
        <v>4</v>
      </c>
      <c r="F236" s="0" t="n">
        <v>46</v>
      </c>
      <c r="G236" s="0" t="n">
        <v>200</v>
      </c>
      <c r="H236" s="0" t="s">
        <v>145</v>
      </c>
      <c r="I236" s="0" t="n">
        <v>200</v>
      </c>
      <c r="J236" s="0" t="n">
        <f aca="false">F236*E236</f>
        <v>184</v>
      </c>
      <c r="K236" s="0" t="str">
        <f aca="false">IF(G236&lt;1000,"1-Low",IF(G236&lt;5000,"2-Medium","3-Bulk"))</f>
        <v>1-Low</v>
      </c>
      <c r="L236" s="0" t="str">
        <f aca="false">IF(H236="TRUE","Out of stock","In stock")</f>
        <v>In stock</v>
      </c>
      <c r="M236" s="0" t="str">
        <f aca="false">IF(D236&lt;5,"1) Under 5%",IF(D236&lt;10,"2) 5-9%",IF(D236&lt;15,"3) 10-14%",IF(D236&lt;25,"4) 15-24%","5) 25%+"))))</f>
        <v>4) 15-24%</v>
      </c>
      <c r="N236" s="0" t="str">
        <f aca="false">IF(F236&lt;50,"1) Under Rs 50",IF(F236&lt;100,"2) Rs 50-99",IF(F236&lt;200,"3) Rs 100-199",IF(F236&lt;500,"4) Rs 200-499","5) Rs 500+"))))</f>
        <v>1) Under Rs 50</v>
      </c>
      <c r="O236" s="0" t="n">
        <f aca="false">G236*E236/1000</f>
        <v>0.8</v>
      </c>
    </row>
    <row r="237" customFormat="false" ht="15" hidden="false" customHeight="false" outlineLevel="0" collapsed="false">
      <c r="A237" s="0" t="s">
        <v>96</v>
      </c>
      <c r="B237" s="0" t="s">
        <v>361</v>
      </c>
      <c r="C237" s="0" t="n">
        <v>70</v>
      </c>
      <c r="D237" s="0" t="n">
        <v>7</v>
      </c>
      <c r="E237" s="0" t="n">
        <v>1</v>
      </c>
      <c r="F237" s="0" t="n">
        <v>65</v>
      </c>
      <c r="G237" s="0" t="n">
        <v>100</v>
      </c>
      <c r="H237" s="0" t="s">
        <v>145</v>
      </c>
      <c r="I237" s="0" t="n">
        <v>100</v>
      </c>
      <c r="J237" s="0" t="n">
        <f aca="false">F237*E237</f>
        <v>65</v>
      </c>
      <c r="K237" s="0" t="str">
        <f aca="false">IF(G237&lt;1000,"1-Low",IF(G237&lt;5000,"2-Medium","3-Bulk"))</f>
        <v>1-Low</v>
      </c>
      <c r="L237" s="0" t="str">
        <f aca="false">IF(H237="TRUE","Out of stock","In stock")</f>
        <v>In stock</v>
      </c>
      <c r="M237" s="0" t="str">
        <f aca="false">IF(D237&lt;5,"1) Under 5%",IF(D237&lt;10,"2) 5-9%",IF(D237&lt;15,"3) 10-14%",IF(D237&lt;25,"4) 15-24%","5) 25%+"))))</f>
        <v>2) 5-9%</v>
      </c>
      <c r="N237" s="0" t="str">
        <f aca="false">IF(F237&lt;50,"1) Under Rs 50",IF(F237&lt;100,"2) Rs 50-99",IF(F237&lt;200,"3) Rs 100-199",IF(F237&lt;500,"4) Rs 200-499","5) Rs 500+"))))</f>
        <v>2) Rs 50-99</v>
      </c>
      <c r="O237" s="0" t="n">
        <f aca="false">G237*E237/1000</f>
        <v>0.1</v>
      </c>
    </row>
    <row r="238" customFormat="false" ht="15" hidden="false" customHeight="false" outlineLevel="0" collapsed="false">
      <c r="A238" s="0" t="s">
        <v>96</v>
      </c>
      <c r="B238" s="0" t="s">
        <v>362</v>
      </c>
      <c r="C238" s="0" t="n">
        <v>120</v>
      </c>
      <c r="D238" s="0" t="n">
        <v>0</v>
      </c>
      <c r="E238" s="0" t="n">
        <v>6</v>
      </c>
      <c r="F238" s="0" t="n">
        <v>120</v>
      </c>
      <c r="G238" s="0" t="n">
        <v>250</v>
      </c>
      <c r="H238" s="0" t="s">
        <v>145</v>
      </c>
      <c r="I238" s="0" t="n">
        <v>250</v>
      </c>
      <c r="J238" s="0" t="n">
        <f aca="false">F238*E238</f>
        <v>720</v>
      </c>
      <c r="K238" s="0" t="str">
        <f aca="false">IF(G238&lt;1000,"1-Low",IF(G238&lt;5000,"2-Medium","3-Bulk"))</f>
        <v>1-Low</v>
      </c>
      <c r="L238" s="0" t="str">
        <f aca="false">IF(H238="TRUE","Out of stock","In stock")</f>
        <v>In stock</v>
      </c>
      <c r="M238" s="0" t="str">
        <f aca="false">IF(D238&lt;5,"1) Under 5%",IF(D238&lt;10,"2) 5-9%",IF(D238&lt;15,"3) 10-14%",IF(D238&lt;25,"4) 15-24%","5) 25%+"))))</f>
        <v>1) Under 5%</v>
      </c>
      <c r="N238" s="0" t="str">
        <f aca="false">IF(F238&lt;50,"1) Under Rs 50",IF(F238&lt;100,"2) Rs 50-99",IF(F238&lt;200,"3) Rs 100-199",IF(F238&lt;500,"4) Rs 200-499","5) Rs 500+"))))</f>
        <v>3) Rs 100-199</v>
      </c>
      <c r="O238" s="0" t="n">
        <f aca="false">G238*E238/1000</f>
        <v>1.5</v>
      </c>
    </row>
    <row r="239" customFormat="false" ht="15" hidden="false" customHeight="false" outlineLevel="0" collapsed="false">
      <c r="A239" s="0" t="s">
        <v>96</v>
      </c>
      <c r="B239" s="0" t="s">
        <v>363</v>
      </c>
      <c r="C239" s="0" t="n">
        <v>40</v>
      </c>
      <c r="D239" s="0" t="n">
        <v>2</v>
      </c>
      <c r="E239" s="0" t="n">
        <v>6</v>
      </c>
      <c r="F239" s="0" t="n">
        <v>39</v>
      </c>
      <c r="G239" s="0" t="n">
        <v>200</v>
      </c>
      <c r="H239" s="0" t="s">
        <v>145</v>
      </c>
      <c r="I239" s="0" t="n">
        <v>200</v>
      </c>
      <c r="J239" s="0" t="n">
        <f aca="false">F239*E239</f>
        <v>234</v>
      </c>
      <c r="K239" s="0" t="str">
        <f aca="false">IF(G239&lt;1000,"1-Low",IF(G239&lt;5000,"2-Medium","3-Bulk"))</f>
        <v>1-Low</v>
      </c>
      <c r="L239" s="0" t="str">
        <f aca="false">IF(H239="TRUE","Out of stock","In stock")</f>
        <v>In stock</v>
      </c>
      <c r="M239" s="0" t="str">
        <f aca="false">IF(D239&lt;5,"1) Under 5%",IF(D239&lt;10,"2) 5-9%",IF(D239&lt;15,"3) 10-14%",IF(D239&lt;25,"4) 15-24%","5) 25%+"))))</f>
        <v>1) Under 5%</v>
      </c>
      <c r="N239" s="0" t="str">
        <f aca="false">IF(F239&lt;50,"1) Under Rs 50",IF(F239&lt;100,"2) Rs 50-99",IF(F239&lt;200,"3) Rs 100-199",IF(F239&lt;500,"4) Rs 200-499","5) Rs 500+"))))</f>
        <v>1) Under Rs 50</v>
      </c>
      <c r="O239" s="0" t="n">
        <f aca="false">G239*E239/1000</f>
        <v>1.2</v>
      </c>
    </row>
    <row r="240" customFormat="false" ht="15" hidden="false" customHeight="false" outlineLevel="0" collapsed="false">
      <c r="A240" s="0" t="s">
        <v>96</v>
      </c>
      <c r="B240" s="0" t="s">
        <v>364</v>
      </c>
      <c r="C240" s="0" t="n">
        <v>48</v>
      </c>
      <c r="D240" s="0" t="n">
        <v>2</v>
      </c>
      <c r="E240" s="0" t="n">
        <v>2</v>
      </c>
      <c r="F240" s="0" t="n">
        <v>47</v>
      </c>
      <c r="G240" s="0" t="n">
        <v>500</v>
      </c>
      <c r="H240" s="0" t="s">
        <v>145</v>
      </c>
      <c r="I240" s="0" t="n">
        <v>500</v>
      </c>
      <c r="J240" s="0" t="n">
        <f aca="false">F240*E240</f>
        <v>94</v>
      </c>
      <c r="K240" s="0" t="str">
        <f aca="false">IF(G240&lt;1000,"1-Low",IF(G240&lt;5000,"2-Medium","3-Bulk"))</f>
        <v>1-Low</v>
      </c>
      <c r="L240" s="0" t="str">
        <f aca="false">IF(H240="TRUE","Out of stock","In stock")</f>
        <v>In stock</v>
      </c>
      <c r="M240" s="0" t="str">
        <f aca="false">IF(D240&lt;5,"1) Under 5%",IF(D240&lt;10,"2) 5-9%",IF(D240&lt;15,"3) 10-14%",IF(D240&lt;25,"4) 15-24%","5) 25%+"))))</f>
        <v>1) Under 5%</v>
      </c>
      <c r="N240" s="0" t="str">
        <f aca="false">IF(F240&lt;50,"1) Under Rs 50",IF(F240&lt;100,"2) Rs 50-99",IF(F240&lt;200,"3) Rs 100-199",IF(F240&lt;500,"4) Rs 200-499","5) Rs 500+"))))</f>
        <v>1) Under Rs 50</v>
      </c>
      <c r="O240" s="0" t="n">
        <f aca="false">G240*E240/1000</f>
        <v>1</v>
      </c>
    </row>
    <row r="241" customFormat="false" ht="15" hidden="false" customHeight="false" outlineLevel="0" collapsed="false">
      <c r="A241" s="0" t="s">
        <v>96</v>
      </c>
      <c r="B241" s="0" t="s">
        <v>365</v>
      </c>
      <c r="C241" s="0" t="n">
        <v>65</v>
      </c>
      <c r="D241" s="0" t="n">
        <v>20</v>
      </c>
      <c r="E241" s="0" t="n">
        <v>4</v>
      </c>
      <c r="F241" s="0" t="n">
        <v>52</v>
      </c>
      <c r="G241" s="0" t="n">
        <v>500</v>
      </c>
      <c r="H241" s="0" t="s">
        <v>145</v>
      </c>
      <c r="I241" s="0" t="n">
        <v>500</v>
      </c>
      <c r="J241" s="0" t="n">
        <f aca="false">F241*E241</f>
        <v>208</v>
      </c>
      <c r="K241" s="0" t="str">
        <f aca="false">IF(G241&lt;1000,"1-Low",IF(G241&lt;5000,"2-Medium","3-Bulk"))</f>
        <v>1-Low</v>
      </c>
      <c r="L241" s="0" t="str">
        <f aca="false">IF(H241="TRUE","Out of stock","In stock")</f>
        <v>In stock</v>
      </c>
      <c r="M241" s="0" t="str">
        <f aca="false">IF(D241&lt;5,"1) Under 5%",IF(D241&lt;10,"2) 5-9%",IF(D241&lt;15,"3) 10-14%",IF(D241&lt;25,"4) 15-24%","5) 25%+"))))</f>
        <v>4) 15-24%</v>
      </c>
      <c r="N241" s="0" t="str">
        <f aca="false">IF(F241&lt;50,"1) Under Rs 50",IF(F241&lt;100,"2) Rs 50-99",IF(F241&lt;200,"3) Rs 100-199",IF(F241&lt;500,"4) Rs 200-499","5) Rs 500+"))))</f>
        <v>2) Rs 50-99</v>
      </c>
      <c r="O241" s="0" t="n">
        <f aca="false">G241*E241/1000</f>
        <v>2</v>
      </c>
    </row>
    <row r="242" customFormat="false" ht="15" hidden="false" customHeight="false" outlineLevel="0" collapsed="false">
      <c r="A242" s="0" t="s">
        <v>96</v>
      </c>
      <c r="B242" s="0" t="s">
        <v>366</v>
      </c>
      <c r="C242" s="0" t="n">
        <v>35</v>
      </c>
      <c r="D242" s="0" t="n">
        <v>5</v>
      </c>
      <c r="E242" s="0" t="n">
        <v>6</v>
      </c>
      <c r="F242" s="0" t="n">
        <v>33</v>
      </c>
      <c r="G242" s="0" t="n">
        <v>25</v>
      </c>
      <c r="H242" s="0" t="s">
        <v>145</v>
      </c>
      <c r="I242" s="0" t="n">
        <v>25</v>
      </c>
      <c r="J242" s="0" t="n">
        <f aca="false">F242*E242</f>
        <v>198</v>
      </c>
      <c r="K242" s="0" t="str">
        <f aca="false">IF(G242&lt;1000,"1-Low",IF(G242&lt;5000,"2-Medium","3-Bulk"))</f>
        <v>1-Low</v>
      </c>
      <c r="L242" s="0" t="str">
        <f aca="false">IF(H242="TRUE","Out of stock","In stock")</f>
        <v>In stock</v>
      </c>
      <c r="M242" s="0" t="str">
        <f aca="false">IF(D242&lt;5,"1) Under 5%",IF(D242&lt;10,"2) 5-9%",IF(D242&lt;15,"3) 10-14%",IF(D242&lt;25,"4) 15-24%","5) 25%+"))))</f>
        <v>2) 5-9%</v>
      </c>
      <c r="N242" s="0" t="str">
        <f aca="false">IF(F242&lt;50,"1) Under Rs 50",IF(F242&lt;100,"2) Rs 50-99",IF(F242&lt;200,"3) Rs 100-199",IF(F242&lt;500,"4) Rs 200-499","5) Rs 500+"))))</f>
        <v>1) Under Rs 50</v>
      </c>
      <c r="O242" s="0" t="n">
        <f aca="false">G242*E242/1000</f>
        <v>0.15</v>
      </c>
    </row>
    <row r="243" customFormat="false" ht="15" hidden="false" customHeight="false" outlineLevel="0" collapsed="false">
      <c r="A243" s="0" t="s">
        <v>96</v>
      </c>
      <c r="B243" s="0" t="s">
        <v>367</v>
      </c>
      <c r="C243" s="0" t="n">
        <v>215</v>
      </c>
      <c r="D243" s="0" t="n">
        <v>0</v>
      </c>
      <c r="E243" s="0" t="n">
        <v>4</v>
      </c>
      <c r="F243" s="0" t="n">
        <v>215</v>
      </c>
      <c r="G243" s="0" t="n">
        <v>1000</v>
      </c>
      <c r="H243" s="0" t="s">
        <v>145</v>
      </c>
      <c r="I243" s="0" t="n">
        <v>1</v>
      </c>
      <c r="J243" s="0" t="n">
        <f aca="false">F243*E243</f>
        <v>860</v>
      </c>
      <c r="K243" s="0" t="str">
        <f aca="false">IF(G243&lt;1000,"1-Low",IF(G243&lt;5000,"2-Medium","3-Bulk"))</f>
        <v>2-Medium</v>
      </c>
      <c r="L243" s="0" t="str">
        <f aca="false">IF(H243="TRUE","Out of stock","In stock")</f>
        <v>In stock</v>
      </c>
      <c r="M243" s="0" t="str">
        <f aca="false">IF(D243&lt;5,"1) Under 5%",IF(D243&lt;10,"2) 5-9%",IF(D243&lt;15,"3) 10-14%",IF(D243&lt;25,"4) 15-24%","5) 25%+"))))</f>
        <v>1) Under 5%</v>
      </c>
      <c r="N243" s="0" t="str">
        <f aca="false">IF(F243&lt;50,"1) Under Rs 50",IF(F243&lt;100,"2) Rs 50-99",IF(F243&lt;200,"3) Rs 100-199",IF(F243&lt;500,"4) Rs 200-499","5) Rs 500+"))))</f>
        <v>4) Rs 200-499</v>
      </c>
      <c r="O243" s="0" t="n">
        <f aca="false">G243*E243/1000</f>
        <v>4</v>
      </c>
    </row>
    <row r="244" customFormat="false" ht="15" hidden="false" customHeight="false" outlineLevel="0" collapsed="false">
      <c r="A244" s="0" t="s">
        <v>96</v>
      </c>
      <c r="B244" s="0" t="s">
        <v>368</v>
      </c>
      <c r="C244" s="0" t="n">
        <v>102</v>
      </c>
      <c r="D244" s="0" t="n">
        <v>7</v>
      </c>
      <c r="E244" s="0" t="n">
        <v>4</v>
      </c>
      <c r="F244" s="0" t="n">
        <v>94</v>
      </c>
      <c r="G244" s="0" t="n">
        <v>2000</v>
      </c>
      <c r="H244" s="0" t="s">
        <v>145</v>
      </c>
      <c r="I244" s="0" t="n">
        <v>2</v>
      </c>
      <c r="J244" s="0" t="n">
        <f aca="false">F244*E244</f>
        <v>376</v>
      </c>
      <c r="K244" s="0" t="str">
        <f aca="false">IF(G244&lt;1000,"1-Low",IF(G244&lt;5000,"2-Medium","3-Bulk"))</f>
        <v>2-Medium</v>
      </c>
      <c r="L244" s="0" t="str">
        <f aca="false">IF(H244="TRUE","Out of stock","In stock")</f>
        <v>In stock</v>
      </c>
      <c r="M244" s="0" t="str">
        <f aca="false">IF(D244&lt;5,"1) Under 5%",IF(D244&lt;10,"2) 5-9%",IF(D244&lt;15,"3) 10-14%",IF(D244&lt;25,"4) 15-24%","5) 25%+"))))</f>
        <v>2) 5-9%</v>
      </c>
      <c r="N244" s="0" t="str">
        <f aca="false">IF(F244&lt;50,"1) Under Rs 50",IF(F244&lt;100,"2) Rs 50-99",IF(F244&lt;200,"3) Rs 100-199",IF(F244&lt;500,"4) Rs 200-499","5) Rs 500+"))))</f>
        <v>2) Rs 50-99</v>
      </c>
      <c r="O244" s="0" t="n">
        <f aca="false">G244*E244/1000</f>
        <v>8</v>
      </c>
    </row>
    <row r="245" customFormat="false" ht="15" hidden="false" customHeight="false" outlineLevel="0" collapsed="false">
      <c r="A245" s="0" t="s">
        <v>96</v>
      </c>
      <c r="B245" s="0" t="s">
        <v>369</v>
      </c>
      <c r="C245" s="0" t="n">
        <v>85</v>
      </c>
      <c r="D245" s="0" t="n">
        <v>7</v>
      </c>
      <c r="E245" s="0" t="n">
        <v>5</v>
      </c>
      <c r="F245" s="0" t="n">
        <v>79</v>
      </c>
      <c r="G245" s="0" t="n">
        <v>500</v>
      </c>
      <c r="H245" s="0" t="s">
        <v>145</v>
      </c>
      <c r="I245" s="0" t="n">
        <v>500</v>
      </c>
      <c r="J245" s="0" t="n">
        <f aca="false">F245*E245</f>
        <v>395</v>
      </c>
      <c r="K245" s="0" t="str">
        <f aca="false">IF(G245&lt;1000,"1-Low",IF(G245&lt;5000,"2-Medium","3-Bulk"))</f>
        <v>1-Low</v>
      </c>
      <c r="L245" s="0" t="str">
        <f aca="false">IF(H245="TRUE","Out of stock","In stock")</f>
        <v>In stock</v>
      </c>
      <c r="M245" s="0" t="str">
        <f aca="false">IF(D245&lt;5,"1) Under 5%",IF(D245&lt;10,"2) 5-9%",IF(D245&lt;15,"3) 10-14%",IF(D245&lt;25,"4) 15-24%","5) 25%+"))))</f>
        <v>2) 5-9%</v>
      </c>
      <c r="N245" s="0" t="str">
        <f aca="false">IF(F245&lt;50,"1) Under Rs 50",IF(F245&lt;100,"2) Rs 50-99",IF(F245&lt;200,"3) Rs 100-199",IF(F245&lt;500,"4) Rs 200-499","5) Rs 500+"))))</f>
        <v>2) Rs 50-99</v>
      </c>
      <c r="O245" s="0" t="n">
        <f aca="false">G245*E245/1000</f>
        <v>2.5</v>
      </c>
    </row>
    <row r="246" customFormat="false" ht="15" hidden="false" customHeight="false" outlineLevel="0" collapsed="false">
      <c r="A246" s="0" t="s">
        <v>96</v>
      </c>
      <c r="B246" s="0" t="s">
        <v>370</v>
      </c>
      <c r="C246" s="0" t="n">
        <v>75</v>
      </c>
      <c r="D246" s="0" t="n">
        <v>0</v>
      </c>
      <c r="E246" s="0" t="n">
        <v>3</v>
      </c>
      <c r="F246" s="0" t="n">
        <v>75</v>
      </c>
      <c r="G246" s="0" t="n">
        <v>1000</v>
      </c>
      <c r="H246" s="0" t="s">
        <v>145</v>
      </c>
      <c r="I246" s="0" t="n">
        <v>1</v>
      </c>
      <c r="J246" s="0" t="n">
        <f aca="false">F246*E246</f>
        <v>225</v>
      </c>
      <c r="K246" s="0" t="str">
        <f aca="false">IF(G246&lt;1000,"1-Low",IF(G246&lt;5000,"2-Medium","3-Bulk"))</f>
        <v>2-Medium</v>
      </c>
      <c r="L246" s="0" t="str">
        <f aca="false">IF(H246="TRUE","Out of stock","In stock")</f>
        <v>In stock</v>
      </c>
      <c r="M246" s="0" t="str">
        <f aca="false">IF(D246&lt;5,"1) Under 5%",IF(D246&lt;10,"2) 5-9%",IF(D246&lt;15,"3) 10-14%",IF(D246&lt;25,"4) 15-24%","5) 25%+"))))</f>
        <v>1) Under 5%</v>
      </c>
      <c r="N246" s="0" t="str">
        <f aca="false">IF(F246&lt;50,"1) Under Rs 50",IF(F246&lt;100,"2) Rs 50-99",IF(F246&lt;200,"3) Rs 100-199",IF(F246&lt;500,"4) Rs 200-499","5) Rs 500+"))))</f>
        <v>2) Rs 50-99</v>
      </c>
      <c r="O246" s="0" t="n">
        <f aca="false">G246*E246/1000</f>
        <v>3</v>
      </c>
    </row>
    <row r="247" customFormat="false" ht="15" hidden="false" customHeight="false" outlineLevel="0" collapsed="false">
      <c r="A247" s="0" t="s">
        <v>96</v>
      </c>
      <c r="B247" s="0" t="s">
        <v>371</v>
      </c>
      <c r="C247" s="0" t="n">
        <v>80</v>
      </c>
      <c r="D247" s="0" t="n">
        <v>10</v>
      </c>
      <c r="E247" s="0" t="n">
        <v>4</v>
      </c>
      <c r="F247" s="0" t="n">
        <v>72</v>
      </c>
      <c r="G247" s="0" t="n">
        <v>500</v>
      </c>
      <c r="H247" s="0" t="s">
        <v>145</v>
      </c>
      <c r="I247" s="0" t="n">
        <v>500</v>
      </c>
      <c r="J247" s="0" t="n">
        <f aca="false">F247*E247</f>
        <v>288</v>
      </c>
      <c r="K247" s="0" t="str">
        <f aca="false">IF(G247&lt;1000,"1-Low",IF(G247&lt;5000,"2-Medium","3-Bulk"))</f>
        <v>1-Low</v>
      </c>
      <c r="L247" s="0" t="str">
        <f aca="false">IF(H247="TRUE","Out of stock","In stock")</f>
        <v>In stock</v>
      </c>
      <c r="M247" s="0" t="str">
        <f aca="false">IF(D247&lt;5,"1) Under 5%",IF(D247&lt;10,"2) 5-9%",IF(D247&lt;15,"3) 10-14%",IF(D247&lt;25,"4) 15-24%","5) 25%+"))))</f>
        <v>3) 10-14%</v>
      </c>
      <c r="N247" s="0" t="str">
        <f aca="false">IF(F247&lt;50,"1) Under Rs 50",IF(F247&lt;100,"2) Rs 50-99",IF(F247&lt;200,"3) Rs 100-199",IF(F247&lt;500,"4) Rs 200-499","5) Rs 500+"))))</f>
        <v>2) Rs 50-99</v>
      </c>
      <c r="O247" s="0" t="n">
        <f aca="false">G247*E247/1000</f>
        <v>2</v>
      </c>
    </row>
    <row r="248" customFormat="false" ht="15" hidden="false" customHeight="false" outlineLevel="0" collapsed="false">
      <c r="A248" s="0" t="s">
        <v>96</v>
      </c>
      <c r="B248" s="0" t="s">
        <v>372</v>
      </c>
      <c r="C248" s="0" t="n">
        <v>109</v>
      </c>
      <c r="D248" s="0" t="n">
        <v>10</v>
      </c>
      <c r="E248" s="0" t="n">
        <v>5</v>
      </c>
      <c r="F248" s="0" t="n">
        <v>98</v>
      </c>
      <c r="G248" s="0" t="n">
        <v>9</v>
      </c>
      <c r="H248" s="0" t="s">
        <v>145</v>
      </c>
      <c r="I248" s="0" t="n">
        <v>9</v>
      </c>
      <c r="J248" s="0" t="n">
        <f aca="false">F248*E248</f>
        <v>490</v>
      </c>
      <c r="K248" s="0" t="str">
        <f aca="false">IF(G248&lt;1000,"1-Low",IF(G248&lt;5000,"2-Medium","3-Bulk"))</f>
        <v>1-Low</v>
      </c>
      <c r="L248" s="0" t="str">
        <f aca="false">IF(H248="TRUE","Out of stock","In stock")</f>
        <v>In stock</v>
      </c>
      <c r="M248" s="0" t="str">
        <f aca="false">IF(D248&lt;5,"1) Under 5%",IF(D248&lt;10,"2) 5-9%",IF(D248&lt;15,"3) 10-14%",IF(D248&lt;25,"4) 15-24%","5) 25%+"))))</f>
        <v>3) 10-14%</v>
      </c>
      <c r="N248" s="0" t="str">
        <f aca="false">IF(F248&lt;50,"1) Under Rs 50",IF(F248&lt;100,"2) Rs 50-99",IF(F248&lt;200,"3) Rs 100-199",IF(F248&lt;500,"4) Rs 200-499","5) Rs 500+"))))</f>
        <v>2) Rs 50-99</v>
      </c>
      <c r="O248" s="0" t="n">
        <f aca="false">G248*E248/1000</f>
        <v>0.045</v>
      </c>
    </row>
    <row r="249" customFormat="false" ht="15" hidden="false" customHeight="false" outlineLevel="0" collapsed="false">
      <c r="A249" s="0" t="s">
        <v>96</v>
      </c>
      <c r="B249" s="0" t="s">
        <v>373</v>
      </c>
      <c r="C249" s="0" t="n">
        <v>100</v>
      </c>
      <c r="D249" s="0" t="n">
        <v>10</v>
      </c>
      <c r="E249" s="0" t="n">
        <v>6</v>
      </c>
      <c r="F249" s="0" t="n">
        <v>90</v>
      </c>
      <c r="G249" s="0" t="n">
        <v>500</v>
      </c>
      <c r="H249" s="0" t="s">
        <v>145</v>
      </c>
      <c r="I249" s="0" t="n">
        <v>500</v>
      </c>
      <c r="J249" s="0" t="n">
        <f aca="false">F249*E249</f>
        <v>540</v>
      </c>
      <c r="K249" s="0" t="str">
        <f aca="false">IF(G249&lt;1000,"1-Low",IF(G249&lt;5000,"2-Medium","3-Bulk"))</f>
        <v>1-Low</v>
      </c>
      <c r="L249" s="0" t="str">
        <f aca="false">IF(H249="TRUE","Out of stock","In stock")</f>
        <v>In stock</v>
      </c>
      <c r="M249" s="0" t="str">
        <f aca="false">IF(D249&lt;5,"1) Under 5%",IF(D249&lt;10,"2) 5-9%",IF(D249&lt;15,"3) 10-14%",IF(D249&lt;25,"4) 15-24%","5) 25%+"))))</f>
        <v>3) 10-14%</v>
      </c>
      <c r="N249" s="0" t="str">
        <f aca="false">IF(F249&lt;50,"1) Under Rs 50",IF(F249&lt;100,"2) Rs 50-99",IF(F249&lt;200,"3) Rs 100-199",IF(F249&lt;500,"4) Rs 200-499","5) Rs 500+"))))</f>
        <v>2) Rs 50-99</v>
      </c>
      <c r="O249" s="0" t="n">
        <f aca="false">G249*E249/1000</f>
        <v>3</v>
      </c>
    </row>
    <row r="250" customFormat="false" ht="15" hidden="false" customHeight="false" outlineLevel="0" collapsed="false">
      <c r="A250" s="0" t="s">
        <v>96</v>
      </c>
      <c r="B250" s="0" t="s">
        <v>293</v>
      </c>
      <c r="C250" s="0" t="n">
        <v>74</v>
      </c>
      <c r="D250" s="0" t="n">
        <v>2</v>
      </c>
      <c r="E250" s="0" t="n">
        <v>6</v>
      </c>
      <c r="F250" s="0" t="n">
        <v>72</v>
      </c>
      <c r="G250" s="0" t="n">
        <v>100</v>
      </c>
      <c r="H250" s="0" t="s">
        <v>145</v>
      </c>
      <c r="I250" s="0" t="n">
        <v>100</v>
      </c>
      <c r="J250" s="0" t="n">
        <f aca="false">F250*E250</f>
        <v>432</v>
      </c>
      <c r="K250" s="0" t="str">
        <f aca="false">IF(G250&lt;1000,"1-Low",IF(G250&lt;5000,"2-Medium","3-Bulk"))</f>
        <v>1-Low</v>
      </c>
      <c r="L250" s="0" t="str">
        <f aca="false">IF(H250="TRUE","Out of stock","In stock")</f>
        <v>In stock</v>
      </c>
      <c r="M250" s="0" t="str">
        <f aca="false">IF(D250&lt;5,"1) Under 5%",IF(D250&lt;10,"2) 5-9%",IF(D250&lt;15,"3) 10-14%",IF(D250&lt;25,"4) 15-24%","5) 25%+"))))</f>
        <v>1) Under 5%</v>
      </c>
      <c r="N250" s="0" t="str">
        <f aca="false">IF(F250&lt;50,"1) Under Rs 50",IF(F250&lt;100,"2) Rs 50-99",IF(F250&lt;200,"3) Rs 100-199",IF(F250&lt;500,"4) Rs 200-499","5) Rs 500+"))))</f>
        <v>2) Rs 50-99</v>
      </c>
      <c r="O250" s="0" t="n">
        <f aca="false">G250*E250/1000</f>
        <v>0.6</v>
      </c>
    </row>
    <row r="251" customFormat="false" ht="15" hidden="false" customHeight="false" outlineLevel="0" collapsed="false">
      <c r="A251" s="0" t="s">
        <v>96</v>
      </c>
      <c r="B251" s="0" t="s">
        <v>370</v>
      </c>
      <c r="C251" s="0" t="n">
        <v>370</v>
      </c>
      <c r="D251" s="0" t="n">
        <v>10</v>
      </c>
      <c r="E251" s="0" t="n">
        <v>6</v>
      </c>
      <c r="F251" s="0" t="n">
        <v>333</v>
      </c>
      <c r="G251" s="0" t="n">
        <v>5000</v>
      </c>
      <c r="H251" s="0" t="s">
        <v>145</v>
      </c>
      <c r="I251" s="0" t="n">
        <v>5</v>
      </c>
      <c r="J251" s="0" t="n">
        <f aca="false">F251*E251</f>
        <v>1998</v>
      </c>
      <c r="K251" s="0" t="str">
        <f aca="false">IF(G251&lt;1000,"1-Low",IF(G251&lt;5000,"2-Medium","3-Bulk"))</f>
        <v>3-Bulk</v>
      </c>
      <c r="L251" s="0" t="str">
        <f aca="false">IF(H251="TRUE","Out of stock","In stock")</f>
        <v>In stock</v>
      </c>
      <c r="M251" s="0" t="str">
        <f aca="false">IF(D251&lt;5,"1) Under 5%",IF(D251&lt;10,"2) 5-9%",IF(D251&lt;15,"3) 10-14%",IF(D251&lt;25,"4) 15-24%","5) 25%+"))))</f>
        <v>3) 10-14%</v>
      </c>
      <c r="N251" s="0" t="str">
        <f aca="false">IF(F251&lt;50,"1) Under Rs 50",IF(F251&lt;100,"2) Rs 50-99",IF(F251&lt;200,"3) Rs 100-199",IF(F251&lt;500,"4) Rs 200-499","5) Rs 500+"))))</f>
        <v>4) Rs 200-499</v>
      </c>
      <c r="O251" s="0" t="n">
        <f aca="false">G251*E251/1000</f>
        <v>30</v>
      </c>
    </row>
    <row r="252" customFormat="false" ht="15" hidden="false" customHeight="false" outlineLevel="0" collapsed="false">
      <c r="A252" s="0" t="s">
        <v>96</v>
      </c>
      <c r="B252" s="0" t="s">
        <v>374</v>
      </c>
      <c r="C252" s="0" t="n">
        <v>42</v>
      </c>
      <c r="D252" s="0" t="n">
        <v>4</v>
      </c>
      <c r="E252" s="0" t="n">
        <v>5</v>
      </c>
      <c r="F252" s="0" t="n">
        <v>40</v>
      </c>
      <c r="G252" s="0" t="n">
        <v>50</v>
      </c>
      <c r="H252" s="0" t="s">
        <v>145</v>
      </c>
      <c r="I252" s="0" t="n">
        <v>50</v>
      </c>
      <c r="J252" s="0" t="n">
        <f aca="false">F252*E252</f>
        <v>200</v>
      </c>
      <c r="K252" s="0" t="str">
        <f aca="false">IF(G252&lt;1000,"1-Low",IF(G252&lt;5000,"2-Medium","3-Bulk"))</f>
        <v>1-Low</v>
      </c>
      <c r="L252" s="0" t="str">
        <f aca="false">IF(H252="TRUE","Out of stock","In stock")</f>
        <v>In stock</v>
      </c>
      <c r="M252" s="0" t="str">
        <f aca="false">IF(D252&lt;5,"1) Under 5%",IF(D252&lt;10,"2) 5-9%",IF(D252&lt;15,"3) 10-14%",IF(D252&lt;25,"4) 15-24%","5) 25%+"))))</f>
        <v>1) Under 5%</v>
      </c>
      <c r="N252" s="0" t="str">
        <f aca="false">IF(F252&lt;50,"1) Under Rs 50",IF(F252&lt;100,"2) Rs 50-99",IF(F252&lt;200,"3) Rs 100-199",IF(F252&lt;500,"4) Rs 200-499","5) Rs 500+"))))</f>
        <v>1) Under Rs 50</v>
      </c>
      <c r="O252" s="0" t="n">
        <f aca="false">G252*E252/1000</f>
        <v>0.25</v>
      </c>
    </row>
    <row r="253" customFormat="false" ht="15" hidden="false" customHeight="false" outlineLevel="0" collapsed="false">
      <c r="A253" s="0" t="s">
        <v>96</v>
      </c>
      <c r="B253" s="0" t="s">
        <v>375</v>
      </c>
      <c r="C253" s="0" t="n">
        <v>325</v>
      </c>
      <c r="D253" s="0" t="n">
        <v>9</v>
      </c>
      <c r="E253" s="0" t="n">
        <v>1</v>
      </c>
      <c r="F253" s="0" t="n">
        <v>293</v>
      </c>
      <c r="G253" s="0" t="n">
        <v>500</v>
      </c>
      <c r="H253" s="0" t="s">
        <v>145</v>
      </c>
      <c r="I253" s="0" t="n">
        <v>500</v>
      </c>
      <c r="J253" s="0" t="n">
        <f aca="false">F253*E253</f>
        <v>293</v>
      </c>
      <c r="K253" s="0" t="str">
        <f aca="false">IF(G253&lt;1000,"1-Low",IF(G253&lt;5000,"2-Medium","3-Bulk"))</f>
        <v>1-Low</v>
      </c>
      <c r="L253" s="0" t="str">
        <f aca="false">IF(H253="TRUE","Out of stock","In stock")</f>
        <v>In stock</v>
      </c>
      <c r="M253" s="0" t="str">
        <f aca="false">IF(D253&lt;5,"1) Under 5%",IF(D253&lt;10,"2) 5-9%",IF(D253&lt;15,"3) 10-14%",IF(D253&lt;25,"4) 15-24%","5) 25%+"))))</f>
        <v>2) 5-9%</v>
      </c>
      <c r="N253" s="0" t="str">
        <f aca="false">IF(F253&lt;50,"1) Under Rs 50",IF(F253&lt;100,"2) Rs 50-99",IF(F253&lt;200,"3) Rs 100-199",IF(F253&lt;500,"4) Rs 200-499","5) Rs 500+"))))</f>
        <v>4) Rs 200-499</v>
      </c>
      <c r="O253" s="0" t="n">
        <f aca="false">G253*E253/1000</f>
        <v>0.5</v>
      </c>
    </row>
    <row r="254" customFormat="false" ht="15" hidden="false" customHeight="false" outlineLevel="0" collapsed="false">
      <c r="A254" s="0" t="s">
        <v>96</v>
      </c>
      <c r="B254" s="0" t="s">
        <v>376</v>
      </c>
      <c r="C254" s="0" t="n">
        <v>35</v>
      </c>
      <c r="D254" s="0" t="n">
        <v>2</v>
      </c>
      <c r="E254" s="0" t="n">
        <v>6</v>
      </c>
      <c r="F254" s="0" t="n">
        <v>34</v>
      </c>
      <c r="G254" s="0" t="n">
        <v>20</v>
      </c>
      <c r="H254" s="0" t="s">
        <v>145</v>
      </c>
      <c r="I254" s="0" t="n">
        <v>20</v>
      </c>
      <c r="J254" s="0" t="n">
        <f aca="false">F254*E254</f>
        <v>204</v>
      </c>
      <c r="K254" s="0" t="str">
        <f aca="false">IF(G254&lt;1000,"1-Low",IF(G254&lt;5000,"2-Medium","3-Bulk"))</f>
        <v>1-Low</v>
      </c>
      <c r="L254" s="0" t="str">
        <f aca="false">IF(H254="TRUE","Out of stock","In stock")</f>
        <v>In stock</v>
      </c>
      <c r="M254" s="0" t="str">
        <f aca="false">IF(D254&lt;5,"1) Under 5%",IF(D254&lt;10,"2) 5-9%",IF(D254&lt;15,"3) 10-14%",IF(D254&lt;25,"4) 15-24%","5) 25%+"))))</f>
        <v>1) Under 5%</v>
      </c>
      <c r="N254" s="0" t="str">
        <f aca="false">IF(F254&lt;50,"1) Under Rs 50",IF(F254&lt;100,"2) Rs 50-99",IF(F254&lt;200,"3) Rs 100-199",IF(F254&lt;500,"4) Rs 200-499","5) Rs 500+"))))</f>
        <v>1) Under Rs 50</v>
      </c>
      <c r="O254" s="0" t="n">
        <f aca="false">G254*E254/1000</f>
        <v>0.12</v>
      </c>
    </row>
    <row r="255" customFormat="false" ht="15" hidden="false" customHeight="false" outlineLevel="0" collapsed="false">
      <c r="A255" s="0" t="s">
        <v>96</v>
      </c>
      <c r="B255" s="0" t="s">
        <v>377</v>
      </c>
      <c r="C255" s="0" t="n">
        <v>30</v>
      </c>
      <c r="D255" s="0" t="n">
        <v>3</v>
      </c>
      <c r="E255" s="0" t="n">
        <v>6</v>
      </c>
      <c r="F255" s="0" t="n">
        <v>29</v>
      </c>
      <c r="G255" s="0" t="n">
        <v>50</v>
      </c>
      <c r="H255" s="0" t="s">
        <v>145</v>
      </c>
      <c r="I255" s="0" t="n">
        <v>50</v>
      </c>
      <c r="J255" s="0" t="n">
        <f aca="false">F255*E255</f>
        <v>174</v>
      </c>
      <c r="K255" s="0" t="str">
        <f aca="false">IF(G255&lt;1000,"1-Low",IF(G255&lt;5000,"2-Medium","3-Bulk"))</f>
        <v>1-Low</v>
      </c>
      <c r="L255" s="0" t="str">
        <f aca="false">IF(H255="TRUE","Out of stock","In stock")</f>
        <v>In stock</v>
      </c>
      <c r="M255" s="0" t="str">
        <f aca="false">IF(D255&lt;5,"1) Under 5%",IF(D255&lt;10,"2) 5-9%",IF(D255&lt;15,"3) 10-14%",IF(D255&lt;25,"4) 15-24%","5) 25%+"))))</f>
        <v>1) Under 5%</v>
      </c>
      <c r="N255" s="0" t="str">
        <f aca="false">IF(F255&lt;50,"1) Under Rs 50",IF(F255&lt;100,"2) Rs 50-99",IF(F255&lt;200,"3) Rs 100-199",IF(F255&lt;500,"4) Rs 200-499","5) Rs 500+"))))</f>
        <v>1) Under Rs 50</v>
      </c>
      <c r="O255" s="0" t="n">
        <f aca="false">G255*E255/1000</f>
        <v>0.3</v>
      </c>
    </row>
    <row r="256" customFormat="false" ht="15" hidden="false" customHeight="false" outlineLevel="0" collapsed="false">
      <c r="A256" s="0" t="s">
        <v>96</v>
      </c>
      <c r="B256" s="0" t="s">
        <v>126</v>
      </c>
      <c r="C256" s="0" t="n">
        <v>695</v>
      </c>
      <c r="D256" s="0" t="n">
        <v>32</v>
      </c>
      <c r="E256" s="0" t="n">
        <v>6</v>
      </c>
      <c r="F256" s="0" t="n">
        <v>470</v>
      </c>
      <c r="G256" s="0" t="n">
        <v>500</v>
      </c>
      <c r="H256" s="0" t="s">
        <v>145</v>
      </c>
      <c r="I256" s="0" t="n">
        <v>500</v>
      </c>
      <c r="J256" s="0" t="n">
        <f aca="false">F256*E256</f>
        <v>2820</v>
      </c>
      <c r="K256" s="0" t="str">
        <f aca="false">IF(G256&lt;1000,"1-Low",IF(G256&lt;5000,"2-Medium","3-Bulk"))</f>
        <v>1-Low</v>
      </c>
      <c r="L256" s="0" t="str">
        <f aca="false">IF(H256="TRUE","Out of stock","In stock")</f>
        <v>In stock</v>
      </c>
      <c r="M256" s="0" t="str">
        <f aca="false">IF(D256&lt;5,"1) Under 5%",IF(D256&lt;10,"2) 5-9%",IF(D256&lt;15,"3) 10-14%",IF(D256&lt;25,"4) 15-24%","5) 25%+"))))</f>
        <v>5) 25%+</v>
      </c>
      <c r="N256" s="0" t="str">
        <f aca="false">IF(F256&lt;50,"1) Under Rs 50",IF(F256&lt;100,"2) Rs 50-99",IF(F256&lt;200,"3) Rs 100-199",IF(F256&lt;500,"4) Rs 200-499","5) Rs 500+"))))</f>
        <v>4) Rs 200-499</v>
      </c>
      <c r="O256" s="0" t="n">
        <f aca="false">G256*E256/1000</f>
        <v>3</v>
      </c>
    </row>
    <row r="257" customFormat="false" ht="15" hidden="false" customHeight="false" outlineLevel="0" collapsed="false">
      <c r="A257" s="0" t="s">
        <v>96</v>
      </c>
      <c r="B257" s="0" t="s">
        <v>378</v>
      </c>
      <c r="C257" s="0" t="n">
        <v>110</v>
      </c>
      <c r="D257" s="0" t="n">
        <v>20</v>
      </c>
      <c r="E257" s="0" t="n">
        <v>6</v>
      </c>
      <c r="F257" s="0" t="n">
        <v>88</v>
      </c>
      <c r="G257" s="0" t="n">
        <v>80</v>
      </c>
      <c r="H257" s="0" t="s">
        <v>145</v>
      </c>
      <c r="I257" s="0" t="n">
        <v>80</v>
      </c>
      <c r="J257" s="0" t="n">
        <f aca="false">F257*E257</f>
        <v>528</v>
      </c>
      <c r="K257" s="0" t="str">
        <f aca="false">IF(G257&lt;1000,"1-Low",IF(G257&lt;5000,"2-Medium","3-Bulk"))</f>
        <v>1-Low</v>
      </c>
      <c r="L257" s="0" t="str">
        <f aca="false">IF(H257="TRUE","Out of stock","In stock")</f>
        <v>In stock</v>
      </c>
      <c r="M257" s="0" t="str">
        <f aca="false">IF(D257&lt;5,"1) Under 5%",IF(D257&lt;10,"2) 5-9%",IF(D257&lt;15,"3) 10-14%",IF(D257&lt;25,"4) 15-24%","5) 25%+"))))</f>
        <v>4) 15-24%</v>
      </c>
      <c r="N257" s="0" t="str">
        <f aca="false">IF(F257&lt;50,"1) Under Rs 50",IF(F257&lt;100,"2) Rs 50-99",IF(F257&lt;200,"3) Rs 100-199",IF(F257&lt;500,"4) Rs 200-499","5) Rs 500+"))))</f>
        <v>2) Rs 50-99</v>
      </c>
      <c r="O257" s="0" t="n">
        <f aca="false">G257*E257/1000</f>
        <v>0.48</v>
      </c>
    </row>
    <row r="258" customFormat="false" ht="15" hidden="false" customHeight="false" outlineLevel="0" collapsed="false">
      <c r="A258" s="0" t="s">
        <v>96</v>
      </c>
      <c r="B258" s="0" t="s">
        <v>379</v>
      </c>
      <c r="C258" s="0" t="n">
        <v>33</v>
      </c>
      <c r="D258" s="0" t="n">
        <v>3</v>
      </c>
      <c r="E258" s="0" t="n">
        <v>5</v>
      </c>
      <c r="F258" s="0" t="n">
        <v>32</v>
      </c>
      <c r="G258" s="0" t="n">
        <v>50</v>
      </c>
      <c r="H258" s="0" t="s">
        <v>145</v>
      </c>
      <c r="I258" s="0" t="n">
        <v>50</v>
      </c>
      <c r="J258" s="0" t="n">
        <f aca="false">F258*E258</f>
        <v>160</v>
      </c>
      <c r="K258" s="0" t="str">
        <f aca="false">IF(G258&lt;1000,"1-Low",IF(G258&lt;5000,"2-Medium","3-Bulk"))</f>
        <v>1-Low</v>
      </c>
      <c r="L258" s="0" t="str">
        <f aca="false">IF(H258="TRUE","Out of stock","In stock")</f>
        <v>In stock</v>
      </c>
      <c r="M258" s="0" t="str">
        <f aca="false">IF(D258&lt;5,"1) Under 5%",IF(D258&lt;10,"2) 5-9%",IF(D258&lt;15,"3) 10-14%",IF(D258&lt;25,"4) 15-24%","5) 25%+"))))</f>
        <v>1) Under 5%</v>
      </c>
      <c r="N258" s="0" t="str">
        <f aca="false">IF(F258&lt;50,"1) Under Rs 50",IF(F258&lt;100,"2) Rs 50-99",IF(F258&lt;200,"3) Rs 100-199",IF(F258&lt;500,"4) Rs 200-499","5) Rs 500+"))))</f>
        <v>1) Under Rs 50</v>
      </c>
      <c r="O258" s="0" t="n">
        <f aca="false">G258*E258/1000</f>
        <v>0.25</v>
      </c>
    </row>
    <row r="259" customFormat="false" ht="15" hidden="false" customHeight="false" outlineLevel="0" collapsed="false">
      <c r="A259" s="0" t="s">
        <v>96</v>
      </c>
      <c r="B259" s="0" t="s">
        <v>380</v>
      </c>
      <c r="C259" s="0" t="n">
        <v>40</v>
      </c>
      <c r="D259" s="0" t="n">
        <v>5</v>
      </c>
      <c r="E259" s="0" t="n">
        <v>1</v>
      </c>
      <c r="F259" s="0" t="n">
        <v>38</v>
      </c>
      <c r="G259" s="0" t="n">
        <v>100</v>
      </c>
      <c r="H259" s="0" t="s">
        <v>145</v>
      </c>
      <c r="I259" s="0" t="n">
        <v>100</v>
      </c>
      <c r="J259" s="0" t="n">
        <f aca="false">F259*E259</f>
        <v>38</v>
      </c>
      <c r="K259" s="0" t="str">
        <f aca="false">IF(G259&lt;1000,"1-Low",IF(G259&lt;5000,"2-Medium","3-Bulk"))</f>
        <v>1-Low</v>
      </c>
      <c r="L259" s="0" t="str">
        <f aca="false">IF(H259="TRUE","Out of stock","In stock")</f>
        <v>In stock</v>
      </c>
      <c r="M259" s="0" t="str">
        <f aca="false">IF(D259&lt;5,"1) Under 5%",IF(D259&lt;10,"2) 5-9%",IF(D259&lt;15,"3) 10-14%",IF(D259&lt;25,"4) 15-24%","5) 25%+"))))</f>
        <v>2) 5-9%</v>
      </c>
      <c r="N259" s="0" t="str">
        <f aca="false">IF(F259&lt;50,"1) Under Rs 50",IF(F259&lt;100,"2) Rs 50-99",IF(F259&lt;200,"3) Rs 100-199",IF(F259&lt;500,"4) Rs 200-499","5) Rs 500+"))))</f>
        <v>1) Under Rs 50</v>
      </c>
      <c r="O259" s="0" t="n">
        <f aca="false">G259*E259/1000</f>
        <v>0.1</v>
      </c>
    </row>
    <row r="260" customFormat="false" ht="15" hidden="false" customHeight="false" outlineLevel="0" collapsed="false">
      <c r="A260" s="0" t="s">
        <v>96</v>
      </c>
      <c r="B260" s="0" t="s">
        <v>381</v>
      </c>
      <c r="C260" s="0" t="n">
        <v>125</v>
      </c>
      <c r="D260" s="0" t="n">
        <v>2</v>
      </c>
      <c r="E260" s="0" t="n">
        <v>6</v>
      </c>
      <c r="F260" s="0" t="n">
        <v>122</v>
      </c>
      <c r="G260" s="0" t="n">
        <v>500</v>
      </c>
      <c r="H260" s="0" t="s">
        <v>145</v>
      </c>
      <c r="I260" s="0" t="n">
        <v>500</v>
      </c>
      <c r="J260" s="0" t="n">
        <f aca="false">F260*E260</f>
        <v>732</v>
      </c>
      <c r="K260" s="0" t="str">
        <f aca="false">IF(G260&lt;1000,"1-Low",IF(G260&lt;5000,"2-Medium","3-Bulk"))</f>
        <v>1-Low</v>
      </c>
      <c r="L260" s="0" t="str">
        <f aca="false">IF(H260="TRUE","Out of stock","In stock")</f>
        <v>In stock</v>
      </c>
      <c r="M260" s="0" t="str">
        <f aca="false">IF(D260&lt;5,"1) Under 5%",IF(D260&lt;10,"2) 5-9%",IF(D260&lt;15,"3) 10-14%",IF(D260&lt;25,"4) 15-24%","5) 25%+"))))</f>
        <v>1) Under 5%</v>
      </c>
      <c r="N260" s="0" t="str">
        <f aca="false">IF(F260&lt;50,"1) Under Rs 50",IF(F260&lt;100,"2) Rs 50-99",IF(F260&lt;200,"3) Rs 100-199",IF(F260&lt;500,"4) Rs 200-499","5) Rs 500+"))))</f>
        <v>3) Rs 100-199</v>
      </c>
      <c r="O260" s="0" t="n">
        <f aca="false">G260*E260/1000</f>
        <v>3</v>
      </c>
    </row>
    <row r="261" customFormat="false" ht="15" hidden="false" customHeight="false" outlineLevel="0" collapsed="false">
      <c r="A261" s="0" t="s">
        <v>96</v>
      </c>
      <c r="B261" s="0" t="s">
        <v>382</v>
      </c>
      <c r="C261" s="0" t="n">
        <v>79</v>
      </c>
      <c r="D261" s="0" t="n">
        <v>10</v>
      </c>
      <c r="E261" s="0" t="n">
        <v>6</v>
      </c>
      <c r="F261" s="0" t="n">
        <v>71</v>
      </c>
      <c r="G261" s="0" t="n">
        <v>200</v>
      </c>
      <c r="H261" s="0" t="s">
        <v>145</v>
      </c>
      <c r="I261" s="0" t="n">
        <v>200</v>
      </c>
      <c r="J261" s="0" t="n">
        <f aca="false">F261*E261</f>
        <v>426</v>
      </c>
      <c r="K261" s="0" t="str">
        <f aca="false">IF(G261&lt;1000,"1-Low",IF(G261&lt;5000,"2-Medium","3-Bulk"))</f>
        <v>1-Low</v>
      </c>
      <c r="L261" s="0" t="str">
        <f aca="false">IF(H261="TRUE","Out of stock","In stock")</f>
        <v>In stock</v>
      </c>
      <c r="M261" s="0" t="str">
        <f aca="false">IF(D261&lt;5,"1) Under 5%",IF(D261&lt;10,"2) 5-9%",IF(D261&lt;15,"3) 10-14%",IF(D261&lt;25,"4) 15-24%","5) 25%+"))))</f>
        <v>3) 10-14%</v>
      </c>
      <c r="N261" s="0" t="str">
        <f aca="false">IF(F261&lt;50,"1) Under Rs 50",IF(F261&lt;100,"2) Rs 50-99",IF(F261&lt;200,"3) Rs 100-199",IF(F261&lt;500,"4) Rs 200-499","5) Rs 500+"))))</f>
        <v>2) Rs 50-99</v>
      </c>
      <c r="O261" s="0" t="n">
        <f aca="false">G261*E261/1000</f>
        <v>1.2</v>
      </c>
    </row>
    <row r="262" customFormat="false" ht="15" hidden="false" customHeight="false" outlineLevel="0" collapsed="false">
      <c r="A262" s="0" t="s">
        <v>96</v>
      </c>
      <c r="B262" s="0" t="s">
        <v>383</v>
      </c>
      <c r="C262" s="0" t="n">
        <v>60</v>
      </c>
      <c r="D262" s="0" t="n">
        <v>0</v>
      </c>
      <c r="E262" s="0" t="n">
        <v>1</v>
      </c>
      <c r="F262" s="0" t="n">
        <v>60</v>
      </c>
      <c r="G262" s="0" t="n">
        <v>240</v>
      </c>
      <c r="H262" s="0" t="s">
        <v>145</v>
      </c>
      <c r="I262" s="0" t="n">
        <v>240</v>
      </c>
      <c r="J262" s="0" t="n">
        <f aca="false">F262*E262</f>
        <v>60</v>
      </c>
      <c r="K262" s="0" t="str">
        <f aca="false">IF(G262&lt;1000,"1-Low",IF(G262&lt;5000,"2-Medium","3-Bulk"))</f>
        <v>1-Low</v>
      </c>
      <c r="L262" s="0" t="str">
        <f aca="false">IF(H262="TRUE","Out of stock","In stock")</f>
        <v>In stock</v>
      </c>
      <c r="M262" s="0" t="str">
        <f aca="false">IF(D262&lt;5,"1) Under 5%",IF(D262&lt;10,"2) 5-9%",IF(D262&lt;15,"3) 10-14%",IF(D262&lt;25,"4) 15-24%","5) 25%+"))))</f>
        <v>1) Under 5%</v>
      </c>
      <c r="N262" s="0" t="str">
        <f aca="false">IF(F262&lt;50,"1) Under Rs 50",IF(F262&lt;100,"2) Rs 50-99",IF(F262&lt;200,"3) Rs 100-199",IF(F262&lt;500,"4) Rs 200-499","5) Rs 500+"))))</f>
        <v>2) Rs 50-99</v>
      </c>
      <c r="O262" s="0" t="n">
        <f aca="false">G262*E262/1000</f>
        <v>0.24</v>
      </c>
    </row>
    <row r="263" customFormat="false" ht="15" hidden="false" customHeight="false" outlineLevel="0" collapsed="false">
      <c r="A263" s="0" t="s">
        <v>96</v>
      </c>
      <c r="B263" s="0" t="s">
        <v>384</v>
      </c>
      <c r="C263" s="0" t="n">
        <v>110</v>
      </c>
      <c r="D263" s="0" t="n">
        <v>2</v>
      </c>
      <c r="E263" s="0" t="n">
        <v>6</v>
      </c>
      <c r="F263" s="0" t="n">
        <v>107</v>
      </c>
      <c r="G263" s="0" t="n">
        <v>500</v>
      </c>
      <c r="H263" s="0" t="s">
        <v>145</v>
      </c>
      <c r="I263" s="0" t="n">
        <v>500</v>
      </c>
      <c r="J263" s="0" t="n">
        <f aca="false">F263*E263</f>
        <v>642</v>
      </c>
      <c r="K263" s="0" t="str">
        <f aca="false">IF(G263&lt;1000,"1-Low",IF(G263&lt;5000,"2-Medium","3-Bulk"))</f>
        <v>1-Low</v>
      </c>
      <c r="L263" s="0" t="str">
        <f aca="false">IF(H263="TRUE","Out of stock","In stock")</f>
        <v>In stock</v>
      </c>
      <c r="M263" s="0" t="str">
        <f aca="false">IF(D263&lt;5,"1) Under 5%",IF(D263&lt;10,"2) 5-9%",IF(D263&lt;15,"3) 10-14%",IF(D263&lt;25,"4) 15-24%","5) 25%+"))))</f>
        <v>1) Under 5%</v>
      </c>
      <c r="N263" s="0" t="str">
        <f aca="false">IF(F263&lt;50,"1) Under Rs 50",IF(F263&lt;100,"2) Rs 50-99",IF(F263&lt;200,"3) Rs 100-199",IF(F263&lt;500,"4) Rs 200-499","5) Rs 500+"))))</f>
        <v>3) Rs 100-199</v>
      </c>
      <c r="O263" s="0" t="n">
        <f aca="false">G263*E263/1000</f>
        <v>3</v>
      </c>
    </row>
    <row r="264" customFormat="false" ht="15" hidden="false" customHeight="false" outlineLevel="0" collapsed="false">
      <c r="A264" s="0" t="s">
        <v>96</v>
      </c>
      <c r="B264" s="0" t="s">
        <v>385</v>
      </c>
      <c r="C264" s="0" t="n">
        <v>70</v>
      </c>
      <c r="D264" s="0" t="n">
        <v>7</v>
      </c>
      <c r="E264" s="0" t="n">
        <v>3</v>
      </c>
      <c r="F264" s="0" t="n">
        <v>65</v>
      </c>
      <c r="G264" s="0" t="n">
        <v>100</v>
      </c>
      <c r="H264" s="0" t="s">
        <v>145</v>
      </c>
      <c r="I264" s="0" t="n">
        <v>100</v>
      </c>
      <c r="J264" s="0" t="n">
        <f aca="false">F264*E264</f>
        <v>195</v>
      </c>
      <c r="K264" s="0" t="str">
        <f aca="false">IF(G264&lt;1000,"1-Low",IF(G264&lt;5000,"2-Medium","3-Bulk"))</f>
        <v>1-Low</v>
      </c>
      <c r="L264" s="0" t="str">
        <f aca="false">IF(H264="TRUE","Out of stock","In stock")</f>
        <v>In stock</v>
      </c>
      <c r="M264" s="0" t="str">
        <f aca="false">IF(D264&lt;5,"1) Under 5%",IF(D264&lt;10,"2) 5-9%",IF(D264&lt;15,"3) 10-14%",IF(D264&lt;25,"4) 15-24%","5) 25%+"))))</f>
        <v>2) 5-9%</v>
      </c>
      <c r="N264" s="0" t="str">
        <f aca="false">IF(F264&lt;50,"1) Under Rs 50",IF(F264&lt;100,"2) Rs 50-99",IF(F264&lt;200,"3) Rs 100-199",IF(F264&lt;500,"4) Rs 200-499","5) Rs 500+"))))</f>
        <v>2) Rs 50-99</v>
      </c>
      <c r="O264" s="0" t="n">
        <f aca="false">G264*E264/1000</f>
        <v>0.3</v>
      </c>
    </row>
    <row r="265" customFormat="false" ht="15" hidden="false" customHeight="false" outlineLevel="0" collapsed="false">
      <c r="A265" s="0" t="s">
        <v>96</v>
      </c>
      <c r="B265" s="0" t="s">
        <v>386</v>
      </c>
      <c r="C265" s="0" t="n">
        <v>25</v>
      </c>
      <c r="D265" s="0" t="n">
        <v>0</v>
      </c>
      <c r="E265" s="0" t="n">
        <v>5</v>
      </c>
      <c r="F265" s="0" t="n">
        <v>25</v>
      </c>
      <c r="G265" s="0" t="n">
        <v>100</v>
      </c>
      <c r="H265" s="0" t="s">
        <v>145</v>
      </c>
      <c r="I265" s="0" t="n">
        <v>100</v>
      </c>
      <c r="J265" s="0" t="n">
        <f aca="false">F265*E265</f>
        <v>125</v>
      </c>
      <c r="K265" s="0" t="str">
        <f aca="false">IF(G265&lt;1000,"1-Low",IF(G265&lt;5000,"2-Medium","3-Bulk"))</f>
        <v>1-Low</v>
      </c>
      <c r="L265" s="0" t="str">
        <f aca="false">IF(H265="TRUE","Out of stock","In stock")</f>
        <v>In stock</v>
      </c>
      <c r="M265" s="0" t="str">
        <f aca="false">IF(D265&lt;5,"1) Under 5%",IF(D265&lt;10,"2) 5-9%",IF(D265&lt;15,"3) 10-14%",IF(D265&lt;25,"4) 15-24%","5) 25%+"))))</f>
        <v>1) Under 5%</v>
      </c>
      <c r="N265" s="0" t="str">
        <f aca="false">IF(F265&lt;50,"1) Under Rs 50",IF(F265&lt;100,"2) Rs 50-99",IF(F265&lt;200,"3) Rs 100-199",IF(F265&lt;500,"4) Rs 200-499","5) Rs 500+"))))</f>
        <v>1) Under Rs 50</v>
      </c>
      <c r="O265" s="0" t="n">
        <f aca="false">G265*E265/1000</f>
        <v>0.5</v>
      </c>
    </row>
    <row r="266" customFormat="false" ht="15" hidden="false" customHeight="false" outlineLevel="0" collapsed="false">
      <c r="A266" s="0" t="s">
        <v>96</v>
      </c>
      <c r="B266" s="0" t="s">
        <v>387</v>
      </c>
      <c r="C266" s="0" t="n">
        <v>20</v>
      </c>
      <c r="D266" s="0" t="n">
        <v>0</v>
      </c>
      <c r="E266" s="0" t="n">
        <v>2</v>
      </c>
      <c r="F266" s="0" t="n">
        <v>20</v>
      </c>
      <c r="G266" s="0" t="n">
        <v>46</v>
      </c>
      <c r="H266" s="0" t="s">
        <v>145</v>
      </c>
      <c r="I266" s="0" t="n">
        <v>46</v>
      </c>
      <c r="J266" s="0" t="n">
        <f aca="false">F266*E266</f>
        <v>40</v>
      </c>
      <c r="K266" s="0" t="str">
        <f aca="false">IF(G266&lt;1000,"1-Low",IF(G266&lt;5000,"2-Medium","3-Bulk"))</f>
        <v>1-Low</v>
      </c>
      <c r="L266" s="0" t="str">
        <f aca="false">IF(H266="TRUE","Out of stock","In stock")</f>
        <v>In stock</v>
      </c>
      <c r="M266" s="0" t="str">
        <f aca="false">IF(D266&lt;5,"1) Under 5%",IF(D266&lt;10,"2) 5-9%",IF(D266&lt;15,"3) 10-14%",IF(D266&lt;25,"4) 15-24%","5) 25%+"))))</f>
        <v>1) Under 5%</v>
      </c>
      <c r="N266" s="0" t="str">
        <f aca="false">IF(F266&lt;50,"1) Under Rs 50",IF(F266&lt;100,"2) Rs 50-99",IF(F266&lt;200,"3) Rs 100-199",IF(F266&lt;500,"4) Rs 200-499","5) Rs 500+"))))</f>
        <v>1) Under Rs 50</v>
      </c>
      <c r="O266" s="0" t="n">
        <f aca="false">G266*E266/1000</f>
        <v>0.092</v>
      </c>
    </row>
    <row r="267" customFormat="false" ht="15" hidden="false" customHeight="false" outlineLevel="0" collapsed="false">
      <c r="A267" s="0" t="s">
        <v>96</v>
      </c>
      <c r="B267" s="0" t="s">
        <v>388</v>
      </c>
      <c r="C267" s="0" t="n">
        <v>175</v>
      </c>
      <c r="D267" s="0" t="n">
        <v>5</v>
      </c>
      <c r="E267" s="0" t="n">
        <v>6</v>
      </c>
      <c r="F267" s="0" t="n">
        <v>166</v>
      </c>
      <c r="G267" s="0" t="n">
        <v>200</v>
      </c>
      <c r="H267" s="0" t="s">
        <v>145</v>
      </c>
      <c r="I267" s="0" t="n">
        <v>200</v>
      </c>
      <c r="J267" s="0" t="n">
        <f aca="false">F267*E267</f>
        <v>996</v>
      </c>
      <c r="K267" s="0" t="str">
        <f aca="false">IF(G267&lt;1000,"1-Low",IF(G267&lt;5000,"2-Medium","3-Bulk"))</f>
        <v>1-Low</v>
      </c>
      <c r="L267" s="0" t="str">
        <f aca="false">IF(H267="TRUE","Out of stock","In stock")</f>
        <v>In stock</v>
      </c>
      <c r="M267" s="0" t="str">
        <f aca="false">IF(D267&lt;5,"1) Under 5%",IF(D267&lt;10,"2) 5-9%",IF(D267&lt;15,"3) 10-14%",IF(D267&lt;25,"4) 15-24%","5) 25%+"))))</f>
        <v>2) 5-9%</v>
      </c>
      <c r="N267" s="0" t="str">
        <f aca="false">IF(F267&lt;50,"1) Under Rs 50",IF(F267&lt;100,"2) Rs 50-99",IF(F267&lt;200,"3) Rs 100-199",IF(F267&lt;500,"4) Rs 200-499","5) Rs 500+"))))</f>
        <v>3) Rs 100-199</v>
      </c>
      <c r="O267" s="0" t="n">
        <f aca="false">G267*E267/1000</f>
        <v>1.2</v>
      </c>
    </row>
    <row r="268" customFormat="false" ht="15" hidden="false" customHeight="false" outlineLevel="0" collapsed="false">
      <c r="A268" s="0" t="s">
        <v>96</v>
      </c>
      <c r="B268" s="0" t="s">
        <v>389</v>
      </c>
      <c r="C268" s="0" t="n">
        <v>10</v>
      </c>
      <c r="D268" s="0" t="n">
        <v>0</v>
      </c>
      <c r="E268" s="0" t="n">
        <v>6</v>
      </c>
      <c r="F268" s="0" t="n">
        <v>10</v>
      </c>
      <c r="G268" s="0" t="n">
        <v>20</v>
      </c>
      <c r="H268" s="0" t="s">
        <v>145</v>
      </c>
      <c r="I268" s="0" t="n">
        <v>20</v>
      </c>
      <c r="J268" s="0" t="n">
        <f aca="false">F268*E268</f>
        <v>60</v>
      </c>
      <c r="K268" s="0" t="str">
        <f aca="false">IF(G268&lt;1000,"1-Low",IF(G268&lt;5000,"2-Medium","3-Bulk"))</f>
        <v>1-Low</v>
      </c>
      <c r="L268" s="0" t="str">
        <f aca="false">IF(H268="TRUE","Out of stock","In stock")</f>
        <v>In stock</v>
      </c>
      <c r="M268" s="0" t="str">
        <f aca="false">IF(D268&lt;5,"1) Under 5%",IF(D268&lt;10,"2) 5-9%",IF(D268&lt;15,"3) 10-14%",IF(D268&lt;25,"4) 15-24%","5) 25%+"))))</f>
        <v>1) Under 5%</v>
      </c>
      <c r="N268" s="0" t="str">
        <f aca="false">IF(F268&lt;50,"1) Under Rs 50",IF(F268&lt;100,"2) Rs 50-99",IF(F268&lt;200,"3) Rs 100-199",IF(F268&lt;500,"4) Rs 200-499","5) Rs 500+"))))</f>
        <v>1) Under Rs 50</v>
      </c>
      <c r="O268" s="0" t="n">
        <f aca="false">G268*E268/1000</f>
        <v>0.12</v>
      </c>
    </row>
    <row r="269" customFormat="false" ht="15" hidden="false" customHeight="false" outlineLevel="0" collapsed="false">
      <c r="A269" s="0" t="s">
        <v>96</v>
      </c>
      <c r="B269" s="0" t="s">
        <v>390</v>
      </c>
      <c r="C269" s="0" t="n">
        <v>62</v>
      </c>
      <c r="D269" s="0" t="n">
        <v>6</v>
      </c>
      <c r="E269" s="0" t="n">
        <v>6</v>
      </c>
      <c r="F269" s="0" t="n">
        <v>58</v>
      </c>
      <c r="G269" s="0" t="n">
        <v>250</v>
      </c>
      <c r="H269" s="0" t="s">
        <v>145</v>
      </c>
      <c r="I269" s="0" t="n">
        <v>250</v>
      </c>
      <c r="J269" s="0" t="n">
        <f aca="false">F269*E269</f>
        <v>348</v>
      </c>
      <c r="K269" s="0" t="str">
        <f aca="false">IF(G269&lt;1000,"1-Low",IF(G269&lt;5000,"2-Medium","3-Bulk"))</f>
        <v>1-Low</v>
      </c>
      <c r="L269" s="0" t="str">
        <f aca="false">IF(H269="TRUE","Out of stock","In stock")</f>
        <v>In stock</v>
      </c>
      <c r="M269" s="0" t="str">
        <f aca="false">IF(D269&lt;5,"1) Under 5%",IF(D269&lt;10,"2) 5-9%",IF(D269&lt;15,"3) 10-14%",IF(D269&lt;25,"4) 15-24%","5) 25%+"))))</f>
        <v>2) 5-9%</v>
      </c>
      <c r="N269" s="0" t="str">
        <f aca="false">IF(F269&lt;50,"1) Under Rs 50",IF(F269&lt;100,"2) Rs 50-99",IF(F269&lt;200,"3) Rs 100-199",IF(F269&lt;500,"4) Rs 200-499","5) Rs 500+"))))</f>
        <v>2) Rs 50-99</v>
      </c>
      <c r="O269" s="0" t="n">
        <f aca="false">G269*E269/1000</f>
        <v>1.5</v>
      </c>
    </row>
    <row r="270" customFormat="false" ht="15" hidden="false" customHeight="false" outlineLevel="0" collapsed="false">
      <c r="A270" s="0" t="s">
        <v>96</v>
      </c>
      <c r="B270" s="0" t="s">
        <v>391</v>
      </c>
      <c r="C270" s="0" t="n">
        <v>100</v>
      </c>
      <c r="D270" s="0" t="n">
        <v>10</v>
      </c>
      <c r="E270" s="0" t="n">
        <v>6</v>
      </c>
      <c r="F270" s="0" t="n">
        <v>90</v>
      </c>
      <c r="G270" s="0" t="n">
        <v>50</v>
      </c>
      <c r="H270" s="0" t="s">
        <v>145</v>
      </c>
      <c r="I270" s="0" t="n">
        <v>50</v>
      </c>
      <c r="J270" s="0" t="n">
        <f aca="false">F270*E270</f>
        <v>540</v>
      </c>
      <c r="K270" s="0" t="str">
        <f aca="false">IF(G270&lt;1000,"1-Low",IF(G270&lt;5000,"2-Medium","3-Bulk"))</f>
        <v>1-Low</v>
      </c>
      <c r="L270" s="0" t="str">
        <f aca="false">IF(H270="TRUE","Out of stock","In stock")</f>
        <v>In stock</v>
      </c>
      <c r="M270" s="0" t="str">
        <f aca="false">IF(D270&lt;5,"1) Under 5%",IF(D270&lt;10,"2) 5-9%",IF(D270&lt;15,"3) 10-14%",IF(D270&lt;25,"4) 15-24%","5) 25%+"))))</f>
        <v>3) 10-14%</v>
      </c>
      <c r="N270" s="0" t="str">
        <f aca="false">IF(F270&lt;50,"1) Under Rs 50",IF(F270&lt;100,"2) Rs 50-99",IF(F270&lt;200,"3) Rs 100-199",IF(F270&lt;500,"4) Rs 200-499","5) Rs 500+"))))</f>
        <v>2) Rs 50-99</v>
      </c>
      <c r="O270" s="0" t="n">
        <f aca="false">G270*E270/1000</f>
        <v>0.3</v>
      </c>
    </row>
    <row r="271" customFormat="false" ht="15" hidden="false" customHeight="false" outlineLevel="0" collapsed="false">
      <c r="A271" s="0" t="s">
        <v>96</v>
      </c>
      <c r="B271" s="0" t="s">
        <v>392</v>
      </c>
      <c r="C271" s="0" t="n">
        <v>60</v>
      </c>
      <c r="D271" s="0" t="n">
        <v>10</v>
      </c>
      <c r="E271" s="0" t="n">
        <v>4</v>
      </c>
      <c r="F271" s="0" t="n">
        <v>54</v>
      </c>
      <c r="G271" s="0" t="n">
        <v>1000</v>
      </c>
      <c r="H271" s="0" t="s">
        <v>145</v>
      </c>
      <c r="I271" s="0" t="n">
        <v>1</v>
      </c>
      <c r="J271" s="0" t="n">
        <f aca="false">F271*E271</f>
        <v>216</v>
      </c>
      <c r="K271" s="0" t="str">
        <f aca="false">IF(G271&lt;1000,"1-Low",IF(G271&lt;5000,"2-Medium","3-Bulk"))</f>
        <v>2-Medium</v>
      </c>
      <c r="L271" s="0" t="str">
        <f aca="false">IF(H271="TRUE","Out of stock","In stock")</f>
        <v>In stock</v>
      </c>
      <c r="M271" s="0" t="str">
        <f aca="false">IF(D271&lt;5,"1) Under 5%",IF(D271&lt;10,"2) 5-9%",IF(D271&lt;15,"3) 10-14%",IF(D271&lt;25,"4) 15-24%","5) 25%+"))))</f>
        <v>3) 10-14%</v>
      </c>
      <c r="N271" s="0" t="str">
        <f aca="false">IF(F271&lt;50,"1) Under Rs 50",IF(F271&lt;100,"2) Rs 50-99",IF(F271&lt;200,"3) Rs 100-199",IF(F271&lt;500,"4) Rs 200-499","5) Rs 500+"))))</f>
        <v>2) Rs 50-99</v>
      </c>
      <c r="O271" s="0" t="n">
        <f aca="false">G271*E271/1000</f>
        <v>4</v>
      </c>
    </row>
    <row r="272" customFormat="false" ht="15" hidden="false" customHeight="false" outlineLevel="0" collapsed="false">
      <c r="A272" s="0" t="s">
        <v>96</v>
      </c>
      <c r="B272" s="0" t="s">
        <v>393</v>
      </c>
      <c r="C272" s="0" t="n">
        <v>33</v>
      </c>
      <c r="D272" s="0" t="n">
        <v>3</v>
      </c>
      <c r="E272" s="0" t="n">
        <v>1</v>
      </c>
      <c r="F272" s="0" t="n">
        <v>32</v>
      </c>
      <c r="G272" s="0" t="n">
        <v>50</v>
      </c>
      <c r="H272" s="0" t="s">
        <v>145</v>
      </c>
      <c r="I272" s="0" t="n">
        <v>50</v>
      </c>
      <c r="J272" s="0" t="n">
        <f aca="false">F272*E272</f>
        <v>32</v>
      </c>
      <c r="K272" s="0" t="str">
        <f aca="false">IF(G272&lt;1000,"1-Low",IF(G272&lt;5000,"2-Medium","3-Bulk"))</f>
        <v>1-Low</v>
      </c>
      <c r="L272" s="0" t="str">
        <f aca="false">IF(H272="TRUE","Out of stock","In stock")</f>
        <v>In stock</v>
      </c>
      <c r="M272" s="0" t="str">
        <f aca="false">IF(D272&lt;5,"1) Under 5%",IF(D272&lt;10,"2) 5-9%",IF(D272&lt;15,"3) 10-14%",IF(D272&lt;25,"4) 15-24%","5) 25%+"))))</f>
        <v>1) Under 5%</v>
      </c>
      <c r="N272" s="0" t="str">
        <f aca="false">IF(F272&lt;50,"1) Under Rs 50",IF(F272&lt;100,"2) Rs 50-99",IF(F272&lt;200,"3) Rs 100-199",IF(F272&lt;500,"4) Rs 200-499","5) Rs 500+"))))</f>
        <v>1) Under Rs 50</v>
      </c>
      <c r="O272" s="0" t="n">
        <f aca="false">G272*E272/1000</f>
        <v>0.05</v>
      </c>
    </row>
    <row r="273" customFormat="false" ht="15" hidden="false" customHeight="false" outlineLevel="0" collapsed="false">
      <c r="A273" s="0" t="s">
        <v>96</v>
      </c>
      <c r="B273" s="0" t="s">
        <v>394</v>
      </c>
      <c r="C273" s="0" t="n">
        <v>48</v>
      </c>
      <c r="D273" s="0" t="n">
        <v>6</v>
      </c>
      <c r="E273" s="0" t="n">
        <v>6</v>
      </c>
      <c r="F273" s="0" t="n">
        <v>45</v>
      </c>
      <c r="G273" s="0" t="n">
        <v>200</v>
      </c>
      <c r="H273" s="0" t="s">
        <v>145</v>
      </c>
      <c r="I273" s="0" t="n">
        <v>200</v>
      </c>
      <c r="J273" s="0" t="n">
        <f aca="false">F273*E273</f>
        <v>270</v>
      </c>
      <c r="K273" s="0" t="str">
        <f aca="false">IF(G273&lt;1000,"1-Low",IF(G273&lt;5000,"2-Medium","3-Bulk"))</f>
        <v>1-Low</v>
      </c>
      <c r="L273" s="0" t="str">
        <f aca="false">IF(H273="TRUE","Out of stock","In stock")</f>
        <v>In stock</v>
      </c>
      <c r="M273" s="0" t="str">
        <f aca="false">IF(D273&lt;5,"1) Under 5%",IF(D273&lt;10,"2) 5-9%",IF(D273&lt;15,"3) 10-14%",IF(D273&lt;25,"4) 15-24%","5) 25%+"))))</f>
        <v>2) 5-9%</v>
      </c>
      <c r="N273" s="0" t="str">
        <f aca="false">IF(F273&lt;50,"1) Under Rs 50",IF(F273&lt;100,"2) Rs 50-99",IF(F273&lt;200,"3) Rs 100-199",IF(F273&lt;500,"4) Rs 200-499","5) Rs 500+"))))</f>
        <v>1) Under Rs 50</v>
      </c>
      <c r="O273" s="0" t="n">
        <f aca="false">G273*E273/1000</f>
        <v>1.2</v>
      </c>
    </row>
    <row r="274" customFormat="false" ht="15" hidden="false" customHeight="false" outlineLevel="0" collapsed="false">
      <c r="A274" s="0" t="s">
        <v>96</v>
      </c>
      <c r="B274" s="0" t="s">
        <v>395</v>
      </c>
      <c r="C274" s="0" t="n">
        <v>35</v>
      </c>
      <c r="D274" s="0" t="n">
        <v>2</v>
      </c>
      <c r="E274" s="0" t="n">
        <v>6</v>
      </c>
      <c r="F274" s="0" t="n">
        <v>34</v>
      </c>
      <c r="G274" s="0" t="n">
        <v>48</v>
      </c>
      <c r="H274" s="0" t="s">
        <v>145</v>
      </c>
      <c r="I274" s="0" t="n">
        <v>48</v>
      </c>
      <c r="J274" s="0" t="n">
        <f aca="false">F274*E274</f>
        <v>204</v>
      </c>
      <c r="K274" s="0" t="str">
        <f aca="false">IF(G274&lt;1000,"1-Low",IF(G274&lt;5000,"2-Medium","3-Bulk"))</f>
        <v>1-Low</v>
      </c>
      <c r="L274" s="0" t="str">
        <f aca="false">IF(H274="TRUE","Out of stock","In stock")</f>
        <v>In stock</v>
      </c>
      <c r="M274" s="0" t="str">
        <f aca="false">IF(D274&lt;5,"1) Under 5%",IF(D274&lt;10,"2) 5-9%",IF(D274&lt;15,"3) 10-14%",IF(D274&lt;25,"4) 15-24%","5) 25%+"))))</f>
        <v>1) Under 5%</v>
      </c>
      <c r="N274" s="0" t="str">
        <f aca="false">IF(F274&lt;50,"1) Under Rs 50",IF(F274&lt;100,"2) Rs 50-99",IF(F274&lt;200,"3) Rs 100-199",IF(F274&lt;500,"4) Rs 200-499","5) Rs 500+"))))</f>
        <v>1) Under Rs 50</v>
      </c>
      <c r="O274" s="0" t="n">
        <f aca="false">G274*E274/1000</f>
        <v>0.288</v>
      </c>
    </row>
    <row r="275" customFormat="false" ht="15" hidden="false" customHeight="false" outlineLevel="0" collapsed="false">
      <c r="A275" s="0" t="s">
        <v>96</v>
      </c>
      <c r="B275" s="0" t="s">
        <v>396</v>
      </c>
      <c r="C275" s="0" t="n">
        <v>30</v>
      </c>
      <c r="D275" s="0" t="n">
        <v>10</v>
      </c>
      <c r="E275" s="0" t="n">
        <v>6</v>
      </c>
      <c r="F275" s="0" t="n">
        <v>27</v>
      </c>
      <c r="G275" s="0" t="n">
        <v>200</v>
      </c>
      <c r="H275" s="0" t="s">
        <v>145</v>
      </c>
      <c r="I275" s="0" t="n">
        <v>200</v>
      </c>
      <c r="J275" s="0" t="n">
        <f aca="false">F275*E275</f>
        <v>162</v>
      </c>
      <c r="K275" s="0" t="str">
        <f aca="false">IF(G275&lt;1000,"1-Low",IF(G275&lt;5000,"2-Medium","3-Bulk"))</f>
        <v>1-Low</v>
      </c>
      <c r="L275" s="0" t="str">
        <f aca="false">IF(H275="TRUE","Out of stock","In stock")</f>
        <v>In stock</v>
      </c>
      <c r="M275" s="0" t="str">
        <f aca="false">IF(D275&lt;5,"1) Under 5%",IF(D275&lt;10,"2) 5-9%",IF(D275&lt;15,"3) 10-14%",IF(D275&lt;25,"4) 15-24%","5) 25%+"))))</f>
        <v>3) 10-14%</v>
      </c>
      <c r="N275" s="0" t="str">
        <f aca="false">IF(F275&lt;50,"1) Under Rs 50",IF(F275&lt;100,"2) Rs 50-99",IF(F275&lt;200,"3) Rs 100-199",IF(F275&lt;500,"4) Rs 200-499","5) Rs 500+"))))</f>
        <v>1) Under Rs 50</v>
      </c>
      <c r="O275" s="0" t="n">
        <f aca="false">G275*E275/1000</f>
        <v>1.2</v>
      </c>
    </row>
    <row r="276" customFormat="false" ht="15" hidden="false" customHeight="false" outlineLevel="0" collapsed="false">
      <c r="A276" s="0" t="s">
        <v>96</v>
      </c>
      <c r="B276" s="0" t="s">
        <v>397</v>
      </c>
      <c r="C276" s="0" t="n">
        <v>255</v>
      </c>
      <c r="D276" s="0" t="n">
        <v>6</v>
      </c>
      <c r="E276" s="0" t="n">
        <v>2</v>
      </c>
      <c r="F276" s="0" t="n">
        <v>239</v>
      </c>
      <c r="G276" s="0" t="n">
        <v>1000</v>
      </c>
      <c r="H276" s="0" t="s">
        <v>145</v>
      </c>
      <c r="I276" s="0" t="n">
        <v>1</v>
      </c>
      <c r="J276" s="0" t="n">
        <f aca="false">F276*E276</f>
        <v>478</v>
      </c>
      <c r="K276" s="0" t="str">
        <f aca="false">IF(G276&lt;1000,"1-Low",IF(G276&lt;5000,"2-Medium","3-Bulk"))</f>
        <v>2-Medium</v>
      </c>
      <c r="L276" s="0" t="str">
        <f aca="false">IF(H276="TRUE","Out of stock","In stock")</f>
        <v>In stock</v>
      </c>
      <c r="M276" s="0" t="str">
        <f aca="false">IF(D276&lt;5,"1) Under 5%",IF(D276&lt;10,"2) 5-9%",IF(D276&lt;15,"3) 10-14%",IF(D276&lt;25,"4) 15-24%","5) 25%+"))))</f>
        <v>2) 5-9%</v>
      </c>
      <c r="N276" s="0" t="str">
        <f aca="false">IF(F276&lt;50,"1) Under Rs 50",IF(F276&lt;100,"2) Rs 50-99",IF(F276&lt;200,"3) Rs 100-199",IF(F276&lt;500,"4) Rs 200-499","5) Rs 500+"))))</f>
        <v>4) Rs 200-499</v>
      </c>
      <c r="O276" s="0" t="n">
        <f aca="false">G276*E276/1000</f>
        <v>2</v>
      </c>
    </row>
    <row r="277" customFormat="false" ht="15" hidden="false" customHeight="false" outlineLevel="0" collapsed="false">
      <c r="A277" s="0" t="s">
        <v>96</v>
      </c>
      <c r="B277" s="0" t="s">
        <v>398</v>
      </c>
      <c r="C277" s="0" t="n">
        <v>31</v>
      </c>
      <c r="D277" s="0" t="n">
        <v>3</v>
      </c>
      <c r="E277" s="0" t="n">
        <v>6</v>
      </c>
      <c r="F277" s="0" t="n">
        <v>30</v>
      </c>
      <c r="G277" s="0" t="n">
        <v>50</v>
      </c>
      <c r="H277" s="0" t="s">
        <v>145</v>
      </c>
      <c r="I277" s="0" t="n">
        <v>50</v>
      </c>
      <c r="J277" s="0" t="n">
        <f aca="false">F277*E277</f>
        <v>180</v>
      </c>
      <c r="K277" s="0" t="str">
        <f aca="false">IF(G277&lt;1000,"1-Low",IF(G277&lt;5000,"2-Medium","3-Bulk"))</f>
        <v>1-Low</v>
      </c>
      <c r="L277" s="0" t="str">
        <f aca="false">IF(H277="TRUE","Out of stock","In stock")</f>
        <v>In stock</v>
      </c>
      <c r="M277" s="0" t="str">
        <f aca="false">IF(D277&lt;5,"1) Under 5%",IF(D277&lt;10,"2) 5-9%",IF(D277&lt;15,"3) 10-14%",IF(D277&lt;25,"4) 15-24%","5) 25%+"))))</f>
        <v>1) Under 5%</v>
      </c>
      <c r="N277" s="0" t="str">
        <f aca="false">IF(F277&lt;50,"1) Under Rs 50",IF(F277&lt;100,"2) Rs 50-99",IF(F277&lt;200,"3) Rs 100-199",IF(F277&lt;500,"4) Rs 200-499","5) Rs 500+"))))</f>
        <v>1) Under Rs 50</v>
      </c>
      <c r="O277" s="0" t="n">
        <f aca="false">G277*E277/1000</f>
        <v>0.3</v>
      </c>
    </row>
    <row r="278" customFormat="false" ht="15" hidden="false" customHeight="false" outlineLevel="0" collapsed="false">
      <c r="A278" s="0" t="s">
        <v>96</v>
      </c>
      <c r="B278" s="0" t="s">
        <v>399</v>
      </c>
      <c r="C278" s="0" t="n">
        <v>50</v>
      </c>
      <c r="D278" s="0" t="n">
        <v>10</v>
      </c>
      <c r="E278" s="0" t="n">
        <v>2</v>
      </c>
      <c r="F278" s="0" t="n">
        <v>45</v>
      </c>
      <c r="G278" s="0" t="n">
        <v>70</v>
      </c>
      <c r="H278" s="0" t="s">
        <v>145</v>
      </c>
      <c r="I278" s="0" t="n">
        <v>70</v>
      </c>
      <c r="J278" s="0" t="n">
        <f aca="false">F278*E278</f>
        <v>90</v>
      </c>
      <c r="K278" s="0" t="str">
        <f aca="false">IF(G278&lt;1000,"1-Low",IF(G278&lt;5000,"2-Medium","3-Bulk"))</f>
        <v>1-Low</v>
      </c>
      <c r="L278" s="0" t="str">
        <f aca="false">IF(H278="TRUE","Out of stock","In stock")</f>
        <v>In stock</v>
      </c>
      <c r="M278" s="0" t="str">
        <f aca="false">IF(D278&lt;5,"1) Under 5%",IF(D278&lt;10,"2) 5-9%",IF(D278&lt;15,"3) 10-14%",IF(D278&lt;25,"4) 15-24%","5) 25%+"))))</f>
        <v>3) 10-14%</v>
      </c>
      <c r="N278" s="0" t="str">
        <f aca="false">IF(F278&lt;50,"1) Under Rs 50",IF(F278&lt;100,"2) Rs 50-99",IF(F278&lt;200,"3) Rs 100-199",IF(F278&lt;500,"4) Rs 200-499","5) Rs 500+"))))</f>
        <v>1) Under Rs 50</v>
      </c>
      <c r="O278" s="0" t="n">
        <f aca="false">G278*E278/1000</f>
        <v>0.14</v>
      </c>
    </row>
    <row r="279" customFormat="false" ht="15" hidden="false" customHeight="false" outlineLevel="0" collapsed="false">
      <c r="A279" s="0" t="s">
        <v>96</v>
      </c>
      <c r="B279" s="0" t="s">
        <v>400</v>
      </c>
      <c r="C279" s="0" t="n">
        <v>10</v>
      </c>
      <c r="D279" s="0" t="n">
        <v>0</v>
      </c>
      <c r="E279" s="0" t="n">
        <v>2</v>
      </c>
      <c r="F279" s="0" t="n">
        <v>10</v>
      </c>
      <c r="G279" s="0" t="n">
        <v>20</v>
      </c>
      <c r="H279" s="0" t="s">
        <v>145</v>
      </c>
      <c r="I279" s="0" t="n">
        <v>20</v>
      </c>
      <c r="J279" s="0" t="n">
        <f aca="false">F279*E279</f>
        <v>20</v>
      </c>
      <c r="K279" s="0" t="str">
        <f aca="false">IF(G279&lt;1000,"1-Low",IF(G279&lt;5000,"2-Medium","3-Bulk"))</f>
        <v>1-Low</v>
      </c>
      <c r="L279" s="0" t="str">
        <f aca="false">IF(H279="TRUE","Out of stock","In stock")</f>
        <v>In stock</v>
      </c>
      <c r="M279" s="0" t="str">
        <f aca="false">IF(D279&lt;5,"1) Under 5%",IF(D279&lt;10,"2) 5-9%",IF(D279&lt;15,"3) 10-14%",IF(D279&lt;25,"4) 15-24%","5) 25%+"))))</f>
        <v>1) Under 5%</v>
      </c>
      <c r="N279" s="0" t="str">
        <f aca="false">IF(F279&lt;50,"1) Under Rs 50",IF(F279&lt;100,"2) Rs 50-99",IF(F279&lt;200,"3) Rs 100-199",IF(F279&lt;500,"4) Rs 200-499","5) Rs 500+"))))</f>
        <v>1) Under Rs 50</v>
      </c>
      <c r="O279" s="0" t="n">
        <f aca="false">G279*E279/1000</f>
        <v>0.04</v>
      </c>
    </row>
    <row r="280" customFormat="false" ht="15" hidden="false" customHeight="false" outlineLevel="0" collapsed="false">
      <c r="A280" s="0" t="s">
        <v>96</v>
      </c>
      <c r="B280" s="0" t="s">
        <v>401</v>
      </c>
      <c r="C280" s="0" t="n">
        <v>220</v>
      </c>
      <c r="D280" s="0" t="n">
        <v>50</v>
      </c>
      <c r="E280" s="0" t="n">
        <v>6</v>
      </c>
      <c r="F280" s="0" t="n">
        <v>110</v>
      </c>
      <c r="G280" s="0" t="n">
        <v>200</v>
      </c>
      <c r="H280" s="0" t="s">
        <v>145</v>
      </c>
      <c r="I280" s="0" t="n">
        <v>200</v>
      </c>
      <c r="J280" s="0" t="n">
        <f aca="false">F280*E280</f>
        <v>660</v>
      </c>
      <c r="K280" s="0" t="str">
        <f aca="false">IF(G280&lt;1000,"1-Low",IF(G280&lt;5000,"2-Medium","3-Bulk"))</f>
        <v>1-Low</v>
      </c>
      <c r="L280" s="0" t="str">
        <f aca="false">IF(H280="TRUE","Out of stock","In stock")</f>
        <v>In stock</v>
      </c>
      <c r="M280" s="0" t="str">
        <f aca="false">IF(D280&lt;5,"1) Under 5%",IF(D280&lt;10,"2) 5-9%",IF(D280&lt;15,"3) 10-14%",IF(D280&lt;25,"4) 15-24%","5) 25%+"))))</f>
        <v>5) 25%+</v>
      </c>
      <c r="N280" s="0" t="str">
        <f aca="false">IF(F280&lt;50,"1) Under Rs 50",IF(F280&lt;100,"2) Rs 50-99",IF(F280&lt;200,"3) Rs 100-199",IF(F280&lt;500,"4) Rs 200-499","5) Rs 500+"))))</f>
        <v>3) Rs 100-199</v>
      </c>
      <c r="O280" s="0" t="n">
        <f aca="false">G280*E280/1000</f>
        <v>1.2</v>
      </c>
    </row>
    <row r="281" customFormat="false" ht="15" hidden="false" customHeight="false" outlineLevel="0" collapsed="false">
      <c r="A281" s="0" t="s">
        <v>96</v>
      </c>
      <c r="B281" s="0" t="s">
        <v>283</v>
      </c>
      <c r="C281" s="0" t="n">
        <v>158</v>
      </c>
      <c r="D281" s="0" t="n">
        <v>10</v>
      </c>
      <c r="E281" s="0" t="n">
        <v>6</v>
      </c>
      <c r="F281" s="0" t="n">
        <v>142</v>
      </c>
      <c r="G281" s="0" t="n">
        <v>200</v>
      </c>
      <c r="H281" s="0" t="s">
        <v>145</v>
      </c>
      <c r="I281" s="0" t="n">
        <v>200</v>
      </c>
      <c r="J281" s="0" t="n">
        <f aca="false">F281*E281</f>
        <v>852</v>
      </c>
      <c r="K281" s="0" t="str">
        <f aca="false">IF(G281&lt;1000,"1-Low",IF(G281&lt;5000,"2-Medium","3-Bulk"))</f>
        <v>1-Low</v>
      </c>
      <c r="L281" s="0" t="str">
        <f aca="false">IF(H281="TRUE","Out of stock","In stock")</f>
        <v>In stock</v>
      </c>
      <c r="M281" s="0" t="str">
        <f aca="false">IF(D281&lt;5,"1) Under 5%",IF(D281&lt;10,"2) 5-9%",IF(D281&lt;15,"3) 10-14%",IF(D281&lt;25,"4) 15-24%","5) 25%+"))))</f>
        <v>3) 10-14%</v>
      </c>
      <c r="N281" s="0" t="str">
        <f aca="false">IF(F281&lt;50,"1) Under Rs 50",IF(F281&lt;100,"2) Rs 50-99",IF(F281&lt;200,"3) Rs 100-199",IF(F281&lt;500,"4) Rs 200-499","5) Rs 500+"))))</f>
        <v>3) Rs 100-199</v>
      </c>
      <c r="O281" s="0" t="n">
        <f aca="false">G281*E281/1000</f>
        <v>1.2</v>
      </c>
    </row>
    <row r="282" customFormat="false" ht="15" hidden="false" customHeight="false" outlineLevel="0" collapsed="false">
      <c r="A282" s="0" t="s">
        <v>96</v>
      </c>
      <c r="B282" s="0" t="s">
        <v>402</v>
      </c>
      <c r="C282" s="0" t="n">
        <v>70</v>
      </c>
      <c r="D282" s="0" t="n">
        <v>7</v>
      </c>
      <c r="E282" s="0" t="n">
        <v>6</v>
      </c>
      <c r="F282" s="0" t="n">
        <v>65</v>
      </c>
      <c r="G282" s="0" t="n">
        <v>500</v>
      </c>
      <c r="H282" s="0" t="s">
        <v>145</v>
      </c>
      <c r="I282" s="0" t="n">
        <v>500</v>
      </c>
      <c r="J282" s="0" t="n">
        <f aca="false">F282*E282</f>
        <v>390</v>
      </c>
      <c r="K282" s="0" t="str">
        <f aca="false">IF(G282&lt;1000,"1-Low",IF(G282&lt;5000,"2-Medium","3-Bulk"))</f>
        <v>1-Low</v>
      </c>
      <c r="L282" s="0" t="str">
        <f aca="false">IF(H282="TRUE","Out of stock","In stock")</f>
        <v>In stock</v>
      </c>
      <c r="M282" s="0" t="str">
        <f aca="false">IF(D282&lt;5,"1) Under 5%",IF(D282&lt;10,"2) 5-9%",IF(D282&lt;15,"3) 10-14%",IF(D282&lt;25,"4) 15-24%","5) 25%+"))))</f>
        <v>2) 5-9%</v>
      </c>
      <c r="N282" s="0" t="str">
        <f aca="false">IF(F282&lt;50,"1) Under Rs 50",IF(F282&lt;100,"2) Rs 50-99",IF(F282&lt;200,"3) Rs 100-199",IF(F282&lt;500,"4) Rs 200-499","5) Rs 500+"))))</f>
        <v>2) Rs 50-99</v>
      </c>
      <c r="O282" s="0" t="n">
        <f aca="false">G282*E282/1000</f>
        <v>3</v>
      </c>
    </row>
    <row r="283" customFormat="false" ht="15" hidden="false" customHeight="false" outlineLevel="0" collapsed="false">
      <c r="A283" s="0" t="s">
        <v>96</v>
      </c>
      <c r="B283" s="0" t="s">
        <v>403</v>
      </c>
      <c r="C283" s="0" t="n">
        <v>100</v>
      </c>
      <c r="D283" s="0" t="n">
        <v>0</v>
      </c>
      <c r="E283" s="0" t="n">
        <v>6</v>
      </c>
      <c r="F283" s="0" t="n">
        <v>100</v>
      </c>
      <c r="G283" s="0" t="n">
        <v>100</v>
      </c>
      <c r="H283" s="0" t="s">
        <v>145</v>
      </c>
      <c r="I283" s="0" t="n">
        <v>100</v>
      </c>
      <c r="J283" s="0" t="n">
        <f aca="false">F283*E283</f>
        <v>600</v>
      </c>
      <c r="K283" s="0" t="str">
        <f aca="false">IF(G283&lt;1000,"1-Low",IF(G283&lt;5000,"2-Medium","3-Bulk"))</f>
        <v>1-Low</v>
      </c>
      <c r="L283" s="0" t="str">
        <f aca="false">IF(H283="TRUE","Out of stock","In stock")</f>
        <v>In stock</v>
      </c>
      <c r="M283" s="0" t="str">
        <f aca="false">IF(D283&lt;5,"1) Under 5%",IF(D283&lt;10,"2) 5-9%",IF(D283&lt;15,"3) 10-14%",IF(D283&lt;25,"4) 15-24%","5) 25%+"))))</f>
        <v>1) Under 5%</v>
      </c>
      <c r="N283" s="0" t="str">
        <f aca="false">IF(F283&lt;50,"1) Under Rs 50",IF(F283&lt;100,"2) Rs 50-99",IF(F283&lt;200,"3) Rs 100-199",IF(F283&lt;500,"4) Rs 200-499","5) Rs 500+"))))</f>
        <v>3) Rs 100-199</v>
      </c>
      <c r="O283" s="0" t="n">
        <f aca="false">G283*E283/1000</f>
        <v>0.6</v>
      </c>
    </row>
    <row r="284" customFormat="false" ht="15" hidden="false" customHeight="false" outlineLevel="0" collapsed="false">
      <c r="A284" s="0" t="s">
        <v>96</v>
      </c>
      <c r="B284" s="0" t="s">
        <v>404</v>
      </c>
      <c r="C284" s="0" t="n">
        <v>159</v>
      </c>
      <c r="D284" s="0" t="n">
        <v>9</v>
      </c>
      <c r="E284" s="0" t="n">
        <v>1</v>
      </c>
      <c r="F284" s="0" t="n">
        <v>144</v>
      </c>
      <c r="G284" s="0" t="n">
        <v>50</v>
      </c>
      <c r="H284" s="0" t="s">
        <v>145</v>
      </c>
      <c r="I284" s="0" t="n">
        <v>50</v>
      </c>
      <c r="J284" s="0" t="n">
        <f aca="false">F284*E284</f>
        <v>144</v>
      </c>
      <c r="K284" s="0" t="str">
        <f aca="false">IF(G284&lt;1000,"1-Low",IF(G284&lt;5000,"2-Medium","3-Bulk"))</f>
        <v>1-Low</v>
      </c>
      <c r="L284" s="0" t="str">
        <f aca="false">IF(H284="TRUE","Out of stock","In stock")</f>
        <v>In stock</v>
      </c>
      <c r="M284" s="0" t="str">
        <f aca="false">IF(D284&lt;5,"1) Under 5%",IF(D284&lt;10,"2) 5-9%",IF(D284&lt;15,"3) 10-14%",IF(D284&lt;25,"4) 15-24%","5) 25%+"))))</f>
        <v>2) 5-9%</v>
      </c>
      <c r="N284" s="0" t="str">
        <f aca="false">IF(F284&lt;50,"1) Under Rs 50",IF(F284&lt;100,"2) Rs 50-99",IF(F284&lt;200,"3) Rs 100-199",IF(F284&lt;500,"4) Rs 200-499","5) Rs 500+"))))</f>
        <v>3) Rs 100-199</v>
      </c>
      <c r="O284" s="0" t="n">
        <f aca="false">G284*E284/1000</f>
        <v>0.05</v>
      </c>
    </row>
    <row r="285" customFormat="false" ht="15" hidden="false" customHeight="false" outlineLevel="0" collapsed="false">
      <c r="A285" s="0" t="s">
        <v>96</v>
      </c>
      <c r="B285" s="0" t="s">
        <v>405</v>
      </c>
      <c r="C285" s="0" t="n">
        <v>60</v>
      </c>
      <c r="D285" s="0" t="n">
        <v>0</v>
      </c>
      <c r="E285" s="0" t="n">
        <v>3</v>
      </c>
      <c r="F285" s="0" t="n">
        <v>60</v>
      </c>
      <c r="G285" s="0" t="n">
        <v>1000</v>
      </c>
      <c r="H285" s="0" t="s">
        <v>145</v>
      </c>
      <c r="I285" s="0" t="n">
        <v>1</v>
      </c>
      <c r="J285" s="0" t="n">
        <f aca="false">F285*E285</f>
        <v>180</v>
      </c>
      <c r="K285" s="0" t="str">
        <f aca="false">IF(G285&lt;1000,"1-Low",IF(G285&lt;5000,"2-Medium","3-Bulk"))</f>
        <v>2-Medium</v>
      </c>
      <c r="L285" s="0" t="str">
        <f aca="false">IF(H285="TRUE","Out of stock","In stock")</f>
        <v>In stock</v>
      </c>
      <c r="M285" s="0" t="str">
        <f aca="false">IF(D285&lt;5,"1) Under 5%",IF(D285&lt;10,"2) 5-9%",IF(D285&lt;15,"3) 10-14%",IF(D285&lt;25,"4) 15-24%","5) 25%+"))))</f>
        <v>1) Under 5%</v>
      </c>
      <c r="N285" s="0" t="str">
        <f aca="false">IF(F285&lt;50,"1) Under Rs 50",IF(F285&lt;100,"2) Rs 50-99",IF(F285&lt;200,"3) Rs 100-199",IF(F285&lt;500,"4) Rs 200-499","5) Rs 500+"))))</f>
        <v>2) Rs 50-99</v>
      </c>
      <c r="O285" s="0" t="n">
        <f aca="false">G285*E285/1000</f>
        <v>3</v>
      </c>
    </row>
    <row r="286" customFormat="false" ht="15" hidden="false" customHeight="false" outlineLevel="0" collapsed="false">
      <c r="A286" s="0" t="s">
        <v>96</v>
      </c>
      <c r="B286" s="0" t="s">
        <v>406</v>
      </c>
      <c r="C286" s="0" t="n">
        <v>28</v>
      </c>
      <c r="D286" s="0" t="n">
        <v>10</v>
      </c>
      <c r="E286" s="0" t="n">
        <v>1</v>
      </c>
      <c r="F286" s="0" t="n">
        <v>25</v>
      </c>
      <c r="G286" s="0" t="n">
        <v>65</v>
      </c>
      <c r="H286" s="0" t="s">
        <v>145</v>
      </c>
      <c r="I286" s="0" t="n">
        <v>65</v>
      </c>
      <c r="J286" s="0" t="n">
        <f aca="false">F286*E286</f>
        <v>25</v>
      </c>
      <c r="K286" s="0" t="str">
        <f aca="false">IF(G286&lt;1000,"1-Low",IF(G286&lt;5000,"2-Medium","3-Bulk"))</f>
        <v>1-Low</v>
      </c>
      <c r="L286" s="0" t="str">
        <f aca="false">IF(H286="TRUE","Out of stock","In stock")</f>
        <v>In stock</v>
      </c>
      <c r="M286" s="0" t="str">
        <f aca="false">IF(D286&lt;5,"1) Under 5%",IF(D286&lt;10,"2) 5-9%",IF(D286&lt;15,"3) 10-14%",IF(D286&lt;25,"4) 15-24%","5) 25%+"))))</f>
        <v>3) 10-14%</v>
      </c>
      <c r="N286" s="0" t="str">
        <f aca="false">IF(F286&lt;50,"1) Under Rs 50",IF(F286&lt;100,"2) Rs 50-99",IF(F286&lt;200,"3) Rs 100-199",IF(F286&lt;500,"4) Rs 200-499","5) Rs 500+"))))</f>
        <v>1) Under Rs 50</v>
      </c>
      <c r="O286" s="0" t="n">
        <f aca="false">G286*E286/1000</f>
        <v>0.065</v>
      </c>
    </row>
    <row r="287" customFormat="false" ht="15" hidden="false" customHeight="false" outlineLevel="0" collapsed="false">
      <c r="A287" s="0" t="s">
        <v>96</v>
      </c>
      <c r="B287" s="0" t="s">
        <v>407</v>
      </c>
      <c r="C287" s="0" t="n">
        <v>95</v>
      </c>
      <c r="D287" s="0" t="n">
        <v>0</v>
      </c>
      <c r="E287" s="0" t="n">
        <v>6</v>
      </c>
      <c r="F287" s="0" t="n">
        <v>95</v>
      </c>
      <c r="G287" s="0" t="n">
        <v>1000</v>
      </c>
      <c r="H287" s="0" t="s">
        <v>145</v>
      </c>
      <c r="I287" s="0" t="n">
        <v>1</v>
      </c>
      <c r="J287" s="0" t="n">
        <f aca="false">F287*E287</f>
        <v>570</v>
      </c>
      <c r="K287" s="0" t="str">
        <f aca="false">IF(G287&lt;1000,"1-Low",IF(G287&lt;5000,"2-Medium","3-Bulk"))</f>
        <v>2-Medium</v>
      </c>
      <c r="L287" s="0" t="str">
        <f aca="false">IF(H287="TRUE","Out of stock","In stock")</f>
        <v>In stock</v>
      </c>
      <c r="M287" s="0" t="str">
        <f aca="false">IF(D287&lt;5,"1) Under 5%",IF(D287&lt;10,"2) 5-9%",IF(D287&lt;15,"3) 10-14%",IF(D287&lt;25,"4) 15-24%","5) 25%+"))))</f>
        <v>1) Under 5%</v>
      </c>
      <c r="N287" s="0" t="str">
        <f aca="false">IF(F287&lt;50,"1) Under Rs 50",IF(F287&lt;100,"2) Rs 50-99",IF(F287&lt;200,"3) Rs 100-199",IF(F287&lt;500,"4) Rs 200-499","5) Rs 500+"))))</f>
        <v>2) Rs 50-99</v>
      </c>
      <c r="O287" s="0" t="n">
        <f aca="false">G287*E287/1000</f>
        <v>6</v>
      </c>
    </row>
    <row r="288" customFormat="false" ht="15" hidden="false" customHeight="false" outlineLevel="0" collapsed="false">
      <c r="A288" s="0" t="s">
        <v>96</v>
      </c>
      <c r="B288" s="0" t="s">
        <v>408</v>
      </c>
      <c r="C288" s="0" t="n">
        <v>365</v>
      </c>
      <c r="D288" s="0" t="n">
        <v>29</v>
      </c>
      <c r="E288" s="0" t="n">
        <v>2</v>
      </c>
      <c r="F288" s="0" t="n">
        <v>256</v>
      </c>
      <c r="G288" s="0" t="n">
        <v>200</v>
      </c>
      <c r="H288" s="0" t="s">
        <v>145</v>
      </c>
      <c r="I288" s="0" t="n">
        <v>200</v>
      </c>
      <c r="J288" s="0" t="n">
        <f aca="false">F288*E288</f>
        <v>512</v>
      </c>
      <c r="K288" s="0" t="str">
        <f aca="false">IF(G288&lt;1000,"1-Low",IF(G288&lt;5000,"2-Medium","3-Bulk"))</f>
        <v>1-Low</v>
      </c>
      <c r="L288" s="0" t="str">
        <f aca="false">IF(H288="TRUE","Out of stock","In stock")</f>
        <v>In stock</v>
      </c>
      <c r="M288" s="0" t="str">
        <f aca="false">IF(D288&lt;5,"1) Under 5%",IF(D288&lt;10,"2) 5-9%",IF(D288&lt;15,"3) 10-14%",IF(D288&lt;25,"4) 15-24%","5) 25%+"))))</f>
        <v>5) 25%+</v>
      </c>
      <c r="N288" s="0" t="str">
        <f aca="false">IF(F288&lt;50,"1) Under Rs 50",IF(F288&lt;100,"2) Rs 50-99",IF(F288&lt;200,"3) Rs 100-199",IF(F288&lt;500,"4) Rs 200-499","5) Rs 500+"))))</f>
        <v>4) Rs 200-499</v>
      </c>
      <c r="O288" s="0" t="n">
        <f aca="false">G288*E288/1000</f>
        <v>0.4</v>
      </c>
    </row>
    <row r="289" customFormat="false" ht="15" hidden="false" customHeight="false" outlineLevel="0" collapsed="false">
      <c r="A289" s="0" t="s">
        <v>96</v>
      </c>
      <c r="B289" s="0" t="s">
        <v>409</v>
      </c>
      <c r="C289" s="0" t="n">
        <v>35</v>
      </c>
      <c r="D289" s="0" t="n">
        <v>2</v>
      </c>
      <c r="E289" s="0" t="n">
        <v>6</v>
      </c>
      <c r="F289" s="0" t="n">
        <v>34</v>
      </c>
      <c r="G289" s="0" t="n">
        <v>500</v>
      </c>
      <c r="H289" s="0" t="s">
        <v>145</v>
      </c>
      <c r="I289" s="0" t="n">
        <v>500</v>
      </c>
      <c r="J289" s="0" t="n">
        <f aca="false">F289*E289</f>
        <v>204</v>
      </c>
      <c r="K289" s="0" t="str">
        <f aca="false">IF(G289&lt;1000,"1-Low",IF(G289&lt;5000,"2-Medium","3-Bulk"))</f>
        <v>1-Low</v>
      </c>
      <c r="L289" s="0" t="str">
        <f aca="false">IF(H289="TRUE","Out of stock","In stock")</f>
        <v>In stock</v>
      </c>
      <c r="M289" s="0" t="str">
        <f aca="false">IF(D289&lt;5,"1) Under 5%",IF(D289&lt;10,"2) 5-9%",IF(D289&lt;15,"3) 10-14%",IF(D289&lt;25,"4) 15-24%","5) 25%+"))))</f>
        <v>1) Under 5%</v>
      </c>
      <c r="N289" s="0" t="str">
        <f aca="false">IF(F289&lt;50,"1) Under Rs 50",IF(F289&lt;100,"2) Rs 50-99",IF(F289&lt;200,"3) Rs 100-199",IF(F289&lt;500,"4) Rs 200-499","5) Rs 500+"))))</f>
        <v>1) Under Rs 50</v>
      </c>
      <c r="O289" s="0" t="n">
        <f aca="false">G289*E289/1000</f>
        <v>3</v>
      </c>
    </row>
    <row r="290" customFormat="false" ht="15" hidden="false" customHeight="false" outlineLevel="0" collapsed="false">
      <c r="A290" s="0" t="s">
        <v>96</v>
      </c>
      <c r="B290" s="0" t="s">
        <v>410</v>
      </c>
      <c r="C290" s="0" t="n">
        <v>330</v>
      </c>
      <c r="D290" s="0" t="n">
        <v>10</v>
      </c>
      <c r="E290" s="0" t="n">
        <v>5</v>
      </c>
      <c r="F290" s="0" t="n">
        <v>294</v>
      </c>
      <c r="G290" s="0" t="n">
        <v>1000</v>
      </c>
      <c r="H290" s="0" t="s">
        <v>145</v>
      </c>
      <c r="I290" s="0" t="n">
        <v>1</v>
      </c>
      <c r="J290" s="0" t="n">
        <f aca="false">F290*E290</f>
        <v>1470</v>
      </c>
      <c r="K290" s="0" t="str">
        <f aca="false">IF(G290&lt;1000,"1-Low",IF(G290&lt;5000,"2-Medium","3-Bulk"))</f>
        <v>2-Medium</v>
      </c>
      <c r="L290" s="0" t="str">
        <f aca="false">IF(H290="TRUE","Out of stock","In stock")</f>
        <v>In stock</v>
      </c>
      <c r="M290" s="0" t="str">
        <f aca="false">IF(D290&lt;5,"1) Under 5%",IF(D290&lt;10,"2) 5-9%",IF(D290&lt;15,"3) 10-14%",IF(D290&lt;25,"4) 15-24%","5) 25%+"))))</f>
        <v>3) 10-14%</v>
      </c>
      <c r="N290" s="0" t="str">
        <f aca="false">IF(F290&lt;50,"1) Under Rs 50",IF(F290&lt;100,"2) Rs 50-99",IF(F290&lt;200,"3) Rs 100-199",IF(F290&lt;500,"4) Rs 200-499","5) Rs 500+"))))</f>
        <v>4) Rs 200-499</v>
      </c>
      <c r="O290" s="0" t="n">
        <f aca="false">G290*E290/1000</f>
        <v>5</v>
      </c>
    </row>
    <row r="291" customFormat="false" ht="15" hidden="false" customHeight="false" outlineLevel="0" collapsed="false">
      <c r="A291" s="0" t="s">
        <v>96</v>
      </c>
      <c r="B291" s="0" t="s">
        <v>411</v>
      </c>
      <c r="C291" s="0" t="n">
        <v>90</v>
      </c>
      <c r="D291" s="0" t="n">
        <v>10</v>
      </c>
      <c r="E291" s="0" t="n">
        <v>6</v>
      </c>
      <c r="F291" s="0" t="n">
        <v>81</v>
      </c>
      <c r="G291" s="0" t="n">
        <v>500</v>
      </c>
      <c r="H291" s="0" t="s">
        <v>145</v>
      </c>
      <c r="I291" s="0" t="n">
        <v>500</v>
      </c>
      <c r="J291" s="0" t="n">
        <f aca="false">F291*E291</f>
        <v>486</v>
      </c>
      <c r="K291" s="0" t="str">
        <f aca="false">IF(G291&lt;1000,"1-Low",IF(G291&lt;5000,"2-Medium","3-Bulk"))</f>
        <v>1-Low</v>
      </c>
      <c r="L291" s="0" t="str">
        <f aca="false">IF(H291="TRUE","Out of stock","In stock")</f>
        <v>In stock</v>
      </c>
      <c r="M291" s="0" t="str">
        <f aca="false">IF(D291&lt;5,"1) Under 5%",IF(D291&lt;10,"2) 5-9%",IF(D291&lt;15,"3) 10-14%",IF(D291&lt;25,"4) 15-24%","5) 25%+"))))</f>
        <v>3) 10-14%</v>
      </c>
      <c r="N291" s="0" t="str">
        <f aca="false">IF(F291&lt;50,"1) Under Rs 50",IF(F291&lt;100,"2) Rs 50-99",IF(F291&lt;200,"3) Rs 100-199",IF(F291&lt;500,"4) Rs 200-499","5) Rs 500+"))))</f>
        <v>2) Rs 50-99</v>
      </c>
      <c r="O291" s="0" t="n">
        <f aca="false">G291*E291/1000</f>
        <v>3</v>
      </c>
    </row>
    <row r="292" customFormat="false" ht="15" hidden="false" customHeight="false" outlineLevel="0" collapsed="false">
      <c r="A292" s="0" t="s">
        <v>96</v>
      </c>
      <c r="B292" s="0" t="s">
        <v>412</v>
      </c>
      <c r="C292" s="0" t="n">
        <v>120</v>
      </c>
      <c r="D292" s="0" t="n">
        <v>10</v>
      </c>
      <c r="E292" s="0" t="n">
        <v>6</v>
      </c>
      <c r="F292" s="0" t="n">
        <v>108</v>
      </c>
      <c r="G292" s="0" t="n">
        <v>150</v>
      </c>
      <c r="H292" s="0" t="s">
        <v>145</v>
      </c>
      <c r="I292" s="0" t="n">
        <v>150</v>
      </c>
      <c r="J292" s="0" t="n">
        <f aca="false">F292*E292</f>
        <v>648</v>
      </c>
      <c r="K292" s="0" t="str">
        <f aca="false">IF(G292&lt;1000,"1-Low",IF(G292&lt;5000,"2-Medium","3-Bulk"))</f>
        <v>1-Low</v>
      </c>
      <c r="L292" s="0" t="str">
        <f aca="false">IF(H292="TRUE","Out of stock","In stock")</f>
        <v>In stock</v>
      </c>
      <c r="M292" s="0" t="str">
        <f aca="false">IF(D292&lt;5,"1) Under 5%",IF(D292&lt;10,"2) 5-9%",IF(D292&lt;15,"3) 10-14%",IF(D292&lt;25,"4) 15-24%","5) 25%+"))))</f>
        <v>3) 10-14%</v>
      </c>
      <c r="N292" s="0" t="str">
        <f aca="false">IF(F292&lt;50,"1) Under Rs 50",IF(F292&lt;100,"2) Rs 50-99",IF(F292&lt;200,"3) Rs 100-199",IF(F292&lt;500,"4) Rs 200-499","5) Rs 500+"))))</f>
        <v>3) Rs 100-199</v>
      </c>
      <c r="O292" s="0" t="n">
        <f aca="false">G292*E292/1000</f>
        <v>0.9</v>
      </c>
    </row>
    <row r="293" customFormat="false" ht="15" hidden="false" customHeight="false" outlineLevel="0" collapsed="false">
      <c r="A293" s="0" t="s">
        <v>96</v>
      </c>
      <c r="B293" s="0" t="s">
        <v>413</v>
      </c>
      <c r="C293" s="0" t="n">
        <v>100</v>
      </c>
      <c r="D293" s="0" t="n">
        <v>10</v>
      </c>
      <c r="E293" s="0" t="n">
        <v>5</v>
      </c>
      <c r="F293" s="0" t="n">
        <v>90</v>
      </c>
      <c r="G293" s="0" t="n">
        <v>100</v>
      </c>
      <c r="H293" s="0" t="s">
        <v>145</v>
      </c>
      <c r="I293" s="0" t="n">
        <v>100</v>
      </c>
      <c r="J293" s="0" t="n">
        <f aca="false">F293*E293</f>
        <v>450</v>
      </c>
      <c r="K293" s="0" t="str">
        <f aca="false">IF(G293&lt;1000,"1-Low",IF(G293&lt;5000,"2-Medium","3-Bulk"))</f>
        <v>1-Low</v>
      </c>
      <c r="L293" s="0" t="str">
        <f aca="false">IF(H293="TRUE","Out of stock","In stock")</f>
        <v>In stock</v>
      </c>
      <c r="M293" s="0" t="str">
        <f aca="false">IF(D293&lt;5,"1) Under 5%",IF(D293&lt;10,"2) 5-9%",IF(D293&lt;15,"3) 10-14%",IF(D293&lt;25,"4) 15-24%","5) 25%+"))))</f>
        <v>3) 10-14%</v>
      </c>
      <c r="N293" s="0" t="str">
        <f aca="false">IF(F293&lt;50,"1) Under Rs 50",IF(F293&lt;100,"2) Rs 50-99",IF(F293&lt;200,"3) Rs 100-199",IF(F293&lt;500,"4) Rs 200-499","5) Rs 500+"))))</f>
        <v>2) Rs 50-99</v>
      </c>
      <c r="O293" s="0" t="n">
        <f aca="false">G293*E293/1000</f>
        <v>0.5</v>
      </c>
    </row>
    <row r="294" customFormat="false" ht="15" hidden="false" customHeight="false" outlineLevel="0" collapsed="false">
      <c r="A294" s="0" t="s">
        <v>96</v>
      </c>
      <c r="B294" s="0" t="s">
        <v>414</v>
      </c>
      <c r="C294" s="0" t="n">
        <v>130</v>
      </c>
      <c r="D294" s="0" t="n">
        <v>7</v>
      </c>
      <c r="E294" s="0" t="n">
        <v>6</v>
      </c>
      <c r="F294" s="0" t="n">
        <v>120</v>
      </c>
      <c r="G294" s="0" t="n">
        <v>500</v>
      </c>
      <c r="H294" s="0" t="s">
        <v>145</v>
      </c>
      <c r="I294" s="0" t="n">
        <v>500</v>
      </c>
      <c r="J294" s="0" t="n">
        <f aca="false">F294*E294</f>
        <v>720</v>
      </c>
      <c r="K294" s="0" t="str">
        <f aca="false">IF(G294&lt;1000,"1-Low",IF(G294&lt;5000,"2-Medium","3-Bulk"))</f>
        <v>1-Low</v>
      </c>
      <c r="L294" s="0" t="str">
        <f aca="false">IF(H294="TRUE","Out of stock","In stock")</f>
        <v>In stock</v>
      </c>
      <c r="M294" s="0" t="str">
        <f aca="false">IF(D294&lt;5,"1) Under 5%",IF(D294&lt;10,"2) 5-9%",IF(D294&lt;15,"3) 10-14%",IF(D294&lt;25,"4) 15-24%","5) 25%+"))))</f>
        <v>2) 5-9%</v>
      </c>
      <c r="N294" s="0" t="str">
        <f aca="false">IF(F294&lt;50,"1) Under Rs 50",IF(F294&lt;100,"2) Rs 50-99",IF(F294&lt;200,"3) Rs 100-199",IF(F294&lt;500,"4) Rs 200-499","5) Rs 500+"))))</f>
        <v>3) Rs 100-199</v>
      </c>
      <c r="O294" s="0" t="n">
        <f aca="false">G294*E294/1000</f>
        <v>3</v>
      </c>
    </row>
    <row r="295" customFormat="false" ht="15" hidden="false" customHeight="false" outlineLevel="0" collapsed="false">
      <c r="A295" s="0" t="s">
        <v>96</v>
      </c>
      <c r="B295" s="0" t="s">
        <v>415</v>
      </c>
      <c r="C295" s="0" t="n">
        <v>65</v>
      </c>
      <c r="D295" s="0" t="n">
        <v>6</v>
      </c>
      <c r="E295" s="0" t="n">
        <v>3</v>
      </c>
      <c r="F295" s="0" t="n">
        <v>61</v>
      </c>
      <c r="G295" s="0" t="n">
        <v>110</v>
      </c>
      <c r="H295" s="0" t="s">
        <v>145</v>
      </c>
      <c r="I295" s="0" t="n">
        <v>100</v>
      </c>
      <c r="J295" s="0" t="n">
        <f aca="false">F295*E295</f>
        <v>183</v>
      </c>
      <c r="K295" s="0" t="str">
        <f aca="false">IF(G295&lt;1000,"1-Low",IF(G295&lt;5000,"2-Medium","3-Bulk"))</f>
        <v>1-Low</v>
      </c>
      <c r="L295" s="0" t="str">
        <f aca="false">IF(H295="TRUE","Out of stock","In stock")</f>
        <v>In stock</v>
      </c>
      <c r="M295" s="0" t="str">
        <f aca="false">IF(D295&lt;5,"1) Under 5%",IF(D295&lt;10,"2) 5-9%",IF(D295&lt;15,"3) 10-14%",IF(D295&lt;25,"4) 15-24%","5) 25%+"))))</f>
        <v>2) 5-9%</v>
      </c>
      <c r="N295" s="0" t="str">
        <f aca="false">IF(F295&lt;50,"1) Under Rs 50",IF(F295&lt;100,"2) Rs 50-99",IF(F295&lt;200,"3) Rs 100-199",IF(F295&lt;500,"4) Rs 200-499","5) Rs 500+"))))</f>
        <v>2) Rs 50-99</v>
      </c>
      <c r="O295" s="0" t="n">
        <f aca="false">G295*E295/1000</f>
        <v>0.33</v>
      </c>
    </row>
    <row r="296" customFormat="false" ht="15" hidden="false" customHeight="false" outlineLevel="0" collapsed="false">
      <c r="A296" s="0" t="s">
        <v>96</v>
      </c>
      <c r="B296" s="0" t="s">
        <v>416</v>
      </c>
      <c r="C296" s="0" t="n">
        <v>10</v>
      </c>
      <c r="D296" s="0" t="n">
        <v>0</v>
      </c>
      <c r="E296" s="0" t="n">
        <v>2</v>
      </c>
      <c r="F296" s="0" t="n">
        <v>10</v>
      </c>
      <c r="G296" s="0" t="n">
        <v>20</v>
      </c>
      <c r="H296" s="0" t="s">
        <v>145</v>
      </c>
      <c r="I296" s="0" t="n">
        <v>20</v>
      </c>
      <c r="J296" s="0" t="n">
        <f aca="false">F296*E296</f>
        <v>20</v>
      </c>
      <c r="K296" s="0" t="str">
        <f aca="false">IF(G296&lt;1000,"1-Low",IF(G296&lt;5000,"2-Medium","3-Bulk"))</f>
        <v>1-Low</v>
      </c>
      <c r="L296" s="0" t="str">
        <f aca="false">IF(H296="TRUE","Out of stock","In stock")</f>
        <v>In stock</v>
      </c>
      <c r="M296" s="0" t="str">
        <f aca="false">IF(D296&lt;5,"1) Under 5%",IF(D296&lt;10,"2) 5-9%",IF(D296&lt;15,"3) 10-14%",IF(D296&lt;25,"4) 15-24%","5) 25%+"))))</f>
        <v>1) Under 5%</v>
      </c>
      <c r="N296" s="0" t="str">
        <f aca="false">IF(F296&lt;50,"1) Under Rs 50",IF(F296&lt;100,"2) Rs 50-99",IF(F296&lt;200,"3) Rs 100-199",IF(F296&lt;500,"4) Rs 200-499","5) Rs 500+"))))</f>
        <v>1) Under Rs 50</v>
      </c>
      <c r="O296" s="0" t="n">
        <f aca="false">G296*E296/1000</f>
        <v>0.04</v>
      </c>
    </row>
    <row r="297" customFormat="false" ht="15" hidden="false" customHeight="false" outlineLevel="0" collapsed="false">
      <c r="A297" s="0" t="s">
        <v>96</v>
      </c>
      <c r="B297" s="0" t="s">
        <v>417</v>
      </c>
      <c r="C297" s="0" t="n">
        <v>220</v>
      </c>
      <c r="D297" s="0" t="n">
        <v>7</v>
      </c>
      <c r="E297" s="0" t="n">
        <v>3</v>
      </c>
      <c r="F297" s="0" t="n">
        <v>204</v>
      </c>
      <c r="G297" s="0" t="n">
        <v>500</v>
      </c>
      <c r="H297" s="0" t="s">
        <v>145</v>
      </c>
      <c r="I297" s="0" t="n">
        <v>500</v>
      </c>
      <c r="J297" s="0" t="n">
        <f aca="false">F297*E297</f>
        <v>612</v>
      </c>
      <c r="K297" s="0" t="str">
        <f aca="false">IF(G297&lt;1000,"1-Low",IF(G297&lt;5000,"2-Medium","3-Bulk"))</f>
        <v>1-Low</v>
      </c>
      <c r="L297" s="0" t="str">
        <f aca="false">IF(H297="TRUE","Out of stock","In stock")</f>
        <v>In stock</v>
      </c>
      <c r="M297" s="0" t="str">
        <f aca="false">IF(D297&lt;5,"1) Under 5%",IF(D297&lt;10,"2) 5-9%",IF(D297&lt;15,"3) 10-14%",IF(D297&lt;25,"4) 15-24%","5) 25%+"))))</f>
        <v>2) 5-9%</v>
      </c>
      <c r="N297" s="0" t="str">
        <f aca="false">IF(F297&lt;50,"1) Under Rs 50",IF(F297&lt;100,"2) Rs 50-99",IF(F297&lt;200,"3) Rs 100-199",IF(F297&lt;500,"4) Rs 200-499","5) Rs 500+"))))</f>
        <v>4) Rs 200-499</v>
      </c>
      <c r="O297" s="0" t="n">
        <f aca="false">G297*E297/1000</f>
        <v>1.5</v>
      </c>
    </row>
    <row r="298" customFormat="false" ht="15" hidden="false" customHeight="false" outlineLevel="0" collapsed="false">
      <c r="A298" s="0" t="s">
        <v>96</v>
      </c>
      <c r="B298" s="0" t="s">
        <v>406</v>
      </c>
      <c r="C298" s="0" t="n">
        <v>28</v>
      </c>
      <c r="D298" s="0" t="n">
        <v>17</v>
      </c>
      <c r="E298" s="0" t="n">
        <v>3</v>
      </c>
      <c r="F298" s="0" t="n">
        <v>23</v>
      </c>
      <c r="G298" s="0" t="n">
        <v>65</v>
      </c>
      <c r="H298" s="0" t="s">
        <v>145</v>
      </c>
      <c r="I298" s="0" t="n">
        <v>65</v>
      </c>
      <c r="J298" s="0" t="n">
        <f aca="false">F298*E298</f>
        <v>69</v>
      </c>
      <c r="K298" s="0" t="str">
        <f aca="false">IF(G298&lt;1000,"1-Low",IF(G298&lt;5000,"2-Medium","3-Bulk"))</f>
        <v>1-Low</v>
      </c>
      <c r="L298" s="0" t="str">
        <f aca="false">IF(H298="TRUE","Out of stock","In stock")</f>
        <v>In stock</v>
      </c>
      <c r="M298" s="0" t="str">
        <f aca="false">IF(D298&lt;5,"1) Under 5%",IF(D298&lt;10,"2) 5-9%",IF(D298&lt;15,"3) 10-14%",IF(D298&lt;25,"4) 15-24%","5) 25%+"))))</f>
        <v>4) 15-24%</v>
      </c>
      <c r="N298" s="0" t="str">
        <f aca="false">IF(F298&lt;50,"1) Under Rs 50",IF(F298&lt;100,"2) Rs 50-99",IF(F298&lt;200,"3) Rs 100-199",IF(F298&lt;500,"4) Rs 200-499","5) Rs 500+"))))</f>
        <v>1) Under Rs 50</v>
      </c>
      <c r="O298" s="0" t="n">
        <f aca="false">G298*E298/1000</f>
        <v>0.195</v>
      </c>
    </row>
    <row r="299" customFormat="false" ht="15" hidden="false" customHeight="false" outlineLevel="0" collapsed="false">
      <c r="A299" s="0" t="s">
        <v>96</v>
      </c>
      <c r="B299" s="0" t="s">
        <v>418</v>
      </c>
      <c r="C299" s="0" t="n">
        <v>55</v>
      </c>
      <c r="D299" s="0" t="n">
        <v>9</v>
      </c>
      <c r="E299" s="0" t="n">
        <v>2</v>
      </c>
      <c r="F299" s="0" t="n">
        <v>50</v>
      </c>
      <c r="G299" s="0" t="n">
        <v>50</v>
      </c>
      <c r="H299" s="0" t="s">
        <v>145</v>
      </c>
      <c r="I299" s="0" t="n">
        <v>50</v>
      </c>
      <c r="J299" s="0" t="n">
        <f aca="false">F299*E299</f>
        <v>100</v>
      </c>
      <c r="K299" s="0" t="str">
        <f aca="false">IF(G299&lt;1000,"1-Low",IF(G299&lt;5000,"2-Medium","3-Bulk"))</f>
        <v>1-Low</v>
      </c>
      <c r="L299" s="0" t="str">
        <f aca="false">IF(H299="TRUE","Out of stock","In stock")</f>
        <v>In stock</v>
      </c>
      <c r="M299" s="0" t="str">
        <f aca="false">IF(D299&lt;5,"1) Under 5%",IF(D299&lt;10,"2) 5-9%",IF(D299&lt;15,"3) 10-14%",IF(D299&lt;25,"4) 15-24%","5) 25%+"))))</f>
        <v>2) 5-9%</v>
      </c>
      <c r="N299" s="0" t="str">
        <f aca="false">IF(F299&lt;50,"1) Under Rs 50",IF(F299&lt;100,"2) Rs 50-99",IF(F299&lt;200,"3) Rs 100-199",IF(F299&lt;500,"4) Rs 200-499","5) Rs 500+"))))</f>
        <v>2) Rs 50-99</v>
      </c>
      <c r="O299" s="0" t="n">
        <f aca="false">G299*E299/1000</f>
        <v>0.1</v>
      </c>
    </row>
    <row r="300" customFormat="false" ht="15" hidden="false" customHeight="false" outlineLevel="0" collapsed="false">
      <c r="A300" s="0" t="s">
        <v>96</v>
      </c>
      <c r="B300" s="0" t="s">
        <v>419</v>
      </c>
      <c r="C300" s="0" t="n">
        <v>44</v>
      </c>
      <c r="D300" s="0" t="n">
        <v>0</v>
      </c>
      <c r="E300" s="0" t="n">
        <v>4</v>
      </c>
      <c r="F300" s="0" t="n">
        <v>44</v>
      </c>
      <c r="G300" s="0" t="n">
        <v>60</v>
      </c>
      <c r="H300" s="0" t="s">
        <v>145</v>
      </c>
      <c r="I300" s="0" t="n">
        <v>60</v>
      </c>
      <c r="J300" s="0" t="n">
        <f aca="false">F300*E300</f>
        <v>176</v>
      </c>
      <c r="K300" s="0" t="str">
        <f aca="false">IF(G300&lt;1000,"1-Low",IF(G300&lt;5000,"2-Medium","3-Bulk"))</f>
        <v>1-Low</v>
      </c>
      <c r="L300" s="0" t="str">
        <f aca="false">IF(H300="TRUE","Out of stock","In stock")</f>
        <v>In stock</v>
      </c>
      <c r="M300" s="0" t="str">
        <f aca="false">IF(D300&lt;5,"1) Under 5%",IF(D300&lt;10,"2) 5-9%",IF(D300&lt;15,"3) 10-14%",IF(D300&lt;25,"4) 15-24%","5) 25%+"))))</f>
        <v>1) Under 5%</v>
      </c>
      <c r="N300" s="0" t="str">
        <f aca="false">IF(F300&lt;50,"1) Under Rs 50",IF(F300&lt;100,"2) Rs 50-99",IF(F300&lt;200,"3) Rs 100-199",IF(F300&lt;500,"4) Rs 200-499","5) Rs 500+"))))</f>
        <v>1) Under Rs 50</v>
      </c>
      <c r="O300" s="0" t="n">
        <f aca="false">G300*E300/1000</f>
        <v>0.24</v>
      </c>
    </row>
    <row r="301" customFormat="false" ht="15" hidden="false" customHeight="false" outlineLevel="0" collapsed="false">
      <c r="A301" s="0" t="s">
        <v>96</v>
      </c>
      <c r="B301" s="0" t="s">
        <v>420</v>
      </c>
      <c r="C301" s="0" t="n">
        <v>70</v>
      </c>
      <c r="D301" s="0" t="n">
        <v>10</v>
      </c>
      <c r="E301" s="0" t="n">
        <v>3</v>
      </c>
      <c r="F301" s="0" t="n">
        <v>63</v>
      </c>
      <c r="G301" s="0" t="n">
        <v>405</v>
      </c>
      <c r="H301" s="0" t="s">
        <v>145</v>
      </c>
      <c r="I301" s="0" t="n">
        <v>405</v>
      </c>
      <c r="J301" s="0" t="n">
        <f aca="false">F301*E301</f>
        <v>189</v>
      </c>
      <c r="K301" s="0" t="str">
        <f aca="false">IF(G301&lt;1000,"1-Low",IF(G301&lt;5000,"2-Medium","3-Bulk"))</f>
        <v>1-Low</v>
      </c>
      <c r="L301" s="0" t="str">
        <f aca="false">IF(H301="TRUE","Out of stock","In stock")</f>
        <v>In stock</v>
      </c>
      <c r="M301" s="0" t="str">
        <f aca="false">IF(D301&lt;5,"1) Under 5%",IF(D301&lt;10,"2) 5-9%",IF(D301&lt;15,"3) 10-14%",IF(D301&lt;25,"4) 15-24%","5) 25%+"))))</f>
        <v>3) 10-14%</v>
      </c>
      <c r="N301" s="0" t="str">
        <f aca="false">IF(F301&lt;50,"1) Under Rs 50",IF(F301&lt;100,"2) Rs 50-99",IF(F301&lt;200,"3) Rs 100-199",IF(F301&lt;500,"4) Rs 200-499","5) Rs 500+"))))</f>
        <v>2) Rs 50-99</v>
      </c>
      <c r="O301" s="0" t="n">
        <f aca="false">G301*E301/1000</f>
        <v>1.215</v>
      </c>
    </row>
    <row r="302" customFormat="false" ht="15" hidden="false" customHeight="false" outlineLevel="0" collapsed="false">
      <c r="A302" s="0" t="s">
        <v>96</v>
      </c>
      <c r="B302" s="0" t="s">
        <v>421</v>
      </c>
      <c r="C302" s="0" t="n">
        <v>74</v>
      </c>
      <c r="D302" s="0" t="n">
        <v>9</v>
      </c>
      <c r="E302" s="0" t="n">
        <v>3</v>
      </c>
      <c r="F302" s="0" t="n">
        <v>67</v>
      </c>
      <c r="G302" s="0" t="n">
        <v>100</v>
      </c>
      <c r="H302" s="0" t="s">
        <v>145</v>
      </c>
      <c r="I302" s="0" t="n">
        <v>100</v>
      </c>
      <c r="J302" s="0" t="n">
        <f aca="false">F302*E302</f>
        <v>201</v>
      </c>
      <c r="K302" s="0" t="str">
        <f aca="false">IF(G302&lt;1000,"1-Low",IF(G302&lt;5000,"2-Medium","3-Bulk"))</f>
        <v>1-Low</v>
      </c>
      <c r="L302" s="0" t="str">
        <f aca="false">IF(H302="TRUE","Out of stock","In stock")</f>
        <v>In stock</v>
      </c>
      <c r="M302" s="0" t="str">
        <f aca="false">IF(D302&lt;5,"1) Under 5%",IF(D302&lt;10,"2) 5-9%",IF(D302&lt;15,"3) 10-14%",IF(D302&lt;25,"4) 15-24%","5) 25%+"))))</f>
        <v>2) 5-9%</v>
      </c>
      <c r="N302" s="0" t="str">
        <f aca="false">IF(F302&lt;50,"1) Under Rs 50",IF(F302&lt;100,"2) Rs 50-99",IF(F302&lt;200,"3) Rs 100-199",IF(F302&lt;500,"4) Rs 200-499","5) Rs 500+"))))</f>
        <v>2) Rs 50-99</v>
      </c>
      <c r="O302" s="0" t="n">
        <f aca="false">G302*E302/1000</f>
        <v>0.3</v>
      </c>
    </row>
    <row r="303" customFormat="false" ht="15" hidden="false" customHeight="false" outlineLevel="0" collapsed="false">
      <c r="A303" s="0" t="s">
        <v>96</v>
      </c>
      <c r="B303" s="0" t="s">
        <v>422</v>
      </c>
      <c r="C303" s="0" t="n">
        <v>295</v>
      </c>
      <c r="D303" s="0" t="n">
        <v>16</v>
      </c>
      <c r="E303" s="0" t="n">
        <v>6</v>
      </c>
      <c r="F303" s="0" t="n">
        <v>245</v>
      </c>
      <c r="G303" s="0" t="n">
        <v>5000</v>
      </c>
      <c r="H303" s="0" t="s">
        <v>145</v>
      </c>
      <c r="I303" s="0" t="n">
        <v>5</v>
      </c>
      <c r="J303" s="0" t="n">
        <f aca="false">F303*E303</f>
        <v>1470</v>
      </c>
      <c r="K303" s="0" t="str">
        <f aca="false">IF(G303&lt;1000,"1-Low",IF(G303&lt;5000,"2-Medium","3-Bulk"))</f>
        <v>3-Bulk</v>
      </c>
      <c r="L303" s="0" t="str">
        <f aca="false">IF(H303="TRUE","Out of stock","In stock")</f>
        <v>In stock</v>
      </c>
      <c r="M303" s="0" t="str">
        <f aca="false">IF(D303&lt;5,"1) Under 5%",IF(D303&lt;10,"2) 5-9%",IF(D303&lt;15,"3) 10-14%",IF(D303&lt;25,"4) 15-24%","5) 25%+"))))</f>
        <v>4) 15-24%</v>
      </c>
      <c r="N303" s="0" t="str">
        <f aca="false">IF(F303&lt;50,"1) Under Rs 50",IF(F303&lt;100,"2) Rs 50-99",IF(F303&lt;200,"3) Rs 100-199",IF(F303&lt;500,"4) Rs 200-499","5) Rs 500+"))))</f>
        <v>4) Rs 200-499</v>
      </c>
      <c r="O303" s="0" t="n">
        <f aca="false">G303*E303/1000</f>
        <v>30</v>
      </c>
    </row>
    <row r="304" customFormat="false" ht="15" hidden="false" customHeight="false" outlineLevel="0" collapsed="false">
      <c r="A304" s="0" t="s">
        <v>96</v>
      </c>
      <c r="B304" s="0" t="s">
        <v>423</v>
      </c>
      <c r="C304" s="0" t="n">
        <v>50</v>
      </c>
      <c r="D304" s="0" t="n">
        <v>2</v>
      </c>
      <c r="E304" s="0" t="n">
        <v>6</v>
      </c>
      <c r="F304" s="0" t="n">
        <v>49</v>
      </c>
      <c r="G304" s="0" t="n">
        <v>200</v>
      </c>
      <c r="H304" s="0" t="s">
        <v>145</v>
      </c>
      <c r="I304" s="0" t="n">
        <v>200</v>
      </c>
      <c r="J304" s="0" t="n">
        <f aca="false">F304*E304</f>
        <v>294</v>
      </c>
      <c r="K304" s="0" t="str">
        <f aca="false">IF(G304&lt;1000,"1-Low",IF(G304&lt;5000,"2-Medium","3-Bulk"))</f>
        <v>1-Low</v>
      </c>
      <c r="L304" s="0" t="str">
        <f aca="false">IF(H304="TRUE","Out of stock","In stock")</f>
        <v>In stock</v>
      </c>
      <c r="M304" s="0" t="str">
        <f aca="false">IF(D304&lt;5,"1) Under 5%",IF(D304&lt;10,"2) 5-9%",IF(D304&lt;15,"3) 10-14%",IF(D304&lt;25,"4) 15-24%","5) 25%+"))))</f>
        <v>1) Under 5%</v>
      </c>
      <c r="N304" s="0" t="str">
        <f aca="false">IF(F304&lt;50,"1) Under Rs 50",IF(F304&lt;100,"2) Rs 50-99",IF(F304&lt;200,"3) Rs 100-199",IF(F304&lt;500,"4) Rs 200-499","5) Rs 500+"))))</f>
        <v>1) Under Rs 50</v>
      </c>
      <c r="O304" s="0" t="n">
        <f aca="false">G304*E304/1000</f>
        <v>1.2</v>
      </c>
    </row>
    <row r="305" customFormat="false" ht="15" hidden="false" customHeight="false" outlineLevel="0" collapsed="false">
      <c r="A305" s="0" t="s">
        <v>96</v>
      </c>
      <c r="B305" s="0" t="s">
        <v>424</v>
      </c>
      <c r="C305" s="0" t="n">
        <v>49</v>
      </c>
      <c r="D305" s="0" t="n">
        <v>8</v>
      </c>
      <c r="E305" s="0" t="n">
        <v>6</v>
      </c>
      <c r="F305" s="0" t="n">
        <v>45</v>
      </c>
      <c r="G305" s="0" t="n">
        <v>200</v>
      </c>
      <c r="H305" s="0" t="s">
        <v>145</v>
      </c>
      <c r="I305" s="0" t="n">
        <v>200</v>
      </c>
      <c r="J305" s="0" t="n">
        <f aca="false">F305*E305</f>
        <v>270</v>
      </c>
      <c r="K305" s="0" t="str">
        <f aca="false">IF(G305&lt;1000,"1-Low",IF(G305&lt;5000,"2-Medium","3-Bulk"))</f>
        <v>1-Low</v>
      </c>
      <c r="L305" s="0" t="str">
        <f aca="false">IF(H305="TRUE","Out of stock","In stock")</f>
        <v>In stock</v>
      </c>
      <c r="M305" s="0" t="str">
        <f aca="false">IF(D305&lt;5,"1) Under 5%",IF(D305&lt;10,"2) 5-9%",IF(D305&lt;15,"3) 10-14%",IF(D305&lt;25,"4) 15-24%","5) 25%+"))))</f>
        <v>2) 5-9%</v>
      </c>
      <c r="N305" s="0" t="str">
        <f aca="false">IF(F305&lt;50,"1) Under Rs 50",IF(F305&lt;100,"2) Rs 50-99",IF(F305&lt;200,"3) Rs 100-199",IF(F305&lt;500,"4) Rs 200-499","5) Rs 500+"))))</f>
        <v>1) Under Rs 50</v>
      </c>
      <c r="O305" s="0" t="n">
        <f aca="false">G305*E305/1000</f>
        <v>1.2</v>
      </c>
    </row>
    <row r="306" customFormat="false" ht="15" hidden="false" customHeight="false" outlineLevel="0" collapsed="false">
      <c r="A306" s="0" t="s">
        <v>96</v>
      </c>
      <c r="B306" s="0" t="s">
        <v>425</v>
      </c>
      <c r="C306" s="0" t="n">
        <v>75</v>
      </c>
      <c r="D306" s="0" t="n">
        <v>17</v>
      </c>
      <c r="E306" s="0" t="n">
        <v>6</v>
      </c>
      <c r="F306" s="0" t="n">
        <v>62</v>
      </c>
      <c r="G306" s="0" t="n">
        <v>50</v>
      </c>
      <c r="H306" s="0" t="s">
        <v>145</v>
      </c>
      <c r="I306" s="0" t="n">
        <v>50</v>
      </c>
      <c r="J306" s="0" t="n">
        <f aca="false">F306*E306</f>
        <v>372</v>
      </c>
      <c r="K306" s="0" t="str">
        <f aca="false">IF(G306&lt;1000,"1-Low",IF(G306&lt;5000,"2-Medium","3-Bulk"))</f>
        <v>1-Low</v>
      </c>
      <c r="L306" s="0" t="str">
        <f aca="false">IF(H306="TRUE","Out of stock","In stock")</f>
        <v>In stock</v>
      </c>
      <c r="M306" s="0" t="str">
        <f aca="false">IF(D306&lt;5,"1) Under 5%",IF(D306&lt;10,"2) 5-9%",IF(D306&lt;15,"3) 10-14%",IF(D306&lt;25,"4) 15-24%","5) 25%+"))))</f>
        <v>4) 15-24%</v>
      </c>
      <c r="N306" s="0" t="str">
        <f aca="false">IF(F306&lt;50,"1) Under Rs 50",IF(F306&lt;100,"2) Rs 50-99",IF(F306&lt;200,"3) Rs 100-199",IF(F306&lt;500,"4) Rs 200-499","5) Rs 500+"))))</f>
        <v>2) Rs 50-99</v>
      </c>
      <c r="O306" s="0" t="n">
        <f aca="false">G306*E306/1000</f>
        <v>0.3</v>
      </c>
    </row>
    <row r="307" customFormat="false" ht="15" hidden="false" customHeight="false" outlineLevel="0" collapsed="false">
      <c r="A307" s="0" t="s">
        <v>96</v>
      </c>
      <c r="B307" s="0" t="s">
        <v>426</v>
      </c>
      <c r="C307" s="0" t="n">
        <v>96</v>
      </c>
      <c r="D307" s="0" t="n">
        <v>15</v>
      </c>
      <c r="E307" s="0" t="n">
        <v>6</v>
      </c>
      <c r="F307" s="0" t="n">
        <v>81</v>
      </c>
      <c r="G307" s="0" t="n">
        <v>280</v>
      </c>
      <c r="H307" s="0" t="s">
        <v>145</v>
      </c>
      <c r="I307" s="0" t="n">
        <v>280</v>
      </c>
      <c r="J307" s="0" t="n">
        <f aca="false">F307*E307</f>
        <v>486</v>
      </c>
      <c r="K307" s="0" t="str">
        <f aca="false">IF(G307&lt;1000,"1-Low",IF(G307&lt;5000,"2-Medium","3-Bulk"))</f>
        <v>1-Low</v>
      </c>
      <c r="L307" s="0" t="str">
        <f aca="false">IF(H307="TRUE","Out of stock","In stock")</f>
        <v>In stock</v>
      </c>
      <c r="M307" s="0" t="str">
        <f aca="false">IF(D307&lt;5,"1) Under 5%",IF(D307&lt;10,"2) 5-9%",IF(D307&lt;15,"3) 10-14%",IF(D307&lt;25,"4) 15-24%","5) 25%+"))))</f>
        <v>4) 15-24%</v>
      </c>
      <c r="N307" s="0" t="str">
        <f aca="false">IF(F307&lt;50,"1) Under Rs 50",IF(F307&lt;100,"2) Rs 50-99",IF(F307&lt;200,"3) Rs 100-199",IF(F307&lt;500,"4) Rs 200-499","5) Rs 500+"))))</f>
        <v>2) Rs 50-99</v>
      </c>
      <c r="O307" s="0" t="n">
        <f aca="false">G307*E307/1000</f>
        <v>1.68</v>
      </c>
    </row>
    <row r="308" customFormat="false" ht="15" hidden="false" customHeight="false" outlineLevel="0" collapsed="false">
      <c r="A308" s="0" t="s">
        <v>96</v>
      </c>
      <c r="B308" s="0" t="s">
        <v>427</v>
      </c>
      <c r="C308" s="0" t="n">
        <v>40</v>
      </c>
      <c r="D308" s="0" t="n">
        <v>5</v>
      </c>
      <c r="E308" s="0" t="n">
        <v>6</v>
      </c>
      <c r="F308" s="0" t="n">
        <v>38</v>
      </c>
      <c r="G308" s="0" t="n">
        <v>50</v>
      </c>
      <c r="H308" s="0" t="s">
        <v>145</v>
      </c>
      <c r="I308" s="0" t="n">
        <v>50</v>
      </c>
      <c r="J308" s="0" t="n">
        <f aca="false">F308*E308</f>
        <v>228</v>
      </c>
      <c r="K308" s="0" t="str">
        <f aca="false">IF(G308&lt;1000,"1-Low",IF(G308&lt;5000,"2-Medium","3-Bulk"))</f>
        <v>1-Low</v>
      </c>
      <c r="L308" s="0" t="str">
        <f aca="false">IF(H308="TRUE","Out of stock","In stock")</f>
        <v>In stock</v>
      </c>
      <c r="M308" s="0" t="str">
        <f aca="false">IF(D308&lt;5,"1) Under 5%",IF(D308&lt;10,"2) 5-9%",IF(D308&lt;15,"3) 10-14%",IF(D308&lt;25,"4) 15-24%","5) 25%+"))))</f>
        <v>2) 5-9%</v>
      </c>
      <c r="N308" s="0" t="str">
        <f aca="false">IF(F308&lt;50,"1) Under Rs 50",IF(F308&lt;100,"2) Rs 50-99",IF(F308&lt;200,"3) Rs 100-199",IF(F308&lt;500,"4) Rs 200-499","5) Rs 500+"))))</f>
        <v>1) Under Rs 50</v>
      </c>
      <c r="O308" s="0" t="n">
        <f aca="false">G308*E308/1000</f>
        <v>0.3</v>
      </c>
    </row>
    <row r="309" customFormat="false" ht="15" hidden="false" customHeight="false" outlineLevel="0" collapsed="false">
      <c r="A309" s="0" t="s">
        <v>96</v>
      </c>
      <c r="B309" s="0" t="s">
        <v>428</v>
      </c>
      <c r="C309" s="0" t="n">
        <v>35</v>
      </c>
      <c r="D309" s="0" t="n">
        <v>2</v>
      </c>
      <c r="E309" s="0" t="n">
        <v>6</v>
      </c>
      <c r="F309" s="0" t="n">
        <v>34</v>
      </c>
      <c r="G309" s="0" t="n">
        <v>100</v>
      </c>
      <c r="H309" s="0" t="s">
        <v>145</v>
      </c>
      <c r="I309" s="0" t="n">
        <v>100</v>
      </c>
      <c r="J309" s="0" t="n">
        <f aca="false">F309*E309</f>
        <v>204</v>
      </c>
      <c r="K309" s="0" t="str">
        <f aca="false">IF(G309&lt;1000,"1-Low",IF(G309&lt;5000,"2-Medium","3-Bulk"))</f>
        <v>1-Low</v>
      </c>
      <c r="L309" s="0" t="str">
        <f aca="false">IF(H309="TRUE","Out of stock","In stock")</f>
        <v>In stock</v>
      </c>
      <c r="M309" s="0" t="str">
        <f aca="false">IF(D309&lt;5,"1) Under 5%",IF(D309&lt;10,"2) 5-9%",IF(D309&lt;15,"3) 10-14%",IF(D309&lt;25,"4) 15-24%","5) 25%+"))))</f>
        <v>1) Under 5%</v>
      </c>
      <c r="N309" s="0" t="str">
        <f aca="false">IF(F309&lt;50,"1) Under Rs 50",IF(F309&lt;100,"2) Rs 50-99",IF(F309&lt;200,"3) Rs 100-199",IF(F309&lt;500,"4) Rs 200-499","5) Rs 500+"))))</f>
        <v>1) Under Rs 50</v>
      </c>
      <c r="O309" s="0" t="n">
        <f aca="false">G309*E309/1000</f>
        <v>0.6</v>
      </c>
    </row>
    <row r="310" customFormat="false" ht="15" hidden="false" customHeight="false" outlineLevel="0" collapsed="false">
      <c r="A310" s="0" t="s">
        <v>96</v>
      </c>
      <c r="B310" s="0" t="s">
        <v>429</v>
      </c>
      <c r="C310" s="0" t="n">
        <v>190</v>
      </c>
      <c r="D310" s="0" t="n">
        <v>0</v>
      </c>
      <c r="E310" s="0" t="n">
        <v>4</v>
      </c>
      <c r="F310" s="0" t="n">
        <v>190</v>
      </c>
      <c r="G310" s="0" t="n">
        <v>500</v>
      </c>
      <c r="H310" s="0" t="s">
        <v>145</v>
      </c>
      <c r="I310" s="0" t="n">
        <v>500</v>
      </c>
      <c r="J310" s="0" t="n">
        <f aca="false">F310*E310</f>
        <v>760</v>
      </c>
      <c r="K310" s="0" t="str">
        <f aca="false">IF(G310&lt;1000,"1-Low",IF(G310&lt;5000,"2-Medium","3-Bulk"))</f>
        <v>1-Low</v>
      </c>
      <c r="L310" s="0" t="str">
        <f aca="false">IF(H310="TRUE","Out of stock","In stock")</f>
        <v>In stock</v>
      </c>
      <c r="M310" s="0" t="str">
        <f aca="false">IF(D310&lt;5,"1) Under 5%",IF(D310&lt;10,"2) 5-9%",IF(D310&lt;15,"3) 10-14%",IF(D310&lt;25,"4) 15-24%","5) 25%+"))))</f>
        <v>1) Under 5%</v>
      </c>
      <c r="N310" s="0" t="str">
        <f aca="false">IF(F310&lt;50,"1) Under Rs 50",IF(F310&lt;100,"2) Rs 50-99",IF(F310&lt;200,"3) Rs 100-199",IF(F310&lt;500,"4) Rs 200-499","5) Rs 500+"))))</f>
        <v>3) Rs 100-199</v>
      </c>
      <c r="O310" s="0" t="n">
        <f aca="false">G310*E310/1000</f>
        <v>2</v>
      </c>
    </row>
    <row r="311" customFormat="false" ht="15" hidden="false" customHeight="false" outlineLevel="0" collapsed="false">
      <c r="A311" s="0" t="s">
        <v>96</v>
      </c>
      <c r="B311" s="0" t="s">
        <v>430</v>
      </c>
      <c r="C311" s="0" t="n">
        <v>40</v>
      </c>
      <c r="D311" s="0" t="n">
        <v>2</v>
      </c>
      <c r="E311" s="0" t="n">
        <v>6</v>
      </c>
      <c r="F311" s="0" t="n">
        <v>39</v>
      </c>
      <c r="G311" s="0" t="n">
        <v>50</v>
      </c>
      <c r="H311" s="0" t="s">
        <v>145</v>
      </c>
      <c r="I311" s="0" t="n">
        <v>50</v>
      </c>
      <c r="J311" s="0" t="n">
        <f aca="false">F311*E311</f>
        <v>234</v>
      </c>
      <c r="K311" s="0" t="str">
        <f aca="false">IF(G311&lt;1000,"1-Low",IF(G311&lt;5000,"2-Medium","3-Bulk"))</f>
        <v>1-Low</v>
      </c>
      <c r="L311" s="0" t="str">
        <f aca="false">IF(H311="TRUE","Out of stock","In stock")</f>
        <v>In stock</v>
      </c>
      <c r="M311" s="0" t="str">
        <f aca="false">IF(D311&lt;5,"1) Under 5%",IF(D311&lt;10,"2) 5-9%",IF(D311&lt;15,"3) 10-14%",IF(D311&lt;25,"4) 15-24%","5) 25%+"))))</f>
        <v>1) Under 5%</v>
      </c>
      <c r="N311" s="0" t="str">
        <f aca="false">IF(F311&lt;50,"1) Under Rs 50",IF(F311&lt;100,"2) Rs 50-99",IF(F311&lt;200,"3) Rs 100-199",IF(F311&lt;500,"4) Rs 200-499","5) Rs 500+"))))</f>
        <v>1) Under Rs 50</v>
      </c>
      <c r="O311" s="0" t="n">
        <f aca="false">G311*E311/1000</f>
        <v>0.3</v>
      </c>
    </row>
    <row r="312" customFormat="false" ht="15" hidden="false" customHeight="false" outlineLevel="0" collapsed="false">
      <c r="A312" s="0" t="s">
        <v>96</v>
      </c>
      <c r="B312" s="0" t="s">
        <v>431</v>
      </c>
      <c r="C312" s="0" t="n">
        <v>60</v>
      </c>
      <c r="D312" s="0" t="n">
        <v>15</v>
      </c>
      <c r="E312" s="0" t="n">
        <v>6</v>
      </c>
      <c r="F312" s="0" t="n">
        <v>51</v>
      </c>
      <c r="G312" s="0" t="n">
        <v>50</v>
      </c>
      <c r="H312" s="0" t="s">
        <v>145</v>
      </c>
      <c r="I312" s="0" t="n">
        <v>50</v>
      </c>
      <c r="J312" s="0" t="n">
        <f aca="false">F312*E312</f>
        <v>306</v>
      </c>
      <c r="K312" s="0" t="str">
        <f aca="false">IF(G312&lt;1000,"1-Low",IF(G312&lt;5000,"2-Medium","3-Bulk"))</f>
        <v>1-Low</v>
      </c>
      <c r="L312" s="0" t="str">
        <f aca="false">IF(H312="TRUE","Out of stock","In stock")</f>
        <v>In stock</v>
      </c>
      <c r="M312" s="0" t="str">
        <f aca="false">IF(D312&lt;5,"1) Under 5%",IF(D312&lt;10,"2) 5-9%",IF(D312&lt;15,"3) 10-14%",IF(D312&lt;25,"4) 15-24%","5) 25%+"))))</f>
        <v>4) 15-24%</v>
      </c>
      <c r="N312" s="0" t="str">
        <f aca="false">IF(F312&lt;50,"1) Under Rs 50",IF(F312&lt;100,"2) Rs 50-99",IF(F312&lt;200,"3) Rs 100-199",IF(F312&lt;500,"4) Rs 200-499","5) Rs 500+"))))</f>
        <v>2) Rs 50-99</v>
      </c>
      <c r="O312" s="0" t="n">
        <f aca="false">G312*E312/1000</f>
        <v>0.3</v>
      </c>
    </row>
    <row r="313" customFormat="false" ht="15" hidden="false" customHeight="false" outlineLevel="0" collapsed="false">
      <c r="A313" s="0" t="s">
        <v>96</v>
      </c>
      <c r="B313" s="0" t="s">
        <v>432</v>
      </c>
      <c r="C313" s="0" t="n">
        <v>95</v>
      </c>
      <c r="D313" s="0" t="n">
        <v>0</v>
      </c>
      <c r="E313" s="0" t="n">
        <v>6</v>
      </c>
      <c r="F313" s="0" t="n">
        <v>95</v>
      </c>
      <c r="G313" s="0" t="n">
        <v>500</v>
      </c>
      <c r="H313" s="0" t="s">
        <v>145</v>
      </c>
      <c r="I313" s="0" t="n">
        <v>500</v>
      </c>
      <c r="J313" s="0" t="n">
        <f aca="false">F313*E313</f>
        <v>570</v>
      </c>
      <c r="K313" s="0" t="str">
        <f aca="false">IF(G313&lt;1000,"1-Low",IF(G313&lt;5000,"2-Medium","3-Bulk"))</f>
        <v>1-Low</v>
      </c>
      <c r="L313" s="0" t="str">
        <f aca="false">IF(H313="TRUE","Out of stock","In stock")</f>
        <v>In stock</v>
      </c>
      <c r="M313" s="0" t="str">
        <f aca="false">IF(D313&lt;5,"1) Under 5%",IF(D313&lt;10,"2) 5-9%",IF(D313&lt;15,"3) 10-14%",IF(D313&lt;25,"4) 15-24%","5) 25%+"))))</f>
        <v>1) Under 5%</v>
      </c>
      <c r="N313" s="0" t="str">
        <f aca="false">IF(F313&lt;50,"1) Under Rs 50",IF(F313&lt;100,"2) Rs 50-99",IF(F313&lt;200,"3) Rs 100-199",IF(F313&lt;500,"4) Rs 200-499","5) Rs 500+"))))</f>
        <v>2) Rs 50-99</v>
      </c>
      <c r="O313" s="0" t="n">
        <f aca="false">G313*E313/1000</f>
        <v>3</v>
      </c>
    </row>
    <row r="314" customFormat="false" ht="15" hidden="false" customHeight="false" outlineLevel="0" collapsed="false">
      <c r="A314" s="0" t="s">
        <v>96</v>
      </c>
      <c r="B314" s="0" t="s">
        <v>433</v>
      </c>
      <c r="C314" s="0" t="n">
        <v>46</v>
      </c>
      <c r="D314" s="0" t="n">
        <v>0</v>
      </c>
      <c r="E314" s="0" t="n">
        <v>6</v>
      </c>
      <c r="F314" s="0" t="n">
        <v>46</v>
      </c>
      <c r="G314" s="0" t="n">
        <v>54</v>
      </c>
      <c r="H314" s="0" t="s">
        <v>145</v>
      </c>
      <c r="I314" s="0" t="n">
        <v>54</v>
      </c>
      <c r="J314" s="0" t="n">
        <f aca="false">F314*E314</f>
        <v>276</v>
      </c>
      <c r="K314" s="0" t="str">
        <f aca="false">IF(G314&lt;1000,"1-Low",IF(G314&lt;5000,"2-Medium","3-Bulk"))</f>
        <v>1-Low</v>
      </c>
      <c r="L314" s="0" t="str">
        <f aca="false">IF(H314="TRUE","Out of stock","In stock")</f>
        <v>In stock</v>
      </c>
      <c r="M314" s="0" t="str">
        <f aca="false">IF(D314&lt;5,"1) Under 5%",IF(D314&lt;10,"2) 5-9%",IF(D314&lt;15,"3) 10-14%",IF(D314&lt;25,"4) 15-24%","5) 25%+"))))</f>
        <v>1) Under 5%</v>
      </c>
      <c r="N314" s="0" t="str">
        <f aca="false">IF(F314&lt;50,"1) Under Rs 50",IF(F314&lt;100,"2) Rs 50-99",IF(F314&lt;200,"3) Rs 100-199",IF(F314&lt;500,"4) Rs 200-499","5) Rs 500+"))))</f>
        <v>1) Under Rs 50</v>
      </c>
      <c r="O314" s="0" t="n">
        <f aca="false">G314*E314/1000</f>
        <v>0.324</v>
      </c>
    </row>
    <row r="315" customFormat="false" ht="15" hidden="false" customHeight="false" outlineLevel="0" collapsed="false">
      <c r="A315" s="0" t="s">
        <v>96</v>
      </c>
      <c r="B315" s="0" t="s">
        <v>434</v>
      </c>
      <c r="C315" s="0" t="n">
        <v>142</v>
      </c>
      <c r="D315" s="0" t="n">
        <v>9</v>
      </c>
      <c r="E315" s="0" t="n">
        <v>3</v>
      </c>
      <c r="F315" s="0" t="n">
        <v>128</v>
      </c>
      <c r="G315" s="0" t="n">
        <v>500</v>
      </c>
      <c r="H315" s="0" t="s">
        <v>145</v>
      </c>
      <c r="I315" s="0" t="n">
        <v>500</v>
      </c>
      <c r="J315" s="0" t="n">
        <f aca="false">F315*E315</f>
        <v>384</v>
      </c>
      <c r="K315" s="0" t="str">
        <f aca="false">IF(G315&lt;1000,"1-Low",IF(G315&lt;5000,"2-Medium","3-Bulk"))</f>
        <v>1-Low</v>
      </c>
      <c r="L315" s="0" t="str">
        <f aca="false">IF(H315="TRUE","Out of stock","In stock")</f>
        <v>In stock</v>
      </c>
      <c r="M315" s="0" t="str">
        <f aca="false">IF(D315&lt;5,"1) Under 5%",IF(D315&lt;10,"2) 5-9%",IF(D315&lt;15,"3) 10-14%",IF(D315&lt;25,"4) 15-24%","5) 25%+"))))</f>
        <v>2) 5-9%</v>
      </c>
      <c r="N315" s="0" t="str">
        <f aca="false">IF(F315&lt;50,"1) Under Rs 50",IF(F315&lt;100,"2) Rs 50-99",IF(F315&lt;200,"3) Rs 100-199",IF(F315&lt;500,"4) Rs 200-499","5) Rs 500+"))))</f>
        <v>3) Rs 100-199</v>
      </c>
      <c r="O315" s="0" t="n">
        <f aca="false">G315*E315/1000</f>
        <v>1.5</v>
      </c>
    </row>
    <row r="316" customFormat="false" ht="15" hidden="false" customHeight="false" outlineLevel="0" collapsed="false">
      <c r="A316" s="0" t="s">
        <v>96</v>
      </c>
      <c r="B316" s="0" t="s">
        <v>435</v>
      </c>
      <c r="C316" s="0" t="n">
        <v>300</v>
      </c>
      <c r="D316" s="0" t="n">
        <v>10</v>
      </c>
      <c r="E316" s="0" t="n">
        <v>3</v>
      </c>
      <c r="F316" s="0" t="n">
        <v>270</v>
      </c>
      <c r="G316" s="0" t="n">
        <v>42</v>
      </c>
      <c r="H316" s="0" t="s">
        <v>145</v>
      </c>
      <c r="I316" s="0" t="n">
        <v>42</v>
      </c>
      <c r="J316" s="0" t="n">
        <f aca="false">F316*E316</f>
        <v>810</v>
      </c>
      <c r="K316" s="0" t="str">
        <f aca="false">IF(G316&lt;1000,"1-Low",IF(G316&lt;5000,"2-Medium","3-Bulk"))</f>
        <v>1-Low</v>
      </c>
      <c r="L316" s="0" t="str">
        <f aca="false">IF(H316="TRUE","Out of stock","In stock")</f>
        <v>In stock</v>
      </c>
      <c r="M316" s="0" t="str">
        <f aca="false">IF(D316&lt;5,"1) Under 5%",IF(D316&lt;10,"2) 5-9%",IF(D316&lt;15,"3) 10-14%",IF(D316&lt;25,"4) 15-24%","5) 25%+"))))</f>
        <v>3) 10-14%</v>
      </c>
      <c r="N316" s="0" t="str">
        <f aca="false">IF(F316&lt;50,"1) Under Rs 50",IF(F316&lt;100,"2) Rs 50-99",IF(F316&lt;200,"3) Rs 100-199",IF(F316&lt;500,"4) Rs 200-499","5) Rs 500+"))))</f>
        <v>4) Rs 200-499</v>
      </c>
      <c r="O316" s="0" t="n">
        <f aca="false">G316*E316/1000</f>
        <v>0.126</v>
      </c>
    </row>
    <row r="317" customFormat="false" ht="15" hidden="false" customHeight="false" outlineLevel="0" collapsed="false">
      <c r="A317" s="0" t="s">
        <v>96</v>
      </c>
      <c r="B317" s="0" t="s">
        <v>436</v>
      </c>
      <c r="C317" s="0" t="n">
        <v>37</v>
      </c>
      <c r="D317" s="0" t="n">
        <v>2</v>
      </c>
      <c r="E317" s="0" t="n">
        <v>6</v>
      </c>
      <c r="F317" s="0" t="n">
        <v>36</v>
      </c>
      <c r="G317" s="0" t="n">
        <v>100</v>
      </c>
      <c r="H317" s="0" t="s">
        <v>145</v>
      </c>
      <c r="I317" s="0" t="n">
        <v>100</v>
      </c>
      <c r="J317" s="0" t="n">
        <f aca="false">F317*E317</f>
        <v>216</v>
      </c>
      <c r="K317" s="0" t="str">
        <f aca="false">IF(G317&lt;1000,"1-Low",IF(G317&lt;5000,"2-Medium","3-Bulk"))</f>
        <v>1-Low</v>
      </c>
      <c r="L317" s="0" t="str">
        <f aca="false">IF(H317="TRUE","Out of stock","In stock")</f>
        <v>In stock</v>
      </c>
      <c r="M317" s="0" t="str">
        <f aca="false">IF(D317&lt;5,"1) Under 5%",IF(D317&lt;10,"2) 5-9%",IF(D317&lt;15,"3) 10-14%",IF(D317&lt;25,"4) 15-24%","5) 25%+"))))</f>
        <v>1) Under 5%</v>
      </c>
      <c r="N317" s="0" t="str">
        <f aca="false">IF(F317&lt;50,"1) Under Rs 50",IF(F317&lt;100,"2) Rs 50-99",IF(F317&lt;200,"3) Rs 100-199",IF(F317&lt;500,"4) Rs 200-499","5) Rs 500+"))))</f>
        <v>1) Under Rs 50</v>
      </c>
      <c r="O317" s="0" t="n">
        <f aca="false">G317*E317/1000</f>
        <v>0.6</v>
      </c>
    </row>
    <row r="318" customFormat="false" ht="15" hidden="false" customHeight="false" outlineLevel="0" collapsed="false">
      <c r="A318" s="0" t="s">
        <v>96</v>
      </c>
      <c r="B318" s="0" t="s">
        <v>437</v>
      </c>
      <c r="C318" s="0" t="n">
        <v>145</v>
      </c>
      <c r="D318" s="0" t="n">
        <v>0</v>
      </c>
      <c r="E318" s="0" t="n">
        <v>6</v>
      </c>
      <c r="F318" s="0" t="n">
        <v>145</v>
      </c>
      <c r="G318" s="0" t="n">
        <v>500</v>
      </c>
      <c r="H318" s="0" t="s">
        <v>145</v>
      </c>
      <c r="I318" s="0" t="n">
        <v>500</v>
      </c>
      <c r="J318" s="0" t="n">
        <f aca="false">F318*E318</f>
        <v>870</v>
      </c>
      <c r="K318" s="0" t="str">
        <f aca="false">IF(G318&lt;1000,"1-Low",IF(G318&lt;5000,"2-Medium","3-Bulk"))</f>
        <v>1-Low</v>
      </c>
      <c r="L318" s="0" t="str">
        <f aca="false">IF(H318="TRUE","Out of stock","In stock")</f>
        <v>In stock</v>
      </c>
      <c r="M318" s="0" t="str">
        <f aca="false">IF(D318&lt;5,"1) Under 5%",IF(D318&lt;10,"2) 5-9%",IF(D318&lt;15,"3) 10-14%",IF(D318&lt;25,"4) 15-24%","5) 25%+"))))</f>
        <v>1) Under 5%</v>
      </c>
      <c r="N318" s="0" t="str">
        <f aca="false">IF(F318&lt;50,"1) Under Rs 50",IF(F318&lt;100,"2) Rs 50-99",IF(F318&lt;200,"3) Rs 100-199",IF(F318&lt;500,"4) Rs 200-499","5) Rs 500+"))))</f>
        <v>3) Rs 100-199</v>
      </c>
      <c r="O318" s="0" t="n">
        <f aca="false">G318*E318/1000</f>
        <v>3</v>
      </c>
    </row>
    <row r="319" customFormat="false" ht="15" hidden="false" customHeight="false" outlineLevel="0" collapsed="false">
      <c r="A319" s="0" t="s">
        <v>96</v>
      </c>
      <c r="B319" s="0" t="s">
        <v>438</v>
      </c>
      <c r="C319" s="0" t="n">
        <v>35</v>
      </c>
      <c r="D319" s="0" t="n">
        <v>2</v>
      </c>
      <c r="E319" s="0" t="n">
        <v>6</v>
      </c>
      <c r="F319" s="0" t="n">
        <v>34</v>
      </c>
      <c r="G319" s="0" t="n">
        <v>500</v>
      </c>
      <c r="H319" s="0" t="s">
        <v>145</v>
      </c>
      <c r="I319" s="0" t="n">
        <v>500</v>
      </c>
      <c r="J319" s="0" t="n">
        <f aca="false">F319*E319</f>
        <v>204</v>
      </c>
      <c r="K319" s="0" t="str">
        <f aca="false">IF(G319&lt;1000,"1-Low",IF(G319&lt;5000,"2-Medium","3-Bulk"))</f>
        <v>1-Low</v>
      </c>
      <c r="L319" s="0" t="str">
        <f aca="false">IF(H319="TRUE","Out of stock","In stock")</f>
        <v>In stock</v>
      </c>
      <c r="M319" s="0" t="str">
        <f aca="false">IF(D319&lt;5,"1) Under 5%",IF(D319&lt;10,"2) 5-9%",IF(D319&lt;15,"3) 10-14%",IF(D319&lt;25,"4) 15-24%","5) 25%+"))))</f>
        <v>1) Under 5%</v>
      </c>
      <c r="N319" s="0" t="str">
        <f aca="false">IF(F319&lt;50,"1) Under Rs 50",IF(F319&lt;100,"2) Rs 50-99",IF(F319&lt;200,"3) Rs 100-199",IF(F319&lt;500,"4) Rs 200-499","5) Rs 500+"))))</f>
        <v>1) Under Rs 50</v>
      </c>
      <c r="O319" s="0" t="n">
        <f aca="false">G319*E319/1000</f>
        <v>3</v>
      </c>
    </row>
    <row r="320" customFormat="false" ht="15" hidden="false" customHeight="false" outlineLevel="0" collapsed="false">
      <c r="A320" s="0" t="s">
        <v>96</v>
      </c>
      <c r="B320" s="0" t="s">
        <v>439</v>
      </c>
      <c r="C320" s="0" t="n">
        <v>205</v>
      </c>
      <c r="D320" s="0" t="n">
        <v>5</v>
      </c>
      <c r="E320" s="0" t="n">
        <v>1</v>
      </c>
      <c r="F320" s="0" t="n">
        <v>194</v>
      </c>
      <c r="G320" s="0" t="n">
        <v>250</v>
      </c>
      <c r="H320" s="0" t="s">
        <v>145</v>
      </c>
      <c r="I320" s="0" t="n">
        <v>250</v>
      </c>
      <c r="J320" s="0" t="n">
        <f aca="false">F320*E320</f>
        <v>194</v>
      </c>
      <c r="K320" s="0" t="str">
        <f aca="false">IF(G320&lt;1000,"1-Low",IF(G320&lt;5000,"2-Medium","3-Bulk"))</f>
        <v>1-Low</v>
      </c>
      <c r="L320" s="0" t="str">
        <f aca="false">IF(H320="TRUE","Out of stock","In stock")</f>
        <v>In stock</v>
      </c>
      <c r="M320" s="0" t="str">
        <f aca="false">IF(D320&lt;5,"1) Under 5%",IF(D320&lt;10,"2) 5-9%",IF(D320&lt;15,"3) 10-14%",IF(D320&lt;25,"4) 15-24%","5) 25%+"))))</f>
        <v>2) 5-9%</v>
      </c>
      <c r="N320" s="0" t="str">
        <f aca="false">IF(F320&lt;50,"1) Under Rs 50",IF(F320&lt;100,"2) Rs 50-99",IF(F320&lt;200,"3) Rs 100-199",IF(F320&lt;500,"4) Rs 200-499","5) Rs 500+"))))</f>
        <v>3) Rs 100-199</v>
      </c>
      <c r="O320" s="0" t="n">
        <f aca="false">G320*E320/1000</f>
        <v>0.25</v>
      </c>
    </row>
    <row r="321" customFormat="false" ht="15" hidden="false" customHeight="false" outlineLevel="0" collapsed="false">
      <c r="A321" s="0" t="s">
        <v>96</v>
      </c>
      <c r="B321" s="0" t="s">
        <v>440</v>
      </c>
      <c r="C321" s="0" t="n">
        <v>99</v>
      </c>
      <c r="D321" s="0" t="n">
        <v>0</v>
      </c>
      <c r="E321" s="0" t="n">
        <v>6</v>
      </c>
      <c r="F321" s="0" t="n">
        <v>99</v>
      </c>
      <c r="G321" s="0" t="n">
        <v>75</v>
      </c>
      <c r="H321" s="0" t="s">
        <v>145</v>
      </c>
      <c r="I321" s="0" t="n">
        <v>75</v>
      </c>
      <c r="J321" s="0" t="n">
        <f aca="false">F321*E321</f>
        <v>594</v>
      </c>
      <c r="K321" s="0" t="str">
        <f aca="false">IF(G321&lt;1000,"1-Low",IF(G321&lt;5000,"2-Medium","3-Bulk"))</f>
        <v>1-Low</v>
      </c>
      <c r="L321" s="0" t="str">
        <f aca="false">IF(H321="TRUE","Out of stock","In stock")</f>
        <v>In stock</v>
      </c>
      <c r="M321" s="0" t="str">
        <f aca="false">IF(D321&lt;5,"1) Under 5%",IF(D321&lt;10,"2) 5-9%",IF(D321&lt;15,"3) 10-14%",IF(D321&lt;25,"4) 15-24%","5) 25%+"))))</f>
        <v>1) Under 5%</v>
      </c>
      <c r="N321" s="0" t="str">
        <f aca="false">IF(F321&lt;50,"1) Under Rs 50",IF(F321&lt;100,"2) Rs 50-99",IF(F321&lt;200,"3) Rs 100-199",IF(F321&lt;500,"4) Rs 200-499","5) Rs 500+"))))</f>
        <v>2) Rs 50-99</v>
      </c>
      <c r="O321" s="0" t="n">
        <f aca="false">G321*E321/1000</f>
        <v>0.45</v>
      </c>
    </row>
    <row r="322" customFormat="false" ht="15" hidden="false" customHeight="false" outlineLevel="0" collapsed="false">
      <c r="A322" s="0" t="s">
        <v>96</v>
      </c>
      <c r="B322" s="0" t="s">
        <v>270</v>
      </c>
      <c r="C322" s="0" t="n">
        <v>195</v>
      </c>
      <c r="D322" s="0" t="n">
        <v>12</v>
      </c>
      <c r="E322" s="0" t="n">
        <v>2</v>
      </c>
      <c r="F322" s="0" t="n">
        <v>171</v>
      </c>
      <c r="G322" s="0" t="n">
        <v>500</v>
      </c>
      <c r="H322" s="0" t="s">
        <v>145</v>
      </c>
      <c r="I322" s="0" t="n">
        <v>500</v>
      </c>
      <c r="J322" s="0" t="n">
        <f aca="false">F322*E322</f>
        <v>342</v>
      </c>
      <c r="K322" s="0" t="str">
        <f aca="false">IF(G322&lt;1000,"1-Low",IF(G322&lt;5000,"2-Medium","3-Bulk"))</f>
        <v>1-Low</v>
      </c>
      <c r="L322" s="0" t="str">
        <f aca="false">IF(H322="TRUE","Out of stock","In stock")</f>
        <v>In stock</v>
      </c>
      <c r="M322" s="0" t="str">
        <f aca="false">IF(D322&lt;5,"1) Under 5%",IF(D322&lt;10,"2) 5-9%",IF(D322&lt;15,"3) 10-14%",IF(D322&lt;25,"4) 15-24%","5) 25%+"))))</f>
        <v>3) 10-14%</v>
      </c>
      <c r="N322" s="0" t="str">
        <f aca="false">IF(F322&lt;50,"1) Under Rs 50",IF(F322&lt;100,"2) Rs 50-99",IF(F322&lt;200,"3) Rs 100-199",IF(F322&lt;500,"4) Rs 200-499","5) Rs 500+"))))</f>
        <v>3) Rs 100-199</v>
      </c>
      <c r="O322" s="0" t="n">
        <f aca="false">G322*E322/1000</f>
        <v>1</v>
      </c>
    </row>
    <row r="323" customFormat="false" ht="15" hidden="false" customHeight="false" outlineLevel="0" collapsed="false">
      <c r="A323" s="0" t="s">
        <v>96</v>
      </c>
      <c r="B323" s="0" t="s">
        <v>441</v>
      </c>
      <c r="C323" s="0" t="n">
        <v>85</v>
      </c>
      <c r="D323" s="0" t="n">
        <v>9</v>
      </c>
      <c r="E323" s="0" t="n">
        <v>5</v>
      </c>
      <c r="F323" s="0" t="n">
        <v>77</v>
      </c>
      <c r="G323" s="0" t="n">
        <v>500</v>
      </c>
      <c r="H323" s="0" t="s">
        <v>145</v>
      </c>
      <c r="I323" s="0" t="n">
        <v>500</v>
      </c>
      <c r="J323" s="0" t="n">
        <f aca="false">F323*E323</f>
        <v>385</v>
      </c>
      <c r="K323" s="0" t="str">
        <f aca="false">IF(G323&lt;1000,"1-Low",IF(G323&lt;5000,"2-Medium","3-Bulk"))</f>
        <v>1-Low</v>
      </c>
      <c r="L323" s="0" t="str">
        <f aca="false">IF(H323="TRUE","Out of stock","In stock")</f>
        <v>In stock</v>
      </c>
      <c r="M323" s="0" t="str">
        <f aca="false">IF(D323&lt;5,"1) Under 5%",IF(D323&lt;10,"2) 5-9%",IF(D323&lt;15,"3) 10-14%",IF(D323&lt;25,"4) 15-24%","5) 25%+"))))</f>
        <v>2) 5-9%</v>
      </c>
      <c r="N323" s="0" t="str">
        <f aca="false">IF(F323&lt;50,"1) Under Rs 50",IF(F323&lt;100,"2) Rs 50-99",IF(F323&lt;200,"3) Rs 100-199",IF(F323&lt;500,"4) Rs 200-499","5) Rs 500+"))))</f>
        <v>2) Rs 50-99</v>
      </c>
      <c r="O323" s="0" t="n">
        <f aca="false">G323*E323/1000</f>
        <v>2.5</v>
      </c>
    </row>
    <row r="324" customFormat="false" ht="15" hidden="false" customHeight="false" outlineLevel="0" collapsed="false">
      <c r="A324" s="0" t="s">
        <v>96</v>
      </c>
      <c r="B324" s="0" t="s">
        <v>342</v>
      </c>
      <c r="C324" s="0" t="n">
        <v>22</v>
      </c>
      <c r="D324" s="0" t="n">
        <v>0</v>
      </c>
      <c r="E324" s="0" t="n">
        <v>6</v>
      </c>
      <c r="F324" s="0" t="n">
        <v>22</v>
      </c>
      <c r="G324" s="0" t="n">
        <v>50</v>
      </c>
      <c r="H324" s="0" t="s">
        <v>145</v>
      </c>
      <c r="I324" s="0" t="n">
        <v>50</v>
      </c>
      <c r="J324" s="0" t="n">
        <f aca="false">F324*E324</f>
        <v>132</v>
      </c>
      <c r="K324" s="0" t="str">
        <f aca="false">IF(G324&lt;1000,"1-Low",IF(G324&lt;5000,"2-Medium","3-Bulk"))</f>
        <v>1-Low</v>
      </c>
      <c r="L324" s="0" t="str">
        <f aca="false">IF(H324="TRUE","Out of stock","In stock")</f>
        <v>In stock</v>
      </c>
      <c r="M324" s="0" t="str">
        <f aca="false">IF(D324&lt;5,"1) Under 5%",IF(D324&lt;10,"2) 5-9%",IF(D324&lt;15,"3) 10-14%",IF(D324&lt;25,"4) 15-24%","5) 25%+"))))</f>
        <v>1) Under 5%</v>
      </c>
      <c r="N324" s="0" t="str">
        <f aca="false">IF(F324&lt;50,"1) Under Rs 50",IF(F324&lt;100,"2) Rs 50-99",IF(F324&lt;200,"3) Rs 100-199",IF(F324&lt;500,"4) Rs 200-499","5) Rs 500+"))))</f>
        <v>1) Under Rs 50</v>
      </c>
      <c r="O324" s="0" t="n">
        <f aca="false">G324*E324/1000</f>
        <v>0.3</v>
      </c>
    </row>
    <row r="325" customFormat="false" ht="15" hidden="false" customHeight="false" outlineLevel="0" collapsed="false">
      <c r="A325" s="0" t="s">
        <v>96</v>
      </c>
      <c r="B325" s="0" t="s">
        <v>442</v>
      </c>
      <c r="C325" s="0" t="n">
        <v>65</v>
      </c>
      <c r="D325" s="0" t="n">
        <v>13</v>
      </c>
      <c r="E325" s="0" t="n">
        <v>6</v>
      </c>
      <c r="F325" s="0" t="n">
        <v>56</v>
      </c>
      <c r="G325" s="0" t="n">
        <v>1000</v>
      </c>
      <c r="H325" s="0" t="s">
        <v>145</v>
      </c>
      <c r="I325" s="0" t="n">
        <v>1</v>
      </c>
      <c r="J325" s="0" t="n">
        <f aca="false">F325*E325</f>
        <v>336</v>
      </c>
      <c r="K325" s="0" t="str">
        <f aca="false">IF(G325&lt;1000,"1-Low",IF(G325&lt;5000,"2-Medium","3-Bulk"))</f>
        <v>2-Medium</v>
      </c>
      <c r="L325" s="0" t="str">
        <f aca="false">IF(H325="TRUE","Out of stock","In stock")</f>
        <v>In stock</v>
      </c>
      <c r="M325" s="0" t="str">
        <f aca="false">IF(D325&lt;5,"1) Under 5%",IF(D325&lt;10,"2) 5-9%",IF(D325&lt;15,"3) 10-14%",IF(D325&lt;25,"4) 15-24%","5) 25%+"))))</f>
        <v>3) 10-14%</v>
      </c>
      <c r="N325" s="0" t="str">
        <f aca="false">IF(F325&lt;50,"1) Under Rs 50",IF(F325&lt;100,"2) Rs 50-99",IF(F325&lt;200,"3) Rs 100-199",IF(F325&lt;500,"4) Rs 200-499","5) Rs 500+"))))</f>
        <v>2) Rs 50-99</v>
      </c>
      <c r="O325" s="0" t="n">
        <f aca="false">G325*E325/1000</f>
        <v>6</v>
      </c>
    </row>
    <row r="326" customFormat="false" ht="15" hidden="false" customHeight="false" outlineLevel="0" collapsed="false">
      <c r="A326" s="0" t="s">
        <v>96</v>
      </c>
      <c r="B326" s="0" t="s">
        <v>443</v>
      </c>
      <c r="C326" s="0" t="n">
        <v>45</v>
      </c>
      <c r="D326" s="0" t="n">
        <v>2</v>
      </c>
      <c r="E326" s="0" t="n">
        <v>6</v>
      </c>
      <c r="F326" s="0" t="n">
        <v>44</v>
      </c>
      <c r="G326" s="0" t="n">
        <v>90</v>
      </c>
      <c r="H326" s="0" t="s">
        <v>145</v>
      </c>
      <c r="I326" s="0" t="n">
        <v>90</v>
      </c>
      <c r="J326" s="0" t="n">
        <f aca="false">F326*E326</f>
        <v>264</v>
      </c>
      <c r="K326" s="0" t="str">
        <f aca="false">IF(G326&lt;1000,"1-Low",IF(G326&lt;5000,"2-Medium","3-Bulk"))</f>
        <v>1-Low</v>
      </c>
      <c r="L326" s="0" t="str">
        <f aca="false">IF(H326="TRUE","Out of stock","In stock")</f>
        <v>In stock</v>
      </c>
      <c r="M326" s="0" t="str">
        <f aca="false">IF(D326&lt;5,"1) Under 5%",IF(D326&lt;10,"2) 5-9%",IF(D326&lt;15,"3) 10-14%",IF(D326&lt;25,"4) 15-24%","5) 25%+"))))</f>
        <v>1) Under 5%</v>
      </c>
      <c r="N326" s="0" t="str">
        <f aca="false">IF(F326&lt;50,"1) Under Rs 50",IF(F326&lt;100,"2) Rs 50-99",IF(F326&lt;200,"3) Rs 100-199",IF(F326&lt;500,"4) Rs 200-499","5) Rs 500+"))))</f>
        <v>1) Under Rs 50</v>
      </c>
      <c r="O326" s="0" t="n">
        <f aca="false">G326*E326/1000</f>
        <v>0.54</v>
      </c>
    </row>
    <row r="327" customFormat="false" ht="15" hidden="false" customHeight="false" outlineLevel="0" collapsed="false">
      <c r="A327" s="0" t="s">
        <v>96</v>
      </c>
      <c r="B327" s="0" t="s">
        <v>444</v>
      </c>
      <c r="C327" s="0" t="n">
        <v>45</v>
      </c>
      <c r="D327" s="0" t="n">
        <v>2</v>
      </c>
      <c r="E327" s="0" t="n">
        <v>6</v>
      </c>
      <c r="F327" s="0" t="n">
        <v>44</v>
      </c>
      <c r="G327" s="0" t="n">
        <v>90</v>
      </c>
      <c r="H327" s="0" t="s">
        <v>145</v>
      </c>
      <c r="I327" s="0" t="n">
        <v>90</v>
      </c>
      <c r="J327" s="0" t="n">
        <f aca="false">F327*E327</f>
        <v>264</v>
      </c>
      <c r="K327" s="0" t="str">
        <f aca="false">IF(G327&lt;1000,"1-Low",IF(G327&lt;5000,"2-Medium","3-Bulk"))</f>
        <v>1-Low</v>
      </c>
      <c r="L327" s="0" t="str">
        <f aca="false">IF(H327="TRUE","Out of stock","In stock")</f>
        <v>In stock</v>
      </c>
      <c r="M327" s="0" t="str">
        <f aca="false">IF(D327&lt;5,"1) Under 5%",IF(D327&lt;10,"2) 5-9%",IF(D327&lt;15,"3) 10-14%",IF(D327&lt;25,"4) 15-24%","5) 25%+"))))</f>
        <v>1) Under 5%</v>
      </c>
      <c r="N327" s="0" t="str">
        <f aca="false">IF(F327&lt;50,"1) Under Rs 50",IF(F327&lt;100,"2) Rs 50-99",IF(F327&lt;200,"3) Rs 100-199",IF(F327&lt;500,"4) Rs 200-499","5) Rs 500+"))))</f>
        <v>1) Under Rs 50</v>
      </c>
      <c r="O327" s="0" t="n">
        <f aca="false">G327*E327/1000</f>
        <v>0.54</v>
      </c>
    </row>
    <row r="328" customFormat="false" ht="15" hidden="false" customHeight="false" outlineLevel="0" collapsed="false">
      <c r="A328" s="0" t="s">
        <v>96</v>
      </c>
      <c r="B328" s="0" t="s">
        <v>445</v>
      </c>
      <c r="C328" s="0" t="n">
        <v>70</v>
      </c>
      <c r="D328" s="0" t="n">
        <v>10</v>
      </c>
      <c r="E328" s="0" t="n">
        <v>4</v>
      </c>
      <c r="F328" s="0" t="n">
        <v>63</v>
      </c>
      <c r="G328" s="0" t="n">
        <v>500</v>
      </c>
      <c r="H328" s="0" t="s">
        <v>145</v>
      </c>
      <c r="I328" s="0" t="n">
        <v>500</v>
      </c>
      <c r="J328" s="0" t="n">
        <f aca="false">F328*E328</f>
        <v>252</v>
      </c>
      <c r="K328" s="0" t="str">
        <f aca="false">IF(G328&lt;1000,"1-Low",IF(G328&lt;5000,"2-Medium","3-Bulk"))</f>
        <v>1-Low</v>
      </c>
      <c r="L328" s="0" t="str">
        <f aca="false">IF(H328="TRUE","Out of stock","In stock")</f>
        <v>In stock</v>
      </c>
      <c r="M328" s="0" t="str">
        <f aca="false">IF(D328&lt;5,"1) Under 5%",IF(D328&lt;10,"2) 5-9%",IF(D328&lt;15,"3) 10-14%",IF(D328&lt;25,"4) 15-24%","5) 25%+"))))</f>
        <v>3) 10-14%</v>
      </c>
      <c r="N328" s="0" t="str">
        <f aca="false">IF(F328&lt;50,"1) Under Rs 50",IF(F328&lt;100,"2) Rs 50-99",IF(F328&lt;200,"3) Rs 100-199",IF(F328&lt;500,"4) Rs 200-499","5) Rs 500+"))))</f>
        <v>2) Rs 50-99</v>
      </c>
      <c r="O328" s="0" t="n">
        <f aca="false">G328*E328/1000</f>
        <v>2</v>
      </c>
    </row>
    <row r="329" customFormat="false" ht="15" hidden="false" customHeight="false" outlineLevel="0" collapsed="false">
      <c r="A329" s="0" t="s">
        <v>96</v>
      </c>
      <c r="B329" s="0" t="s">
        <v>297</v>
      </c>
      <c r="C329" s="0" t="n">
        <v>50</v>
      </c>
      <c r="D329" s="0" t="n">
        <v>12</v>
      </c>
      <c r="E329" s="0" t="n">
        <v>2</v>
      </c>
      <c r="F329" s="0" t="n">
        <v>44</v>
      </c>
      <c r="G329" s="0" t="n">
        <v>100</v>
      </c>
      <c r="H329" s="0" t="s">
        <v>145</v>
      </c>
      <c r="I329" s="0" t="n">
        <v>100</v>
      </c>
      <c r="J329" s="0" t="n">
        <f aca="false">F329*E329</f>
        <v>88</v>
      </c>
      <c r="K329" s="0" t="str">
        <f aca="false">IF(G329&lt;1000,"1-Low",IF(G329&lt;5000,"2-Medium","3-Bulk"))</f>
        <v>1-Low</v>
      </c>
      <c r="L329" s="0" t="str">
        <f aca="false">IF(H329="TRUE","Out of stock","In stock")</f>
        <v>In stock</v>
      </c>
      <c r="M329" s="0" t="str">
        <f aca="false">IF(D329&lt;5,"1) Under 5%",IF(D329&lt;10,"2) 5-9%",IF(D329&lt;15,"3) 10-14%",IF(D329&lt;25,"4) 15-24%","5) 25%+"))))</f>
        <v>3) 10-14%</v>
      </c>
      <c r="N329" s="0" t="str">
        <f aca="false">IF(F329&lt;50,"1) Under Rs 50",IF(F329&lt;100,"2) Rs 50-99",IF(F329&lt;200,"3) Rs 100-199",IF(F329&lt;500,"4) Rs 200-499","5) Rs 500+"))))</f>
        <v>1) Under Rs 50</v>
      </c>
      <c r="O329" s="0" t="n">
        <f aca="false">G329*E329/1000</f>
        <v>0.2</v>
      </c>
    </row>
    <row r="330" customFormat="false" ht="15" hidden="false" customHeight="false" outlineLevel="0" collapsed="false">
      <c r="A330" s="0" t="s">
        <v>96</v>
      </c>
      <c r="B330" s="0" t="s">
        <v>446</v>
      </c>
      <c r="C330" s="0" t="n">
        <v>470</v>
      </c>
      <c r="D330" s="0" t="n">
        <v>21</v>
      </c>
      <c r="E330" s="0" t="n">
        <v>5</v>
      </c>
      <c r="F330" s="0" t="n">
        <v>371</v>
      </c>
      <c r="G330" s="0" t="n">
        <v>250</v>
      </c>
      <c r="H330" s="0" t="s">
        <v>145</v>
      </c>
      <c r="I330" s="0" t="n">
        <v>250</v>
      </c>
      <c r="J330" s="0" t="n">
        <f aca="false">F330*E330</f>
        <v>1855</v>
      </c>
      <c r="K330" s="0" t="str">
        <f aca="false">IF(G330&lt;1000,"1-Low",IF(G330&lt;5000,"2-Medium","3-Bulk"))</f>
        <v>1-Low</v>
      </c>
      <c r="L330" s="0" t="str">
        <f aca="false">IF(H330="TRUE","Out of stock","In stock")</f>
        <v>In stock</v>
      </c>
      <c r="M330" s="0" t="str">
        <f aca="false">IF(D330&lt;5,"1) Under 5%",IF(D330&lt;10,"2) 5-9%",IF(D330&lt;15,"3) 10-14%",IF(D330&lt;25,"4) 15-24%","5) 25%+"))))</f>
        <v>4) 15-24%</v>
      </c>
      <c r="N330" s="0" t="str">
        <f aca="false">IF(F330&lt;50,"1) Under Rs 50",IF(F330&lt;100,"2) Rs 50-99",IF(F330&lt;200,"3) Rs 100-199",IF(F330&lt;500,"4) Rs 200-499","5) Rs 500+"))))</f>
        <v>4) Rs 200-499</v>
      </c>
      <c r="O330" s="0" t="n">
        <f aca="false">G330*E330/1000</f>
        <v>1.25</v>
      </c>
    </row>
    <row r="331" customFormat="false" ht="15" hidden="false" customHeight="false" outlineLevel="0" collapsed="false">
      <c r="A331" s="0" t="s">
        <v>96</v>
      </c>
      <c r="B331" s="0" t="s">
        <v>447</v>
      </c>
      <c r="C331" s="0" t="n">
        <v>50</v>
      </c>
      <c r="D331" s="0" t="n">
        <v>6</v>
      </c>
      <c r="E331" s="0" t="n">
        <v>3</v>
      </c>
      <c r="F331" s="0" t="n">
        <v>47</v>
      </c>
      <c r="G331" s="0" t="n">
        <v>400</v>
      </c>
      <c r="H331" s="0" t="s">
        <v>145</v>
      </c>
      <c r="I331" s="0" t="n">
        <v>400</v>
      </c>
      <c r="J331" s="0" t="n">
        <f aca="false">F331*E331</f>
        <v>141</v>
      </c>
      <c r="K331" s="0" t="str">
        <f aca="false">IF(G331&lt;1000,"1-Low",IF(G331&lt;5000,"2-Medium","3-Bulk"))</f>
        <v>1-Low</v>
      </c>
      <c r="L331" s="0" t="str">
        <f aca="false">IF(H331="TRUE","Out of stock","In stock")</f>
        <v>In stock</v>
      </c>
      <c r="M331" s="0" t="str">
        <f aca="false">IF(D331&lt;5,"1) Under 5%",IF(D331&lt;10,"2) 5-9%",IF(D331&lt;15,"3) 10-14%",IF(D331&lt;25,"4) 15-24%","5) 25%+"))))</f>
        <v>2) 5-9%</v>
      </c>
      <c r="N331" s="0" t="str">
        <f aca="false">IF(F331&lt;50,"1) Under Rs 50",IF(F331&lt;100,"2) Rs 50-99",IF(F331&lt;200,"3) Rs 100-199",IF(F331&lt;500,"4) Rs 200-499","5) Rs 500+"))))</f>
        <v>1) Under Rs 50</v>
      </c>
      <c r="O331" s="0" t="n">
        <f aca="false">G331*E331/1000</f>
        <v>1.2</v>
      </c>
    </row>
    <row r="332" customFormat="false" ht="15" hidden="false" customHeight="false" outlineLevel="0" collapsed="false">
      <c r="A332" s="0" t="s">
        <v>96</v>
      </c>
      <c r="B332" s="0" t="s">
        <v>448</v>
      </c>
      <c r="C332" s="0" t="n">
        <v>40</v>
      </c>
      <c r="D332" s="0" t="n">
        <v>10</v>
      </c>
      <c r="E332" s="0" t="n">
        <v>4</v>
      </c>
      <c r="F332" s="0" t="n">
        <v>36</v>
      </c>
      <c r="G332" s="0" t="n">
        <v>500</v>
      </c>
      <c r="H332" s="0" t="s">
        <v>145</v>
      </c>
      <c r="I332" s="0" t="n">
        <v>500</v>
      </c>
      <c r="J332" s="0" t="n">
        <f aca="false">F332*E332</f>
        <v>144</v>
      </c>
      <c r="K332" s="0" t="str">
        <f aca="false">IF(G332&lt;1000,"1-Low",IF(G332&lt;5000,"2-Medium","3-Bulk"))</f>
        <v>1-Low</v>
      </c>
      <c r="L332" s="0" t="str">
        <f aca="false">IF(H332="TRUE","Out of stock","In stock")</f>
        <v>In stock</v>
      </c>
      <c r="M332" s="0" t="str">
        <f aca="false">IF(D332&lt;5,"1) Under 5%",IF(D332&lt;10,"2) 5-9%",IF(D332&lt;15,"3) 10-14%",IF(D332&lt;25,"4) 15-24%","5) 25%+"))))</f>
        <v>3) 10-14%</v>
      </c>
      <c r="N332" s="0" t="str">
        <f aca="false">IF(F332&lt;50,"1) Under Rs 50",IF(F332&lt;100,"2) Rs 50-99",IF(F332&lt;200,"3) Rs 100-199",IF(F332&lt;500,"4) Rs 200-499","5) Rs 500+"))))</f>
        <v>1) Under Rs 50</v>
      </c>
      <c r="O332" s="0" t="n">
        <f aca="false">G332*E332/1000</f>
        <v>2</v>
      </c>
    </row>
    <row r="333" customFormat="false" ht="15" hidden="false" customHeight="false" outlineLevel="0" collapsed="false">
      <c r="A333" s="0" t="s">
        <v>96</v>
      </c>
      <c r="B333" s="0" t="s">
        <v>449</v>
      </c>
      <c r="C333" s="0" t="n">
        <v>95</v>
      </c>
      <c r="D333" s="0" t="n">
        <v>0</v>
      </c>
      <c r="E333" s="0" t="n">
        <v>4</v>
      </c>
      <c r="F333" s="0" t="n">
        <v>95</v>
      </c>
      <c r="G333" s="0" t="n">
        <v>200</v>
      </c>
      <c r="H333" s="0" t="s">
        <v>145</v>
      </c>
      <c r="I333" s="0" t="n">
        <v>200</v>
      </c>
      <c r="J333" s="0" t="n">
        <f aca="false">F333*E333</f>
        <v>380</v>
      </c>
      <c r="K333" s="0" t="str">
        <f aca="false">IF(G333&lt;1000,"1-Low",IF(G333&lt;5000,"2-Medium","3-Bulk"))</f>
        <v>1-Low</v>
      </c>
      <c r="L333" s="0" t="str">
        <f aca="false">IF(H333="TRUE","Out of stock","In stock")</f>
        <v>In stock</v>
      </c>
      <c r="M333" s="0" t="str">
        <f aca="false">IF(D333&lt;5,"1) Under 5%",IF(D333&lt;10,"2) 5-9%",IF(D333&lt;15,"3) 10-14%",IF(D333&lt;25,"4) 15-24%","5) 25%+"))))</f>
        <v>1) Under 5%</v>
      </c>
      <c r="N333" s="0" t="str">
        <f aca="false">IF(F333&lt;50,"1) Under Rs 50",IF(F333&lt;100,"2) Rs 50-99",IF(F333&lt;200,"3) Rs 100-199",IF(F333&lt;500,"4) Rs 200-499","5) Rs 500+"))))</f>
        <v>2) Rs 50-99</v>
      </c>
      <c r="O333" s="0" t="n">
        <f aca="false">G333*E333/1000</f>
        <v>0.8</v>
      </c>
    </row>
    <row r="334" customFormat="false" ht="15" hidden="false" customHeight="false" outlineLevel="0" collapsed="false">
      <c r="A334" s="0" t="s">
        <v>96</v>
      </c>
      <c r="B334" s="0" t="s">
        <v>450</v>
      </c>
      <c r="C334" s="0" t="n">
        <v>160</v>
      </c>
      <c r="D334" s="0" t="n">
        <v>10</v>
      </c>
      <c r="E334" s="0" t="n">
        <v>3</v>
      </c>
      <c r="F334" s="0" t="n">
        <v>144</v>
      </c>
      <c r="G334" s="0" t="n">
        <v>250</v>
      </c>
      <c r="H334" s="0" t="s">
        <v>145</v>
      </c>
      <c r="I334" s="0" t="n">
        <v>250</v>
      </c>
      <c r="J334" s="0" t="n">
        <f aca="false">F334*E334</f>
        <v>432</v>
      </c>
      <c r="K334" s="0" t="str">
        <f aca="false">IF(G334&lt;1000,"1-Low",IF(G334&lt;5000,"2-Medium","3-Bulk"))</f>
        <v>1-Low</v>
      </c>
      <c r="L334" s="0" t="str">
        <f aca="false">IF(H334="TRUE","Out of stock","In stock")</f>
        <v>In stock</v>
      </c>
      <c r="M334" s="0" t="str">
        <f aca="false">IF(D334&lt;5,"1) Under 5%",IF(D334&lt;10,"2) 5-9%",IF(D334&lt;15,"3) 10-14%",IF(D334&lt;25,"4) 15-24%","5) 25%+"))))</f>
        <v>3) 10-14%</v>
      </c>
      <c r="N334" s="0" t="str">
        <f aca="false">IF(F334&lt;50,"1) Under Rs 50",IF(F334&lt;100,"2) Rs 50-99",IF(F334&lt;200,"3) Rs 100-199",IF(F334&lt;500,"4) Rs 200-499","5) Rs 500+"))))</f>
        <v>3) Rs 100-199</v>
      </c>
      <c r="O334" s="0" t="n">
        <f aca="false">G334*E334/1000</f>
        <v>0.75</v>
      </c>
    </row>
    <row r="335" customFormat="false" ht="15" hidden="false" customHeight="false" outlineLevel="0" collapsed="false">
      <c r="A335" s="0" t="s">
        <v>96</v>
      </c>
      <c r="B335" s="0" t="s">
        <v>451</v>
      </c>
      <c r="C335" s="0" t="n">
        <v>25</v>
      </c>
      <c r="D335" s="0" t="n">
        <v>0</v>
      </c>
      <c r="E335" s="0" t="n">
        <v>6</v>
      </c>
      <c r="F335" s="0" t="n">
        <v>25</v>
      </c>
      <c r="G335" s="0" t="n">
        <v>25</v>
      </c>
      <c r="H335" s="0" t="s">
        <v>145</v>
      </c>
      <c r="I335" s="0" t="n">
        <v>25</v>
      </c>
      <c r="J335" s="0" t="n">
        <f aca="false">F335*E335</f>
        <v>150</v>
      </c>
      <c r="K335" s="0" t="str">
        <f aca="false">IF(G335&lt;1000,"1-Low",IF(G335&lt;5000,"2-Medium","3-Bulk"))</f>
        <v>1-Low</v>
      </c>
      <c r="L335" s="0" t="str">
        <f aca="false">IF(H335="TRUE","Out of stock","In stock")</f>
        <v>In stock</v>
      </c>
      <c r="M335" s="0" t="str">
        <f aca="false">IF(D335&lt;5,"1) Under 5%",IF(D335&lt;10,"2) 5-9%",IF(D335&lt;15,"3) 10-14%",IF(D335&lt;25,"4) 15-24%","5) 25%+"))))</f>
        <v>1) Under 5%</v>
      </c>
      <c r="N335" s="0" t="str">
        <f aca="false">IF(F335&lt;50,"1) Under Rs 50",IF(F335&lt;100,"2) Rs 50-99",IF(F335&lt;200,"3) Rs 100-199",IF(F335&lt;500,"4) Rs 200-499","5) Rs 500+"))))</f>
        <v>1) Under Rs 50</v>
      </c>
      <c r="O335" s="0" t="n">
        <f aca="false">G335*E335/1000</f>
        <v>0.15</v>
      </c>
    </row>
    <row r="336" customFormat="false" ht="15" hidden="false" customHeight="false" outlineLevel="0" collapsed="false">
      <c r="A336" s="0" t="s">
        <v>96</v>
      </c>
      <c r="B336" s="0" t="s">
        <v>452</v>
      </c>
      <c r="C336" s="0" t="n">
        <v>208</v>
      </c>
      <c r="D336" s="0" t="n">
        <v>0</v>
      </c>
      <c r="E336" s="0" t="n">
        <v>6</v>
      </c>
      <c r="F336" s="0" t="n">
        <v>208</v>
      </c>
      <c r="G336" s="0" t="n">
        <v>100</v>
      </c>
      <c r="H336" s="0" t="s">
        <v>145</v>
      </c>
      <c r="I336" s="0" t="n">
        <v>100</v>
      </c>
      <c r="J336" s="0" t="n">
        <f aca="false">F336*E336</f>
        <v>1248</v>
      </c>
      <c r="K336" s="0" t="str">
        <f aca="false">IF(G336&lt;1000,"1-Low",IF(G336&lt;5000,"2-Medium","3-Bulk"))</f>
        <v>1-Low</v>
      </c>
      <c r="L336" s="0" t="str">
        <f aca="false">IF(H336="TRUE","Out of stock","In stock")</f>
        <v>In stock</v>
      </c>
      <c r="M336" s="0" t="str">
        <f aca="false">IF(D336&lt;5,"1) Under 5%",IF(D336&lt;10,"2) 5-9%",IF(D336&lt;15,"3) 10-14%",IF(D336&lt;25,"4) 15-24%","5) 25%+"))))</f>
        <v>1) Under 5%</v>
      </c>
      <c r="N336" s="0" t="str">
        <f aca="false">IF(F336&lt;50,"1) Under Rs 50",IF(F336&lt;100,"2) Rs 50-99",IF(F336&lt;200,"3) Rs 100-199",IF(F336&lt;500,"4) Rs 200-499","5) Rs 500+"))))</f>
        <v>4) Rs 200-499</v>
      </c>
      <c r="O336" s="0" t="n">
        <f aca="false">G336*E336/1000</f>
        <v>0.6</v>
      </c>
    </row>
    <row r="337" customFormat="false" ht="15" hidden="false" customHeight="false" outlineLevel="0" collapsed="false">
      <c r="A337" s="0" t="s">
        <v>96</v>
      </c>
      <c r="B337" s="0" t="s">
        <v>453</v>
      </c>
      <c r="C337" s="0" t="n">
        <v>39</v>
      </c>
      <c r="D337" s="0" t="n">
        <v>2</v>
      </c>
      <c r="E337" s="0" t="n">
        <v>5</v>
      </c>
      <c r="F337" s="0" t="n">
        <v>38</v>
      </c>
      <c r="G337" s="0" t="n">
        <v>50</v>
      </c>
      <c r="H337" s="0" t="s">
        <v>145</v>
      </c>
      <c r="I337" s="0" t="n">
        <v>50</v>
      </c>
      <c r="J337" s="0" t="n">
        <f aca="false">F337*E337</f>
        <v>190</v>
      </c>
      <c r="K337" s="0" t="str">
        <f aca="false">IF(G337&lt;1000,"1-Low",IF(G337&lt;5000,"2-Medium","3-Bulk"))</f>
        <v>1-Low</v>
      </c>
      <c r="L337" s="0" t="str">
        <f aca="false">IF(H337="TRUE","Out of stock","In stock")</f>
        <v>In stock</v>
      </c>
      <c r="M337" s="0" t="str">
        <f aca="false">IF(D337&lt;5,"1) Under 5%",IF(D337&lt;10,"2) 5-9%",IF(D337&lt;15,"3) 10-14%",IF(D337&lt;25,"4) 15-24%","5) 25%+"))))</f>
        <v>1) Under 5%</v>
      </c>
      <c r="N337" s="0" t="str">
        <f aca="false">IF(F337&lt;50,"1) Under Rs 50",IF(F337&lt;100,"2) Rs 50-99",IF(F337&lt;200,"3) Rs 100-199",IF(F337&lt;500,"4) Rs 200-499","5) Rs 500+"))))</f>
        <v>1) Under Rs 50</v>
      </c>
      <c r="O337" s="0" t="n">
        <f aca="false">G337*E337/1000</f>
        <v>0.25</v>
      </c>
    </row>
    <row r="338" customFormat="false" ht="15" hidden="false" customHeight="false" outlineLevel="0" collapsed="false">
      <c r="A338" s="0" t="s">
        <v>96</v>
      </c>
      <c r="B338" s="0" t="s">
        <v>454</v>
      </c>
      <c r="C338" s="0" t="n">
        <v>49</v>
      </c>
      <c r="D338" s="0" t="n">
        <v>2</v>
      </c>
      <c r="E338" s="0" t="n">
        <v>3</v>
      </c>
      <c r="F338" s="0" t="n">
        <v>48</v>
      </c>
      <c r="G338" s="0" t="n">
        <v>200</v>
      </c>
      <c r="H338" s="0" t="s">
        <v>145</v>
      </c>
      <c r="I338" s="0" t="n">
        <v>200</v>
      </c>
      <c r="J338" s="0" t="n">
        <f aca="false">F338*E338</f>
        <v>144</v>
      </c>
      <c r="K338" s="0" t="str">
        <f aca="false">IF(G338&lt;1000,"1-Low",IF(G338&lt;5000,"2-Medium","3-Bulk"))</f>
        <v>1-Low</v>
      </c>
      <c r="L338" s="0" t="str">
        <f aca="false">IF(H338="TRUE","Out of stock","In stock")</f>
        <v>In stock</v>
      </c>
      <c r="M338" s="0" t="str">
        <f aca="false">IF(D338&lt;5,"1) Under 5%",IF(D338&lt;10,"2) 5-9%",IF(D338&lt;15,"3) 10-14%",IF(D338&lt;25,"4) 15-24%","5) 25%+"))))</f>
        <v>1) Under 5%</v>
      </c>
      <c r="N338" s="0" t="str">
        <f aca="false">IF(F338&lt;50,"1) Under Rs 50",IF(F338&lt;100,"2) Rs 50-99",IF(F338&lt;200,"3) Rs 100-199",IF(F338&lt;500,"4) Rs 200-499","5) Rs 500+"))))</f>
        <v>1) Under Rs 50</v>
      </c>
      <c r="O338" s="0" t="n">
        <f aca="false">G338*E338/1000</f>
        <v>0.6</v>
      </c>
    </row>
    <row r="339" customFormat="false" ht="15" hidden="false" customHeight="false" outlineLevel="0" collapsed="false">
      <c r="A339" s="0" t="s">
        <v>96</v>
      </c>
      <c r="B339" s="0" t="s">
        <v>455</v>
      </c>
      <c r="C339" s="0" t="n">
        <v>70</v>
      </c>
      <c r="D339" s="0" t="n">
        <v>7</v>
      </c>
      <c r="E339" s="0" t="n">
        <v>6</v>
      </c>
      <c r="F339" s="0" t="n">
        <v>65</v>
      </c>
      <c r="G339" s="0" t="n">
        <v>50</v>
      </c>
      <c r="H339" s="0" t="s">
        <v>145</v>
      </c>
      <c r="I339" s="0" t="n">
        <v>50</v>
      </c>
      <c r="J339" s="0" t="n">
        <f aca="false">F339*E339</f>
        <v>390</v>
      </c>
      <c r="K339" s="0" t="str">
        <f aca="false">IF(G339&lt;1000,"1-Low",IF(G339&lt;5000,"2-Medium","3-Bulk"))</f>
        <v>1-Low</v>
      </c>
      <c r="L339" s="0" t="str">
        <f aca="false">IF(H339="TRUE","Out of stock","In stock")</f>
        <v>In stock</v>
      </c>
      <c r="M339" s="0" t="str">
        <f aca="false">IF(D339&lt;5,"1) Under 5%",IF(D339&lt;10,"2) 5-9%",IF(D339&lt;15,"3) 10-14%",IF(D339&lt;25,"4) 15-24%","5) 25%+"))))</f>
        <v>2) 5-9%</v>
      </c>
      <c r="N339" s="0" t="str">
        <f aca="false">IF(F339&lt;50,"1) Under Rs 50",IF(F339&lt;100,"2) Rs 50-99",IF(F339&lt;200,"3) Rs 100-199",IF(F339&lt;500,"4) Rs 200-499","5) Rs 500+"))))</f>
        <v>2) Rs 50-99</v>
      </c>
      <c r="O339" s="0" t="n">
        <f aca="false">G339*E339/1000</f>
        <v>0.3</v>
      </c>
    </row>
    <row r="340" customFormat="false" ht="15" hidden="false" customHeight="false" outlineLevel="0" collapsed="false">
      <c r="A340" s="0" t="s">
        <v>96</v>
      </c>
      <c r="B340" s="0" t="s">
        <v>456</v>
      </c>
      <c r="C340" s="0" t="n">
        <v>150</v>
      </c>
      <c r="D340" s="0" t="n">
        <v>4</v>
      </c>
      <c r="E340" s="0" t="n">
        <v>4</v>
      </c>
      <c r="F340" s="0" t="n">
        <v>143</v>
      </c>
      <c r="G340" s="0" t="n">
        <v>400</v>
      </c>
      <c r="H340" s="0" t="s">
        <v>145</v>
      </c>
      <c r="I340" s="0" t="n">
        <v>400</v>
      </c>
      <c r="J340" s="0" t="n">
        <f aca="false">F340*E340</f>
        <v>572</v>
      </c>
      <c r="K340" s="0" t="str">
        <f aca="false">IF(G340&lt;1000,"1-Low",IF(G340&lt;5000,"2-Medium","3-Bulk"))</f>
        <v>1-Low</v>
      </c>
      <c r="L340" s="0" t="str">
        <f aca="false">IF(H340="TRUE","Out of stock","In stock")</f>
        <v>In stock</v>
      </c>
      <c r="M340" s="0" t="str">
        <f aca="false">IF(D340&lt;5,"1) Under 5%",IF(D340&lt;10,"2) 5-9%",IF(D340&lt;15,"3) 10-14%",IF(D340&lt;25,"4) 15-24%","5) 25%+"))))</f>
        <v>1) Under 5%</v>
      </c>
      <c r="N340" s="0" t="str">
        <f aca="false">IF(F340&lt;50,"1) Under Rs 50",IF(F340&lt;100,"2) Rs 50-99",IF(F340&lt;200,"3) Rs 100-199",IF(F340&lt;500,"4) Rs 200-499","5) Rs 500+"))))</f>
        <v>3) Rs 100-199</v>
      </c>
      <c r="O340" s="0" t="n">
        <f aca="false">G340*E340/1000</f>
        <v>1.6</v>
      </c>
    </row>
    <row r="341" customFormat="false" ht="15" hidden="false" customHeight="false" outlineLevel="0" collapsed="false">
      <c r="A341" s="0" t="s">
        <v>96</v>
      </c>
      <c r="B341" s="0" t="s">
        <v>457</v>
      </c>
      <c r="C341" s="0" t="n">
        <v>15</v>
      </c>
      <c r="D341" s="0" t="n">
        <v>0</v>
      </c>
      <c r="E341" s="0" t="n">
        <v>5</v>
      </c>
      <c r="F341" s="0" t="n">
        <v>15</v>
      </c>
      <c r="G341" s="0" t="n">
        <v>50</v>
      </c>
      <c r="H341" s="0" t="s">
        <v>145</v>
      </c>
      <c r="I341" s="0" t="n">
        <v>50</v>
      </c>
      <c r="J341" s="0" t="n">
        <f aca="false">F341*E341</f>
        <v>75</v>
      </c>
      <c r="K341" s="0" t="str">
        <f aca="false">IF(G341&lt;1000,"1-Low",IF(G341&lt;5000,"2-Medium","3-Bulk"))</f>
        <v>1-Low</v>
      </c>
      <c r="L341" s="0" t="str">
        <f aca="false">IF(H341="TRUE","Out of stock","In stock")</f>
        <v>In stock</v>
      </c>
      <c r="M341" s="0" t="str">
        <f aca="false">IF(D341&lt;5,"1) Under 5%",IF(D341&lt;10,"2) 5-9%",IF(D341&lt;15,"3) 10-14%",IF(D341&lt;25,"4) 15-24%","5) 25%+"))))</f>
        <v>1) Under 5%</v>
      </c>
      <c r="N341" s="0" t="str">
        <f aca="false">IF(F341&lt;50,"1) Under Rs 50",IF(F341&lt;100,"2) Rs 50-99",IF(F341&lt;200,"3) Rs 100-199",IF(F341&lt;500,"4) Rs 200-499","5) Rs 500+"))))</f>
        <v>1) Under Rs 50</v>
      </c>
      <c r="O341" s="0" t="n">
        <f aca="false">G341*E341/1000</f>
        <v>0.25</v>
      </c>
    </row>
    <row r="342" customFormat="false" ht="15" hidden="false" customHeight="false" outlineLevel="0" collapsed="false">
      <c r="A342" s="0" t="s">
        <v>96</v>
      </c>
      <c r="B342" s="0" t="s">
        <v>458</v>
      </c>
      <c r="C342" s="0" t="n">
        <v>60</v>
      </c>
      <c r="D342" s="0" t="n">
        <v>0</v>
      </c>
      <c r="E342" s="0" t="n">
        <v>4</v>
      </c>
      <c r="F342" s="0" t="n">
        <v>60</v>
      </c>
      <c r="G342" s="0" t="n">
        <v>240</v>
      </c>
      <c r="H342" s="0" t="s">
        <v>145</v>
      </c>
      <c r="I342" s="0" t="n">
        <v>240</v>
      </c>
      <c r="J342" s="0" t="n">
        <f aca="false">F342*E342</f>
        <v>240</v>
      </c>
      <c r="K342" s="0" t="str">
        <f aca="false">IF(G342&lt;1000,"1-Low",IF(G342&lt;5000,"2-Medium","3-Bulk"))</f>
        <v>1-Low</v>
      </c>
      <c r="L342" s="0" t="str">
        <f aca="false">IF(H342="TRUE","Out of stock","In stock")</f>
        <v>In stock</v>
      </c>
      <c r="M342" s="0" t="str">
        <f aca="false">IF(D342&lt;5,"1) Under 5%",IF(D342&lt;10,"2) 5-9%",IF(D342&lt;15,"3) 10-14%",IF(D342&lt;25,"4) 15-24%","5) 25%+"))))</f>
        <v>1) Under 5%</v>
      </c>
      <c r="N342" s="0" t="str">
        <f aca="false">IF(F342&lt;50,"1) Under Rs 50",IF(F342&lt;100,"2) Rs 50-99",IF(F342&lt;200,"3) Rs 100-199",IF(F342&lt;500,"4) Rs 200-499","5) Rs 500+"))))</f>
        <v>2) Rs 50-99</v>
      </c>
      <c r="O342" s="0" t="n">
        <f aca="false">G342*E342/1000</f>
        <v>0.96</v>
      </c>
    </row>
    <row r="343" customFormat="false" ht="15" hidden="false" customHeight="false" outlineLevel="0" collapsed="false">
      <c r="A343" s="0" t="s">
        <v>96</v>
      </c>
      <c r="B343" s="0" t="s">
        <v>459</v>
      </c>
      <c r="C343" s="0" t="n">
        <v>48</v>
      </c>
      <c r="D343" s="0" t="n">
        <v>2</v>
      </c>
      <c r="E343" s="0" t="n">
        <v>5</v>
      </c>
      <c r="F343" s="0" t="n">
        <v>47</v>
      </c>
      <c r="G343" s="0" t="n">
        <v>100</v>
      </c>
      <c r="H343" s="0" t="s">
        <v>145</v>
      </c>
      <c r="I343" s="0" t="n">
        <v>100</v>
      </c>
      <c r="J343" s="0" t="n">
        <f aca="false">F343*E343</f>
        <v>235</v>
      </c>
      <c r="K343" s="0" t="str">
        <f aca="false">IF(G343&lt;1000,"1-Low",IF(G343&lt;5000,"2-Medium","3-Bulk"))</f>
        <v>1-Low</v>
      </c>
      <c r="L343" s="0" t="str">
        <f aca="false">IF(H343="TRUE","Out of stock","In stock")</f>
        <v>In stock</v>
      </c>
      <c r="M343" s="0" t="str">
        <f aca="false">IF(D343&lt;5,"1) Under 5%",IF(D343&lt;10,"2) 5-9%",IF(D343&lt;15,"3) 10-14%",IF(D343&lt;25,"4) 15-24%","5) 25%+"))))</f>
        <v>1) Under 5%</v>
      </c>
      <c r="N343" s="0" t="str">
        <f aca="false">IF(F343&lt;50,"1) Under Rs 50",IF(F343&lt;100,"2) Rs 50-99",IF(F343&lt;200,"3) Rs 100-199",IF(F343&lt;500,"4) Rs 200-499","5) Rs 500+"))))</f>
        <v>1) Under Rs 50</v>
      </c>
      <c r="O343" s="0" t="n">
        <f aca="false">G343*E343/1000</f>
        <v>0.5</v>
      </c>
    </row>
    <row r="344" customFormat="false" ht="15" hidden="false" customHeight="false" outlineLevel="0" collapsed="false">
      <c r="A344" s="0" t="s">
        <v>96</v>
      </c>
      <c r="B344" s="0" t="s">
        <v>368</v>
      </c>
      <c r="C344" s="0" t="n">
        <v>275</v>
      </c>
      <c r="D344" s="0" t="n">
        <v>0</v>
      </c>
      <c r="E344" s="0" t="n">
        <v>6</v>
      </c>
      <c r="F344" s="0" t="n">
        <v>275</v>
      </c>
      <c r="G344" s="0" t="n">
        <v>5000</v>
      </c>
      <c r="H344" s="0" t="s">
        <v>145</v>
      </c>
      <c r="I344" s="0" t="n">
        <v>5</v>
      </c>
      <c r="J344" s="0" t="n">
        <f aca="false">F344*E344</f>
        <v>1650</v>
      </c>
      <c r="K344" s="0" t="str">
        <f aca="false">IF(G344&lt;1000,"1-Low",IF(G344&lt;5000,"2-Medium","3-Bulk"))</f>
        <v>3-Bulk</v>
      </c>
      <c r="L344" s="0" t="str">
        <f aca="false">IF(H344="TRUE","Out of stock","In stock")</f>
        <v>In stock</v>
      </c>
      <c r="M344" s="0" t="str">
        <f aca="false">IF(D344&lt;5,"1) Under 5%",IF(D344&lt;10,"2) 5-9%",IF(D344&lt;15,"3) 10-14%",IF(D344&lt;25,"4) 15-24%","5) 25%+"))))</f>
        <v>1) Under 5%</v>
      </c>
      <c r="N344" s="0" t="str">
        <f aca="false">IF(F344&lt;50,"1) Under Rs 50",IF(F344&lt;100,"2) Rs 50-99",IF(F344&lt;200,"3) Rs 100-199",IF(F344&lt;500,"4) Rs 200-499","5) Rs 500+"))))</f>
        <v>4) Rs 200-499</v>
      </c>
      <c r="O344" s="0" t="n">
        <f aca="false">G344*E344/1000</f>
        <v>30</v>
      </c>
    </row>
    <row r="345" customFormat="false" ht="15" hidden="false" customHeight="false" outlineLevel="0" collapsed="false">
      <c r="A345" s="0" t="s">
        <v>96</v>
      </c>
      <c r="B345" s="0" t="s">
        <v>460</v>
      </c>
      <c r="C345" s="0" t="n">
        <v>215</v>
      </c>
      <c r="D345" s="0" t="n">
        <v>9</v>
      </c>
      <c r="E345" s="0" t="n">
        <v>4</v>
      </c>
      <c r="F345" s="0" t="n">
        <v>194</v>
      </c>
      <c r="G345" s="0" t="n">
        <v>1000</v>
      </c>
      <c r="H345" s="0" t="s">
        <v>145</v>
      </c>
      <c r="I345" s="0" t="n">
        <v>1</v>
      </c>
      <c r="J345" s="0" t="n">
        <f aca="false">F345*E345</f>
        <v>776</v>
      </c>
      <c r="K345" s="0" t="str">
        <f aca="false">IF(G345&lt;1000,"1-Low",IF(G345&lt;5000,"2-Medium","3-Bulk"))</f>
        <v>2-Medium</v>
      </c>
      <c r="L345" s="0" t="str">
        <f aca="false">IF(H345="TRUE","Out of stock","In stock")</f>
        <v>In stock</v>
      </c>
      <c r="M345" s="0" t="str">
        <f aca="false">IF(D345&lt;5,"1) Under 5%",IF(D345&lt;10,"2) 5-9%",IF(D345&lt;15,"3) 10-14%",IF(D345&lt;25,"4) 15-24%","5) 25%+"))))</f>
        <v>2) 5-9%</v>
      </c>
      <c r="N345" s="0" t="str">
        <f aca="false">IF(F345&lt;50,"1) Under Rs 50",IF(F345&lt;100,"2) Rs 50-99",IF(F345&lt;200,"3) Rs 100-199",IF(F345&lt;500,"4) Rs 200-499","5) Rs 500+"))))</f>
        <v>3) Rs 100-199</v>
      </c>
      <c r="O345" s="0" t="n">
        <f aca="false">G345*E345/1000</f>
        <v>4</v>
      </c>
    </row>
    <row r="346" customFormat="false" ht="15" hidden="false" customHeight="false" outlineLevel="0" collapsed="false">
      <c r="A346" s="0" t="s">
        <v>96</v>
      </c>
      <c r="B346" s="0" t="s">
        <v>461</v>
      </c>
      <c r="C346" s="0" t="n">
        <v>75</v>
      </c>
      <c r="D346" s="0" t="n">
        <v>9</v>
      </c>
      <c r="E346" s="0" t="n">
        <v>4</v>
      </c>
      <c r="F346" s="0" t="n">
        <v>68</v>
      </c>
      <c r="G346" s="0" t="n">
        <v>100</v>
      </c>
      <c r="H346" s="0" t="s">
        <v>145</v>
      </c>
      <c r="I346" s="0" t="n">
        <v>100</v>
      </c>
      <c r="J346" s="0" t="n">
        <f aca="false">F346*E346</f>
        <v>272</v>
      </c>
      <c r="K346" s="0" t="str">
        <f aca="false">IF(G346&lt;1000,"1-Low",IF(G346&lt;5000,"2-Medium","3-Bulk"))</f>
        <v>1-Low</v>
      </c>
      <c r="L346" s="0" t="str">
        <f aca="false">IF(H346="TRUE","Out of stock","In stock")</f>
        <v>In stock</v>
      </c>
      <c r="M346" s="0" t="str">
        <f aca="false">IF(D346&lt;5,"1) Under 5%",IF(D346&lt;10,"2) 5-9%",IF(D346&lt;15,"3) 10-14%",IF(D346&lt;25,"4) 15-24%","5) 25%+"))))</f>
        <v>2) 5-9%</v>
      </c>
      <c r="N346" s="0" t="str">
        <f aca="false">IF(F346&lt;50,"1) Under Rs 50",IF(F346&lt;100,"2) Rs 50-99",IF(F346&lt;200,"3) Rs 100-199",IF(F346&lt;500,"4) Rs 200-499","5) Rs 500+"))))</f>
        <v>2) Rs 50-99</v>
      </c>
      <c r="O346" s="0" t="n">
        <f aca="false">G346*E346/1000</f>
        <v>0.4</v>
      </c>
    </row>
    <row r="347" customFormat="false" ht="15" hidden="false" customHeight="false" outlineLevel="0" collapsed="false">
      <c r="A347" s="0" t="s">
        <v>96</v>
      </c>
      <c r="B347" s="0" t="s">
        <v>462</v>
      </c>
      <c r="C347" s="0" t="n">
        <v>100</v>
      </c>
      <c r="D347" s="0" t="n">
        <v>11</v>
      </c>
      <c r="E347" s="0" t="n">
        <v>6</v>
      </c>
      <c r="F347" s="0" t="n">
        <v>89</v>
      </c>
      <c r="G347" s="0" t="n">
        <v>159</v>
      </c>
      <c r="H347" s="0" t="s">
        <v>145</v>
      </c>
      <c r="I347" s="0" t="n">
        <v>159</v>
      </c>
      <c r="J347" s="0" t="n">
        <f aca="false">F347*E347</f>
        <v>534</v>
      </c>
      <c r="K347" s="0" t="str">
        <f aca="false">IF(G347&lt;1000,"1-Low",IF(G347&lt;5000,"2-Medium","3-Bulk"))</f>
        <v>1-Low</v>
      </c>
      <c r="L347" s="0" t="str">
        <f aca="false">IF(H347="TRUE","Out of stock","In stock")</f>
        <v>In stock</v>
      </c>
      <c r="M347" s="0" t="str">
        <f aca="false">IF(D347&lt;5,"1) Under 5%",IF(D347&lt;10,"2) 5-9%",IF(D347&lt;15,"3) 10-14%",IF(D347&lt;25,"4) 15-24%","5) 25%+"))))</f>
        <v>3) 10-14%</v>
      </c>
      <c r="N347" s="0" t="str">
        <f aca="false">IF(F347&lt;50,"1) Under Rs 50",IF(F347&lt;100,"2) Rs 50-99",IF(F347&lt;200,"3) Rs 100-199",IF(F347&lt;500,"4) Rs 200-499","5) Rs 500+"))))</f>
        <v>2) Rs 50-99</v>
      </c>
      <c r="O347" s="0" t="n">
        <f aca="false">G347*E347/1000</f>
        <v>0.954</v>
      </c>
    </row>
    <row r="348" customFormat="false" ht="15" hidden="false" customHeight="false" outlineLevel="0" collapsed="false">
      <c r="A348" s="0" t="s">
        <v>96</v>
      </c>
      <c r="B348" s="0" t="s">
        <v>463</v>
      </c>
      <c r="C348" s="0" t="n">
        <v>200</v>
      </c>
      <c r="D348" s="0" t="n">
        <v>0</v>
      </c>
      <c r="E348" s="0" t="n">
        <v>2</v>
      </c>
      <c r="F348" s="0" t="n">
        <v>200</v>
      </c>
      <c r="G348" s="0" t="n">
        <v>450</v>
      </c>
      <c r="H348" s="0" t="s">
        <v>145</v>
      </c>
      <c r="I348" s="0" t="n">
        <v>450</v>
      </c>
      <c r="J348" s="0" t="n">
        <f aca="false">F348*E348</f>
        <v>400</v>
      </c>
      <c r="K348" s="0" t="str">
        <f aca="false">IF(G348&lt;1000,"1-Low",IF(G348&lt;5000,"2-Medium","3-Bulk"))</f>
        <v>1-Low</v>
      </c>
      <c r="L348" s="0" t="str">
        <f aca="false">IF(H348="TRUE","Out of stock","In stock")</f>
        <v>In stock</v>
      </c>
      <c r="M348" s="0" t="str">
        <f aca="false">IF(D348&lt;5,"1) Under 5%",IF(D348&lt;10,"2) 5-9%",IF(D348&lt;15,"3) 10-14%",IF(D348&lt;25,"4) 15-24%","5) 25%+"))))</f>
        <v>1) Under 5%</v>
      </c>
      <c r="N348" s="0" t="str">
        <f aca="false">IF(F348&lt;50,"1) Under Rs 50",IF(F348&lt;100,"2) Rs 50-99",IF(F348&lt;200,"3) Rs 100-199",IF(F348&lt;500,"4) Rs 200-499","5) Rs 500+"))))</f>
        <v>4) Rs 200-499</v>
      </c>
      <c r="O348" s="0" t="n">
        <f aca="false">G348*E348/1000</f>
        <v>0.9</v>
      </c>
    </row>
    <row r="349" customFormat="false" ht="15" hidden="false" customHeight="false" outlineLevel="0" collapsed="false">
      <c r="A349" s="0" t="s">
        <v>96</v>
      </c>
      <c r="B349" s="0" t="s">
        <v>464</v>
      </c>
      <c r="C349" s="0" t="n">
        <v>56</v>
      </c>
      <c r="D349" s="0" t="n">
        <v>7</v>
      </c>
      <c r="E349" s="0" t="n">
        <v>5</v>
      </c>
      <c r="F349" s="0" t="n">
        <v>52</v>
      </c>
      <c r="G349" s="0" t="n">
        <v>100</v>
      </c>
      <c r="H349" s="0" t="s">
        <v>145</v>
      </c>
      <c r="I349" s="0" t="n">
        <v>100</v>
      </c>
      <c r="J349" s="0" t="n">
        <f aca="false">F349*E349</f>
        <v>260</v>
      </c>
      <c r="K349" s="0" t="str">
        <f aca="false">IF(G349&lt;1000,"1-Low",IF(G349&lt;5000,"2-Medium","3-Bulk"))</f>
        <v>1-Low</v>
      </c>
      <c r="L349" s="0" t="str">
        <f aca="false">IF(H349="TRUE","Out of stock","In stock")</f>
        <v>In stock</v>
      </c>
      <c r="M349" s="0" t="str">
        <f aca="false">IF(D349&lt;5,"1) Under 5%",IF(D349&lt;10,"2) 5-9%",IF(D349&lt;15,"3) 10-14%",IF(D349&lt;25,"4) 15-24%","5) 25%+"))))</f>
        <v>2) 5-9%</v>
      </c>
      <c r="N349" s="0" t="str">
        <f aca="false">IF(F349&lt;50,"1) Under Rs 50",IF(F349&lt;100,"2) Rs 50-99",IF(F349&lt;200,"3) Rs 100-199",IF(F349&lt;500,"4) Rs 200-499","5) Rs 500+"))))</f>
        <v>2) Rs 50-99</v>
      </c>
      <c r="O349" s="0" t="n">
        <f aca="false">G349*E349/1000</f>
        <v>0.5</v>
      </c>
    </row>
    <row r="350" customFormat="false" ht="15" hidden="false" customHeight="false" outlineLevel="0" collapsed="false">
      <c r="A350" s="0" t="s">
        <v>96</v>
      </c>
      <c r="B350" s="0" t="s">
        <v>465</v>
      </c>
      <c r="C350" s="0" t="n">
        <v>190</v>
      </c>
      <c r="D350" s="0" t="n">
        <v>10</v>
      </c>
      <c r="E350" s="0" t="n">
        <v>6</v>
      </c>
      <c r="F350" s="0" t="n">
        <v>171</v>
      </c>
      <c r="G350" s="0" t="n">
        <v>100</v>
      </c>
      <c r="H350" s="0" t="s">
        <v>145</v>
      </c>
      <c r="I350" s="0" t="n">
        <v>100</v>
      </c>
      <c r="J350" s="0" t="n">
        <f aca="false">F350*E350</f>
        <v>1026</v>
      </c>
      <c r="K350" s="0" t="str">
        <f aca="false">IF(G350&lt;1000,"1-Low",IF(G350&lt;5000,"2-Medium","3-Bulk"))</f>
        <v>1-Low</v>
      </c>
      <c r="L350" s="0" t="str">
        <f aca="false">IF(H350="TRUE","Out of stock","In stock")</f>
        <v>In stock</v>
      </c>
      <c r="M350" s="0" t="str">
        <f aca="false">IF(D350&lt;5,"1) Under 5%",IF(D350&lt;10,"2) 5-9%",IF(D350&lt;15,"3) 10-14%",IF(D350&lt;25,"4) 15-24%","5) 25%+"))))</f>
        <v>3) 10-14%</v>
      </c>
      <c r="N350" s="0" t="str">
        <f aca="false">IF(F350&lt;50,"1) Under Rs 50",IF(F350&lt;100,"2) Rs 50-99",IF(F350&lt;200,"3) Rs 100-199",IF(F350&lt;500,"4) Rs 200-499","5) Rs 500+"))))</f>
        <v>3) Rs 100-199</v>
      </c>
      <c r="O350" s="0" t="n">
        <f aca="false">G350*E350/1000</f>
        <v>0.6</v>
      </c>
    </row>
    <row r="351" customFormat="false" ht="15" hidden="false" customHeight="false" outlineLevel="0" collapsed="false">
      <c r="A351" s="0" t="s">
        <v>96</v>
      </c>
      <c r="B351" s="0" t="s">
        <v>122</v>
      </c>
      <c r="C351" s="0" t="n">
        <v>295</v>
      </c>
      <c r="D351" s="0" t="n">
        <v>9</v>
      </c>
      <c r="E351" s="0" t="n">
        <v>6</v>
      </c>
      <c r="F351" s="0" t="n">
        <v>266</v>
      </c>
      <c r="G351" s="0" t="n">
        <v>360</v>
      </c>
      <c r="H351" s="0" t="s">
        <v>145</v>
      </c>
      <c r="I351" s="0" t="n">
        <v>360</v>
      </c>
      <c r="J351" s="0" t="n">
        <f aca="false">F351*E351</f>
        <v>1596</v>
      </c>
      <c r="K351" s="0" t="str">
        <f aca="false">IF(G351&lt;1000,"1-Low",IF(G351&lt;5000,"2-Medium","3-Bulk"))</f>
        <v>1-Low</v>
      </c>
      <c r="L351" s="0" t="str">
        <f aca="false">IF(H351="TRUE","Out of stock","In stock")</f>
        <v>In stock</v>
      </c>
      <c r="M351" s="0" t="str">
        <f aca="false">IF(D351&lt;5,"1) Under 5%",IF(D351&lt;10,"2) 5-9%",IF(D351&lt;15,"3) 10-14%",IF(D351&lt;25,"4) 15-24%","5) 25%+"))))</f>
        <v>2) 5-9%</v>
      </c>
      <c r="N351" s="0" t="str">
        <f aca="false">IF(F351&lt;50,"1) Under Rs 50",IF(F351&lt;100,"2) Rs 50-99",IF(F351&lt;200,"3) Rs 100-199",IF(F351&lt;500,"4) Rs 200-499","5) Rs 500+"))))</f>
        <v>4) Rs 200-499</v>
      </c>
      <c r="O351" s="0" t="n">
        <f aca="false">G351*E351/1000</f>
        <v>2.16</v>
      </c>
    </row>
    <row r="352" customFormat="false" ht="15" hidden="false" customHeight="false" outlineLevel="0" collapsed="false">
      <c r="A352" s="0" t="s">
        <v>96</v>
      </c>
      <c r="B352" s="0" t="s">
        <v>466</v>
      </c>
      <c r="C352" s="0" t="n">
        <v>350</v>
      </c>
      <c r="D352" s="0" t="n">
        <v>10</v>
      </c>
      <c r="E352" s="0" t="n">
        <v>5</v>
      </c>
      <c r="F352" s="0" t="n">
        <v>312</v>
      </c>
      <c r="G352" s="0" t="n">
        <v>5000</v>
      </c>
      <c r="H352" s="0" t="s">
        <v>145</v>
      </c>
      <c r="I352" s="0" t="n">
        <v>5</v>
      </c>
      <c r="J352" s="0" t="n">
        <f aca="false">F352*E352</f>
        <v>1560</v>
      </c>
      <c r="K352" s="0" t="str">
        <f aca="false">IF(G352&lt;1000,"1-Low",IF(G352&lt;5000,"2-Medium","3-Bulk"))</f>
        <v>3-Bulk</v>
      </c>
      <c r="L352" s="0" t="str">
        <f aca="false">IF(H352="TRUE","Out of stock","In stock")</f>
        <v>In stock</v>
      </c>
      <c r="M352" s="0" t="str">
        <f aca="false">IF(D352&lt;5,"1) Under 5%",IF(D352&lt;10,"2) 5-9%",IF(D352&lt;15,"3) 10-14%",IF(D352&lt;25,"4) 15-24%","5) 25%+"))))</f>
        <v>3) 10-14%</v>
      </c>
      <c r="N352" s="0" t="str">
        <f aca="false">IF(F352&lt;50,"1) Under Rs 50",IF(F352&lt;100,"2) Rs 50-99",IF(F352&lt;200,"3) Rs 100-199",IF(F352&lt;500,"4) Rs 200-499","5) Rs 500+"))))</f>
        <v>4) Rs 200-499</v>
      </c>
      <c r="O352" s="0" t="n">
        <f aca="false">G352*E352/1000</f>
        <v>25</v>
      </c>
    </row>
    <row r="353" customFormat="false" ht="15" hidden="false" customHeight="false" outlineLevel="0" collapsed="false">
      <c r="A353" s="0" t="s">
        <v>96</v>
      </c>
      <c r="B353" s="0" t="s">
        <v>467</v>
      </c>
      <c r="C353" s="0" t="n">
        <v>350</v>
      </c>
      <c r="D353" s="0" t="n">
        <v>10</v>
      </c>
      <c r="E353" s="0" t="n">
        <v>6</v>
      </c>
      <c r="F353" s="0" t="n">
        <v>312</v>
      </c>
      <c r="G353" s="0" t="n">
        <v>1000</v>
      </c>
      <c r="H353" s="0" t="s">
        <v>145</v>
      </c>
      <c r="I353" s="0" t="n">
        <v>1</v>
      </c>
      <c r="J353" s="0" t="n">
        <f aca="false">F353*E353</f>
        <v>1872</v>
      </c>
      <c r="K353" s="0" t="str">
        <f aca="false">IF(G353&lt;1000,"1-Low",IF(G353&lt;5000,"2-Medium","3-Bulk"))</f>
        <v>2-Medium</v>
      </c>
      <c r="L353" s="0" t="str">
        <f aca="false">IF(H353="TRUE","Out of stock","In stock")</f>
        <v>In stock</v>
      </c>
      <c r="M353" s="0" t="str">
        <f aca="false">IF(D353&lt;5,"1) Under 5%",IF(D353&lt;10,"2) 5-9%",IF(D353&lt;15,"3) 10-14%",IF(D353&lt;25,"4) 15-24%","5) 25%+"))))</f>
        <v>3) 10-14%</v>
      </c>
      <c r="N353" s="0" t="str">
        <f aca="false">IF(F353&lt;50,"1) Under Rs 50",IF(F353&lt;100,"2) Rs 50-99",IF(F353&lt;200,"3) Rs 100-199",IF(F353&lt;500,"4) Rs 200-499","5) Rs 500+"))))</f>
        <v>4) Rs 200-499</v>
      </c>
      <c r="O353" s="0" t="n">
        <f aca="false">G353*E353/1000</f>
        <v>6</v>
      </c>
    </row>
    <row r="354" customFormat="false" ht="15" hidden="false" customHeight="false" outlineLevel="0" collapsed="false">
      <c r="A354" s="0" t="s">
        <v>96</v>
      </c>
      <c r="B354" s="0" t="s">
        <v>468</v>
      </c>
      <c r="C354" s="0" t="n">
        <v>170</v>
      </c>
      <c r="D354" s="0" t="n">
        <v>7</v>
      </c>
      <c r="E354" s="0" t="n">
        <v>6</v>
      </c>
      <c r="F354" s="0" t="n">
        <v>157</v>
      </c>
      <c r="G354" s="0" t="n">
        <v>100</v>
      </c>
      <c r="H354" s="0" t="s">
        <v>145</v>
      </c>
      <c r="I354" s="0" t="n">
        <v>100</v>
      </c>
      <c r="J354" s="0" t="n">
        <f aca="false">F354*E354</f>
        <v>942</v>
      </c>
      <c r="K354" s="0" t="str">
        <f aca="false">IF(G354&lt;1000,"1-Low",IF(G354&lt;5000,"2-Medium","3-Bulk"))</f>
        <v>1-Low</v>
      </c>
      <c r="L354" s="0" t="str">
        <f aca="false">IF(H354="TRUE","Out of stock","In stock")</f>
        <v>In stock</v>
      </c>
      <c r="M354" s="0" t="str">
        <f aca="false">IF(D354&lt;5,"1) Under 5%",IF(D354&lt;10,"2) 5-9%",IF(D354&lt;15,"3) 10-14%",IF(D354&lt;25,"4) 15-24%","5) 25%+"))))</f>
        <v>2) 5-9%</v>
      </c>
      <c r="N354" s="0" t="str">
        <f aca="false">IF(F354&lt;50,"1) Under Rs 50",IF(F354&lt;100,"2) Rs 50-99",IF(F354&lt;200,"3) Rs 100-199",IF(F354&lt;500,"4) Rs 200-499","5) Rs 500+"))))</f>
        <v>3) Rs 100-199</v>
      </c>
      <c r="O354" s="0" t="n">
        <f aca="false">G354*E354/1000</f>
        <v>0.6</v>
      </c>
    </row>
    <row r="355" customFormat="false" ht="15" hidden="false" customHeight="false" outlineLevel="0" collapsed="false">
      <c r="A355" s="0" t="s">
        <v>96</v>
      </c>
      <c r="B355" s="0" t="s">
        <v>469</v>
      </c>
      <c r="C355" s="0" t="n">
        <v>90</v>
      </c>
      <c r="D355" s="0" t="n">
        <v>16</v>
      </c>
      <c r="E355" s="0" t="n">
        <v>3</v>
      </c>
      <c r="F355" s="0" t="n">
        <v>75</v>
      </c>
      <c r="G355" s="0" t="n">
        <v>500</v>
      </c>
      <c r="H355" s="0" t="s">
        <v>145</v>
      </c>
      <c r="I355" s="0" t="n">
        <v>500</v>
      </c>
      <c r="J355" s="0" t="n">
        <f aca="false">F355*E355</f>
        <v>225</v>
      </c>
      <c r="K355" s="0" t="str">
        <f aca="false">IF(G355&lt;1000,"1-Low",IF(G355&lt;5000,"2-Medium","3-Bulk"))</f>
        <v>1-Low</v>
      </c>
      <c r="L355" s="0" t="str">
        <f aca="false">IF(H355="TRUE","Out of stock","In stock")</f>
        <v>In stock</v>
      </c>
      <c r="M355" s="0" t="str">
        <f aca="false">IF(D355&lt;5,"1) Under 5%",IF(D355&lt;10,"2) 5-9%",IF(D355&lt;15,"3) 10-14%",IF(D355&lt;25,"4) 15-24%","5) 25%+"))))</f>
        <v>4) 15-24%</v>
      </c>
      <c r="N355" s="0" t="str">
        <f aca="false">IF(F355&lt;50,"1) Under Rs 50",IF(F355&lt;100,"2) Rs 50-99",IF(F355&lt;200,"3) Rs 100-199",IF(F355&lt;500,"4) Rs 200-499","5) Rs 500+"))))</f>
        <v>2) Rs 50-99</v>
      </c>
      <c r="O355" s="0" t="n">
        <f aca="false">G355*E355/1000</f>
        <v>1.5</v>
      </c>
    </row>
    <row r="356" customFormat="false" ht="15" hidden="false" customHeight="false" outlineLevel="0" collapsed="false">
      <c r="A356" s="0" t="s">
        <v>96</v>
      </c>
      <c r="B356" s="0" t="s">
        <v>470</v>
      </c>
      <c r="C356" s="0" t="n">
        <v>95</v>
      </c>
      <c r="D356" s="0" t="n">
        <v>7</v>
      </c>
      <c r="E356" s="0" t="n">
        <v>6</v>
      </c>
      <c r="F356" s="0" t="n">
        <v>88</v>
      </c>
      <c r="G356" s="0" t="n">
        <v>500</v>
      </c>
      <c r="H356" s="0" t="s">
        <v>145</v>
      </c>
      <c r="I356" s="0" t="n">
        <v>500</v>
      </c>
      <c r="J356" s="0" t="n">
        <f aca="false">F356*E356</f>
        <v>528</v>
      </c>
      <c r="K356" s="0" t="str">
        <f aca="false">IF(G356&lt;1000,"1-Low",IF(G356&lt;5000,"2-Medium","3-Bulk"))</f>
        <v>1-Low</v>
      </c>
      <c r="L356" s="0" t="str">
        <f aca="false">IF(H356="TRUE","Out of stock","In stock")</f>
        <v>In stock</v>
      </c>
      <c r="M356" s="0" t="str">
        <f aca="false">IF(D356&lt;5,"1) Under 5%",IF(D356&lt;10,"2) 5-9%",IF(D356&lt;15,"3) 10-14%",IF(D356&lt;25,"4) 15-24%","5) 25%+"))))</f>
        <v>2) 5-9%</v>
      </c>
      <c r="N356" s="0" t="str">
        <f aca="false">IF(F356&lt;50,"1) Under Rs 50",IF(F356&lt;100,"2) Rs 50-99",IF(F356&lt;200,"3) Rs 100-199",IF(F356&lt;500,"4) Rs 200-499","5) Rs 500+"))))</f>
        <v>2) Rs 50-99</v>
      </c>
      <c r="O356" s="0" t="n">
        <f aca="false">G356*E356/1000</f>
        <v>3</v>
      </c>
    </row>
    <row r="357" customFormat="false" ht="15" hidden="false" customHeight="false" outlineLevel="0" collapsed="false">
      <c r="A357" s="0" t="s">
        <v>96</v>
      </c>
      <c r="B357" s="0" t="s">
        <v>471</v>
      </c>
      <c r="C357" s="0" t="n">
        <v>60</v>
      </c>
      <c r="D357" s="0" t="n">
        <v>6</v>
      </c>
      <c r="E357" s="0" t="n">
        <v>3</v>
      </c>
      <c r="F357" s="0" t="n">
        <v>56</v>
      </c>
      <c r="G357" s="0" t="n">
        <v>500</v>
      </c>
      <c r="H357" s="0" t="s">
        <v>145</v>
      </c>
      <c r="I357" s="0" t="n">
        <v>500</v>
      </c>
      <c r="J357" s="0" t="n">
        <f aca="false">F357*E357</f>
        <v>168</v>
      </c>
      <c r="K357" s="0" t="str">
        <f aca="false">IF(G357&lt;1000,"1-Low",IF(G357&lt;5000,"2-Medium","3-Bulk"))</f>
        <v>1-Low</v>
      </c>
      <c r="L357" s="0" t="str">
        <f aca="false">IF(H357="TRUE","Out of stock","In stock")</f>
        <v>In stock</v>
      </c>
      <c r="M357" s="0" t="str">
        <f aca="false">IF(D357&lt;5,"1) Under 5%",IF(D357&lt;10,"2) 5-9%",IF(D357&lt;15,"3) 10-14%",IF(D357&lt;25,"4) 15-24%","5) 25%+"))))</f>
        <v>2) 5-9%</v>
      </c>
      <c r="N357" s="0" t="str">
        <f aca="false">IF(F357&lt;50,"1) Under Rs 50",IF(F357&lt;100,"2) Rs 50-99",IF(F357&lt;200,"3) Rs 100-199",IF(F357&lt;500,"4) Rs 200-499","5) Rs 500+"))))</f>
        <v>2) Rs 50-99</v>
      </c>
      <c r="O357" s="0" t="n">
        <f aca="false">G357*E357/1000</f>
        <v>1.5</v>
      </c>
    </row>
    <row r="358" customFormat="false" ht="15" hidden="false" customHeight="false" outlineLevel="0" collapsed="false">
      <c r="A358" s="0" t="s">
        <v>96</v>
      </c>
      <c r="B358" s="0" t="s">
        <v>472</v>
      </c>
      <c r="C358" s="0" t="n">
        <v>390</v>
      </c>
      <c r="D358" s="0" t="n">
        <v>11</v>
      </c>
      <c r="E358" s="0" t="n">
        <v>5</v>
      </c>
      <c r="F358" s="0" t="n">
        <v>347</v>
      </c>
      <c r="G358" s="0" t="n">
        <v>1000</v>
      </c>
      <c r="H358" s="0" t="s">
        <v>145</v>
      </c>
      <c r="I358" s="0" t="n">
        <v>1</v>
      </c>
      <c r="J358" s="0" t="n">
        <f aca="false">F358*E358</f>
        <v>1735</v>
      </c>
      <c r="K358" s="0" t="str">
        <f aca="false">IF(G358&lt;1000,"1-Low",IF(G358&lt;5000,"2-Medium","3-Bulk"))</f>
        <v>2-Medium</v>
      </c>
      <c r="L358" s="0" t="str">
        <f aca="false">IF(H358="TRUE","Out of stock","In stock")</f>
        <v>In stock</v>
      </c>
      <c r="M358" s="0" t="str">
        <f aca="false">IF(D358&lt;5,"1) Under 5%",IF(D358&lt;10,"2) 5-9%",IF(D358&lt;15,"3) 10-14%",IF(D358&lt;25,"4) 15-24%","5) 25%+"))))</f>
        <v>3) 10-14%</v>
      </c>
      <c r="N358" s="0" t="str">
        <f aca="false">IF(F358&lt;50,"1) Under Rs 50",IF(F358&lt;100,"2) Rs 50-99",IF(F358&lt;200,"3) Rs 100-199",IF(F358&lt;500,"4) Rs 200-499","5) Rs 500+"))))</f>
        <v>4) Rs 200-499</v>
      </c>
      <c r="O358" s="0" t="n">
        <f aca="false">G358*E358/1000</f>
        <v>5</v>
      </c>
    </row>
    <row r="359" customFormat="false" ht="15" hidden="false" customHeight="false" outlineLevel="0" collapsed="false">
      <c r="A359" s="0" t="s">
        <v>96</v>
      </c>
      <c r="B359" s="0" t="s">
        <v>473</v>
      </c>
      <c r="C359" s="0" t="n">
        <v>60</v>
      </c>
      <c r="D359" s="0" t="n">
        <v>0</v>
      </c>
      <c r="E359" s="0" t="n">
        <v>4</v>
      </c>
      <c r="F359" s="0" t="n">
        <v>60</v>
      </c>
      <c r="G359" s="0" t="n">
        <v>240</v>
      </c>
      <c r="H359" s="0" t="s">
        <v>145</v>
      </c>
      <c r="I359" s="0" t="n">
        <v>240</v>
      </c>
      <c r="J359" s="0" t="n">
        <f aca="false">F359*E359</f>
        <v>240</v>
      </c>
      <c r="K359" s="0" t="str">
        <f aca="false">IF(G359&lt;1000,"1-Low",IF(G359&lt;5000,"2-Medium","3-Bulk"))</f>
        <v>1-Low</v>
      </c>
      <c r="L359" s="0" t="str">
        <f aca="false">IF(H359="TRUE","Out of stock","In stock")</f>
        <v>In stock</v>
      </c>
      <c r="M359" s="0" t="str">
        <f aca="false">IF(D359&lt;5,"1) Under 5%",IF(D359&lt;10,"2) 5-9%",IF(D359&lt;15,"3) 10-14%",IF(D359&lt;25,"4) 15-24%","5) 25%+"))))</f>
        <v>1) Under 5%</v>
      </c>
      <c r="N359" s="0" t="str">
        <f aca="false">IF(F359&lt;50,"1) Under Rs 50",IF(F359&lt;100,"2) Rs 50-99",IF(F359&lt;200,"3) Rs 100-199",IF(F359&lt;500,"4) Rs 200-499","5) Rs 500+"))))</f>
        <v>2) Rs 50-99</v>
      </c>
      <c r="O359" s="0" t="n">
        <f aca="false">G359*E359/1000</f>
        <v>0.96</v>
      </c>
    </row>
    <row r="360" customFormat="false" ht="15" hidden="false" customHeight="false" outlineLevel="0" collapsed="false">
      <c r="A360" s="0" t="s">
        <v>96</v>
      </c>
      <c r="B360" s="0" t="s">
        <v>474</v>
      </c>
      <c r="C360" s="0" t="n">
        <v>195</v>
      </c>
      <c r="D360" s="0" t="n">
        <v>12</v>
      </c>
      <c r="E360" s="0" t="n">
        <v>6</v>
      </c>
      <c r="F360" s="0" t="n">
        <v>171</v>
      </c>
      <c r="G360" s="0" t="n">
        <v>500</v>
      </c>
      <c r="H360" s="0" t="s">
        <v>145</v>
      </c>
      <c r="I360" s="0" t="n">
        <v>500</v>
      </c>
      <c r="J360" s="0" t="n">
        <f aca="false">F360*E360</f>
        <v>1026</v>
      </c>
      <c r="K360" s="0" t="str">
        <f aca="false">IF(G360&lt;1000,"1-Low",IF(G360&lt;5000,"2-Medium","3-Bulk"))</f>
        <v>1-Low</v>
      </c>
      <c r="L360" s="0" t="str">
        <f aca="false">IF(H360="TRUE","Out of stock","In stock")</f>
        <v>In stock</v>
      </c>
      <c r="M360" s="0" t="str">
        <f aca="false">IF(D360&lt;5,"1) Under 5%",IF(D360&lt;10,"2) 5-9%",IF(D360&lt;15,"3) 10-14%",IF(D360&lt;25,"4) 15-24%","5) 25%+"))))</f>
        <v>3) 10-14%</v>
      </c>
      <c r="N360" s="0" t="str">
        <f aca="false">IF(F360&lt;50,"1) Under Rs 50",IF(F360&lt;100,"2) Rs 50-99",IF(F360&lt;200,"3) Rs 100-199",IF(F360&lt;500,"4) Rs 200-499","5) Rs 500+"))))</f>
        <v>3) Rs 100-199</v>
      </c>
      <c r="O360" s="0" t="n">
        <f aca="false">G360*E360/1000</f>
        <v>3</v>
      </c>
    </row>
    <row r="361" customFormat="false" ht="15" hidden="false" customHeight="false" outlineLevel="0" collapsed="false">
      <c r="A361" s="0" t="s">
        <v>96</v>
      </c>
      <c r="B361" s="0" t="s">
        <v>475</v>
      </c>
      <c r="C361" s="0" t="n">
        <v>430</v>
      </c>
      <c r="D361" s="0" t="n">
        <v>10</v>
      </c>
      <c r="E361" s="0" t="n">
        <v>6</v>
      </c>
      <c r="F361" s="0" t="n">
        <v>387</v>
      </c>
      <c r="G361" s="0" t="n">
        <v>1000</v>
      </c>
      <c r="H361" s="0" t="s">
        <v>145</v>
      </c>
      <c r="I361" s="0" t="n">
        <v>1</v>
      </c>
      <c r="J361" s="0" t="n">
        <f aca="false">F361*E361</f>
        <v>2322</v>
      </c>
      <c r="K361" s="0" t="str">
        <f aca="false">IF(G361&lt;1000,"1-Low",IF(G361&lt;5000,"2-Medium","3-Bulk"))</f>
        <v>2-Medium</v>
      </c>
      <c r="L361" s="0" t="str">
        <f aca="false">IF(H361="TRUE","Out of stock","In stock")</f>
        <v>In stock</v>
      </c>
      <c r="M361" s="0" t="str">
        <f aca="false">IF(D361&lt;5,"1) Under 5%",IF(D361&lt;10,"2) 5-9%",IF(D361&lt;15,"3) 10-14%",IF(D361&lt;25,"4) 15-24%","5) 25%+"))))</f>
        <v>3) 10-14%</v>
      </c>
      <c r="N361" s="0" t="str">
        <f aca="false">IF(F361&lt;50,"1) Under Rs 50",IF(F361&lt;100,"2) Rs 50-99",IF(F361&lt;200,"3) Rs 100-199",IF(F361&lt;500,"4) Rs 200-499","5) Rs 500+"))))</f>
        <v>4) Rs 200-499</v>
      </c>
      <c r="O361" s="0" t="n">
        <f aca="false">G361*E361/1000</f>
        <v>6</v>
      </c>
    </row>
    <row r="362" customFormat="false" ht="15" hidden="false" customHeight="false" outlineLevel="0" collapsed="false">
      <c r="A362" s="0" t="s">
        <v>96</v>
      </c>
      <c r="B362" s="0" t="s">
        <v>476</v>
      </c>
      <c r="C362" s="0" t="n">
        <v>70</v>
      </c>
      <c r="D362" s="0" t="n">
        <v>10</v>
      </c>
      <c r="E362" s="0" t="n">
        <v>5</v>
      </c>
      <c r="F362" s="0" t="n">
        <v>63</v>
      </c>
      <c r="G362" s="0" t="n">
        <v>25</v>
      </c>
      <c r="H362" s="0" t="s">
        <v>145</v>
      </c>
      <c r="I362" s="0" t="n">
        <v>25</v>
      </c>
      <c r="J362" s="0" t="n">
        <f aca="false">F362*E362</f>
        <v>315</v>
      </c>
      <c r="K362" s="0" t="str">
        <f aca="false">IF(G362&lt;1000,"1-Low",IF(G362&lt;5000,"2-Medium","3-Bulk"))</f>
        <v>1-Low</v>
      </c>
      <c r="L362" s="0" t="str">
        <f aca="false">IF(H362="TRUE","Out of stock","In stock")</f>
        <v>In stock</v>
      </c>
      <c r="M362" s="0" t="str">
        <f aca="false">IF(D362&lt;5,"1) Under 5%",IF(D362&lt;10,"2) 5-9%",IF(D362&lt;15,"3) 10-14%",IF(D362&lt;25,"4) 15-24%","5) 25%+"))))</f>
        <v>3) 10-14%</v>
      </c>
      <c r="N362" s="0" t="str">
        <f aca="false">IF(F362&lt;50,"1) Under Rs 50",IF(F362&lt;100,"2) Rs 50-99",IF(F362&lt;200,"3) Rs 100-199",IF(F362&lt;500,"4) Rs 200-499","5) Rs 500+"))))</f>
        <v>2) Rs 50-99</v>
      </c>
      <c r="O362" s="0" t="n">
        <f aca="false">G362*E362/1000</f>
        <v>0.125</v>
      </c>
    </row>
    <row r="363" customFormat="false" ht="15" hidden="false" customHeight="false" outlineLevel="0" collapsed="false">
      <c r="A363" s="0" t="s">
        <v>96</v>
      </c>
      <c r="B363" s="0" t="s">
        <v>477</v>
      </c>
      <c r="C363" s="0" t="n">
        <v>10</v>
      </c>
      <c r="D363" s="0" t="n">
        <v>0</v>
      </c>
      <c r="E363" s="0" t="n">
        <v>5</v>
      </c>
      <c r="F363" s="0" t="n">
        <v>10</v>
      </c>
      <c r="G363" s="0" t="n">
        <v>20</v>
      </c>
      <c r="H363" s="0" t="s">
        <v>145</v>
      </c>
      <c r="I363" s="0" t="n">
        <v>20</v>
      </c>
      <c r="J363" s="0" t="n">
        <f aca="false">F363*E363</f>
        <v>50</v>
      </c>
      <c r="K363" s="0" t="str">
        <f aca="false">IF(G363&lt;1000,"1-Low",IF(G363&lt;5000,"2-Medium","3-Bulk"))</f>
        <v>1-Low</v>
      </c>
      <c r="L363" s="0" t="str">
        <f aca="false">IF(H363="TRUE","Out of stock","In stock")</f>
        <v>In stock</v>
      </c>
      <c r="M363" s="0" t="str">
        <f aca="false">IF(D363&lt;5,"1) Under 5%",IF(D363&lt;10,"2) 5-9%",IF(D363&lt;15,"3) 10-14%",IF(D363&lt;25,"4) 15-24%","5) 25%+"))))</f>
        <v>1) Under 5%</v>
      </c>
      <c r="N363" s="0" t="str">
        <f aca="false">IF(F363&lt;50,"1) Under Rs 50",IF(F363&lt;100,"2) Rs 50-99",IF(F363&lt;200,"3) Rs 100-199",IF(F363&lt;500,"4) Rs 200-499","5) Rs 500+"))))</f>
        <v>1) Under Rs 50</v>
      </c>
      <c r="O363" s="0" t="n">
        <f aca="false">G363*E363/1000</f>
        <v>0.1</v>
      </c>
    </row>
    <row r="364" customFormat="false" ht="15" hidden="false" customHeight="false" outlineLevel="0" collapsed="false">
      <c r="A364" s="0" t="s">
        <v>96</v>
      </c>
      <c r="B364" s="0" t="s">
        <v>478</v>
      </c>
      <c r="C364" s="0" t="n">
        <v>223</v>
      </c>
      <c r="D364" s="0" t="n">
        <v>5</v>
      </c>
      <c r="E364" s="0" t="n">
        <v>6</v>
      </c>
      <c r="F364" s="0" t="n">
        <v>211</v>
      </c>
      <c r="G364" s="0" t="n">
        <v>150</v>
      </c>
      <c r="H364" s="0" t="s">
        <v>145</v>
      </c>
      <c r="I364" s="0" t="n">
        <v>150</v>
      </c>
      <c r="J364" s="0" t="n">
        <f aca="false">F364*E364</f>
        <v>1266</v>
      </c>
      <c r="K364" s="0" t="str">
        <f aca="false">IF(G364&lt;1000,"1-Low",IF(G364&lt;5000,"2-Medium","3-Bulk"))</f>
        <v>1-Low</v>
      </c>
      <c r="L364" s="0" t="str">
        <f aca="false">IF(H364="TRUE","Out of stock","In stock")</f>
        <v>In stock</v>
      </c>
      <c r="M364" s="0" t="str">
        <f aca="false">IF(D364&lt;5,"1) Under 5%",IF(D364&lt;10,"2) 5-9%",IF(D364&lt;15,"3) 10-14%",IF(D364&lt;25,"4) 15-24%","5) 25%+"))))</f>
        <v>2) 5-9%</v>
      </c>
      <c r="N364" s="0" t="str">
        <f aca="false">IF(F364&lt;50,"1) Under Rs 50",IF(F364&lt;100,"2) Rs 50-99",IF(F364&lt;200,"3) Rs 100-199",IF(F364&lt;500,"4) Rs 200-499","5) Rs 500+"))))</f>
        <v>4) Rs 200-499</v>
      </c>
      <c r="O364" s="0" t="n">
        <f aca="false">G364*E364/1000</f>
        <v>0.9</v>
      </c>
    </row>
    <row r="365" customFormat="false" ht="15" hidden="false" customHeight="false" outlineLevel="0" collapsed="false">
      <c r="A365" s="0" t="s">
        <v>96</v>
      </c>
      <c r="B365" s="0" t="s">
        <v>91</v>
      </c>
      <c r="C365" s="0" t="n">
        <v>1450</v>
      </c>
      <c r="D365" s="0" t="n">
        <v>10</v>
      </c>
      <c r="E365" s="0" t="n">
        <v>6</v>
      </c>
      <c r="F365" s="0" t="n">
        <v>1305</v>
      </c>
      <c r="G365" s="0" t="n">
        <v>540</v>
      </c>
      <c r="H365" s="0" t="s">
        <v>145</v>
      </c>
      <c r="I365" s="0" t="n">
        <v>540</v>
      </c>
      <c r="J365" s="0" t="n">
        <f aca="false">F365*E365</f>
        <v>7830</v>
      </c>
      <c r="K365" s="0" t="str">
        <f aca="false">IF(G365&lt;1000,"1-Low",IF(G365&lt;5000,"2-Medium","3-Bulk"))</f>
        <v>1-Low</v>
      </c>
      <c r="L365" s="0" t="str">
        <f aca="false">IF(H365="TRUE","Out of stock","In stock")</f>
        <v>In stock</v>
      </c>
      <c r="M365" s="0" t="str">
        <f aca="false">IF(D365&lt;5,"1) Under 5%",IF(D365&lt;10,"2) 5-9%",IF(D365&lt;15,"3) 10-14%",IF(D365&lt;25,"4) 15-24%","5) 25%+"))))</f>
        <v>3) 10-14%</v>
      </c>
      <c r="N365" s="0" t="str">
        <f aca="false">IF(F365&lt;50,"1) Under Rs 50",IF(F365&lt;100,"2) Rs 50-99",IF(F365&lt;200,"3) Rs 100-199",IF(F365&lt;500,"4) Rs 200-499","5) Rs 500+"))))</f>
        <v>5) Rs 500+</v>
      </c>
      <c r="O365" s="0" t="n">
        <f aca="false">G365*E365/1000</f>
        <v>3.24</v>
      </c>
    </row>
    <row r="366" customFormat="false" ht="15" hidden="false" customHeight="false" outlineLevel="0" collapsed="false">
      <c r="A366" s="0" t="s">
        <v>96</v>
      </c>
      <c r="B366" s="0" t="s">
        <v>479</v>
      </c>
      <c r="C366" s="0" t="n">
        <v>120</v>
      </c>
      <c r="D366" s="0" t="n">
        <v>6</v>
      </c>
      <c r="E366" s="0" t="n">
        <v>5</v>
      </c>
      <c r="F366" s="0" t="n">
        <v>112</v>
      </c>
      <c r="G366" s="0" t="n">
        <v>500</v>
      </c>
      <c r="H366" s="0" t="s">
        <v>145</v>
      </c>
      <c r="I366" s="0" t="n">
        <v>500</v>
      </c>
      <c r="J366" s="0" t="n">
        <f aca="false">F366*E366</f>
        <v>560</v>
      </c>
      <c r="K366" s="0" t="str">
        <f aca="false">IF(G366&lt;1000,"1-Low",IF(G366&lt;5000,"2-Medium","3-Bulk"))</f>
        <v>1-Low</v>
      </c>
      <c r="L366" s="0" t="str">
        <f aca="false">IF(H366="TRUE","Out of stock","In stock")</f>
        <v>In stock</v>
      </c>
      <c r="M366" s="0" t="str">
        <f aca="false">IF(D366&lt;5,"1) Under 5%",IF(D366&lt;10,"2) 5-9%",IF(D366&lt;15,"3) 10-14%",IF(D366&lt;25,"4) 15-24%","5) 25%+"))))</f>
        <v>2) 5-9%</v>
      </c>
      <c r="N366" s="0" t="str">
        <f aca="false">IF(F366&lt;50,"1) Under Rs 50",IF(F366&lt;100,"2) Rs 50-99",IF(F366&lt;200,"3) Rs 100-199",IF(F366&lt;500,"4) Rs 200-499","5) Rs 500+"))))</f>
        <v>3) Rs 100-199</v>
      </c>
      <c r="O366" s="0" t="n">
        <f aca="false">G366*E366/1000</f>
        <v>2.5</v>
      </c>
    </row>
    <row r="367" customFormat="false" ht="15" hidden="false" customHeight="false" outlineLevel="0" collapsed="false">
      <c r="A367" s="0" t="s">
        <v>96</v>
      </c>
      <c r="B367" s="0" t="s">
        <v>480</v>
      </c>
      <c r="C367" s="0" t="n">
        <v>160</v>
      </c>
      <c r="D367" s="0" t="n">
        <v>6</v>
      </c>
      <c r="E367" s="0" t="n">
        <v>4</v>
      </c>
      <c r="F367" s="0" t="n">
        <v>150</v>
      </c>
      <c r="G367" s="0" t="n">
        <v>200</v>
      </c>
      <c r="H367" s="0" t="s">
        <v>145</v>
      </c>
      <c r="I367" s="0" t="n">
        <v>200</v>
      </c>
      <c r="J367" s="0" t="n">
        <f aca="false">F367*E367</f>
        <v>600</v>
      </c>
      <c r="K367" s="0" t="str">
        <f aca="false">IF(G367&lt;1000,"1-Low",IF(G367&lt;5000,"2-Medium","3-Bulk"))</f>
        <v>1-Low</v>
      </c>
      <c r="L367" s="0" t="str">
        <f aca="false">IF(H367="TRUE","Out of stock","In stock")</f>
        <v>In stock</v>
      </c>
      <c r="M367" s="0" t="str">
        <f aca="false">IF(D367&lt;5,"1) Under 5%",IF(D367&lt;10,"2) 5-9%",IF(D367&lt;15,"3) 10-14%",IF(D367&lt;25,"4) 15-24%","5) 25%+"))))</f>
        <v>2) 5-9%</v>
      </c>
      <c r="N367" s="0" t="str">
        <f aca="false">IF(F367&lt;50,"1) Under Rs 50",IF(F367&lt;100,"2) Rs 50-99",IF(F367&lt;200,"3) Rs 100-199",IF(F367&lt;500,"4) Rs 200-499","5) Rs 500+"))))</f>
        <v>3) Rs 100-199</v>
      </c>
      <c r="O367" s="0" t="n">
        <f aca="false">G367*E367/1000</f>
        <v>0.8</v>
      </c>
    </row>
    <row r="368" customFormat="false" ht="15" hidden="false" customHeight="false" outlineLevel="0" collapsed="false">
      <c r="A368" s="0" t="s">
        <v>96</v>
      </c>
      <c r="B368" s="0" t="s">
        <v>481</v>
      </c>
      <c r="C368" s="0" t="n">
        <v>140</v>
      </c>
      <c r="D368" s="0" t="n">
        <v>15</v>
      </c>
      <c r="E368" s="0" t="n">
        <v>6</v>
      </c>
      <c r="F368" s="0" t="n">
        <v>118</v>
      </c>
      <c r="G368" s="0" t="n">
        <v>250</v>
      </c>
      <c r="H368" s="0" t="s">
        <v>145</v>
      </c>
      <c r="I368" s="0" t="n">
        <v>250</v>
      </c>
      <c r="J368" s="0" t="n">
        <f aca="false">F368*E368</f>
        <v>708</v>
      </c>
      <c r="K368" s="0" t="str">
        <f aca="false">IF(G368&lt;1000,"1-Low",IF(G368&lt;5000,"2-Medium","3-Bulk"))</f>
        <v>1-Low</v>
      </c>
      <c r="L368" s="0" t="str">
        <f aca="false">IF(H368="TRUE","Out of stock","In stock")</f>
        <v>In stock</v>
      </c>
      <c r="M368" s="0" t="str">
        <f aca="false">IF(D368&lt;5,"1) Under 5%",IF(D368&lt;10,"2) 5-9%",IF(D368&lt;15,"3) 10-14%",IF(D368&lt;25,"4) 15-24%","5) 25%+"))))</f>
        <v>4) 15-24%</v>
      </c>
      <c r="N368" s="0" t="str">
        <f aca="false">IF(F368&lt;50,"1) Under Rs 50",IF(F368&lt;100,"2) Rs 50-99",IF(F368&lt;200,"3) Rs 100-199",IF(F368&lt;500,"4) Rs 200-499","5) Rs 500+"))))</f>
        <v>3) Rs 100-199</v>
      </c>
      <c r="O368" s="0" t="n">
        <f aca="false">G368*E368/1000</f>
        <v>1.5</v>
      </c>
    </row>
    <row r="369" customFormat="false" ht="15" hidden="false" customHeight="false" outlineLevel="0" collapsed="false">
      <c r="A369" s="0" t="s">
        <v>96</v>
      </c>
      <c r="B369" s="0" t="s">
        <v>482</v>
      </c>
      <c r="C369" s="0" t="n">
        <v>95</v>
      </c>
      <c r="D369" s="0" t="n">
        <v>6</v>
      </c>
      <c r="E369" s="0" t="n">
        <v>4</v>
      </c>
      <c r="F369" s="0" t="n">
        <v>89</v>
      </c>
      <c r="G369" s="0" t="n">
        <v>500</v>
      </c>
      <c r="H369" s="0" t="s">
        <v>145</v>
      </c>
      <c r="I369" s="0" t="n">
        <v>500</v>
      </c>
      <c r="J369" s="0" t="n">
        <f aca="false">F369*E369</f>
        <v>356</v>
      </c>
      <c r="K369" s="0" t="str">
        <f aca="false">IF(G369&lt;1000,"1-Low",IF(G369&lt;5000,"2-Medium","3-Bulk"))</f>
        <v>1-Low</v>
      </c>
      <c r="L369" s="0" t="str">
        <f aca="false">IF(H369="TRUE","Out of stock","In stock")</f>
        <v>In stock</v>
      </c>
      <c r="M369" s="0" t="str">
        <f aca="false">IF(D369&lt;5,"1) Under 5%",IF(D369&lt;10,"2) 5-9%",IF(D369&lt;15,"3) 10-14%",IF(D369&lt;25,"4) 15-24%","5) 25%+"))))</f>
        <v>2) 5-9%</v>
      </c>
      <c r="N369" s="0" t="str">
        <f aca="false">IF(F369&lt;50,"1) Under Rs 50",IF(F369&lt;100,"2) Rs 50-99",IF(F369&lt;200,"3) Rs 100-199",IF(F369&lt;500,"4) Rs 200-499","5) Rs 500+"))))</f>
        <v>2) Rs 50-99</v>
      </c>
      <c r="O369" s="0" t="n">
        <f aca="false">G369*E369/1000</f>
        <v>2</v>
      </c>
    </row>
    <row r="370" customFormat="false" ht="15" hidden="false" customHeight="false" outlineLevel="0" collapsed="false">
      <c r="A370" s="0" t="s">
        <v>96</v>
      </c>
      <c r="B370" s="0" t="s">
        <v>483</v>
      </c>
      <c r="C370" s="0" t="n">
        <v>50</v>
      </c>
      <c r="D370" s="0" t="n">
        <v>6</v>
      </c>
      <c r="E370" s="0" t="n">
        <v>6</v>
      </c>
      <c r="F370" s="0" t="n">
        <v>47</v>
      </c>
      <c r="G370" s="0" t="n">
        <v>200</v>
      </c>
      <c r="H370" s="0" t="s">
        <v>145</v>
      </c>
      <c r="I370" s="0" t="n">
        <v>200</v>
      </c>
      <c r="J370" s="0" t="n">
        <f aca="false">F370*E370</f>
        <v>282</v>
      </c>
      <c r="K370" s="0" t="str">
        <f aca="false">IF(G370&lt;1000,"1-Low",IF(G370&lt;5000,"2-Medium","3-Bulk"))</f>
        <v>1-Low</v>
      </c>
      <c r="L370" s="0" t="str">
        <f aca="false">IF(H370="TRUE","Out of stock","In stock")</f>
        <v>In stock</v>
      </c>
      <c r="M370" s="0" t="str">
        <f aca="false">IF(D370&lt;5,"1) Under 5%",IF(D370&lt;10,"2) 5-9%",IF(D370&lt;15,"3) 10-14%",IF(D370&lt;25,"4) 15-24%","5) 25%+"))))</f>
        <v>2) 5-9%</v>
      </c>
      <c r="N370" s="0" t="str">
        <f aca="false">IF(F370&lt;50,"1) Under Rs 50",IF(F370&lt;100,"2) Rs 50-99",IF(F370&lt;200,"3) Rs 100-199",IF(F370&lt;500,"4) Rs 200-499","5) Rs 500+"))))</f>
        <v>1) Under Rs 50</v>
      </c>
      <c r="O370" s="0" t="n">
        <f aca="false">G370*E370/1000</f>
        <v>1.2</v>
      </c>
    </row>
    <row r="371" customFormat="false" ht="15" hidden="false" customHeight="false" outlineLevel="0" collapsed="false">
      <c r="A371" s="0" t="s">
        <v>96</v>
      </c>
      <c r="B371" s="0" t="s">
        <v>484</v>
      </c>
      <c r="C371" s="0" t="n">
        <v>330</v>
      </c>
      <c r="D371" s="0" t="n">
        <v>10</v>
      </c>
      <c r="E371" s="0" t="n">
        <v>1</v>
      </c>
      <c r="F371" s="0" t="n">
        <v>297</v>
      </c>
      <c r="G371" s="0" t="n">
        <v>400</v>
      </c>
      <c r="H371" s="0" t="s">
        <v>145</v>
      </c>
      <c r="I371" s="0" t="n">
        <v>400</v>
      </c>
      <c r="J371" s="0" t="n">
        <f aca="false">F371*E371</f>
        <v>297</v>
      </c>
      <c r="K371" s="0" t="str">
        <f aca="false">IF(G371&lt;1000,"1-Low",IF(G371&lt;5000,"2-Medium","3-Bulk"))</f>
        <v>1-Low</v>
      </c>
      <c r="L371" s="0" t="str">
        <f aca="false">IF(H371="TRUE","Out of stock","In stock")</f>
        <v>In stock</v>
      </c>
      <c r="M371" s="0" t="str">
        <f aca="false">IF(D371&lt;5,"1) Under 5%",IF(D371&lt;10,"2) 5-9%",IF(D371&lt;15,"3) 10-14%",IF(D371&lt;25,"4) 15-24%","5) 25%+"))))</f>
        <v>3) 10-14%</v>
      </c>
      <c r="N371" s="0" t="str">
        <f aca="false">IF(F371&lt;50,"1) Under Rs 50",IF(F371&lt;100,"2) Rs 50-99",IF(F371&lt;200,"3) Rs 100-199",IF(F371&lt;500,"4) Rs 200-499","5) Rs 500+"))))</f>
        <v>4) Rs 200-499</v>
      </c>
      <c r="O371" s="0" t="n">
        <f aca="false">G371*E371/1000</f>
        <v>0.4</v>
      </c>
    </row>
    <row r="372" customFormat="false" ht="15" hidden="false" customHeight="false" outlineLevel="0" collapsed="false">
      <c r="A372" s="0" t="s">
        <v>96</v>
      </c>
      <c r="B372" s="0" t="s">
        <v>485</v>
      </c>
      <c r="C372" s="0" t="n">
        <v>44</v>
      </c>
      <c r="D372" s="0" t="n">
        <v>0</v>
      </c>
      <c r="E372" s="0" t="n">
        <v>5</v>
      </c>
      <c r="F372" s="0" t="n">
        <v>44</v>
      </c>
      <c r="G372" s="0" t="n">
        <v>60</v>
      </c>
      <c r="H372" s="0" t="s">
        <v>145</v>
      </c>
      <c r="I372" s="0" t="n">
        <v>60</v>
      </c>
      <c r="J372" s="0" t="n">
        <f aca="false">F372*E372</f>
        <v>220</v>
      </c>
      <c r="K372" s="0" t="str">
        <f aca="false">IF(G372&lt;1000,"1-Low",IF(G372&lt;5000,"2-Medium","3-Bulk"))</f>
        <v>1-Low</v>
      </c>
      <c r="L372" s="0" t="str">
        <f aca="false">IF(H372="TRUE","Out of stock","In stock")</f>
        <v>In stock</v>
      </c>
      <c r="M372" s="0" t="str">
        <f aca="false">IF(D372&lt;5,"1) Under 5%",IF(D372&lt;10,"2) 5-9%",IF(D372&lt;15,"3) 10-14%",IF(D372&lt;25,"4) 15-24%","5) 25%+"))))</f>
        <v>1) Under 5%</v>
      </c>
      <c r="N372" s="0" t="str">
        <f aca="false">IF(F372&lt;50,"1) Under Rs 50",IF(F372&lt;100,"2) Rs 50-99",IF(F372&lt;200,"3) Rs 100-199",IF(F372&lt;500,"4) Rs 200-499","5) Rs 500+"))))</f>
        <v>1) Under Rs 50</v>
      </c>
      <c r="O372" s="0" t="n">
        <f aca="false">G372*E372/1000</f>
        <v>0.3</v>
      </c>
    </row>
    <row r="373" customFormat="false" ht="15" hidden="false" customHeight="false" outlineLevel="0" collapsed="false">
      <c r="A373" s="0" t="s">
        <v>96</v>
      </c>
      <c r="B373" s="0" t="s">
        <v>486</v>
      </c>
      <c r="C373" s="0" t="n">
        <v>35</v>
      </c>
      <c r="D373" s="0" t="n">
        <v>2</v>
      </c>
      <c r="E373" s="0" t="n">
        <v>1</v>
      </c>
      <c r="F373" s="0" t="n">
        <v>34</v>
      </c>
      <c r="G373" s="0" t="n">
        <v>40</v>
      </c>
      <c r="H373" s="0" t="s">
        <v>145</v>
      </c>
      <c r="I373" s="0" t="n">
        <v>40</v>
      </c>
      <c r="J373" s="0" t="n">
        <f aca="false">F373*E373</f>
        <v>34</v>
      </c>
      <c r="K373" s="0" t="str">
        <f aca="false">IF(G373&lt;1000,"1-Low",IF(G373&lt;5000,"2-Medium","3-Bulk"))</f>
        <v>1-Low</v>
      </c>
      <c r="L373" s="0" t="str">
        <f aca="false">IF(H373="TRUE","Out of stock","In stock")</f>
        <v>In stock</v>
      </c>
      <c r="M373" s="0" t="str">
        <f aca="false">IF(D373&lt;5,"1) Under 5%",IF(D373&lt;10,"2) 5-9%",IF(D373&lt;15,"3) 10-14%",IF(D373&lt;25,"4) 15-24%","5) 25%+"))))</f>
        <v>1) Under 5%</v>
      </c>
      <c r="N373" s="0" t="str">
        <f aca="false">IF(F373&lt;50,"1) Under Rs 50",IF(F373&lt;100,"2) Rs 50-99",IF(F373&lt;200,"3) Rs 100-199",IF(F373&lt;500,"4) Rs 200-499","5) Rs 500+"))))</f>
        <v>1) Under Rs 50</v>
      </c>
      <c r="O373" s="0" t="n">
        <f aca="false">G373*E373/1000</f>
        <v>0.04</v>
      </c>
    </row>
    <row r="374" customFormat="false" ht="15" hidden="false" customHeight="false" outlineLevel="0" collapsed="false">
      <c r="A374" s="0" t="s">
        <v>96</v>
      </c>
      <c r="B374" s="0" t="s">
        <v>453</v>
      </c>
      <c r="C374" s="0" t="n">
        <v>74</v>
      </c>
      <c r="D374" s="0" t="n">
        <v>9</v>
      </c>
      <c r="E374" s="0" t="n">
        <v>3</v>
      </c>
      <c r="F374" s="0" t="n">
        <v>67</v>
      </c>
      <c r="G374" s="0" t="n">
        <v>100</v>
      </c>
      <c r="H374" s="0" t="s">
        <v>145</v>
      </c>
      <c r="I374" s="0" t="n">
        <v>100</v>
      </c>
      <c r="J374" s="0" t="n">
        <f aca="false">F374*E374</f>
        <v>201</v>
      </c>
      <c r="K374" s="0" t="str">
        <f aca="false">IF(G374&lt;1000,"1-Low",IF(G374&lt;5000,"2-Medium","3-Bulk"))</f>
        <v>1-Low</v>
      </c>
      <c r="L374" s="0" t="str">
        <f aca="false">IF(H374="TRUE","Out of stock","In stock")</f>
        <v>In stock</v>
      </c>
      <c r="M374" s="0" t="str">
        <f aca="false">IF(D374&lt;5,"1) Under 5%",IF(D374&lt;10,"2) 5-9%",IF(D374&lt;15,"3) 10-14%",IF(D374&lt;25,"4) 15-24%","5) 25%+"))))</f>
        <v>2) 5-9%</v>
      </c>
      <c r="N374" s="0" t="str">
        <f aca="false">IF(F374&lt;50,"1) Under Rs 50",IF(F374&lt;100,"2) Rs 50-99",IF(F374&lt;200,"3) Rs 100-199",IF(F374&lt;500,"4) Rs 200-499","5) Rs 500+"))))</f>
        <v>2) Rs 50-99</v>
      </c>
      <c r="O374" s="0" t="n">
        <f aca="false">G374*E374/1000</f>
        <v>0.3</v>
      </c>
    </row>
    <row r="375" customFormat="false" ht="15" hidden="false" customHeight="false" outlineLevel="0" collapsed="false">
      <c r="A375" s="0" t="s">
        <v>96</v>
      </c>
      <c r="B375" s="0" t="s">
        <v>487</v>
      </c>
      <c r="C375" s="0" t="n">
        <v>45</v>
      </c>
      <c r="D375" s="0" t="n">
        <v>4</v>
      </c>
      <c r="E375" s="0" t="n">
        <v>6</v>
      </c>
      <c r="F375" s="0" t="n">
        <v>43</v>
      </c>
      <c r="G375" s="0" t="n">
        <v>500</v>
      </c>
      <c r="H375" s="0" t="s">
        <v>145</v>
      </c>
      <c r="I375" s="0" t="n">
        <v>500</v>
      </c>
      <c r="J375" s="0" t="n">
        <f aca="false">F375*E375</f>
        <v>258</v>
      </c>
      <c r="K375" s="0" t="str">
        <f aca="false">IF(G375&lt;1000,"1-Low",IF(G375&lt;5000,"2-Medium","3-Bulk"))</f>
        <v>1-Low</v>
      </c>
      <c r="L375" s="0" t="str">
        <f aca="false">IF(H375="TRUE","Out of stock","In stock")</f>
        <v>In stock</v>
      </c>
      <c r="M375" s="0" t="str">
        <f aca="false">IF(D375&lt;5,"1) Under 5%",IF(D375&lt;10,"2) 5-9%",IF(D375&lt;15,"3) 10-14%",IF(D375&lt;25,"4) 15-24%","5) 25%+"))))</f>
        <v>1) Under 5%</v>
      </c>
      <c r="N375" s="0" t="str">
        <f aca="false">IF(F375&lt;50,"1) Under Rs 50",IF(F375&lt;100,"2) Rs 50-99",IF(F375&lt;200,"3) Rs 100-199",IF(F375&lt;500,"4) Rs 200-499","5) Rs 500+"))))</f>
        <v>1) Under Rs 50</v>
      </c>
      <c r="O375" s="0" t="n">
        <f aca="false">G375*E375/1000</f>
        <v>3</v>
      </c>
    </row>
    <row r="376" customFormat="false" ht="15" hidden="false" customHeight="false" outlineLevel="0" collapsed="false">
      <c r="A376" s="0" t="s">
        <v>96</v>
      </c>
      <c r="B376" s="0" t="s">
        <v>307</v>
      </c>
      <c r="C376" s="0" t="n">
        <v>142</v>
      </c>
      <c r="D376" s="0" t="n">
        <v>9</v>
      </c>
      <c r="E376" s="0" t="n">
        <v>6</v>
      </c>
      <c r="F376" s="0" t="n">
        <v>128</v>
      </c>
      <c r="G376" s="0" t="n">
        <v>200</v>
      </c>
      <c r="H376" s="0" t="s">
        <v>145</v>
      </c>
      <c r="I376" s="0" t="n">
        <v>200</v>
      </c>
      <c r="J376" s="0" t="n">
        <f aca="false">F376*E376</f>
        <v>768</v>
      </c>
      <c r="K376" s="0" t="str">
        <f aca="false">IF(G376&lt;1000,"1-Low",IF(G376&lt;5000,"2-Medium","3-Bulk"))</f>
        <v>1-Low</v>
      </c>
      <c r="L376" s="0" t="str">
        <f aca="false">IF(H376="TRUE","Out of stock","In stock")</f>
        <v>In stock</v>
      </c>
      <c r="M376" s="0" t="str">
        <f aca="false">IF(D376&lt;5,"1) Under 5%",IF(D376&lt;10,"2) 5-9%",IF(D376&lt;15,"3) 10-14%",IF(D376&lt;25,"4) 15-24%","5) 25%+"))))</f>
        <v>2) 5-9%</v>
      </c>
      <c r="N376" s="0" t="str">
        <f aca="false">IF(F376&lt;50,"1) Under Rs 50",IF(F376&lt;100,"2) Rs 50-99",IF(F376&lt;200,"3) Rs 100-199",IF(F376&lt;500,"4) Rs 200-499","5) Rs 500+"))))</f>
        <v>3) Rs 100-199</v>
      </c>
      <c r="O376" s="0" t="n">
        <f aca="false">G376*E376/1000</f>
        <v>1.2</v>
      </c>
    </row>
    <row r="377" customFormat="false" ht="15" hidden="false" customHeight="false" outlineLevel="0" collapsed="false">
      <c r="A377" s="0" t="s">
        <v>96</v>
      </c>
      <c r="B377" s="0" t="s">
        <v>488</v>
      </c>
      <c r="C377" s="0" t="n">
        <v>165</v>
      </c>
      <c r="D377" s="0" t="n">
        <v>10</v>
      </c>
      <c r="E377" s="0" t="n">
        <v>5</v>
      </c>
      <c r="F377" s="0" t="n">
        <v>147</v>
      </c>
      <c r="G377" s="0" t="n">
        <v>285</v>
      </c>
      <c r="H377" s="0" t="s">
        <v>145</v>
      </c>
      <c r="I377" s="0" t="n">
        <v>285</v>
      </c>
      <c r="J377" s="0" t="n">
        <f aca="false">F377*E377</f>
        <v>735</v>
      </c>
      <c r="K377" s="0" t="str">
        <f aca="false">IF(G377&lt;1000,"1-Low",IF(G377&lt;5000,"2-Medium","3-Bulk"))</f>
        <v>1-Low</v>
      </c>
      <c r="L377" s="0" t="str">
        <f aca="false">IF(H377="TRUE","Out of stock","In stock")</f>
        <v>In stock</v>
      </c>
      <c r="M377" s="0" t="str">
        <f aca="false">IF(D377&lt;5,"1) Under 5%",IF(D377&lt;10,"2) 5-9%",IF(D377&lt;15,"3) 10-14%",IF(D377&lt;25,"4) 15-24%","5) 25%+"))))</f>
        <v>3) 10-14%</v>
      </c>
      <c r="N377" s="0" t="str">
        <f aca="false">IF(F377&lt;50,"1) Under Rs 50",IF(F377&lt;100,"2) Rs 50-99",IF(F377&lt;200,"3) Rs 100-199",IF(F377&lt;500,"4) Rs 200-499","5) Rs 500+"))))</f>
        <v>3) Rs 100-199</v>
      </c>
      <c r="O377" s="0" t="n">
        <f aca="false">G377*E377/1000</f>
        <v>1.425</v>
      </c>
    </row>
    <row r="378" customFormat="false" ht="15" hidden="false" customHeight="false" outlineLevel="0" collapsed="false">
      <c r="A378" s="0" t="s">
        <v>96</v>
      </c>
      <c r="B378" s="0" t="s">
        <v>489</v>
      </c>
      <c r="C378" s="0" t="n">
        <v>74</v>
      </c>
      <c r="D378" s="0" t="n">
        <v>6</v>
      </c>
      <c r="E378" s="0" t="n">
        <v>2</v>
      </c>
      <c r="F378" s="0" t="n">
        <v>69</v>
      </c>
      <c r="G378" s="0" t="n">
        <v>200</v>
      </c>
      <c r="H378" s="0" t="s">
        <v>145</v>
      </c>
      <c r="I378" s="0" t="n">
        <v>200</v>
      </c>
      <c r="J378" s="0" t="n">
        <f aca="false">F378*E378</f>
        <v>138</v>
      </c>
      <c r="K378" s="0" t="str">
        <f aca="false">IF(G378&lt;1000,"1-Low",IF(G378&lt;5000,"2-Medium","3-Bulk"))</f>
        <v>1-Low</v>
      </c>
      <c r="L378" s="0" t="str">
        <f aca="false">IF(H378="TRUE","Out of stock","In stock")</f>
        <v>In stock</v>
      </c>
      <c r="M378" s="0" t="str">
        <f aca="false">IF(D378&lt;5,"1) Under 5%",IF(D378&lt;10,"2) 5-9%",IF(D378&lt;15,"3) 10-14%",IF(D378&lt;25,"4) 15-24%","5) 25%+"))))</f>
        <v>2) 5-9%</v>
      </c>
      <c r="N378" s="0" t="str">
        <f aca="false">IF(F378&lt;50,"1) Under Rs 50",IF(F378&lt;100,"2) Rs 50-99",IF(F378&lt;200,"3) Rs 100-199",IF(F378&lt;500,"4) Rs 200-499","5) Rs 500+"))))</f>
        <v>2) Rs 50-99</v>
      </c>
      <c r="O378" s="0" t="n">
        <f aca="false">G378*E378/1000</f>
        <v>0.4</v>
      </c>
    </row>
    <row r="379" customFormat="false" ht="15" hidden="false" customHeight="false" outlineLevel="0" collapsed="false">
      <c r="A379" s="0" t="s">
        <v>96</v>
      </c>
      <c r="B379" s="0" t="s">
        <v>490</v>
      </c>
      <c r="C379" s="0" t="n">
        <v>40</v>
      </c>
      <c r="D379" s="0" t="n">
        <v>2</v>
      </c>
      <c r="E379" s="0" t="n">
        <v>6</v>
      </c>
      <c r="F379" s="0" t="n">
        <v>39</v>
      </c>
      <c r="G379" s="0" t="n">
        <v>48</v>
      </c>
      <c r="H379" s="0" t="s">
        <v>145</v>
      </c>
      <c r="I379" s="0" t="n">
        <v>48</v>
      </c>
      <c r="J379" s="0" t="n">
        <f aca="false">F379*E379</f>
        <v>234</v>
      </c>
      <c r="K379" s="0" t="str">
        <f aca="false">IF(G379&lt;1000,"1-Low",IF(G379&lt;5000,"2-Medium","3-Bulk"))</f>
        <v>1-Low</v>
      </c>
      <c r="L379" s="0" t="str">
        <f aca="false">IF(H379="TRUE","Out of stock","In stock")</f>
        <v>In stock</v>
      </c>
      <c r="M379" s="0" t="str">
        <f aca="false">IF(D379&lt;5,"1) Under 5%",IF(D379&lt;10,"2) 5-9%",IF(D379&lt;15,"3) 10-14%",IF(D379&lt;25,"4) 15-24%","5) 25%+"))))</f>
        <v>1) Under 5%</v>
      </c>
      <c r="N379" s="0" t="str">
        <f aca="false">IF(F379&lt;50,"1) Under Rs 50",IF(F379&lt;100,"2) Rs 50-99",IF(F379&lt;200,"3) Rs 100-199",IF(F379&lt;500,"4) Rs 200-499","5) Rs 500+"))))</f>
        <v>1) Under Rs 50</v>
      </c>
      <c r="O379" s="0" t="n">
        <f aca="false">G379*E379/1000</f>
        <v>0.288</v>
      </c>
    </row>
    <row r="380" customFormat="false" ht="15" hidden="false" customHeight="false" outlineLevel="0" collapsed="false">
      <c r="A380" s="0" t="s">
        <v>96</v>
      </c>
      <c r="B380" s="0" t="s">
        <v>491</v>
      </c>
      <c r="C380" s="0" t="n">
        <v>102</v>
      </c>
      <c r="D380" s="0" t="n">
        <v>6</v>
      </c>
      <c r="E380" s="0" t="n">
        <v>6</v>
      </c>
      <c r="F380" s="0" t="n">
        <v>95</v>
      </c>
      <c r="G380" s="0" t="n">
        <v>100</v>
      </c>
      <c r="H380" s="0" t="s">
        <v>145</v>
      </c>
      <c r="I380" s="0" t="n">
        <v>100</v>
      </c>
      <c r="J380" s="0" t="n">
        <f aca="false">F380*E380</f>
        <v>570</v>
      </c>
      <c r="K380" s="0" t="str">
        <f aca="false">IF(G380&lt;1000,"1-Low",IF(G380&lt;5000,"2-Medium","3-Bulk"))</f>
        <v>1-Low</v>
      </c>
      <c r="L380" s="0" t="str">
        <f aca="false">IF(H380="TRUE","Out of stock","In stock")</f>
        <v>In stock</v>
      </c>
      <c r="M380" s="0" t="str">
        <f aca="false">IF(D380&lt;5,"1) Under 5%",IF(D380&lt;10,"2) 5-9%",IF(D380&lt;15,"3) 10-14%",IF(D380&lt;25,"4) 15-24%","5) 25%+"))))</f>
        <v>2) 5-9%</v>
      </c>
      <c r="N380" s="0" t="str">
        <f aca="false">IF(F380&lt;50,"1) Under Rs 50",IF(F380&lt;100,"2) Rs 50-99",IF(F380&lt;200,"3) Rs 100-199",IF(F380&lt;500,"4) Rs 200-499","5) Rs 500+"))))</f>
        <v>2) Rs 50-99</v>
      </c>
      <c r="O380" s="0" t="n">
        <f aca="false">G380*E380/1000</f>
        <v>0.6</v>
      </c>
    </row>
    <row r="381" customFormat="false" ht="15" hidden="false" customHeight="false" outlineLevel="0" collapsed="false">
      <c r="A381" s="0" t="s">
        <v>96</v>
      </c>
      <c r="B381" s="0" t="s">
        <v>492</v>
      </c>
      <c r="C381" s="0" t="n">
        <v>49</v>
      </c>
      <c r="D381" s="0" t="n">
        <v>2</v>
      </c>
      <c r="E381" s="0" t="n">
        <v>6</v>
      </c>
      <c r="F381" s="0" t="n">
        <v>48</v>
      </c>
      <c r="G381" s="0" t="n">
        <v>100</v>
      </c>
      <c r="H381" s="0" t="s">
        <v>145</v>
      </c>
      <c r="I381" s="0" t="n">
        <v>100</v>
      </c>
      <c r="J381" s="0" t="n">
        <f aca="false">F381*E381</f>
        <v>288</v>
      </c>
      <c r="K381" s="0" t="str">
        <f aca="false">IF(G381&lt;1000,"1-Low",IF(G381&lt;5000,"2-Medium","3-Bulk"))</f>
        <v>1-Low</v>
      </c>
      <c r="L381" s="0" t="str">
        <f aca="false">IF(H381="TRUE","Out of stock","In stock")</f>
        <v>In stock</v>
      </c>
      <c r="M381" s="0" t="str">
        <f aca="false">IF(D381&lt;5,"1) Under 5%",IF(D381&lt;10,"2) 5-9%",IF(D381&lt;15,"3) 10-14%",IF(D381&lt;25,"4) 15-24%","5) 25%+"))))</f>
        <v>1) Under 5%</v>
      </c>
      <c r="N381" s="0" t="str">
        <f aca="false">IF(F381&lt;50,"1) Under Rs 50",IF(F381&lt;100,"2) Rs 50-99",IF(F381&lt;200,"3) Rs 100-199",IF(F381&lt;500,"4) Rs 200-499","5) Rs 500+"))))</f>
        <v>1) Under Rs 50</v>
      </c>
      <c r="O381" s="0" t="n">
        <f aca="false">G381*E381/1000</f>
        <v>0.6</v>
      </c>
    </row>
    <row r="382" customFormat="false" ht="15" hidden="false" customHeight="false" outlineLevel="0" collapsed="false">
      <c r="A382" s="0" t="s">
        <v>96</v>
      </c>
      <c r="B382" s="0" t="s">
        <v>493</v>
      </c>
      <c r="C382" s="0" t="n">
        <v>90</v>
      </c>
      <c r="D382" s="0" t="n">
        <v>10</v>
      </c>
      <c r="E382" s="0" t="n">
        <v>6</v>
      </c>
      <c r="F382" s="0" t="n">
        <v>81</v>
      </c>
      <c r="G382" s="0" t="n">
        <v>500</v>
      </c>
      <c r="H382" s="0" t="s">
        <v>145</v>
      </c>
      <c r="I382" s="0" t="n">
        <v>500</v>
      </c>
      <c r="J382" s="0" t="n">
        <f aca="false">F382*E382</f>
        <v>486</v>
      </c>
      <c r="K382" s="0" t="str">
        <f aca="false">IF(G382&lt;1000,"1-Low",IF(G382&lt;5000,"2-Medium","3-Bulk"))</f>
        <v>1-Low</v>
      </c>
      <c r="L382" s="0" t="str">
        <f aca="false">IF(H382="TRUE","Out of stock","In stock")</f>
        <v>In stock</v>
      </c>
      <c r="M382" s="0" t="str">
        <f aca="false">IF(D382&lt;5,"1) Under 5%",IF(D382&lt;10,"2) 5-9%",IF(D382&lt;15,"3) 10-14%",IF(D382&lt;25,"4) 15-24%","5) 25%+"))))</f>
        <v>3) 10-14%</v>
      </c>
      <c r="N382" s="0" t="str">
        <f aca="false">IF(F382&lt;50,"1) Under Rs 50",IF(F382&lt;100,"2) Rs 50-99",IF(F382&lt;200,"3) Rs 100-199",IF(F382&lt;500,"4) Rs 200-499","5) Rs 500+"))))</f>
        <v>2) Rs 50-99</v>
      </c>
      <c r="O382" s="0" t="n">
        <f aca="false">G382*E382/1000</f>
        <v>3</v>
      </c>
    </row>
    <row r="383" customFormat="false" ht="15" hidden="false" customHeight="false" outlineLevel="0" collapsed="false">
      <c r="A383" s="0" t="s">
        <v>96</v>
      </c>
      <c r="B383" s="0" t="s">
        <v>494</v>
      </c>
      <c r="C383" s="0" t="n">
        <v>95</v>
      </c>
      <c r="D383" s="0" t="n">
        <v>6</v>
      </c>
      <c r="E383" s="0" t="n">
        <v>5</v>
      </c>
      <c r="F383" s="0" t="n">
        <v>89</v>
      </c>
      <c r="G383" s="0" t="n">
        <v>500</v>
      </c>
      <c r="H383" s="0" t="s">
        <v>145</v>
      </c>
      <c r="I383" s="0" t="n">
        <v>500</v>
      </c>
      <c r="J383" s="0" t="n">
        <f aca="false">F383*E383</f>
        <v>445</v>
      </c>
      <c r="K383" s="0" t="str">
        <f aca="false">IF(G383&lt;1000,"1-Low",IF(G383&lt;5000,"2-Medium","3-Bulk"))</f>
        <v>1-Low</v>
      </c>
      <c r="L383" s="0" t="str">
        <f aca="false">IF(H383="TRUE","Out of stock","In stock")</f>
        <v>In stock</v>
      </c>
      <c r="M383" s="0" t="str">
        <f aca="false">IF(D383&lt;5,"1) Under 5%",IF(D383&lt;10,"2) 5-9%",IF(D383&lt;15,"3) 10-14%",IF(D383&lt;25,"4) 15-24%","5) 25%+"))))</f>
        <v>2) 5-9%</v>
      </c>
      <c r="N383" s="0" t="str">
        <f aca="false">IF(F383&lt;50,"1) Under Rs 50",IF(F383&lt;100,"2) Rs 50-99",IF(F383&lt;200,"3) Rs 100-199",IF(F383&lt;500,"4) Rs 200-499","5) Rs 500+"))))</f>
        <v>2) Rs 50-99</v>
      </c>
      <c r="O383" s="0" t="n">
        <f aca="false">G383*E383/1000</f>
        <v>2.5</v>
      </c>
    </row>
    <row r="384" customFormat="false" ht="15" hidden="false" customHeight="false" outlineLevel="0" collapsed="false">
      <c r="A384" s="0" t="s">
        <v>96</v>
      </c>
      <c r="B384" s="0" t="s">
        <v>495</v>
      </c>
      <c r="C384" s="0" t="n">
        <v>425</v>
      </c>
      <c r="D384" s="0" t="n">
        <v>20</v>
      </c>
      <c r="E384" s="0" t="n">
        <v>6</v>
      </c>
      <c r="F384" s="0" t="n">
        <v>340</v>
      </c>
      <c r="G384" s="0" t="n">
        <v>200</v>
      </c>
      <c r="H384" s="0" t="s">
        <v>145</v>
      </c>
      <c r="I384" s="0" t="n">
        <v>200</v>
      </c>
      <c r="J384" s="0" t="n">
        <f aca="false">F384*E384</f>
        <v>2040</v>
      </c>
      <c r="K384" s="0" t="str">
        <f aca="false">IF(G384&lt;1000,"1-Low",IF(G384&lt;5000,"2-Medium","3-Bulk"))</f>
        <v>1-Low</v>
      </c>
      <c r="L384" s="0" t="str">
        <f aca="false">IF(H384="TRUE","Out of stock","In stock")</f>
        <v>In stock</v>
      </c>
      <c r="M384" s="0" t="str">
        <f aca="false">IF(D384&lt;5,"1) Under 5%",IF(D384&lt;10,"2) 5-9%",IF(D384&lt;15,"3) 10-14%",IF(D384&lt;25,"4) 15-24%","5) 25%+"))))</f>
        <v>4) 15-24%</v>
      </c>
      <c r="N384" s="0" t="str">
        <f aca="false">IF(F384&lt;50,"1) Under Rs 50",IF(F384&lt;100,"2) Rs 50-99",IF(F384&lt;200,"3) Rs 100-199",IF(F384&lt;500,"4) Rs 200-499","5) Rs 500+"))))</f>
        <v>4) Rs 200-499</v>
      </c>
      <c r="O384" s="0" t="n">
        <f aca="false">G384*E384/1000</f>
        <v>1.2</v>
      </c>
    </row>
    <row r="385" customFormat="false" ht="15" hidden="false" customHeight="false" outlineLevel="0" collapsed="false">
      <c r="A385" s="0" t="s">
        <v>96</v>
      </c>
      <c r="B385" s="0" t="s">
        <v>496</v>
      </c>
      <c r="C385" s="0" t="n">
        <v>90</v>
      </c>
      <c r="D385" s="0" t="n">
        <v>10</v>
      </c>
      <c r="E385" s="0" t="n">
        <v>3</v>
      </c>
      <c r="F385" s="0" t="n">
        <v>81</v>
      </c>
      <c r="G385" s="0" t="n">
        <v>20</v>
      </c>
      <c r="H385" s="0" t="s">
        <v>145</v>
      </c>
      <c r="I385" s="0" t="n">
        <v>20</v>
      </c>
      <c r="J385" s="0" t="n">
        <f aca="false">F385*E385</f>
        <v>243</v>
      </c>
      <c r="K385" s="0" t="str">
        <f aca="false">IF(G385&lt;1000,"1-Low",IF(G385&lt;5000,"2-Medium","3-Bulk"))</f>
        <v>1-Low</v>
      </c>
      <c r="L385" s="0" t="str">
        <f aca="false">IF(H385="TRUE","Out of stock","In stock")</f>
        <v>In stock</v>
      </c>
      <c r="M385" s="0" t="str">
        <f aca="false">IF(D385&lt;5,"1) Under 5%",IF(D385&lt;10,"2) 5-9%",IF(D385&lt;15,"3) 10-14%",IF(D385&lt;25,"4) 15-24%","5) 25%+"))))</f>
        <v>3) 10-14%</v>
      </c>
      <c r="N385" s="0" t="str">
        <f aca="false">IF(F385&lt;50,"1) Under Rs 50",IF(F385&lt;100,"2) Rs 50-99",IF(F385&lt;200,"3) Rs 100-199",IF(F385&lt;500,"4) Rs 200-499","5) Rs 500+"))))</f>
        <v>2) Rs 50-99</v>
      </c>
      <c r="O385" s="0" t="n">
        <f aca="false">G385*E385/1000</f>
        <v>0.06</v>
      </c>
    </row>
    <row r="386" customFormat="false" ht="15" hidden="false" customHeight="false" outlineLevel="0" collapsed="false">
      <c r="A386" s="0" t="s">
        <v>96</v>
      </c>
      <c r="B386" s="0" t="s">
        <v>497</v>
      </c>
      <c r="C386" s="0" t="n">
        <v>235</v>
      </c>
      <c r="D386" s="0" t="n">
        <v>27</v>
      </c>
      <c r="E386" s="0" t="n">
        <v>5</v>
      </c>
      <c r="F386" s="0" t="n">
        <v>171</v>
      </c>
      <c r="G386" s="0" t="n">
        <v>1000</v>
      </c>
      <c r="H386" s="0" t="s">
        <v>145</v>
      </c>
      <c r="I386" s="0" t="n">
        <v>1</v>
      </c>
      <c r="J386" s="0" t="n">
        <f aca="false">F386*E386</f>
        <v>855</v>
      </c>
      <c r="K386" s="0" t="str">
        <f aca="false">IF(G386&lt;1000,"1-Low",IF(G386&lt;5000,"2-Medium","3-Bulk"))</f>
        <v>2-Medium</v>
      </c>
      <c r="L386" s="0" t="str">
        <f aca="false">IF(H386="TRUE","Out of stock","In stock")</f>
        <v>In stock</v>
      </c>
      <c r="M386" s="0" t="str">
        <f aca="false">IF(D386&lt;5,"1) Under 5%",IF(D386&lt;10,"2) 5-9%",IF(D386&lt;15,"3) 10-14%",IF(D386&lt;25,"4) 15-24%","5) 25%+"))))</f>
        <v>5) 25%+</v>
      </c>
      <c r="N386" s="0" t="str">
        <f aca="false">IF(F386&lt;50,"1) Under Rs 50",IF(F386&lt;100,"2) Rs 50-99",IF(F386&lt;200,"3) Rs 100-199",IF(F386&lt;500,"4) Rs 200-499","5) Rs 500+"))))</f>
        <v>3) Rs 100-199</v>
      </c>
      <c r="O386" s="0" t="n">
        <f aca="false">G386*E386/1000</f>
        <v>5</v>
      </c>
    </row>
    <row r="387" customFormat="false" ht="15" hidden="false" customHeight="false" outlineLevel="0" collapsed="false">
      <c r="A387" s="0" t="s">
        <v>96</v>
      </c>
      <c r="B387" s="0" t="s">
        <v>498</v>
      </c>
      <c r="C387" s="0" t="n">
        <v>76</v>
      </c>
      <c r="D387" s="0" t="n">
        <v>10</v>
      </c>
      <c r="E387" s="0" t="n">
        <v>4</v>
      </c>
      <c r="F387" s="0" t="n">
        <v>68</v>
      </c>
      <c r="G387" s="0" t="n">
        <v>300</v>
      </c>
      <c r="H387" s="0" t="s">
        <v>145</v>
      </c>
      <c r="I387" s="0" t="n">
        <v>300</v>
      </c>
      <c r="J387" s="0" t="n">
        <f aca="false">F387*E387</f>
        <v>272</v>
      </c>
      <c r="K387" s="0" t="str">
        <f aca="false">IF(G387&lt;1000,"1-Low",IF(G387&lt;5000,"2-Medium","3-Bulk"))</f>
        <v>1-Low</v>
      </c>
      <c r="L387" s="0" t="str">
        <f aca="false">IF(H387="TRUE","Out of stock","In stock")</f>
        <v>In stock</v>
      </c>
      <c r="M387" s="0" t="str">
        <f aca="false">IF(D387&lt;5,"1) Under 5%",IF(D387&lt;10,"2) 5-9%",IF(D387&lt;15,"3) 10-14%",IF(D387&lt;25,"4) 15-24%","5) 25%+"))))</f>
        <v>3) 10-14%</v>
      </c>
      <c r="N387" s="0" t="str">
        <f aca="false">IF(F387&lt;50,"1) Under Rs 50",IF(F387&lt;100,"2) Rs 50-99",IF(F387&lt;200,"3) Rs 100-199",IF(F387&lt;500,"4) Rs 200-499","5) Rs 500+"))))</f>
        <v>2) Rs 50-99</v>
      </c>
      <c r="O387" s="0" t="n">
        <f aca="false">G387*E387/1000</f>
        <v>1.2</v>
      </c>
    </row>
    <row r="388" customFormat="false" ht="15" hidden="false" customHeight="false" outlineLevel="0" collapsed="false">
      <c r="A388" s="0" t="s">
        <v>96</v>
      </c>
      <c r="B388" s="0" t="s">
        <v>499</v>
      </c>
      <c r="C388" s="0" t="n">
        <v>410</v>
      </c>
      <c r="D388" s="0" t="n">
        <v>10</v>
      </c>
      <c r="E388" s="0" t="n">
        <v>6</v>
      </c>
      <c r="F388" s="0" t="n">
        <v>369</v>
      </c>
      <c r="G388" s="0" t="n">
        <v>1000</v>
      </c>
      <c r="H388" s="0" t="s">
        <v>145</v>
      </c>
      <c r="I388" s="0" t="n">
        <v>1</v>
      </c>
      <c r="J388" s="0" t="n">
        <f aca="false">F388*E388</f>
        <v>2214</v>
      </c>
      <c r="K388" s="0" t="str">
        <f aca="false">IF(G388&lt;1000,"1-Low",IF(G388&lt;5000,"2-Medium","3-Bulk"))</f>
        <v>2-Medium</v>
      </c>
      <c r="L388" s="0" t="str">
        <f aca="false">IF(H388="TRUE","Out of stock","In stock")</f>
        <v>In stock</v>
      </c>
      <c r="M388" s="0" t="str">
        <f aca="false">IF(D388&lt;5,"1) Under 5%",IF(D388&lt;10,"2) 5-9%",IF(D388&lt;15,"3) 10-14%",IF(D388&lt;25,"4) 15-24%","5) 25%+"))))</f>
        <v>3) 10-14%</v>
      </c>
      <c r="N388" s="0" t="str">
        <f aca="false">IF(F388&lt;50,"1) Under Rs 50",IF(F388&lt;100,"2) Rs 50-99",IF(F388&lt;200,"3) Rs 100-199",IF(F388&lt;500,"4) Rs 200-499","5) Rs 500+"))))</f>
        <v>4) Rs 200-499</v>
      </c>
      <c r="O388" s="0" t="n">
        <f aca="false">G388*E388/1000</f>
        <v>6</v>
      </c>
    </row>
    <row r="389" customFormat="false" ht="15" hidden="false" customHeight="false" outlineLevel="0" collapsed="false">
      <c r="A389" s="0" t="s">
        <v>96</v>
      </c>
      <c r="B389" s="0" t="s">
        <v>500</v>
      </c>
      <c r="C389" s="0" t="n">
        <v>87</v>
      </c>
      <c r="D389" s="0" t="n">
        <v>6</v>
      </c>
      <c r="E389" s="0" t="n">
        <v>6</v>
      </c>
      <c r="F389" s="0" t="n">
        <v>81</v>
      </c>
      <c r="G389" s="0" t="n">
        <v>500</v>
      </c>
      <c r="H389" s="0" t="s">
        <v>145</v>
      </c>
      <c r="I389" s="0" t="n">
        <v>500</v>
      </c>
      <c r="J389" s="0" t="n">
        <f aca="false">F389*E389</f>
        <v>486</v>
      </c>
      <c r="K389" s="0" t="str">
        <f aca="false">IF(G389&lt;1000,"1-Low",IF(G389&lt;5000,"2-Medium","3-Bulk"))</f>
        <v>1-Low</v>
      </c>
      <c r="L389" s="0" t="str">
        <f aca="false">IF(H389="TRUE","Out of stock","In stock")</f>
        <v>In stock</v>
      </c>
      <c r="M389" s="0" t="str">
        <f aca="false">IF(D389&lt;5,"1) Under 5%",IF(D389&lt;10,"2) 5-9%",IF(D389&lt;15,"3) 10-14%",IF(D389&lt;25,"4) 15-24%","5) 25%+"))))</f>
        <v>2) 5-9%</v>
      </c>
      <c r="N389" s="0" t="str">
        <f aca="false">IF(F389&lt;50,"1) Under Rs 50",IF(F389&lt;100,"2) Rs 50-99",IF(F389&lt;200,"3) Rs 100-199",IF(F389&lt;500,"4) Rs 200-499","5) Rs 500+"))))</f>
        <v>2) Rs 50-99</v>
      </c>
      <c r="O389" s="0" t="n">
        <f aca="false">G389*E389/1000</f>
        <v>3</v>
      </c>
    </row>
    <row r="390" customFormat="false" ht="15" hidden="false" customHeight="false" outlineLevel="0" collapsed="false">
      <c r="A390" s="0" t="s">
        <v>96</v>
      </c>
      <c r="B390" s="0" t="s">
        <v>501</v>
      </c>
      <c r="C390" s="0" t="n">
        <v>425</v>
      </c>
      <c r="D390" s="0" t="n">
        <v>20</v>
      </c>
      <c r="E390" s="0" t="n">
        <v>6</v>
      </c>
      <c r="F390" s="0" t="n">
        <v>340</v>
      </c>
      <c r="G390" s="0" t="n">
        <v>200</v>
      </c>
      <c r="H390" s="0" t="s">
        <v>145</v>
      </c>
      <c r="I390" s="0" t="n">
        <v>200</v>
      </c>
      <c r="J390" s="0" t="n">
        <f aca="false">F390*E390</f>
        <v>2040</v>
      </c>
      <c r="K390" s="0" t="str">
        <f aca="false">IF(G390&lt;1000,"1-Low",IF(G390&lt;5000,"2-Medium","3-Bulk"))</f>
        <v>1-Low</v>
      </c>
      <c r="L390" s="0" t="str">
        <f aca="false">IF(H390="TRUE","Out of stock","In stock")</f>
        <v>In stock</v>
      </c>
      <c r="M390" s="0" t="str">
        <f aca="false">IF(D390&lt;5,"1) Under 5%",IF(D390&lt;10,"2) 5-9%",IF(D390&lt;15,"3) 10-14%",IF(D390&lt;25,"4) 15-24%","5) 25%+"))))</f>
        <v>4) 15-24%</v>
      </c>
      <c r="N390" s="0" t="str">
        <f aca="false">IF(F390&lt;50,"1) Under Rs 50",IF(F390&lt;100,"2) Rs 50-99",IF(F390&lt;200,"3) Rs 100-199",IF(F390&lt;500,"4) Rs 200-499","5) Rs 500+"))))</f>
        <v>4) Rs 200-499</v>
      </c>
      <c r="O390" s="0" t="n">
        <f aca="false">G390*E390/1000</f>
        <v>1.2</v>
      </c>
    </row>
    <row r="391" customFormat="false" ht="15" hidden="false" customHeight="false" outlineLevel="0" collapsed="false">
      <c r="A391" s="0" t="s">
        <v>96</v>
      </c>
      <c r="B391" s="0" t="s">
        <v>502</v>
      </c>
      <c r="C391" s="0" t="n">
        <v>80</v>
      </c>
      <c r="D391" s="0" t="n">
        <v>0</v>
      </c>
      <c r="E391" s="0" t="n">
        <v>1</v>
      </c>
      <c r="F391" s="0" t="n">
        <v>80</v>
      </c>
      <c r="G391" s="0" t="n">
        <v>280</v>
      </c>
      <c r="H391" s="0" t="s">
        <v>145</v>
      </c>
      <c r="I391" s="0" t="n">
        <v>280</v>
      </c>
      <c r="J391" s="0" t="n">
        <f aca="false">F391*E391</f>
        <v>80</v>
      </c>
      <c r="K391" s="0" t="str">
        <f aca="false">IF(G391&lt;1000,"1-Low",IF(G391&lt;5000,"2-Medium","3-Bulk"))</f>
        <v>1-Low</v>
      </c>
      <c r="L391" s="0" t="str">
        <f aca="false">IF(H391="TRUE","Out of stock","In stock")</f>
        <v>In stock</v>
      </c>
      <c r="M391" s="0" t="str">
        <f aca="false">IF(D391&lt;5,"1) Under 5%",IF(D391&lt;10,"2) 5-9%",IF(D391&lt;15,"3) 10-14%",IF(D391&lt;25,"4) 15-24%","5) 25%+"))))</f>
        <v>1) Under 5%</v>
      </c>
      <c r="N391" s="0" t="str">
        <f aca="false">IF(F391&lt;50,"1) Under Rs 50",IF(F391&lt;100,"2) Rs 50-99",IF(F391&lt;200,"3) Rs 100-199",IF(F391&lt;500,"4) Rs 200-499","5) Rs 500+"))))</f>
        <v>2) Rs 50-99</v>
      </c>
      <c r="O391" s="0" t="n">
        <f aca="false">G391*E391/1000</f>
        <v>0.28</v>
      </c>
    </row>
    <row r="392" customFormat="false" ht="15" hidden="false" customHeight="false" outlineLevel="0" collapsed="false">
      <c r="A392" s="0" t="s">
        <v>96</v>
      </c>
      <c r="B392" s="0" t="s">
        <v>503</v>
      </c>
      <c r="C392" s="0" t="n">
        <v>95</v>
      </c>
      <c r="D392" s="0" t="n">
        <v>0</v>
      </c>
      <c r="E392" s="0" t="n">
        <v>5</v>
      </c>
      <c r="F392" s="0" t="n">
        <v>95</v>
      </c>
      <c r="G392" s="0" t="n">
        <v>70</v>
      </c>
      <c r="H392" s="0" t="s">
        <v>145</v>
      </c>
      <c r="I392" s="0" t="n">
        <v>70</v>
      </c>
      <c r="J392" s="0" t="n">
        <f aca="false">F392*E392</f>
        <v>475</v>
      </c>
      <c r="K392" s="0" t="str">
        <f aca="false">IF(G392&lt;1000,"1-Low",IF(G392&lt;5000,"2-Medium","3-Bulk"))</f>
        <v>1-Low</v>
      </c>
      <c r="L392" s="0" t="str">
        <f aca="false">IF(H392="TRUE","Out of stock","In stock")</f>
        <v>In stock</v>
      </c>
      <c r="M392" s="0" t="str">
        <f aca="false">IF(D392&lt;5,"1) Under 5%",IF(D392&lt;10,"2) 5-9%",IF(D392&lt;15,"3) 10-14%",IF(D392&lt;25,"4) 15-24%","5) 25%+"))))</f>
        <v>1) Under 5%</v>
      </c>
      <c r="N392" s="0" t="str">
        <f aca="false">IF(F392&lt;50,"1) Under Rs 50",IF(F392&lt;100,"2) Rs 50-99",IF(F392&lt;200,"3) Rs 100-199",IF(F392&lt;500,"4) Rs 200-499","5) Rs 500+"))))</f>
        <v>2) Rs 50-99</v>
      </c>
      <c r="O392" s="0" t="n">
        <f aca="false">G392*E392/1000</f>
        <v>0.35</v>
      </c>
    </row>
    <row r="393" customFormat="false" ht="15" hidden="false" customHeight="false" outlineLevel="0" collapsed="false">
      <c r="A393" s="0" t="s">
        <v>96</v>
      </c>
      <c r="B393" s="0" t="s">
        <v>504</v>
      </c>
      <c r="C393" s="0" t="n">
        <v>240</v>
      </c>
      <c r="D393" s="0" t="n">
        <v>6</v>
      </c>
      <c r="E393" s="0" t="n">
        <v>4</v>
      </c>
      <c r="F393" s="0" t="n">
        <v>225</v>
      </c>
      <c r="G393" s="0" t="n">
        <v>500</v>
      </c>
      <c r="H393" s="0" t="s">
        <v>145</v>
      </c>
      <c r="I393" s="0" t="n">
        <v>500</v>
      </c>
      <c r="J393" s="0" t="n">
        <f aca="false">F393*E393</f>
        <v>900</v>
      </c>
      <c r="K393" s="0" t="str">
        <f aca="false">IF(G393&lt;1000,"1-Low",IF(G393&lt;5000,"2-Medium","3-Bulk"))</f>
        <v>1-Low</v>
      </c>
      <c r="L393" s="0" t="str">
        <f aca="false">IF(H393="TRUE","Out of stock","In stock")</f>
        <v>In stock</v>
      </c>
      <c r="M393" s="0" t="str">
        <f aca="false">IF(D393&lt;5,"1) Under 5%",IF(D393&lt;10,"2) 5-9%",IF(D393&lt;15,"3) 10-14%",IF(D393&lt;25,"4) 15-24%","5) 25%+"))))</f>
        <v>2) 5-9%</v>
      </c>
      <c r="N393" s="0" t="str">
        <f aca="false">IF(F393&lt;50,"1) Under Rs 50",IF(F393&lt;100,"2) Rs 50-99",IF(F393&lt;200,"3) Rs 100-199",IF(F393&lt;500,"4) Rs 200-499","5) Rs 500+"))))</f>
        <v>4) Rs 200-499</v>
      </c>
      <c r="O393" s="0" t="n">
        <f aca="false">G393*E393/1000</f>
        <v>2</v>
      </c>
    </row>
    <row r="394" customFormat="false" ht="15" hidden="false" customHeight="false" outlineLevel="0" collapsed="false">
      <c r="A394" s="0" t="s">
        <v>96</v>
      </c>
      <c r="B394" s="0" t="s">
        <v>505</v>
      </c>
      <c r="C394" s="0" t="n">
        <v>110</v>
      </c>
      <c r="D394" s="0" t="n">
        <v>10</v>
      </c>
      <c r="E394" s="0" t="n">
        <v>6</v>
      </c>
      <c r="F394" s="0" t="n">
        <v>99</v>
      </c>
      <c r="G394" s="0" t="n">
        <v>265</v>
      </c>
      <c r="H394" s="0" t="s">
        <v>145</v>
      </c>
      <c r="I394" s="0" t="n">
        <v>265</v>
      </c>
      <c r="J394" s="0" t="n">
        <f aca="false">F394*E394</f>
        <v>594</v>
      </c>
      <c r="K394" s="0" t="str">
        <f aca="false">IF(G394&lt;1000,"1-Low",IF(G394&lt;5000,"2-Medium","3-Bulk"))</f>
        <v>1-Low</v>
      </c>
      <c r="L394" s="0" t="str">
        <f aca="false">IF(H394="TRUE","Out of stock","In stock")</f>
        <v>In stock</v>
      </c>
      <c r="M394" s="0" t="str">
        <f aca="false">IF(D394&lt;5,"1) Under 5%",IF(D394&lt;10,"2) 5-9%",IF(D394&lt;15,"3) 10-14%",IF(D394&lt;25,"4) 15-24%","5) 25%+"))))</f>
        <v>3) 10-14%</v>
      </c>
      <c r="N394" s="0" t="str">
        <f aca="false">IF(F394&lt;50,"1) Under Rs 50",IF(F394&lt;100,"2) Rs 50-99",IF(F394&lt;200,"3) Rs 100-199",IF(F394&lt;500,"4) Rs 200-499","5) Rs 500+"))))</f>
        <v>2) Rs 50-99</v>
      </c>
      <c r="O394" s="0" t="n">
        <f aca="false">G394*E394/1000</f>
        <v>1.59</v>
      </c>
    </row>
    <row r="395" customFormat="false" ht="15" hidden="false" customHeight="false" outlineLevel="0" collapsed="false">
      <c r="A395" s="0" t="s">
        <v>96</v>
      </c>
      <c r="B395" s="0" t="s">
        <v>506</v>
      </c>
      <c r="C395" s="0" t="n">
        <v>299</v>
      </c>
      <c r="D395" s="0" t="n">
        <v>20</v>
      </c>
      <c r="E395" s="0" t="n">
        <v>6</v>
      </c>
      <c r="F395" s="0" t="n">
        <v>239</v>
      </c>
      <c r="G395" s="0" t="n">
        <v>200</v>
      </c>
      <c r="H395" s="0" t="s">
        <v>145</v>
      </c>
      <c r="I395" s="0" t="n">
        <v>200</v>
      </c>
      <c r="J395" s="0" t="n">
        <f aca="false">F395*E395</f>
        <v>1434</v>
      </c>
      <c r="K395" s="0" t="str">
        <f aca="false">IF(G395&lt;1000,"1-Low",IF(G395&lt;5000,"2-Medium","3-Bulk"))</f>
        <v>1-Low</v>
      </c>
      <c r="L395" s="0" t="str">
        <f aca="false">IF(H395="TRUE","Out of stock","In stock")</f>
        <v>In stock</v>
      </c>
      <c r="M395" s="0" t="str">
        <f aca="false">IF(D395&lt;5,"1) Under 5%",IF(D395&lt;10,"2) 5-9%",IF(D395&lt;15,"3) 10-14%",IF(D395&lt;25,"4) 15-24%","5) 25%+"))))</f>
        <v>4) 15-24%</v>
      </c>
      <c r="N395" s="0" t="str">
        <f aca="false">IF(F395&lt;50,"1) Under Rs 50",IF(F395&lt;100,"2) Rs 50-99",IF(F395&lt;200,"3) Rs 100-199",IF(F395&lt;500,"4) Rs 200-499","5) Rs 500+"))))</f>
        <v>4) Rs 200-499</v>
      </c>
      <c r="O395" s="0" t="n">
        <f aca="false">G395*E395/1000</f>
        <v>1.2</v>
      </c>
    </row>
    <row r="396" customFormat="false" ht="15" hidden="false" customHeight="false" outlineLevel="0" collapsed="false">
      <c r="A396" s="0" t="s">
        <v>96</v>
      </c>
      <c r="B396" s="0" t="s">
        <v>507</v>
      </c>
      <c r="C396" s="0" t="n">
        <v>250</v>
      </c>
      <c r="D396" s="0" t="n">
        <v>40</v>
      </c>
      <c r="E396" s="0" t="n">
        <v>6</v>
      </c>
      <c r="F396" s="0" t="n">
        <v>149</v>
      </c>
      <c r="G396" s="0" t="n">
        <v>500</v>
      </c>
      <c r="H396" s="0" t="s">
        <v>145</v>
      </c>
      <c r="I396" s="0" t="n">
        <v>500</v>
      </c>
      <c r="J396" s="0" t="n">
        <f aca="false">F396*E396</f>
        <v>894</v>
      </c>
      <c r="K396" s="0" t="str">
        <f aca="false">IF(G396&lt;1000,"1-Low",IF(G396&lt;5000,"2-Medium","3-Bulk"))</f>
        <v>1-Low</v>
      </c>
      <c r="L396" s="0" t="str">
        <f aca="false">IF(H396="TRUE","Out of stock","In stock")</f>
        <v>In stock</v>
      </c>
      <c r="M396" s="0" t="str">
        <f aca="false">IF(D396&lt;5,"1) Under 5%",IF(D396&lt;10,"2) 5-9%",IF(D396&lt;15,"3) 10-14%",IF(D396&lt;25,"4) 15-24%","5) 25%+"))))</f>
        <v>5) 25%+</v>
      </c>
      <c r="N396" s="0" t="str">
        <f aca="false">IF(F396&lt;50,"1) Under Rs 50",IF(F396&lt;100,"2) Rs 50-99",IF(F396&lt;200,"3) Rs 100-199",IF(F396&lt;500,"4) Rs 200-499","5) Rs 500+"))))</f>
        <v>3) Rs 100-199</v>
      </c>
      <c r="O396" s="0" t="n">
        <f aca="false">G396*E396/1000</f>
        <v>3</v>
      </c>
    </row>
    <row r="397" customFormat="false" ht="15" hidden="false" customHeight="false" outlineLevel="0" collapsed="false">
      <c r="A397" s="0" t="s">
        <v>96</v>
      </c>
      <c r="B397" s="0" t="s">
        <v>508</v>
      </c>
      <c r="C397" s="0" t="n">
        <v>220</v>
      </c>
      <c r="D397" s="0" t="n">
        <v>50</v>
      </c>
      <c r="E397" s="0" t="n">
        <v>5</v>
      </c>
      <c r="F397" s="0" t="n">
        <v>110</v>
      </c>
      <c r="G397" s="0" t="n">
        <v>200</v>
      </c>
      <c r="H397" s="0" t="s">
        <v>145</v>
      </c>
      <c r="I397" s="0" t="n">
        <v>200</v>
      </c>
      <c r="J397" s="0" t="n">
        <f aca="false">F397*E397</f>
        <v>550</v>
      </c>
      <c r="K397" s="0" t="str">
        <f aca="false">IF(G397&lt;1000,"1-Low",IF(G397&lt;5000,"2-Medium","3-Bulk"))</f>
        <v>1-Low</v>
      </c>
      <c r="L397" s="0" t="str">
        <f aca="false">IF(H397="TRUE","Out of stock","In stock")</f>
        <v>In stock</v>
      </c>
      <c r="M397" s="0" t="str">
        <f aca="false">IF(D397&lt;5,"1) Under 5%",IF(D397&lt;10,"2) 5-9%",IF(D397&lt;15,"3) 10-14%",IF(D397&lt;25,"4) 15-24%","5) 25%+"))))</f>
        <v>5) 25%+</v>
      </c>
      <c r="N397" s="0" t="str">
        <f aca="false">IF(F397&lt;50,"1) Under Rs 50",IF(F397&lt;100,"2) Rs 50-99",IF(F397&lt;200,"3) Rs 100-199",IF(F397&lt;500,"4) Rs 200-499","5) Rs 500+"))))</f>
        <v>3) Rs 100-199</v>
      </c>
      <c r="O397" s="0" t="n">
        <f aca="false">G397*E397/1000</f>
        <v>1</v>
      </c>
    </row>
    <row r="398" customFormat="false" ht="15" hidden="false" customHeight="false" outlineLevel="0" collapsed="false">
      <c r="A398" s="0" t="s">
        <v>96</v>
      </c>
      <c r="B398" s="0" t="s">
        <v>509</v>
      </c>
      <c r="C398" s="0" t="n">
        <v>90</v>
      </c>
      <c r="D398" s="0" t="n">
        <v>12</v>
      </c>
      <c r="E398" s="0" t="n">
        <v>3</v>
      </c>
      <c r="F398" s="0" t="n">
        <v>79</v>
      </c>
      <c r="G398" s="0" t="n">
        <v>500</v>
      </c>
      <c r="H398" s="0" t="s">
        <v>145</v>
      </c>
      <c r="I398" s="0" t="n">
        <v>500</v>
      </c>
      <c r="J398" s="0" t="n">
        <f aca="false">F398*E398</f>
        <v>237</v>
      </c>
      <c r="K398" s="0" t="str">
        <f aca="false">IF(G398&lt;1000,"1-Low",IF(G398&lt;5000,"2-Medium","3-Bulk"))</f>
        <v>1-Low</v>
      </c>
      <c r="L398" s="0" t="str">
        <f aca="false">IF(H398="TRUE","Out of stock","In stock")</f>
        <v>In stock</v>
      </c>
      <c r="M398" s="0" t="str">
        <f aca="false">IF(D398&lt;5,"1) Under 5%",IF(D398&lt;10,"2) 5-9%",IF(D398&lt;15,"3) 10-14%",IF(D398&lt;25,"4) 15-24%","5) 25%+"))))</f>
        <v>3) 10-14%</v>
      </c>
      <c r="N398" s="0" t="str">
        <f aca="false">IF(F398&lt;50,"1) Under Rs 50",IF(F398&lt;100,"2) Rs 50-99",IF(F398&lt;200,"3) Rs 100-199",IF(F398&lt;500,"4) Rs 200-499","5) Rs 500+"))))</f>
        <v>2) Rs 50-99</v>
      </c>
      <c r="O398" s="0" t="n">
        <f aca="false">G398*E398/1000</f>
        <v>1.5</v>
      </c>
    </row>
    <row r="399" customFormat="false" ht="15" hidden="false" customHeight="false" outlineLevel="0" collapsed="false">
      <c r="A399" s="0" t="s">
        <v>96</v>
      </c>
      <c r="B399" s="0" t="s">
        <v>510</v>
      </c>
      <c r="C399" s="0" t="n">
        <v>25</v>
      </c>
      <c r="D399" s="0" t="n">
        <v>0</v>
      </c>
      <c r="E399" s="0" t="n">
        <v>5</v>
      </c>
      <c r="F399" s="0" t="n">
        <v>25</v>
      </c>
      <c r="G399" s="0" t="n">
        <v>100</v>
      </c>
      <c r="H399" s="0" t="s">
        <v>145</v>
      </c>
      <c r="I399" s="0" t="n">
        <v>100</v>
      </c>
      <c r="J399" s="0" t="n">
        <f aca="false">F399*E399</f>
        <v>125</v>
      </c>
      <c r="K399" s="0" t="str">
        <f aca="false">IF(G399&lt;1000,"1-Low",IF(G399&lt;5000,"2-Medium","3-Bulk"))</f>
        <v>1-Low</v>
      </c>
      <c r="L399" s="0" t="str">
        <f aca="false">IF(H399="TRUE","Out of stock","In stock")</f>
        <v>In stock</v>
      </c>
      <c r="M399" s="0" t="str">
        <f aca="false">IF(D399&lt;5,"1) Under 5%",IF(D399&lt;10,"2) 5-9%",IF(D399&lt;15,"3) 10-14%",IF(D399&lt;25,"4) 15-24%","5) 25%+"))))</f>
        <v>1) Under 5%</v>
      </c>
      <c r="N399" s="0" t="str">
        <f aca="false">IF(F399&lt;50,"1) Under Rs 50",IF(F399&lt;100,"2) Rs 50-99",IF(F399&lt;200,"3) Rs 100-199",IF(F399&lt;500,"4) Rs 200-499","5) Rs 500+"))))</f>
        <v>1) Under Rs 50</v>
      </c>
      <c r="O399" s="0" t="n">
        <f aca="false">G399*E399/1000</f>
        <v>0.5</v>
      </c>
    </row>
    <row r="400" customFormat="false" ht="15" hidden="false" customHeight="false" outlineLevel="0" collapsed="false">
      <c r="A400" s="0" t="s">
        <v>96</v>
      </c>
      <c r="B400" s="0" t="s">
        <v>511</v>
      </c>
      <c r="C400" s="0" t="n">
        <v>150</v>
      </c>
      <c r="D400" s="0" t="n">
        <v>10</v>
      </c>
      <c r="E400" s="0" t="n">
        <v>5</v>
      </c>
      <c r="F400" s="0" t="n">
        <v>134</v>
      </c>
      <c r="G400" s="0" t="n">
        <v>100</v>
      </c>
      <c r="H400" s="0" t="s">
        <v>145</v>
      </c>
      <c r="I400" s="0" t="n">
        <v>100</v>
      </c>
      <c r="J400" s="0" t="n">
        <f aca="false">F400*E400</f>
        <v>670</v>
      </c>
      <c r="K400" s="0" t="str">
        <f aca="false">IF(G400&lt;1000,"1-Low",IF(G400&lt;5000,"2-Medium","3-Bulk"))</f>
        <v>1-Low</v>
      </c>
      <c r="L400" s="0" t="str">
        <f aca="false">IF(H400="TRUE","Out of stock","In stock")</f>
        <v>In stock</v>
      </c>
      <c r="M400" s="0" t="str">
        <f aca="false">IF(D400&lt;5,"1) Under 5%",IF(D400&lt;10,"2) 5-9%",IF(D400&lt;15,"3) 10-14%",IF(D400&lt;25,"4) 15-24%","5) 25%+"))))</f>
        <v>3) 10-14%</v>
      </c>
      <c r="N400" s="0" t="str">
        <f aca="false">IF(F400&lt;50,"1) Under Rs 50",IF(F400&lt;100,"2) Rs 50-99",IF(F400&lt;200,"3) Rs 100-199",IF(F400&lt;500,"4) Rs 200-499","5) Rs 500+"))))</f>
        <v>3) Rs 100-199</v>
      </c>
      <c r="O400" s="0" t="n">
        <f aca="false">G400*E400/1000</f>
        <v>0.5</v>
      </c>
    </row>
    <row r="401" customFormat="false" ht="15" hidden="false" customHeight="false" outlineLevel="0" collapsed="false">
      <c r="A401" s="0" t="s">
        <v>96</v>
      </c>
      <c r="B401" s="0" t="s">
        <v>512</v>
      </c>
      <c r="C401" s="0" t="n">
        <v>110</v>
      </c>
      <c r="D401" s="0" t="n">
        <v>1</v>
      </c>
      <c r="E401" s="0" t="n">
        <v>5</v>
      </c>
      <c r="F401" s="0" t="n">
        <v>108</v>
      </c>
      <c r="G401" s="0" t="n">
        <v>100</v>
      </c>
      <c r="H401" s="0" t="s">
        <v>145</v>
      </c>
      <c r="I401" s="0" t="n">
        <v>100</v>
      </c>
      <c r="J401" s="0" t="n">
        <f aca="false">F401*E401</f>
        <v>540</v>
      </c>
      <c r="K401" s="0" t="str">
        <f aca="false">IF(G401&lt;1000,"1-Low",IF(G401&lt;5000,"2-Medium","3-Bulk"))</f>
        <v>1-Low</v>
      </c>
      <c r="L401" s="0" t="str">
        <f aca="false">IF(H401="TRUE","Out of stock","In stock")</f>
        <v>In stock</v>
      </c>
      <c r="M401" s="0" t="str">
        <f aca="false">IF(D401&lt;5,"1) Under 5%",IF(D401&lt;10,"2) 5-9%",IF(D401&lt;15,"3) 10-14%",IF(D401&lt;25,"4) 15-24%","5) 25%+"))))</f>
        <v>1) Under 5%</v>
      </c>
      <c r="N401" s="0" t="str">
        <f aca="false">IF(F401&lt;50,"1) Under Rs 50",IF(F401&lt;100,"2) Rs 50-99",IF(F401&lt;200,"3) Rs 100-199",IF(F401&lt;500,"4) Rs 200-499","5) Rs 500+"))))</f>
        <v>3) Rs 100-199</v>
      </c>
      <c r="O401" s="0" t="n">
        <f aca="false">G401*E401/1000</f>
        <v>0.5</v>
      </c>
    </row>
    <row r="402" customFormat="false" ht="15" hidden="false" customHeight="false" outlineLevel="0" collapsed="false">
      <c r="A402" s="0" t="s">
        <v>96</v>
      </c>
      <c r="B402" s="0" t="s">
        <v>513</v>
      </c>
      <c r="C402" s="0" t="n">
        <v>125</v>
      </c>
      <c r="D402" s="0" t="n">
        <v>5</v>
      </c>
      <c r="E402" s="0" t="n">
        <v>6</v>
      </c>
      <c r="F402" s="0" t="n">
        <v>118</v>
      </c>
      <c r="G402" s="0" t="n">
        <v>100</v>
      </c>
      <c r="H402" s="0" t="s">
        <v>145</v>
      </c>
      <c r="I402" s="0" t="n">
        <v>100</v>
      </c>
      <c r="J402" s="0" t="n">
        <f aca="false">F402*E402</f>
        <v>708</v>
      </c>
      <c r="K402" s="0" t="str">
        <f aca="false">IF(G402&lt;1000,"1-Low",IF(G402&lt;5000,"2-Medium","3-Bulk"))</f>
        <v>1-Low</v>
      </c>
      <c r="L402" s="0" t="str">
        <f aca="false">IF(H402="TRUE","Out of stock","In stock")</f>
        <v>In stock</v>
      </c>
      <c r="M402" s="0" t="str">
        <f aca="false">IF(D402&lt;5,"1) Under 5%",IF(D402&lt;10,"2) 5-9%",IF(D402&lt;15,"3) 10-14%",IF(D402&lt;25,"4) 15-24%","5) 25%+"))))</f>
        <v>2) 5-9%</v>
      </c>
      <c r="N402" s="0" t="str">
        <f aca="false">IF(F402&lt;50,"1) Under Rs 50",IF(F402&lt;100,"2) Rs 50-99",IF(F402&lt;200,"3) Rs 100-199",IF(F402&lt;500,"4) Rs 200-499","5) Rs 500+"))))</f>
        <v>3) Rs 100-199</v>
      </c>
      <c r="O402" s="0" t="n">
        <f aca="false">G402*E402/1000</f>
        <v>0.6</v>
      </c>
    </row>
    <row r="403" customFormat="false" ht="15" hidden="false" customHeight="false" outlineLevel="0" collapsed="false">
      <c r="A403" s="0" t="s">
        <v>96</v>
      </c>
      <c r="B403" s="0" t="s">
        <v>514</v>
      </c>
      <c r="C403" s="0" t="n">
        <v>75</v>
      </c>
      <c r="D403" s="0" t="n">
        <v>30</v>
      </c>
      <c r="E403" s="0" t="n">
        <v>6</v>
      </c>
      <c r="F403" s="0" t="n">
        <v>52</v>
      </c>
      <c r="G403" s="0" t="n">
        <v>200</v>
      </c>
      <c r="H403" s="0" t="s">
        <v>145</v>
      </c>
      <c r="I403" s="0" t="n">
        <v>200</v>
      </c>
      <c r="J403" s="0" t="n">
        <f aca="false">F403*E403</f>
        <v>312</v>
      </c>
      <c r="K403" s="0" t="str">
        <f aca="false">IF(G403&lt;1000,"1-Low",IF(G403&lt;5000,"2-Medium","3-Bulk"))</f>
        <v>1-Low</v>
      </c>
      <c r="L403" s="0" t="str">
        <f aca="false">IF(H403="TRUE","Out of stock","In stock")</f>
        <v>In stock</v>
      </c>
      <c r="M403" s="0" t="str">
        <f aca="false">IF(D403&lt;5,"1) Under 5%",IF(D403&lt;10,"2) 5-9%",IF(D403&lt;15,"3) 10-14%",IF(D403&lt;25,"4) 15-24%","5) 25%+"))))</f>
        <v>5) 25%+</v>
      </c>
      <c r="N403" s="0" t="str">
        <f aca="false">IF(F403&lt;50,"1) Under Rs 50",IF(F403&lt;100,"2) Rs 50-99",IF(F403&lt;200,"3) Rs 100-199",IF(F403&lt;500,"4) Rs 200-499","5) Rs 500+"))))</f>
        <v>2) Rs 50-99</v>
      </c>
      <c r="O403" s="0" t="n">
        <f aca="false">G403*E403/1000</f>
        <v>1.2</v>
      </c>
    </row>
    <row r="404" customFormat="false" ht="15" hidden="false" customHeight="false" outlineLevel="0" collapsed="false">
      <c r="A404" s="0" t="s">
        <v>96</v>
      </c>
      <c r="B404" s="0" t="s">
        <v>515</v>
      </c>
      <c r="C404" s="0" t="n">
        <v>130</v>
      </c>
      <c r="D404" s="0" t="n">
        <v>4</v>
      </c>
      <c r="E404" s="0" t="n">
        <v>6</v>
      </c>
      <c r="F404" s="0" t="n">
        <v>124</v>
      </c>
      <c r="G404" s="0" t="n">
        <v>285</v>
      </c>
      <c r="H404" s="0" t="s">
        <v>145</v>
      </c>
      <c r="I404" s="0" t="n">
        <v>285</v>
      </c>
      <c r="J404" s="0" t="n">
        <f aca="false">F404*E404</f>
        <v>744</v>
      </c>
      <c r="K404" s="0" t="str">
        <f aca="false">IF(G404&lt;1000,"1-Low",IF(G404&lt;5000,"2-Medium","3-Bulk"))</f>
        <v>1-Low</v>
      </c>
      <c r="L404" s="0" t="str">
        <f aca="false">IF(H404="TRUE","Out of stock","In stock")</f>
        <v>In stock</v>
      </c>
      <c r="M404" s="0" t="str">
        <f aca="false">IF(D404&lt;5,"1) Under 5%",IF(D404&lt;10,"2) 5-9%",IF(D404&lt;15,"3) 10-14%",IF(D404&lt;25,"4) 15-24%","5) 25%+"))))</f>
        <v>1) Under 5%</v>
      </c>
      <c r="N404" s="0" t="str">
        <f aca="false">IF(F404&lt;50,"1) Under Rs 50",IF(F404&lt;100,"2) Rs 50-99",IF(F404&lt;200,"3) Rs 100-199",IF(F404&lt;500,"4) Rs 200-499","5) Rs 500+"))))</f>
        <v>3) Rs 100-199</v>
      </c>
      <c r="O404" s="0" t="n">
        <f aca="false">G404*E404/1000</f>
        <v>1.71</v>
      </c>
    </row>
    <row r="405" customFormat="false" ht="15" hidden="false" customHeight="false" outlineLevel="0" collapsed="false">
      <c r="A405" s="0" t="s">
        <v>96</v>
      </c>
      <c r="B405" s="0" t="s">
        <v>516</v>
      </c>
      <c r="C405" s="0" t="n">
        <v>44</v>
      </c>
      <c r="D405" s="0" t="n">
        <v>0</v>
      </c>
      <c r="E405" s="0" t="n">
        <v>6</v>
      </c>
      <c r="F405" s="0" t="n">
        <v>44</v>
      </c>
      <c r="G405" s="0" t="n">
        <v>60</v>
      </c>
      <c r="H405" s="0" t="s">
        <v>145</v>
      </c>
      <c r="I405" s="0" t="n">
        <v>60</v>
      </c>
      <c r="J405" s="0" t="n">
        <f aca="false">F405*E405</f>
        <v>264</v>
      </c>
      <c r="K405" s="0" t="str">
        <f aca="false">IF(G405&lt;1000,"1-Low",IF(G405&lt;5000,"2-Medium","3-Bulk"))</f>
        <v>1-Low</v>
      </c>
      <c r="L405" s="0" t="str">
        <f aca="false">IF(H405="TRUE","Out of stock","In stock")</f>
        <v>In stock</v>
      </c>
      <c r="M405" s="0" t="str">
        <f aca="false">IF(D405&lt;5,"1) Under 5%",IF(D405&lt;10,"2) 5-9%",IF(D405&lt;15,"3) 10-14%",IF(D405&lt;25,"4) 15-24%","5) 25%+"))))</f>
        <v>1) Under 5%</v>
      </c>
      <c r="N405" s="0" t="str">
        <f aca="false">IF(F405&lt;50,"1) Under Rs 50",IF(F405&lt;100,"2) Rs 50-99",IF(F405&lt;200,"3) Rs 100-199",IF(F405&lt;500,"4) Rs 200-499","5) Rs 500+"))))</f>
        <v>1) Under Rs 50</v>
      </c>
      <c r="O405" s="0" t="n">
        <f aca="false">G405*E405/1000</f>
        <v>0.36</v>
      </c>
    </row>
    <row r="406" customFormat="false" ht="15" hidden="false" customHeight="false" outlineLevel="0" collapsed="false">
      <c r="A406" s="0" t="s">
        <v>96</v>
      </c>
      <c r="B406" s="0" t="s">
        <v>517</v>
      </c>
      <c r="C406" s="0" t="n">
        <v>50</v>
      </c>
      <c r="D406" s="0" t="n">
        <v>2</v>
      </c>
      <c r="E406" s="0" t="n">
        <v>5</v>
      </c>
      <c r="F406" s="0" t="n">
        <v>49</v>
      </c>
      <c r="G406" s="0" t="n">
        <v>500</v>
      </c>
      <c r="H406" s="0" t="s">
        <v>145</v>
      </c>
      <c r="I406" s="0" t="n">
        <v>500</v>
      </c>
      <c r="J406" s="0" t="n">
        <f aca="false">F406*E406</f>
        <v>245</v>
      </c>
      <c r="K406" s="0" t="str">
        <f aca="false">IF(G406&lt;1000,"1-Low",IF(G406&lt;5000,"2-Medium","3-Bulk"))</f>
        <v>1-Low</v>
      </c>
      <c r="L406" s="0" t="str">
        <f aca="false">IF(H406="TRUE","Out of stock","In stock")</f>
        <v>In stock</v>
      </c>
      <c r="M406" s="0" t="str">
        <f aca="false">IF(D406&lt;5,"1) Under 5%",IF(D406&lt;10,"2) 5-9%",IF(D406&lt;15,"3) 10-14%",IF(D406&lt;25,"4) 15-24%","5) 25%+"))))</f>
        <v>1) Under 5%</v>
      </c>
      <c r="N406" s="0" t="str">
        <f aca="false">IF(F406&lt;50,"1) Under Rs 50",IF(F406&lt;100,"2) Rs 50-99",IF(F406&lt;200,"3) Rs 100-199",IF(F406&lt;500,"4) Rs 200-499","5) Rs 500+"))))</f>
        <v>1) Under Rs 50</v>
      </c>
      <c r="O406" s="0" t="n">
        <f aca="false">G406*E406/1000</f>
        <v>2.5</v>
      </c>
    </row>
    <row r="407" customFormat="false" ht="15" hidden="false" customHeight="false" outlineLevel="0" collapsed="false">
      <c r="A407" s="0" t="s">
        <v>96</v>
      </c>
      <c r="B407" s="0" t="s">
        <v>296</v>
      </c>
      <c r="C407" s="0" t="n">
        <v>245</v>
      </c>
      <c r="D407" s="0" t="n">
        <v>0</v>
      </c>
      <c r="E407" s="0" t="n">
        <v>6</v>
      </c>
      <c r="F407" s="0" t="n">
        <v>245</v>
      </c>
      <c r="G407" s="0" t="n">
        <v>200</v>
      </c>
      <c r="H407" s="0" t="s">
        <v>145</v>
      </c>
      <c r="I407" s="0" t="n">
        <v>200</v>
      </c>
      <c r="J407" s="0" t="n">
        <f aca="false">F407*E407</f>
        <v>1470</v>
      </c>
      <c r="K407" s="0" t="str">
        <f aca="false">IF(G407&lt;1000,"1-Low",IF(G407&lt;5000,"2-Medium","3-Bulk"))</f>
        <v>1-Low</v>
      </c>
      <c r="L407" s="0" t="str">
        <f aca="false">IF(H407="TRUE","Out of stock","In stock")</f>
        <v>In stock</v>
      </c>
      <c r="M407" s="0" t="str">
        <f aca="false">IF(D407&lt;5,"1) Under 5%",IF(D407&lt;10,"2) 5-9%",IF(D407&lt;15,"3) 10-14%",IF(D407&lt;25,"4) 15-24%","5) 25%+"))))</f>
        <v>1) Under 5%</v>
      </c>
      <c r="N407" s="0" t="str">
        <f aca="false">IF(F407&lt;50,"1) Under Rs 50",IF(F407&lt;100,"2) Rs 50-99",IF(F407&lt;200,"3) Rs 100-199",IF(F407&lt;500,"4) Rs 200-499","5) Rs 500+"))))</f>
        <v>4) Rs 200-499</v>
      </c>
      <c r="O407" s="0" t="n">
        <f aca="false">G407*E407/1000</f>
        <v>1.2</v>
      </c>
    </row>
    <row r="408" customFormat="false" ht="15" hidden="false" customHeight="false" outlineLevel="0" collapsed="false">
      <c r="A408" s="0" t="s">
        <v>96</v>
      </c>
      <c r="B408" s="0" t="s">
        <v>518</v>
      </c>
      <c r="C408" s="0" t="n">
        <v>50</v>
      </c>
      <c r="D408" s="0" t="n">
        <v>6</v>
      </c>
      <c r="E408" s="0" t="n">
        <v>4</v>
      </c>
      <c r="F408" s="0" t="n">
        <v>47</v>
      </c>
      <c r="G408" s="0" t="n">
        <v>100</v>
      </c>
      <c r="H408" s="0" t="s">
        <v>145</v>
      </c>
      <c r="I408" s="0" t="n">
        <v>100</v>
      </c>
      <c r="J408" s="0" t="n">
        <f aca="false">F408*E408</f>
        <v>188</v>
      </c>
      <c r="K408" s="0" t="str">
        <f aca="false">IF(G408&lt;1000,"1-Low",IF(G408&lt;5000,"2-Medium","3-Bulk"))</f>
        <v>1-Low</v>
      </c>
      <c r="L408" s="0" t="str">
        <f aca="false">IF(H408="TRUE","Out of stock","In stock")</f>
        <v>In stock</v>
      </c>
      <c r="M408" s="0" t="str">
        <f aca="false">IF(D408&lt;5,"1) Under 5%",IF(D408&lt;10,"2) 5-9%",IF(D408&lt;15,"3) 10-14%",IF(D408&lt;25,"4) 15-24%","5) 25%+"))))</f>
        <v>2) 5-9%</v>
      </c>
      <c r="N408" s="0" t="str">
        <f aca="false">IF(F408&lt;50,"1) Under Rs 50",IF(F408&lt;100,"2) Rs 50-99",IF(F408&lt;200,"3) Rs 100-199",IF(F408&lt;500,"4) Rs 200-499","5) Rs 500+"))))</f>
        <v>1) Under Rs 50</v>
      </c>
      <c r="O408" s="0" t="n">
        <f aca="false">G408*E408/1000</f>
        <v>0.4</v>
      </c>
    </row>
    <row r="409" customFormat="false" ht="15" hidden="false" customHeight="false" outlineLevel="0" collapsed="false">
      <c r="A409" s="0" t="s">
        <v>96</v>
      </c>
      <c r="B409" s="0" t="s">
        <v>519</v>
      </c>
      <c r="C409" s="0" t="n">
        <v>80</v>
      </c>
      <c r="D409" s="0" t="n">
        <v>10</v>
      </c>
      <c r="E409" s="0" t="n">
        <v>6</v>
      </c>
      <c r="F409" s="0" t="n">
        <v>72</v>
      </c>
      <c r="G409" s="0" t="n">
        <v>500</v>
      </c>
      <c r="H409" s="0" t="s">
        <v>145</v>
      </c>
      <c r="I409" s="0" t="n">
        <v>500</v>
      </c>
      <c r="J409" s="0" t="n">
        <f aca="false">F409*E409</f>
        <v>432</v>
      </c>
      <c r="K409" s="0" t="str">
        <f aca="false">IF(G409&lt;1000,"1-Low",IF(G409&lt;5000,"2-Medium","3-Bulk"))</f>
        <v>1-Low</v>
      </c>
      <c r="L409" s="0" t="str">
        <f aca="false">IF(H409="TRUE","Out of stock","In stock")</f>
        <v>In stock</v>
      </c>
      <c r="M409" s="0" t="str">
        <f aca="false">IF(D409&lt;5,"1) Under 5%",IF(D409&lt;10,"2) 5-9%",IF(D409&lt;15,"3) 10-14%",IF(D409&lt;25,"4) 15-24%","5) 25%+"))))</f>
        <v>3) 10-14%</v>
      </c>
      <c r="N409" s="0" t="str">
        <f aca="false">IF(F409&lt;50,"1) Under Rs 50",IF(F409&lt;100,"2) Rs 50-99",IF(F409&lt;200,"3) Rs 100-199",IF(F409&lt;500,"4) Rs 200-499","5) Rs 500+"))))</f>
        <v>2) Rs 50-99</v>
      </c>
      <c r="O409" s="0" t="n">
        <f aca="false">G409*E409/1000</f>
        <v>3</v>
      </c>
    </row>
    <row r="410" customFormat="false" ht="15" hidden="false" customHeight="false" outlineLevel="0" collapsed="false">
      <c r="A410" s="0" t="s">
        <v>96</v>
      </c>
      <c r="B410" s="0" t="s">
        <v>520</v>
      </c>
      <c r="C410" s="0" t="n">
        <v>475</v>
      </c>
      <c r="D410" s="0" t="n">
        <v>8</v>
      </c>
      <c r="E410" s="0" t="n">
        <v>2</v>
      </c>
      <c r="F410" s="0" t="n">
        <v>437</v>
      </c>
      <c r="G410" s="0" t="n">
        <v>1000</v>
      </c>
      <c r="H410" s="0" t="s">
        <v>145</v>
      </c>
      <c r="I410" s="0" t="n">
        <v>750</v>
      </c>
      <c r="J410" s="0" t="n">
        <f aca="false">F410*E410</f>
        <v>874</v>
      </c>
      <c r="K410" s="0" t="str">
        <f aca="false">IF(G410&lt;1000,"1-Low",IF(G410&lt;5000,"2-Medium","3-Bulk"))</f>
        <v>2-Medium</v>
      </c>
      <c r="L410" s="0" t="str">
        <f aca="false">IF(H410="TRUE","Out of stock","In stock")</f>
        <v>In stock</v>
      </c>
      <c r="M410" s="0" t="str">
        <f aca="false">IF(D410&lt;5,"1) Under 5%",IF(D410&lt;10,"2) 5-9%",IF(D410&lt;15,"3) 10-14%",IF(D410&lt;25,"4) 15-24%","5) 25%+"))))</f>
        <v>2) 5-9%</v>
      </c>
      <c r="N410" s="0" t="str">
        <f aca="false">IF(F410&lt;50,"1) Under Rs 50",IF(F410&lt;100,"2) Rs 50-99",IF(F410&lt;200,"3) Rs 100-199",IF(F410&lt;500,"4) Rs 200-499","5) Rs 500+"))))</f>
        <v>4) Rs 200-499</v>
      </c>
      <c r="O410" s="0" t="n">
        <f aca="false">G410*E410/1000</f>
        <v>2</v>
      </c>
    </row>
    <row r="411" customFormat="false" ht="15" hidden="false" customHeight="false" outlineLevel="0" collapsed="false">
      <c r="A411" s="0" t="s">
        <v>96</v>
      </c>
      <c r="B411" s="0" t="s">
        <v>521</v>
      </c>
      <c r="C411" s="0" t="n">
        <v>150</v>
      </c>
      <c r="D411" s="0" t="n">
        <v>14</v>
      </c>
      <c r="E411" s="0" t="n">
        <v>6</v>
      </c>
      <c r="F411" s="0" t="n">
        <v>128</v>
      </c>
      <c r="G411" s="0" t="n">
        <v>500</v>
      </c>
      <c r="H411" s="0" t="s">
        <v>145</v>
      </c>
      <c r="I411" s="0" t="n">
        <v>500</v>
      </c>
      <c r="J411" s="0" t="n">
        <f aca="false">F411*E411</f>
        <v>768</v>
      </c>
      <c r="K411" s="0" t="str">
        <f aca="false">IF(G411&lt;1000,"1-Low",IF(G411&lt;5000,"2-Medium","3-Bulk"))</f>
        <v>1-Low</v>
      </c>
      <c r="L411" s="0" t="str">
        <f aca="false">IF(H411="TRUE","Out of stock","In stock")</f>
        <v>In stock</v>
      </c>
      <c r="M411" s="0" t="str">
        <f aca="false">IF(D411&lt;5,"1) Under 5%",IF(D411&lt;10,"2) 5-9%",IF(D411&lt;15,"3) 10-14%",IF(D411&lt;25,"4) 15-24%","5) 25%+"))))</f>
        <v>3) 10-14%</v>
      </c>
      <c r="N411" s="0" t="str">
        <f aca="false">IF(F411&lt;50,"1) Under Rs 50",IF(F411&lt;100,"2) Rs 50-99",IF(F411&lt;200,"3) Rs 100-199",IF(F411&lt;500,"4) Rs 200-499","5) Rs 500+"))))</f>
        <v>3) Rs 100-199</v>
      </c>
      <c r="O411" s="0" t="n">
        <f aca="false">G411*E411/1000</f>
        <v>3</v>
      </c>
    </row>
    <row r="412" customFormat="false" ht="15" hidden="false" customHeight="false" outlineLevel="0" collapsed="false">
      <c r="A412" s="0" t="s">
        <v>96</v>
      </c>
      <c r="B412" s="0" t="s">
        <v>522</v>
      </c>
      <c r="C412" s="0" t="n">
        <v>60</v>
      </c>
      <c r="D412" s="0" t="n">
        <v>5</v>
      </c>
      <c r="E412" s="0" t="n">
        <v>5</v>
      </c>
      <c r="F412" s="0" t="n">
        <v>57</v>
      </c>
      <c r="G412" s="0" t="n">
        <v>200</v>
      </c>
      <c r="H412" s="0" t="s">
        <v>145</v>
      </c>
      <c r="I412" s="0" t="n">
        <v>200</v>
      </c>
      <c r="J412" s="0" t="n">
        <f aca="false">F412*E412</f>
        <v>285</v>
      </c>
      <c r="K412" s="0" t="str">
        <f aca="false">IF(G412&lt;1000,"1-Low",IF(G412&lt;5000,"2-Medium","3-Bulk"))</f>
        <v>1-Low</v>
      </c>
      <c r="L412" s="0" t="str">
        <f aca="false">IF(H412="TRUE","Out of stock","In stock")</f>
        <v>In stock</v>
      </c>
      <c r="M412" s="0" t="str">
        <f aca="false">IF(D412&lt;5,"1) Under 5%",IF(D412&lt;10,"2) 5-9%",IF(D412&lt;15,"3) 10-14%",IF(D412&lt;25,"4) 15-24%","5) 25%+"))))</f>
        <v>2) 5-9%</v>
      </c>
      <c r="N412" s="0" t="str">
        <f aca="false">IF(F412&lt;50,"1) Under Rs 50",IF(F412&lt;100,"2) Rs 50-99",IF(F412&lt;200,"3) Rs 100-199",IF(F412&lt;500,"4) Rs 200-499","5) Rs 500+"))))</f>
        <v>2) Rs 50-99</v>
      </c>
      <c r="O412" s="0" t="n">
        <f aca="false">G412*E412/1000</f>
        <v>1</v>
      </c>
    </row>
    <row r="413" customFormat="false" ht="15" hidden="false" customHeight="false" outlineLevel="0" collapsed="false">
      <c r="A413" s="0" t="s">
        <v>96</v>
      </c>
      <c r="B413" s="0" t="s">
        <v>523</v>
      </c>
      <c r="C413" s="0" t="n">
        <v>280</v>
      </c>
      <c r="D413" s="0" t="n">
        <v>7</v>
      </c>
      <c r="E413" s="0" t="n">
        <v>6</v>
      </c>
      <c r="F413" s="0" t="n">
        <v>260</v>
      </c>
      <c r="G413" s="0" t="n">
        <v>100</v>
      </c>
      <c r="H413" s="0" t="s">
        <v>145</v>
      </c>
      <c r="I413" s="0" t="n">
        <v>100</v>
      </c>
      <c r="J413" s="0" t="n">
        <f aca="false">F413*E413</f>
        <v>1560</v>
      </c>
      <c r="K413" s="0" t="str">
        <f aca="false">IF(G413&lt;1000,"1-Low",IF(G413&lt;5000,"2-Medium","3-Bulk"))</f>
        <v>1-Low</v>
      </c>
      <c r="L413" s="0" t="str">
        <f aca="false">IF(H413="TRUE","Out of stock","In stock")</f>
        <v>In stock</v>
      </c>
      <c r="M413" s="0" t="str">
        <f aca="false">IF(D413&lt;5,"1) Under 5%",IF(D413&lt;10,"2) 5-9%",IF(D413&lt;15,"3) 10-14%",IF(D413&lt;25,"4) 15-24%","5) 25%+"))))</f>
        <v>2) 5-9%</v>
      </c>
      <c r="N413" s="0" t="str">
        <f aca="false">IF(F413&lt;50,"1) Under Rs 50",IF(F413&lt;100,"2) Rs 50-99",IF(F413&lt;200,"3) Rs 100-199",IF(F413&lt;500,"4) Rs 200-499","5) Rs 500+"))))</f>
        <v>4) Rs 200-499</v>
      </c>
      <c r="O413" s="0" t="n">
        <f aca="false">G413*E413/1000</f>
        <v>0.6</v>
      </c>
    </row>
    <row r="414" customFormat="false" ht="15" hidden="false" customHeight="false" outlineLevel="0" collapsed="false">
      <c r="A414" s="0" t="s">
        <v>96</v>
      </c>
      <c r="B414" s="0" t="s">
        <v>524</v>
      </c>
      <c r="C414" s="0" t="n">
        <v>210</v>
      </c>
      <c r="D414" s="0" t="n">
        <v>0</v>
      </c>
      <c r="E414" s="0" t="n">
        <v>4</v>
      </c>
      <c r="F414" s="0" t="n">
        <v>210</v>
      </c>
      <c r="G414" s="0" t="n">
        <v>250</v>
      </c>
      <c r="H414" s="0" t="s">
        <v>145</v>
      </c>
      <c r="I414" s="0" t="n">
        <v>250</v>
      </c>
      <c r="J414" s="0" t="n">
        <f aca="false">F414*E414</f>
        <v>840</v>
      </c>
      <c r="K414" s="0" t="str">
        <f aca="false">IF(G414&lt;1000,"1-Low",IF(G414&lt;5000,"2-Medium","3-Bulk"))</f>
        <v>1-Low</v>
      </c>
      <c r="L414" s="0" t="str">
        <f aca="false">IF(H414="TRUE","Out of stock","In stock")</f>
        <v>In stock</v>
      </c>
      <c r="M414" s="0" t="str">
        <f aca="false">IF(D414&lt;5,"1) Under 5%",IF(D414&lt;10,"2) 5-9%",IF(D414&lt;15,"3) 10-14%",IF(D414&lt;25,"4) 15-24%","5) 25%+"))))</f>
        <v>1) Under 5%</v>
      </c>
      <c r="N414" s="0" t="str">
        <f aca="false">IF(F414&lt;50,"1) Under Rs 50",IF(F414&lt;100,"2) Rs 50-99",IF(F414&lt;200,"3) Rs 100-199",IF(F414&lt;500,"4) Rs 200-499","5) Rs 500+"))))</f>
        <v>4) Rs 200-499</v>
      </c>
      <c r="O414" s="0" t="n">
        <f aca="false">G414*E414/1000</f>
        <v>1</v>
      </c>
    </row>
    <row r="415" customFormat="false" ht="15" hidden="false" customHeight="false" outlineLevel="0" collapsed="false">
      <c r="A415" s="0" t="s">
        <v>96</v>
      </c>
      <c r="B415" s="0" t="s">
        <v>525</v>
      </c>
      <c r="C415" s="0" t="n">
        <v>250</v>
      </c>
      <c r="D415" s="0" t="n">
        <v>0</v>
      </c>
      <c r="E415" s="0" t="n">
        <v>5</v>
      </c>
      <c r="F415" s="0" t="n">
        <v>250</v>
      </c>
      <c r="G415" s="0" t="n">
        <v>500</v>
      </c>
      <c r="H415" s="0" t="s">
        <v>145</v>
      </c>
      <c r="I415" s="0" t="n">
        <v>500</v>
      </c>
      <c r="J415" s="0" t="n">
        <f aca="false">F415*E415</f>
        <v>1250</v>
      </c>
      <c r="K415" s="0" t="str">
        <f aca="false">IF(G415&lt;1000,"1-Low",IF(G415&lt;5000,"2-Medium","3-Bulk"))</f>
        <v>1-Low</v>
      </c>
      <c r="L415" s="0" t="str">
        <f aca="false">IF(H415="TRUE","Out of stock","In stock")</f>
        <v>In stock</v>
      </c>
      <c r="M415" s="0" t="str">
        <f aca="false">IF(D415&lt;5,"1) Under 5%",IF(D415&lt;10,"2) 5-9%",IF(D415&lt;15,"3) 10-14%",IF(D415&lt;25,"4) 15-24%","5) 25%+"))))</f>
        <v>1) Under 5%</v>
      </c>
      <c r="N415" s="0" t="str">
        <f aca="false">IF(F415&lt;50,"1) Under Rs 50",IF(F415&lt;100,"2) Rs 50-99",IF(F415&lt;200,"3) Rs 100-199",IF(F415&lt;500,"4) Rs 200-499","5) Rs 500+"))))</f>
        <v>4) Rs 200-499</v>
      </c>
      <c r="O415" s="0" t="n">
        <f aca="false">G415*E415/1000</f>
        <v>2.5</v>
      </c>
    </row>
    <row r="416" customFormat="false" ht="15" hidden="false" customHeight="false" outlineLevel="0" collapsed="false">
      <c r="A416" s="0" t="s">
        <v>96</v>
      </c>
      <c r="B416" s="0" t="s">
        <v>526</v>
      </c>
      <c r="C416" s="0" t="n">
        <v>82</v>
      </c>
      <c r="D416" s="0" t="n">
        <v>10</v>
      </c>
      <c r="E416" s="0" t="n">
        <v>5</v>
      </c>
      <c r="F416" s="0" t="n">
        <v>73</v>
      </c>
      <c r="G416" s="0" t="n">
        <v>100</v>
      </c>
      <c r="H416" s="0" t="s">
        <v>145</v>
      </c>
      <c r="I416" s="0" t="n">
        <v>100</v>
      </c>
      <c r="J416" s="0" t="n">
        <f aca="false">F416*E416</f>
        <v>365</v>
      </c>
      <c r="K416" s="0" t="str">
        <f aca="false">IF(G416&lt;1000,"1-Low",IF(G416&lt;5000,"2-Medium","3-Bulk"))</f>
        <v>1-Low</v>
      </c>
      <c r="L416" s="0" t="str">
        <f aca="false">IF(H416="TRUE","Out of stock","In stock")</f>
        <v>In stock</v>
      </c>
      <c r="M416" s="0" t="str">
        <f aca="false">IF(D416&lt;5,"1) Under 5%",IF(D416&lt;10,"2) 5-9%",IF(D416&lt;15,"3) 10-14%",IF(D416&lt;25,"4) 15-24%","5) 25%+"))))</f>
        <v>3) 10-14%</v>
      </c>
      <c r="N416" s="0" t="str">
        <f aca="false">IF(F416&lt;50,"1) Under Rs 50",IF(F416&lt;100,"2) Rs 50-99",IF(F416&lt;200,"3) Rs 100-199",IF(F416&lt;500,"4) Rs 200-499","5) Rs 500+"))))</f>
        <v>2) Rs 50-99</v>
      </c>
      <c r="O416" s="0" t="n">
        <f aca="false">G416*E416/1000</f>
        <v>0.5</v>
      </c>
    </row>
    <row r="417" customFormat="false" ht="15" hidden="false" customHeight="false" outlineLevel="0" collapsed="false">
      <c r="A417" s="0" t="s">
        <v>96</v>
      </c>
      <c r="B417" s="0" t="s">
        <v>527</v>
      </c>
      <c r="C417" s="0" t="n">
        <v>75</v>
      </c>
      <c r="D417" s="0" t="n">
        <v>30</v>
      </c>
      <c r="E417" s="0" t="n">
        <v>6</v>
      </c>
      <c r="F417" s="0" t="n">
        <v>52</v>
      </c>
      <c r="G417" s="0" t="n">
        <v>200</v>
      </c>
      <c r="H417" s="0" t="s">
        <v>145</v>
      </c>
      <c r="I417" s="0" t="n">
        <v>200</v>
      </c>
      <c r="J417" s="0" t="n">
        <f aca="false">F417*E417</f>
        <v>312</v>
      </c>
      <c r="K417" s="0" t="str">
        <f aca="false">IF(G417&lt;1000,"1-Low",IF(G417&lt;5000,"2-Medium","3-Bulk"))</f>
        <v>1-Low</v>
      </c>
      <c r="L417" s="0" t="str">
        <f aca="false">IF(H417="TRUE","Out of stock","In stock")</f>
        <v>In stock</v>
      </c>
      <c r="M417" s="0" t="str">
        <f aca="false">IF(D417&lt;5,"1) Under 5%",IF(D417&lt;10,"2) 5-9%",IF(D417&lt;15,"3) 10-14%",IF(D417&lt;25,"4) 15-24%","5) 25%+"))))</f>
        <v>5) 25%+</v>
      </c>
      <c r="N417" s="0" t="str">
        <f aca="false">IF(F417&lt;50,"1) Under Rs 50",IF(F417&lt;100,"2) Rs 50-99",IF(F417&lt;200,"3) Rs 100-199",IF(F417&lt;500,"4) Rs 200-499","5) Rs 500+"))))</f>
        <v>2) Rs 50-99</v>
      </c>
      <c r="O417" s="0" t="n">
        <f aca="false">G417*E417/1000</f>
        <v>1.2</v>
      </c>
    </row>
    <row r="418" customFormat="false" ht="15" hidden="false" customHeight="false" outlineLevel="0" collapsed="false">
      <c r="A418" s="0" t="s">
        <v>96</v>
      </c>
      <c r="B418" s="0" t="s">
        <v>528</v>
      </c>
      <c r="C418" s="0" t="n">
        <v>270</v>
      </c>
      <c r="D418" s="0" t="n">
        <v>10</v>
      </c>
      <c r="E418" s="0" t="n">
        <v>4</v>
      </c>
      <c r="F418" s="0" t="n">
        <v>243</v>
      </c>
      <c r="G418" s="0" t="n">
        <v>225</v>
      </c>
      <c r="H418" s="0" t="s">
        <v>145</v>
      </c>
      <c r="I418" s="0" t="n">
        <v>225</v>
      </c>
      <c r="J418" s="0" t="n">
        <f aca="false">F418*E418</f>
        <v>972</v>
      </c>
      <c r="K418" s="0" t="str">
        <f aca="false">IF(G418&lt;1000,"1-Low",IF(G418&lt;5000,"2-Medium","3-Bulk"))</f>
        <v>1-Low</v>
      </c>
      <c r="L418" s="0" t="str">
        <f aca="false">IF(H418="TRUE","Out of stock","In stock")</f>
        <v>In stock</v>
      </c>
      <c r="M418" s="0" t="str">
        <f aca="false">IF(D418&lt;5,"1) Under 5%",IF(D418&lt;10,"2) 5-9%",IF(D418&lt;15,"3) 10-14%",IF(D418&lt;25,"4) 15-24%","5) 25%+"))))</f>
        <v>3) 10-14%</v>
      </c>
      <c r="N418" s="0" t="str">
        <f aca="false">IF(F418&lt;50,"1) Under Rs 50",IF(F418&lt;100,"2) Rs 50-99",IF(F418&lt;200,"3) Rs 100-199",IF(F418&lt;500,"4) Rs 200-499","5) Rs 500+"))))</f>
        <v>4) Rs 200-499</v>
      </c>
      <c r="O418" s="0" t="n">
        <f aca="false">G418*E418/1000</f>
        <v>0.9</v>
      </c>
    </row>
    <row r="419" customFormat="false" ht="15" hidden="false" customHeight="false" outlineLevel="0" collapsed="false">
      <c r="A419" s="0" t="s">
        <v>96</v>
      </c>
      <c r="B419" s="0" t="s">
        <v>529</v>
      </c>
      <c r="C419" s="0" t="n">
        <v>45</v>
      </c>
      <c r="D419" s="0" t="n">
        <v>2</v>
      </c>
      <c r="E419" s="0" t="n">
        <v>6</v>
      </c>
      <c r="F419" s="0" t="n">
        <v>44</v>
      </c>
      <c r="G419" s="0" t="n">
        <v>90</v>
      </c>
      <c r="H419" s="0" t="s">
        <v>145</v>
      </c>
      <c r="I419" s="0" t="n">
        <v>90</v>
      </c>
      <c r="J419" s="0" t="n">
        <f aca="false">F419*E419</f>
        <v>264</v>
      </c>
      <c r="K419" s="0" t="str">
        <f aca="false">IF(G419&lt;1000,"1-Low",IF(G419&lt;5000,"2-Medium","3-Bulk"))</f>
        <v>1-Low</v>
      </c>
      <c r="L419" s="0" t="str">
        <f aca="false">IF(H419="TRUE","Out of stock","In stock")</f>
        <v>In stock</v>
      </c>
      <c r="M419" s="0" t="str">
        <f aca="false">IF(D419&lt;5,"1) Under 5%",IF(D419&lt;10,"2) 5-9%",IF(D419&lt;15,"3) 10-14%",IF(D419&lt;25,"4) 15-24%","5) 25%+"))))</f>
        <v>1) Under 5%</v>
      </c>
      <c r="N419" s="0" t="str">
        <f aca="false">IF(F419&lt;50,"1) Under Rs 50",IF(F419&lt;100,"2) Rs 50-99",IF(F419&lt;200,"3) Rs 100-199",IF(F419&lt;500,"4) Rs 200-499","5) Rs 500+"))))</f>
        <v>1) Under Rs 50</v>
      </c>
      <c r="O419" s="0" t="n">
        <f aca="false">G419*E419/1000</f>
        <v>0.54</v>
      </c>
    </row>
    <row r="420" customFormat="false" ht="15" hidden="false" customHeight="false" outlineLevel="0" collapsed="false">
      <c r="A420" s="0" t="s">
        <v>96</v>
      </c>
      <c r="B420" s="0" t="s">
        <v>530</v>
      </c>
      <c r="C420" s="0" t="n">
        <v>130</v>
      </c>
      <c r="D420" s="0" t="n">
        <v>10</v>
      </c>
      <c r="E420" s="0" t="n">
        <v>5</v>
      </c>
      <c r="F420" s="0" t="n">
        <v>117</v>
      </c>
      <c r="G420" s="0" t="n">
        <v>100</v>
      </c>
      <c r="H420" s="0" t="s">
        <v>145</v>
      </c>
      <c r="I420" s="0" t="n">
        <v>100</v>
      </c>
      <c r="J420" s="0" t="n">
        <f aca="false">F420*E420</f>
        <v>585</v>
      </c>
      <c r="K420" s="0" t="str">
        <f aca="false">IF(G420&lt;1000,"1-Low",IF(G420&lt;5000,"2-Medium","3-Bulk"))</f>
        <v>1-Low</v>
      </c>
      <c r="L420" s="0" t="str">
        <f aca="false">IF(H420="TRUE","Out of stock","In stock")</f>
        <v>In stock</v>
      </c>
      <c r="M420" s="0" t="str">
        <f aca="false">IF(D420&lt;5,"1) Under 5%",IF(D420&lt;10,"2) 5-9%",IF(D420&lt;15,"3) 10-14%",IF(D420&lt;25,"4) 15-24%","5) 25%+"))))</f>
        <v>3) 10-14%</v>
      </c>
      <c r="N420" s="0" t="str">
        <f aca="false">IF(F420&lt;50,"1) Under Rs 50",IF(F420&lt;100,"2) Rs 50-99",IF(F420&lt;200,"3) Rs 100-199",IF(F420&lt;500,"4) Rs 200-499","5) Rs 500+"))))</f>
        <v>3) Rs 100-199</v>
      </c>
      <c r="O420" s="0" t="n">
        <f aca="false">G420*E420/1000</f>
        <v>0.5</v>
      </c>
    </row>
    <row r="421" customFormat="false" ht="15" hidden="false" customHeight="false" outlineLevel="0" collapsed="false">
      <c r="A421" s="0" t="s">
        <v>96</v>
      </c>
      <c r="B421" s="0" t="s">
        <v>531</v>
      </c>
      <c r="C421" s="0" t="n">
        <v>380</v>
      </c>
      <c r="D421" s="0" t="n">
        <v>2</v>
      </c>
      <c r="E421" s="0" t="n">
        <v>4</v>
      </c>
      <c r="F421" s="0" t="n">
        <v>372</v>
      </c>
      <c r="G421" s="0" t="n">
        <v>1000</v>
      </c>
      <c r="H421" s="0" t="s">
        <v>145</v>
      </c>
      <c r="I421" s="0" t="n">
        <v>1</v>
      </c>
      <c r="J421" s="0" t="n">
        <f aca="false">F421*E421</f>
        <v>1488</v>
      </c>
      <c r="K421" s="0" t="str">
        <f aca="false">IF(G421&lt;1000,"1-Low",IF(G421&lt;5000,"2-Medium","3-Bulk"))</f>
        <v>2-Medium</v>
      </c>
      <c r="L421" s="0" t="str">
        <f aca="false">IF(H421="TRUE","Out of stock","In stock")</f>
        <v>In stock</v>
      </c>
      <c r="M421" s="0" t="str">
        <f aca="false">IF(D421&lt;5,"1) Under 5%",IF(D421&lt;10,"2) 5-9%",IF(D421&lt;15,"3) 10-14%",IF(D421&lt;25,"4) 15-24%","5) 25%+"))))</f>
        <v>1) Under 5%</v>
      </c>
      <c r="N421" s="0" t="str">
        <f aca="false">IF(F421&lt;50,"1) Under Rs 50",IF(F421&lt;100,"2) Rs 50-99",IF(F421&lt;200,"3) Rs 100-199",IF(F421&lt;500,"4) Rs 200-499","5) Rs 500+"))))</f>
        <v>4) Rs 200-499</v>
      </c>
      <c r="O421" s="0" t="n">
        <f aca="false">G421*E421/1000</f>
        <v>4</v>
      </c>
    </row>
    <row r="422" customFormat="false" ht="15" hidden="false" customHeight="false" outlineLevel="0" collapsed="false">
      <c r="A422" s="0" t="s">
        <v>96</v>
      </c>
      <c r="B422" s="0" t="s">
        <v>532</v>
      </c>
      <c r="C422" s="0" t="n">
        <v>75</v>
      </c>
      <c r="D422" s="0" t="n">
        <v>30</v>
      </c>
      <c r="E422" s="0" t="n">
        <v>5</v>
      </c>
      <c r="F422" s="0" t="n">
        <v>52</v>
      </c>
      <c r="G422" s="0" t="n">
        <v>80</v>
      </c>
      <c r="H422" s="0" t="s">
        <v>145</v>
      </c>
      <c r="I422" s="0" t="n">
        <v>80</v>
      </c>
      <c r="J422" s="0" t="n">
        <f aca="false">F422*E422</f>
        <v>260</v>
      </c>
      <c r="K422" s="0" t="str">
        <f aca="false">IF(G422&lt;1000,"1-Low",IF(G422&lt;5000,"2-Medium","3-Bulk"))</f>
        <v>1-Low</v>
      </c>
      <c r="L422" s="0" t="str">
        <f aca="false">IF(H422="TRUE","Out of stock","In stock")</f>
        <v>In stock</v>
      </c>
      <c r="M422" s="0" t="str">
        <f aca="false">IF(D422&lt;5,"1) Under 5%",IF(D422&lt;10,"2) 5-9%",IF(D422&lt;15,"3) 10-14%",IF(D422&lt;25,"4) 15-24%","5) 25%+"))))</f>
        <v>5) 25%+</v>
      </c>
      <c r="N422" s="0" t="str">
        <f aca="false">IF(F422&lt;50,"1) Under Rs 50",IF(F422&lt;100,"2) Rs 50-99",IF(F422&lt;200,"3) Rs 100-199",IF(F422&lt;500,"4) Rs 200-499","5) Rs 500+"))))</f>
        <v>2) Rs 50-99</v>
      </c>
      <c r="O422" s="0" t="n">
        <f aca="false">G422*E422/1000</f>
        <v>0.4</v>
      </c>
    </row>
    <row r="423" customFormat="false" ht="15" hidden="false" customHeight="false" outlineLevel="0" collapsed="false">
      <c r="A423" s="0" t="s">
        <v>96</v>
      </c>
      <c r="B423" s="0" t="s">
        <v>533</v>
      </c>
      <c r="C423" s="0" t="n">
        <v>50</v>
      </c>
      <c r="D423" s="0" t="n">
        <v>2</v>
      </c>
      <c r="E423" s="0" t="n">
        <v>6</v>
      </c>
      <c r="F423" s="0" t="n">
        <v>49</v>
      </c>
      <c r="G423" s="0" t="n">
        <v>20</v>
      </c>
      <c r="H423" s="0" t="s">
        <v>145</v>
      </c>
      <c r="I423" s="0" t="n">
        <v>20</v>
      </c>
      <c r="J423" s="0" t="n">
        <f aca="false">F423*E423</f>
        <v>294</v>
      </c>
      <c r="K423" s="0" t="str">
        <f aca="false">IF(G423&lt;1000,"1-Low",IF(G423&lt;5000,"2-Medium","3-Bulk"))</f>
        <v>1-Low</v>
      </c>
      <c r="L423" s="0" t="str">
        <f aca="false">IF(H423="TRUE","Out of stock","In stock")</f>
        <v>In stock</v>
      </c>
      <c r="M423" s="0" t="str">
        <f aca="false">IF(D423&lt;5,"1) Under 5%",IF(D423&lt;10,"2) 5-9%",IF(D423&lt;15,"3) 10-14%",IF(D423&lt;25,"4) 15-24%","5) 25%+"))))</f>
        <v>1) Under 5%</v>
      </c>
      <c r="N423" s="0" t="str">
        <f aca="false">IF(F423&lt;50,"1) Under Rs 50",IF(F423&lt;100,"2) Rs 50-99",IF(F423&lt;200,"3) Rs 100-199",IF(F423&lt;500,"4) Rs 200-499","5) Rs 500+"))))</f>
        <v>1) Under Rs 50</v>
      </c>
      <c r="O423" s="0" t="n">
        <f aca="false">G423*E423/1000</f>
        <v>0.12</v>
      </c>
    </row>
    <row r="424" customFormat="false" ht="15" hidden="false" customHeight="false" outlineLevel="0" collapsed="false">
      <c r="A424" s="0" t="s">
        <v>96</v>
      </c>
      <c r="B424" s="0" t="s">
        <v>534</v>
      </c>
      <c r="C424" s="0" t="n">
        <v>50</v>
      </c>
      <c r="D424" s="0" t="n">
        <v>6</v>
      </c>
      <c r="E424" s="0" t="n">
        <v>6</v>
      </c>
      <c r="F424" s="0" t="n">
        <v>47</v>
      </c>
      <c r="G424" s="0" t="n">
        <v>200</v>
      </c>
      <c r="H424" s="0" t="s">
        <v>145</v>
      </c>
      <c r="I424" s="0" t="n">
        <v>200</v>
      </c>
      <c r="J424" s="0" t="n">
        <f aca="false">F424*E424</f>
        <v>282</v>
      </c>
      <c r="K424" s="0" t="str">
        <f aca="false">IF(G424&lt;1000,"1-Low",IF(G424&lt;5000,"2-Medium","3-Bulk"))</f>
        <v>1-Low</v>
      </c>
      <c r="L424" s="0" t="str">
        <f aca="false">IF(H424="TRUE","Out of stock","In stock")</f>
        <v>In stock</v>
      </c>
      <c r="M424" s="0" t="str">
        <f aca="false">IF(D424&lt;5,"1) Under 5%",IF(D424&lt;10,"2) 5-9%",IF(D424&lt;15,"3) 10-14%",IF(D424&lt;25,"4) 15-24%","5) 25%+"))))</f>
        <v>2) 5-9%</v>
      </c>
      <c r="N424" s="0" t="str">
        <f aca="false">IF(F424&lt;50,"1) Under Rs 50",IF(F424&lt;100,"2) Rs 50-99",IF(F424&lt;200,"3) Rs 100-199",IF(F424&lt;500,"4) Rs 200-499","5) Rs 500+"))))</f>
        <v>1) Under Rs 50</v>
      </c>
      <c r="O424" s="0" t="n">
        <f aca="false">G424*E424/1000</f>
        <v>1.2</v>
      </c>
    </row>
    <row r="425" customFormat="false" ht="15" hidden="false" customHeight="false" outlineLevel="0" collapsed="false">
      <c r="A425" s="0" t="s">
        <v>96</v>
      </c>
      <c r="B425" s="0" t="s">
        <v>535</v>
      </c>
      <c r="C425" s="0" t="n">
        <v>120</v>
      </c>
      <c r="D425" s="0" t="n">
        <v>10</v>
      </c>
      <c r="E425" s="0" t="n">
        <v>5</v>
      </c>
      <c r="F425" s="0" t="n">
        <v>108</v>
      </c>
      <c r="G425" s="0" t="n">
        <v>500</v>
      </c>
      <c r="H425" s="0" t="s">
        <v>145</v>
      </c>
      <c r="I425" s="0" t="n">
        <v>500</v>
      </c>
      <c r="J425" s="0" t="n">
        <f aca="false">F425*E425</f>
        <v>540</v>
      </c>
      <c r="K425" s="0" t="str">
        <f aca="false">IF(G425&lt;1000,"1-Low",IF(G425&lt;5000,"2-Medium","3-Bulk"))</f>
        <v>1-Low</v>
      </c>
      <c r="L425" s="0" t="str">
        <f aca="false">IF(H425="TRUE","Out of stock","In stock")</f>
        <v>In stock</v>
      </c>
      <c r="M425" s="0" t="str">
        <f aca="false">IF(D425&lt;5,"1) Under 5%",IF(D425&lt;10,"2) 5-9%",IF(D425&lt;15,"3) 10-14%",IF(D425&lt;25,"4) 15-24%","5) 25%+"))))</f>
        <v>3) 10-14%</v>
      </c>
      <c r="N425" s="0" t="str">
        <f aca="false">IF(F425&lt;50,"1) Under Rs 50",IF(F425&lt;100,"2) Rs 50-99",IF(F425&lt;200,"3) Rs 100-199",IF(F425&lt;500,"4) Rs 200-499","5) Rs 500+"))))</f>
        <v>3) Rs 100-199</v>
      </c>
      <c r="O425" s="0" t="n">
        <f aca="false">G425*E425/1000</f>
        <v>2.5</v>
      </c>
    </row>
    <row r="426" customFormat="false" ht="15" hidden="false" customHeight="false" outlineLevel="0" collapsed="false">
      <c r="A426" s="0" t="s">
        <v>96</v>
      </c>
      <c r="B426" s="0" t="s">
        <v>536</v>
      </c>
      <c r="C426" s="0" t="n">
        <v>276</v>
      </c>
      <c r="D426" s="0" t="n">
        <v>10</v>
      </c>
      <c r="E426" s="0" t="n">
        <v>6</v>
      </c>
      <c r="F426" s="0" t="n">
        <v>248</v>
      </c>
      <c r="G426" s="0" t="n">
        <v>1500</v>
      </c>
      <c r="H426" s="0" t="s">
        <v>145</v>
      </c>
      <c r="I426" s="0" t="n">
        <v>1</v>
      </c>
      <c r="J426" s="0" t="n">
        <f aca="false">F426*E426</f>
        <v>1488</v>
      </c>
      <c r="K426" s="0" t="str">
        <f aca="false">IF(G426&lt;1000,"1-Low",IF(G426&lt;5000,"2-Medium","3-Bulk"))</f>
        <v>2-Medium</v>
      </c>
      <c r="L426" s="0" t="str">
        <f aca="false">IF(H426="TRUE","Out of stock","In stock")</f>
        <v>In stock</v>
      </c>
      <c r="M426" s="0" t="str">
        <f aca="false">IF(D426&lt;5,"1) Under 5%",IF(D426&lt;10,"2) 5-9%",IF(D426&lt;15,"3) 10-14%",IF(D426&lt;25,"4) 15-24%","5) 25%+"))))</f>
        <v>3) 10-14%</v>
      </c>
      <c r="N426" s="0" t="str">
        <f aca="false">IF(F426&lt;50,"1) Under Rs 50",IF(F426&lt;100,"2) Rs 50-99",IF(F426&lt;200,"3) Rs 100-199",IF(F426&lt;500,"4) Rs 200-499","5) Rs 500+"))))</f>
        <v>4) Rs 200-499</v>
      </c>
      <c r="O426" s="0" t="n">
        <f aca="false">G426*E426/1000</f>
        <v>9</v>
      </c>
    </row>
    <row r="427" customFormat="false" ht="15" hidden="false" customHeight="false" outlineLevel="0" collapsed="false">
      <c r="A427" s="0" t="s">
        <v>96</v>
      </c>
      <c r="B427" s="0" t="s">
        <v>537</v>
      </c>
      <c r="C427" s="0" t="n">
        <v>145</v>
      </c>
      <c r="D427" s="0" t="n">
        <v>15</v>
      </c>
      <c r="E427" s="0" t="n">
        <v>4</v>
      </c>
      <c r="F427" s="0" t="n">
        <v>122</v>
      </c>
      <c r="G427" s="0" t="n">
        <v>500</v>
      </c>
      <c r="H427" s="0" t="s">
        <v>145</v>
      </c>
      <c r="I427" s="0" t="n">
        <v>500</v>
      </c>
      <c r="J427" s="0" t="n">
        <f aca="false">F427*E427</f>
        <v>488</v>
      </c>
      <c r="K427" s="0" t="str">
        <f aca="false">IF(G427&lt;1000,"1-Low",IF(G427&lt;5000,"2-Medium","3-Bulk"))</f>
        <v>1-Low</v>
      </c>
      <c r="L427" s="0" t="str">
        <f aca="false">IF(H427="TRUE","Out of stock","In stock")</f>
        <v>In stock</v>
      </c>
      <c r="M427" s="0" t="str">
        <f aca="false">IF(D427&lt;5,"1) Under 5%",IF(D427&lt;10,"2) 5-9%",IF(D427&lt;15,"3) 10-14%",IF(D427&lt;25,"4) 15-24%","5) 25%+"))))</f>
        <v>4) 15-24%</v>
      </c>
      <c r="N427" s="0" t="str">
        <f aca="false">IF(F427&lt;50,"1) Under Rs 50",IF(F427&lt;100,"2) Rs 50-99",IF(F427&lt;200,"3) Rs 100-199",IF(F427&lt;500,"4) Rs 200-499","5) Rs 500+"))))</f>
        <v>3) Rs 100-199</v>
      </c>
      <c r="O427" s="0" t="n">
        <f aca="false">G427*E427/1000</f>
        <v>2</v>
      </c>
    </row>
    <row r="428" customFormat="false" ht="15" hidden="false" customHeight="false" outlineLevel="0" collapsed="false">
      <c r="A428" s="0" t="s">
        <v>96</v>
      </c>
      <c r="B428" s="0" t="s">
        <v>538</v>
      </c>
      <c r="C428" s="0" t="n">
        <v>40</v>
      </c>
      <c r="D428" s="0" t="n">
        <v>2</v>
      </c>
      <c r="E428" s="0" t="n">
        <v>2</v>
      </c>
      <c r="F428" s="0" t="n">
        <v>39</v>
      </c>
      <c r="G428" s="0" t="n">
        <v>100</v>
      </c>
      <c r="H428" s="0" t="s">
        <v>145</v>
      </c>
      <c r="I428" s="0" t="n">
        <v>100</v>
      </c>
      <c r="J428" s="0" t="n">
        <f aca="false">F428*E428</f>
        <v>78</v>
      </c>
      <c r="K428" s="0" t="str">
        <f aca="false">IF(G428&lt;1000,"1-Low",IF(G428&lt;5000,"2-Medium","3-Bulk"))</f>
        <v>1-Low</v>
      </c>
      <c r="L428" s="0" t="str">
        <f aca="false">IF(H428="TRUE","Out of stock","In stock")</f>
        <v>In stock</v>
      </c>
      <c r="M428" s="0" t="str">
        <f aca="false">IF(D428&lt;5,"1) Under 5%",IF(D428&lt;10,"2) 5-9%",IF(D428&lt;15,"3) 10-14%",IF(D428&lt;25,"4) 15-24%","5) 25%+"))))</f>
        <v>1) Under 5%</v>
      </c>
      <c r="N428" s="0" t="str">
        <f aca="false">IF(F428&lt;50,"1) Under Rs 50",IF(F428&lt;100,"2) Rs 50-99",IF(F428&lt;200,"3) Rs 100-199",IF(F428&lt;500,"4) Rs 200-499","5) Rs 500+"))))</f>
        <v>1) Under Rs 50</v>
      </c>
      <c r="O428" s="0" t="n">
        <f aca="false">G428*E428/1000</f>
        <v>0.2</v>
      </c>
    </row>
    <row r="429" customFormat="false" ht="15" hidden="false" customHeight="false" outlineLevel="0" collapsed="false">
      <c r="A429" s="0" t="s">
        <v>96</v>
      </c>
      <c r="B429" s="0" t="s">
        <v>539</v>
      </c>
      <c r="C429" s="0" t="n">
        <v>90</v>
      </c>
      <c r="D429" s="0" t="n">
        <v>10</v>
      </c>
      <c r="E429" s="0" t="n">
        <v>6</v>
      </c>
      <c r="F429" s="0" t="n">
        <v>81</v>
      </c>
      <c r="G429" s="0" t="n">
        <v>500</v>
      </c>
      <c r="H429" s="0" t="s">
        <v>145</v>
      </c>
      <c r="I429" s="0" t="n">
        <v>500</v>
      </c>
      <c r="J429" s="0" t="n">
        <f aca="false">F429*E429</f>
        <v>486</v>
      </c>
      <c r="K429" s="0" t="str">
        <f aca="false">IF(G429&lt;1000,"1-Low",IF(G429&lt;5000,"2-Medium","3-Bulk"))</f>
        <v>1-Low</v>
      </c>
      <c r="L429" s="0" t="str">
        <f aca="false">IF(H429="TRUE","Out of stock","In stock")</f>
        <v>In stock</v>
      </c>
      <c r="M429" s="0" t="str">
        <f aca="false">IF(D429&lt;5,"1) Under 5%",IF(D429&lt;10,"2) 5-9%",IF(D429&lt;15,"3) 10-14%",IF(D429&lt;25,"4) 15-24%","5) 25%+"))))</f>
        <v>3) 10-14%</v>
      </c>
      <c r="N429" s="0" t="str">
        <f aca="false">IF(F429&lt;50,"1) Under Rs 50",IF(F429&lt;100,"2) Rs 50-99",IF(F429&lt;200,"3) Rs 100-199",IF(F429&lt;500,"4) Rs 200-499","5) Rs 500+"))))</f>
        <v>2) Rs 50-99</v>
      </c>
      <c r="O429" s="0" t="n">
        <f aca="false">G429*E429/1000</f>
        <v>3</v>
      </c>
    </row>
    <row r="430" customFormat="false" ht="15" hidden="false" customHeight="false" outlineLevel="0" collapsed="false">
      <c r="A430" s="0" t="s">
        <v>96</v>
      </c>
      <c r="B430" s="0" t="s">
        <v>540</v>
      </c>
      <c r="C430" s="0" t="n">
        <v>109</v>
      </c>
      <c r="D430" s="0" t="n">
        <v>17</v>
      </c>
      <c r="E430" s="0" t="n">
        <v>6</v>
      </c>
      <c r="F430" s="0" t="n">
        <v>90</v>
      </c>
      <c r="G430" s="0" t="n">
        <v>45</v>
      </c>
      <c r="H430" s="0" t="s">
        <v>145</v>
      </c>
      <c r="I430" s="0" t="n">
        <v>45</v>
      </c>
      <c r="J430" s="0" t="n">
        <f aca="false">F430*E430</f>
        <v>540</v>
      </c>
      <c r="K430" s="0" t="str">
        <f aca="false">IF(G430&lt;1000,"1-Low",IF(G430&lt;5000,"2-Medium","3-Bulk"))</f>
        <v>1-Low</v>
      </c>
      <c r="L430" s="0" t="str">
        <f aca="false">IF(H430="TRUE","Out of stock","In stock")</f>
        <v>In stock</v>
      </c>
      <c r="M430" s="0" t="str">
        <f aca="false">IF(D430&lt;5,"1) Under 5%",IF(D430&lt;10,"2) 5-9%",IF(D430&lt;15,"3) 10-14%",IF(D430&lt;25,"4) 15-24%","5) 25%+"))))</f>
        <v>4) 15-24%</v>
      </c>
      <c r="N430" s="0" t="str">
        <f aca="false">IF(F430&lt;50,"1) Under Rs 50",IF(F430&lt;100,"2) Rs 50-99",IF(F430&lt;200,"3) Rs 100-199",IF(F430&lt;500,"4) Rs 200-499","5) Rs 500+"))))</f>
        <v>2) Rs 50-99</v>
      </c>
      <c r="O430" s="0" t="n">
        <f aca="false">G430*E430/1000</f>
        <v>0.27</v>
      </c>
    </row>
    <row r="431" customFormat="false" ht="15" hidden="false" customHeight="false" outlineLevel="0" collapsed="false">
      <c r="A431" s="0" t="s">
        <v>96</v>
      </c>
      <c r="B431" s="0" t="s">
        <v>541</v>
      </c>
      <c r="C431" s="0" t="n">
        <v>109</v>
      </c>
      <c r="D431" s="0" t="n">
        <v>20</v>
      </c>
      <c r="E431" s="0" t="n">
        <v>6</v>
      </c>
      <c r="F431" s="0" t="n">
        <v>87</v>
      </c>
      <c r="G431" s="0" t="n">
        <v>80</v>
      </c>
      <c r="H431" s="0" t="s">
        <v>145</v>
      </c>
      <c r="I431" s="0" t="n">
        <v>80</v>
      </c>
      <c r="J431" s="0" t="n">
        <f aca="false">F431*E431</f>
        <v>522</v>
      </c>
      <c r="K431" s="0" t="str">
        <f aca="false">IF(G431&lt;1000,"1-Low",IF(G431&lt;5000,"2-Medium","3-Bulk"))</f>
        <v>1-Low</v>
      </c>
      <c r="L431" s="0" t="str">
        <f aca="false">IF(H431="TRUE","Out of stock","In stock")</f>
        <v>In stock</v>
      </c>
      <c r="M431" s="0" t="str">
        <f aca="false">IF(D431&lt;5,"1) Under 5%",IF(D431&lt;10,"2) 5-9%",IF(D431&lt;15,"3) 10-14%",IF(D431&lt;25,"4) 15-24%","5) 25%+"))))</f>
        <v>4) 15-24%</v>
      </c>
      <c r="N431" s="0" t="str">
        <f aca="false">IF(F431&lt;50,"1) Under Rs 50",IF(F431&lt;100,"2) Rs 50-99",IF(F431&lt;200,"3) Rs 100-199",IF(F431&lt;500,"4) Rs 200-499","5) Rs 500+"))))</f>
        <v>2) Rs 50-99</v>
      </c>
      <c r="O431" s="0" t="n">
        <f aca="false">G431*E431/1000</f>
        <v>0.48</v>
      </c>
    </row>
    <row r="432" customFormat="false" ht="15" hidden="false" customHeight="false" outlineLevel="0" collapsed="false">
      <c r="A432" s="0" t="s">
        <v>96</v>
      </c>
      <c r="B432" s="0" t="s">
        <v>542</v>
      </c>
      <c r="C432" s="0" t="n">
        <v>135</v>
      </c>
      <c r="D432" s="0" t="n">
        <v>7</v>
      </c>
      <c r="E432" s="0" t="n">
        <v>6</v>
      </c>
      <c r="F432" s="0" t="n">
        <v>125</v>
      </c>
      <c r="G432" s="0" t="n">
        <v>500</v>
      </c>
      <c r="H432" s="0" t="s">
        <v>145</v>
      </c>
      <c r="I432" s="0" t="n">
        <v>500</v>
      </c>
      <c r="J432" s="0" t="n">
        <f aca="false">F432*E432</f>
        <v>750</v>
      </c>
      <c r="K432" s="0" t="str">
        <f aca="false">IF(G432&lt;1000,"1-Low",IF(G432&lt;5000,"2-Medium","3-Bulk"))</f>
        <v>1-Low</v>
      </c>
      <c r="L432" s="0" t="str">
        <f aca="false">IF(H432="TRUE","Out of stock","In stock")</f>
        <v>In stock</v>
      </c>
      <c r="M432" s="0" t="str">
        <f aca="false">IF(D432&lt;5,"1) Under 5%",IF(D432&lt;10,"2) 5-9%",IF(D432&lt;15,"3) 10-14%",IF(D432&lt;25,"4) 15-24%","5) 25%+"))))</f>
        <v>2) 5-9%</v>
      </c>
      <c r="N432" s="0" t="str">
        <f aca="false">IF(F432&lt;50,"1) Under Rs 50",IF(F432&lt;100,"2) Rs 50-99",IF(F432&lt;200,"3) Rs 100-199",IF(F432&lt;500,"4) Rs 200-499","5) Rs 500+"))))</f>
        <v>3) Rs 100-199</v>
      </c>
      <c r="O432" s="0" t="n">
        <f aca="false">G432*E432/1000</f>
        <v>3</v>
      </c>
    </row>
    <row r="433" customFormat="false" ht="15" hidden="false" customHeight="false" outlineLevel="0" collapsed="false">
      <c r="A433" s="0" t="s">
        <v>96</v>
      </c>
      <c r="B433" s="0" t="s">
        <v>543</v>
      </c>
      <c r="C433" s="0" t="n">
        <v>310</v>
      </c>
      <c r="D433" s="0" t="n">
        <v>10</v>
      </c>
      <c r="E433" s="0" t="n">
        <v>6</v>
      </c>
      <c r="F433" s="0" t="n">
        <v>276</v>
      </c>
      <c r="G433" s="0" t="n">
        <v>520</v>
      </c>
      <c r="H433" s="0" t="s">
        <v>145</v>
      </c>
      <c r="I433" s="0" t="n">
        <v>520</v>
      </c>
      <c r="J433" s="0" t="n">
        <f aca="false">F433*E433</f>
        <v>1656</v>
      </c>
      <c r="K433" s="0" t="str">
        <f aca="false">IF(G433&lt;1000,"1-Low",IF(G433&lt;5000,"2-Medium","3-Bulk"))</f>
        <v>1-Low</v>
      </c>
      <c r="L433" s="0" t="str">
        <f aca="false">IF(H433="TRUE","Out of stock","In stock")</f>
        <v>In stock</v>
      </c>
      <c r="M433" s="0" t="str">
        <f aca="false">IF(D433&lt;5,"1) Under 5%",IF(D433&lt;10,"2) 5-9%",IF(D433&lt;15,"3) 10-14%",IF(D433&lt;25,"4) 15-24%","5) 25%+"))))</f>
        <v>3) 10-14%</v>
      </c>
      <c r="N433" s="0" t="str">
        <f aca="false">IF(F433&lt;50,"1) Under Rs 50",IF(F433&lt;100,"2) Rs 50-99",IF(F433&lt;200,"3) Rs 100-199",IF(F433&lt;500,"4) Rs 200-499","5) Rs 500+"))))</f>
        <v>4) Rs 200-499</v>
      </c>
      <c r="O433" s="0" t="n">
        <f aca="false">G433*E433/1000</f>
        <v>3.12</v>
      </c>
    </row>
    <row r="434" customFormat="false" ht="15" hidden="false" customHeight="false" outlineLevel="0" collapsed="false">
      <c r="A434" s="0" t="s">
        <v>96</v>
      </c>
      <c r="B434" s="0" t="s">
        <v>544</v>
      </c>
      <c r="C434" s="0" t="n">
        <v>340</v>
      </c>
      <c r="D434" s="0" t="n">
        <v>20</v>
      </c>
      <c r="E434" s="0" t="n">
        <v>6</v>
      </c>
      <c r="F434" s="0" t="n">
        <v>272</v>
      </c>
      <c r="G434" s="0" t="n">
        <v>200</v>
      </c>
      <c r="H434" s="0" t="s">
        <v>145</v>
      </c>
      <c r="I434" s="0" t="n">
        <v>200</v>
      </c>
      <c r="J434" s="0" t="n">
        <f aca="false">F434*E434</f>
        <v>1632</v>
      </c>
      <c r="K434" s="0" t="str">
        <f aca="false">IF(G434&lt;1000,"1-Low",IF(G434&lt;5000,"2-Medium","3-Bulk"))</f>
        <v>1-Low</v>
      </c>
      <c r="L434" s="0" t="str">
        <f aca="false">IF(H434="TRUE","Out of stock","In stock")</f>
        <v>In stock</v>
      </c>
      <c r="M434" s="0" t="str">
        <f aca="false">IF(D434&lt;5,"1) Under 5%",IF(D434&lt;10,"2) 5-9%",IF(D434&lt;15,"3) 10-14%",IF(D434&lt;25,"4) 15-24%","5) 25%+"))))</f>
        <v>4) 15-24%</v>
      </c>
      <c r="N434" s="0" t="str">
        <f aca="false">IF(F434&lt;50,"1) Under Rs 50",IF(F434&lt;100,"2) Rs 50-99",IF(F434&lt;200,"3) Rs 100-199",IF(F434&lt;500,"4) Rs 200-499","5) Rs 500+"))))</f>
        <v>4) Rs 200-499</v>
      </c>
      <c r="O434" s="0" t="n">
        <f aca="false">G434*E434/1000</f>
        <v>1.2</v>
      </c>
    </row>
    <row r="435" customFormat="false" ht="15" hidden="false" customHeight="false" outlineLevel="0" collapsed="false">
      <c r="A435" s="0" t="s">
        <v>96</v>
      </c>
      <c r="B435" s="0" t="s">
        <v>545</v>
      </c>
      <c r="C435" s="0" t="n">
        <v>205</v>
      </c>
      <c r="D435" s="0" t="n">
        <v>0</v>
      </c>
      <c r="E435" s="0" t="n">
        <v>2</v>
      </c>
      <c r="F435" s="0" t="n">
        <v>205</v>
      </c>
      <c r="G435" s="0" t="n">
        <v>50</v>
      </c>
      <c r="H435" s="0" t="s">
        <v>145</v>
      </c>
      <c r="I435" s="0" t="n">
        <v>50</v>
      </c>
      <c r="J435" s="0" t="n">
        <f aca="false">F435*E435</f>
        <v>410</v>
      </c>
      <c r="K435" s="0" t="str">
        <f aca="false">IF(G435&lt;1000,"1-Low",IF(G435&lt;5000,"2-Medium","3-Bulk"))</f>
        <v>1-Low</v>
      </c>
      <c r="L435" s="0" t="str">
        <f aca="false">IF(H435="TRUE","Out of stock","In stock")</f>
        <v>In stock</v>
      </c>
      <c r="M435" s="0" t="str">
        <f aca="false">IF(D435&lt;5,"1) Under 5%",IF(D435&lt;10,"2) 5-9%",IF(D435&lt;15,"3) 10-14%",IF(D435&lt;25,"4) 15-24%","5) 25%+"))))</f>
        <v>1) Under 5%</v>
      </c>
      <c r="N435" s="0" t="str">
        <f aca="false">IF(F435&lt;50,"1) Under Rs 50",IF(F435&lt;100,"2) Rs 50-99",IF(F435&lt;200,"3) Rs 100-199",IF(F435&lt;500,"4) Rs 200-499","5) Rs 500+"))))</f>
        <v>4) Rs 200-499</v>
      </c>
      <c r="O435" s="0" t="n">
        <f aca="false">G435*E435/1000</f>
        <v>0.1</v>
      </c>
    </row>
    <row r="436" customFormat="false" ht="15" hidden="false" customHeight="false" outlineLevel="0" collapsed="false">
      <c r="A436" s="0" t="s">
        <v>96</v>
      </c>
      <c r="B436" s="0" t="s">
        <v>546</v>
      </c>
      <c r="C436" s="0" t="n">
        <v>295</v>
      </c>
      <c r="D436" s="0" t="n">
        <v>9</v>
      </c>
      <c r="E436" s="0" t="n">
        <v>5</v>
      </c>
      <c r="F436" s="0" t="n">
        <v>266</v>
      </c>
      <c r="G436" s="0" t="n">
        <v>160</v>
      </c>
      <c r="H436" s="0" t="s">
        <v>145</v>
      </c>
      <c r="I436" s="0" t="n">
        <v>160</v>
      </c>
      <c r="J436" s="0" t="n">
        <f aca="false">F436*E436</f>
        <v>1330</v>
      </c>
      <c r="K436" s="0" t="str">
        <f aca="false">IF(G436&lt;1000,"1-Low",IF(G436&lt;5000,"2-Medium","3-Bulk"))</f>
        <v>1-Low</v>
      </c>
      <c r="L436" s="0" t="str">
        <f aca="false">IF(H436="TRUE","Out of stock","In stock")</f>
        <v>In stock</v>
      </c>
      <c r="M436" s="0" t="str">
        <f aca="false">IF(D436&lt;5,"1) Under 5%",IF(D436&lt;10,"2) 5-9%",IF(D436&lt;15,"3) 10-14%",IF(D436&lt;25,"4) 15-24%","5) 25%+"))))</f>
        <v>2) 5-9%</v>
      </c>
      <c r="N436" s="0" t="str">
        <f aca="false">IF(F436&lt;50,"1) Under Rs 50",IF(F436&lt;100,"2) Rs 50-99",IF(F436&lt;200,"3) Rs 100-199",IF(F436&lt;500,"4) Rs 200-499","5) Rs 500+"))))</f>
        <v>4) Rs 200-499</v>
      </c>
      <c r="O436" s="0" t="n">
        <f aca="false">G436*E436/1000</f>
        <v>0.8</v>
      </c>
    </row>
    <row r="437" customFormat="false" ht="15" hidden="false" customHeight="false" outlineLevel="0" collapsed="false">
      <c r="A437" s="0" t="s">
        <v>96</v>
      </c>
      <c r="B437" s="0" t="s">
        <v>547</v>
      </c>
      <c r="C437" s="0" t="n">
        <v>165</v>
      </c>
      <c r="D437" s="0" t="n">
        <v>5</v>
      </c>
      <c r="E437" s="0" t="n">
        <v>6</v>
      </c>
      <c r="F437" s="0" t="n">
        <v>156</v>
      </c>
      <c r="G437" s="0" t="n">
        <v>500</v>
      </c>
      <c r="H437" s="0" t="s">
        <v>145</v>
      </c>
      <c r="I437" s="0" t="n">
        <v>500</v>
      </c>
      <c r="J437" s="0" t="n">
        <f aca="false">F437*E437</f>
        <v>936</v>
      </c>
      <c r="K437" s="0" t="str">
        <f aca="false">IF(G437&lt;1000,"1-Low",IF(G437&lt;5000,"2-Medium","3-Bulk"))</f>
        <v>1-Low</v>
      </c>
      <c r="L437" s="0" t="str">
        <f aca="false">IF(H437="TRUE","Out of stock","In stock")</f>
        <v>In stock</v>
      </c>
      <c r="M437" s="0" t="str">
        <f aca="false">IF(D437&lt;5,"1) Under 5%",IF(D437&lt;10,"2) 5-9%",IF(D437&lt;15,"3) 10-14%",IF(D437&lt;25,"4) 15-24%","5) 25%+"))))</f>
        <v>2) 5-9%</v>
      </c>
      <c r="N437" s="0" t="str">
        <f aca="false">IF(F437&lt;50,"1) Under Rs 50",IF(F437&lt;100,"2) Rs 50-99",IF(F437&lt;200,"3) Rs 100-199",IF(F437&lt;500,"4) Rs 200-499","5) Rs 500+"))))</f>
        <v>3) Rs 100-199</v>
      </c>
      <c r="O437" s="0" t="n">
        <f aca="false">G437*E437/1000</f>
        <v>3</v>
      </c>
    </row>
    <row r="438" customFormat="false" ht="15" hidden="false" customHeight="false" outlineLevel="0" collapsed="false">
      <c r="A438" s="0" t="s">
        <v>96</v>
      </c>
      <c r="B438" s="0" t="s">
        <v>548</v>
      </c>
      <c r="C438" s="0" t="n">
        <v>65</v>
      </c>
      <c r="D438" s="0" t="n">
        <v>6</v>
      </c>
      <c r="E438" s="0" t="n">
        <v>6</v>
      </c>
      <c r="F438" s="0" t="n">
        <v>61</v>
      </c>
      <c r="G438" s="0" t="n">
        <v>180</v>
      </c>
      <c r="H438" s="0" t="s">
        <v>145</v>
      </c>
      <c r="I438" s="0" t="n">
        <v>180</v>
      </c>
      <c r="J438" s="0" t="n">
        <f aca="false">F438*E438</f>
        <v>366</v>
      </c>
      <c r="K438" s="0" t="str">
        <f aca="false">IF(G438&lt;1000,"1-Low",IF(G438&lt;5000,"2-Medium","3-Bulk"))</f>
        <v>1-Low</v>
      </c>
      <c r="L438" s="0" t="str">
        <f aca="false">IF(H438="TRUE","Out of stock","In stock")</f>
        <v>In stock</v>
      </c>
      <c r="M438" s="0" t="str">
        <f aca="false">IF(D438&lt;5,"1) Under 5%",IF(D438&lt;10,"2) 5-9%",IF(D438&lt;15,"3) 10-14%",IF(D438&lt;25,"4) 15-24%","5) 25%+"))))</f>
        <v>2) 5-9%</v>
      </c>
      <c r="N438" s="0" t="str">
        <f aca="false">IF(F438&lt;50,"1) Under Rs 50",IF(F438&lt;100,"2) Rs 50-99",IF(F438&lt;200,"3) Rs 100-199",IF(F438&lt;500,"4) Rs 200-499","5) Rs 500+"))))</f>
        <v>2) Rs 50-99</v>
      </c>
      <c r="O438" s="0" t="n">
        <f aca="false">G438*E438/1000</f>
        <v>1.08</v>
      </c>
    </row>
    <row r="439" customFormat="false" ht="15" hidden="false" customHeight="false" outlineLevel="0" collapsed="false">
      <c r="A439" s="0" t="s">
        <v>96</v>
      </c>
      <c r="B439" s="0" t="s">
        <v>549</v>
      </c>
      <c r="C439" s="0" t="n">
        <v>335</v>
      </c>
      <c r="D439" s="0" t="n">
        <v>29</v>
      </c>
      <c r="E439" s="0" t="n">
        <v>6</v>
      </c>
      <c r="F439" s="0" t="n">
        <v>235</v>
      </c>
      <c r="G439" s="0" t="n">
        <v>200</v>
      </c>
      <c r="H439" s="0" t="s">
        <v>145</v>
      </c>
      <c r="I439" s="0" t="n">
        <v>200</v>
      </c>
      <c r="J439" s="0" t="n">
        <f aca="false">F439*E439</f>
        <v>1410</v>
      </c>
      <c r="K439" s="0" t="str">
        <f aca="false">IF(G439&lt;1000,"1-Low",IF(G439&lt;5000,"2-Medium","3-Bulk"))</f>
        <v>1-Low</v>
      </c>
      <c r="L439" s="0" t="str">
        <f aca="false">IF(H439="TRUE","Out of stock","In stock")</f>
        <v>In stock</v>
      </c>
      <c r="M439" s="0" t="str">
        <f aca="false">IF(D439&lt;5,"1) Under 5%",IF(D439&lt;10,"2) 5-9%",IF(D439&lt;15,"3) 10-14%",IF(D439&lt;25,"4) 15-24%","5) 25%+"))))</f>
        <v>5) 25%+</v>
      </c>
      <c r="N439" s="0" t="str">
        <f aca="false">IF(F439&lt;50,"1) Under Rs 50",IF(F439&lt;100,"2) Rs 50-99",IF(F439&lt;200,"3) Rs 100-199",IF(F439&lt;500,"4) Rs 200-499","5) Rs 500+"))))</f>
        <v>4) Rs 200-499</v>
      </c>
      <c r="O439" s="0" t="n">
        <f aca="false">G439*E439/1000</f>
        <v>1.2</v>
      </c>
    </row>
    <row r="440" customFormat="false" ht="15" hidden="false" customHeight="false" outlineLevel="0" collapsed="false">
      <c r="A440" s="0" t="s">
        <v>96</v>
      </c>
      <c r="B440" s="0" t="s">
        <v>550</v>
      </c>
      <c r="C440" s="0" t="n">
        <v>80</v>
      </c>
      <c r="D440" s="0" t="n">
        <v>0</v>
      </c>
      <c r="E440" s="0" t="n">
        <v>5</v>
      </c>
      <c r="F440" s="0" t="n">
        <v>80</v>
      </c>
      <c r="G440" s="0" t="n">
        <v>100</v>
      </c>
      <c r="H440" s="0" t="s">
        <v>145</v>
      </c>
      <c r="I440" s="0" t="n">
        <v>100</v>
      </c>
      <c r="J440" s="0" t="n">
        <f aca="false">F440*E440</f>
        <v>400</v>
      </c>
      <c r="K440" s="0" t="str">
        <f aca="false">IF(G440&lt;1000,"1-Low",IF(G440&lt;5000,"2-Medium","3-Bulk"))</f>
        <v>1-Low</v>
      </c>
      <c r="L440" s="0" t="str">
        <f aca="false">IF(H440="TRUE","Out of stock","In stock")</f>
        <v>In stock</v>
      </c>
      <c r="M440" s="0" t="str">
        <f aca="false">IF(D440&lt;5,"1) Under 5%",IF(D440&lt;10,"2) 5-9%",IF(D440&lt;15,"3) 10-14%",IF(D440&lt;25,"4) 15-24%","5) 25%+"))))</f>
        <v>1) Under 5%</v>
      </c>
      <c r="N440" s="0" t="str">
        <f aca="false">IF(F440&lt;50,"1) Under Rs 50",IF(F440&lt;100,"2) Rs 50-99",IF(F440&lt;200,"3) Rs 100-199",IF(F440&lt;500,"4) Rs 200-499","5) Rs 500+"))))</f>
        <v>2) Rs 50-99</v>
      </c>
      <c r="O440" s="0" t="n">
        <f aca="false">G440*E440/1000</f>
        <v>0.5</v>
      </c>
    </row>
    <row r="441" customFormat="false" ht="15" hidden="false" customHeight="false" outlineLevel="0" collapsed="false">
      <c r="A441" s="0" t="s">
        <v>96</v>
      </c>
      <c r="B441" s="0" t="s">
        <v>551</v>
      </c>
      <c r="C441" s="0" t="n">
        <v>110</v>
      </c>
      <c r="D441" s="0" t="n">
        <v>5</v>
      </c>
      <c r="E441" s="0" t="n">
        <v>6</v>
      </c>
      <c r="F441" s="0" t="n">
        <v>104</v>
      </c>
      <c r="G441" s="0" t="n">
        <v>400</v>
      </c>
      <c r="H441" s="0" t="s">
        <v>145</v>
      </c>
      <c r="I441" s="0" t="n">
        <v>400</v>
      </c>
      <c r="J441" s="0" t="n">
        <f aca="false">F441*E441</f>
        <v>624</v>
      </c>
      <c r="K441" s="0" t="str">
        <f aca="false">IF(G441&lt;1000,"1-Low",IF(G441&lt;5000,"2-Medium","3-Bulk"))</f>
        <v>1-Low</v>
      </c>
      <c r="L441" s="0" t="str">
        <f aca="false">IF(H441="TRUE","Out of stock","In stock")</f>
        <v>In stock</v>
      </c>
      <c r="M441" s="0" t="str">
        <f aca="false">IF(D441&lt;5,"1) Under 5%",IF(D441&lt;10,"2) 5-9%",IF(D441&lt;15,"3) 10-14%",IF(D441&lt;25,"4) 15-24%","5) 25%+"))))</f>
        <v>2) 5-9%</v>
      </c>
      <c r="N441" s="0" t="str">
        <f aca="false">IF(F441&lt;50,"1) Under Rs 50",IF(F441&lt;100,"2) Rs 50-99",IF(F441&lt;200,"3) Rs 100-199",IF(F441&lt;500,"4) Rs 200-499","5) Rs 500+"))))</f>
        <v>3) Rs 100-199</v>
      </c>
      <c r="O441" s="0" t="n">
        <f aca="false">G441*E441/1000</f>
        <v>2.4</v>
      </c>
    </row>
    <row r="442" customFormat="false" ht="15" hidden="false" customHeight="false" outlineLevel="0" collapsed="false">
      <c r="A442" s="0" t="s">
        <v>96</v>
      </c>
      <c r="B442" s="0" t="s">
        <v>293</v>
      </c>
      <c r="C442" s="0" t="n">
        <v>147</v>
      </c>
      <c r="D442" s="0" t="n">
        <v>10</v>
      </c>
      <c r="E442" s="0" t="n">
        <v>6</v>
      </c>
      <c r="F442" s="0" t="n">
        <v>132</v>
      </c>
      <c r="G442" s="0" t="n">
        <v>200</v>
      </c>
      <c r="H442" s="0" t="s">
        <v>145</v>
      </c>
      <c r="I442" s="0" t="n">
        <v>200</v>
      </c>
      <c r="J442" s="0" t="n">
        <f aca="false">F442*E442</f>
        <v>792</v>
      </c>
      <c r="K442" s="0" t="str">
        <f aca="false">IF(G442&lt;1000,"1-Low",IF(G442&lt;5000,"2-Medium","3-Bulk"))</f>
        <v>1-Low</v>
      </c>
      <c r="L442" s="0" t="str">
        <f aca="false">IF(H442="TRUE","Out of stock","In stock")</f>
        <v>In stock</v>
      </c>
      <c r="M442" s="0" t="str">
        <f aca="false">IF(D442&lt;5,"1) Under 5%",IF(D442&lt;10,"2) 5-9%",IF(D442&lt;15,"3) 10-14%",IF(D442&lt;25,"4) 15-24%","5) 25%+"))))</f>
        <v>3) 10-14%</v>
      </c>
      <c r="N442" s="0" t="str">
        <f aca="false">IF(F442&lt;50,"1) Under Rs 50",IF(F442&lt;100,"2) Rs 50-99",IF(F442&lt;200,"3) Rs 100-199",IF(F442&lt;500,"4) Rs 200-499","5) Rs 500+"))))</f>
        <v>3) Rs 100-199</v>
      </c>
      <c r="O442" s="0" t="n">
        <f aca="false">G442*E442/1000</f>
        <v>1.2</v>
      </c>
    </row>
    <row r="443" customFormat="false" ht="15" hidden="false" customHeight="false" outlineLevel="0" collapsed="false">
      <c r="A443" s="0" t="s">
        <v>96</v>
      </c>
      <c r="B443" s="0" t="s">
        <v>552</v>
      </c>
      <c r="C443" s="0" t="n">
        <v>90</v>
      </c>
      <c r="D443" s="0" t="n">
        <v>4</v>
      </c>
      <c r="E443" s="0" t="n">
        <v>6</v>
      </c>
      <c r="F443" s="0" t="n">
        <v>86</v>
      </c>
      <c r="G443" s="0" t="n">
        <v>200</v>
      </c>
      <c r="H443" s="0" t="s">
        <v>145</v>
      </c>
      <c r="I443" s="0" t="n">
        <v>200</v>
      </c>
      <c r="J443" s="0" t="n">
        <f aca="false">F443*E443</f>
        <v>516</v>
      </c>
      <c r="K443" s="0" t="str">
        <f aca="false">IF(G443&lt;1000,"1-Low",IF(G443&lt;5000,"2-Medium","3-Bulk"))</f>
        <v>1-Low</v>
      </c>
      <c r="L443" s="0" t="str">
        <f aca="false">IF(H443="TRUE","Out of stock","In stock")</f>
        <v>In stock</v>
      </c>
      <c r="M443" s="0" t="str">
        <f aca="false">IF(D443&lt;5,"1) Under 5%",IF(D443&lt;10,"2) 5-9%",IF(D443&lt;15,"3) 10-14%",IF(D443&lt;25,"4) 15-24%","5) 25%+"))))</f>
        <v>1) Under 5%</v>
      </c>
      <c r="N443" s="0" t="str">
        <f aca="false">IF(F443&lt;50,"1) Under Rs 50",IF(F443&lt;100,"2) Rs 50-99",IF(F443&lt;200,"3) Rs 100-199",IF(F443&lt;500,"4) Rs 200-499","5) Rs 500+"))))</f>
        <v>2) Rs 50-99</v>
      </c>
      <c r="O443" s="0" t="n">
        <f aca="false">G443*E443/1000</f>
        <v>1.2</v>
      </c>
    </row>
    <row r="444" customFormat="false" ht="15" hidden="false" customHeight="false" outlineLevel="0" collapsed="false">
      <c r="A444" s="0" t="s">
        <v>96</v>
      </c>
      <c r="B444" s="0" t="s">
        <v>553</v>
      </c>
      <c r="C444" s="0" t="n">
        <v>65</v>
      </c>
      <c r="D444" s="0" t="n">
        <v>10</v>
      </c>
      <c r="E444" s="0" t="n">
        <v>6</v>
      </c>
      <c r="F444" s="0" t="n">
        <v>58</v>
      </c>
      <c r="G444" s="0" t="n">
        <v>100</v>
      </c>
      <c r="H444" s="0" t="s">
        <v>145</v>
      </c>
      <c r="I444" s="0" t="n">
        <v>100</v>
      </c>
      <c r="J444" s="0" t="n">
        <f aca="false">F444*E444</f>
        <v>348</v>
      </c>
      <c r="K444" s="0" t="str">
        <f aca="false">IF(G444&lt;1000,"1-Low",IF(G444&lt;5000,"2-Medium","3-Bulk"))</f>
        <v>1-Low</v>
      </c>
      <c r="L444" s="0" t="str">
        <f aca="false">IF(H444="TRUE","Out of stock","In stock")</f>
        <v>In stock</v>
      </c>
      <c r="M444" s="0" t="str">
        <f aca="false">IF(D444&lt;5,"1) Under 5%",IF(D444&lt;10,"2) 5-9%",IF(D444&lt;15,"3) 10-14%",IF(D444&lt;25,"4) 15-24%","5) 25%+"))))</f>
        <v>3) 10-14%</v>
      </c>
      <c r="N444" s="0" t="str">
        <f aca="false">IF(F444&lt;50,"1) Under Rs 50",IF(F444&lt;100,"2) Rs 50-99",IF(F444&lt;200,"3) Rs 100-199",IF(F444&lt;500,"4) Rs 200-499","5) Rs 500+"))))</f>
        <v>2) Rs 50-99</v>
      </c>
      <c r="O444" s="0" t="n">
        <f aca="false">G444*E444/1000</f>
        <v>0.6</v>
      </c>
    </row>
    <row r="445" customFormat="false" ht="15" hidden="false" customHeight="false" outlineLevel="0" collapsed="false">
      <c r="A445" s="0" t="s">
        <v>96</v>
      </c>
      <c r="B445" s="0" t="s">
        <v>554</v>
      </c>
      <c r="C445" s="0" t="n">
        <v>70</v>
      </c>
      <c r="D445" s="0" t="n">
        <v>10</v>
      </c>
      <c r="E445" s="0" t="n">
        <v>6</v>
      </c>
      <c r="F445" s="0" t="n">
        <v>63</v>
      </c>
      <c r="G445" s="0" t="n">
        <v>500</v>
      </c>
      <c r="H445" s="0" t="s">
        <v>145</v>
      </c>
      <c r="I445" s="0" t="n">
        <v>500</v>
      </c>
      <c r="J445" s="0" t="n">
        <f aca="false">F445*E445</f>
        <v>378</v>
      </c>
      <c r="K445" s="0" t="str">
        <f aca="false">IF(G445&lt;1000,"1-Low",IF(G445&lt;5000,"2-Medium","3-Bulk"))</f>
        <v>1-Low</v>
      </c>
      <c r="L445" s="0" t="str">
        <f aca="false">IF(H445="TRUE","Out of stock","In stock")</f>
        <v>In stock</v>
      </c>
      <c r="M445" s="0" t="str">
        <f aca="false">IF(D445&lt;5,"1) Under 5%",IF(D445&lt;10,"2) 5-9%",IF(D445&lt;15,"3) 10-14%",IF(D445&lt;25,"4) 15-24%","5) 25%+"))))</f>
        <v>3) 10-14%</v>
      </c>
      <c r="N445" s="0" t="str">
        <f aca="false">IF(F445&lt;50,"1) Under Rs 50",IF(F445&lt;100,"2) Rs 50-99",IF(F445&lt;200,"3) Rs 100-199",IF(F445&lt;500,"4) Rs 200-499","5) Rs 500+"))))</f>
        <v>2) Rs 50-99</v>
      </c>
      <c r="O445" s="0" t="n">
        <f aca="false">G445*E445/1000</f>
        <v>3</v>
      </c>
    </row>
    <row r="446" customFormat="false" ht="15" hidden="false" customHeight="false" outlineLevel="0" collapsed="false">
      <c r="A446" s="0" t="s">
        <v>96</v>
      </c>
      <c r="B446" s="0" t="s">
        <v>555</v>
      </c>
      <c r="C446" s="0" t="n">
        <v>135</v>
      </c>
      <c r="D446" s="0" t="n">
        <v>7</v>
      </c>
      <c r="E446" s="0" t="n">
        <v>6</v>
      </c>
      <c r="F446" s="0" t="n">
        <v>125</v>
      </c>
      <c r="G446" s="0" t="n">
        <v>1000</v>
      </c>
      <c r="H446" s="0" t="s">
        <v>145</v>
      </c>
      <c r="I446" s="0" t="n">
        <v>1</v>
      </c>
      <c r="J446" s="0" t="n">
        <f aca="false">F446*E446</f>
        <v>750</v>
      </c>
      <c r="K446" s="0" t="str">
        <f aca="false">IF(G446&lt;1000,"1-Low",IF(G446&lt;5000,"2-Medium","3-Bulk"))</f>
        <v>2-Medium</v>
      </c>
      <c r="L446" s="0" t="str">
        <f aca="false">IF(H446="TRUE","Out of stock","In stock")</f>
        <v>In stock</v>
      </c>
      <c r="M446" s="0" t="str">
        <f aca="false">IF(D446&lt;5,"1) Under 5%",IF(D446&lt;10,"2) 5-9%",IF(D446&lt;15,"3) 10-14%",IF(D446&lt;25,"4) 15-24%","5) 25%+"))))</f>
        <v>2) 5-9%</v>
      </c>
      <c r="N446" s="0" t="str">
        <f aca="false">IF(F446&lt;50,"1) Under Rs 50",IF(F446&lt;100,"2) Rs 50-99",IF(F446&lt;200,"3) Rs 100-199",IF(F446&lt;500,"4) Rs 200-499","5) Rs 500+"))))</f>
        <v>3) Rs 100-199</v>
      </c>
      <c r="O446" s="0" t="n">
        <f aca="false">G446*E446/1000</f>
        <v>6</v>
      </c>
    </row>
    <row r="447" customFormat="false" ht="15" hidden="false" customHeight="false" outlineLevel="0" collapsed="false">
      <c r="A447" s="0" t="s">
        <v>96</v>
      </c>
      <c r="B447" s="0" t="s">
        <v>556</v>
      </c>
      <c r="C447" s="0" t="n">
        <v>140</v>
      </c>
      <c r="D447" s="0" t="n">
        <v>0</v>
      </c>
      <c r="E447" s="0" t="n">
        <v>5</v>
      </c>
      <c r="F447" s="0" t="n">
        <v>140</v>
      </c>
      <c r="G447" s="0" t="n">
        <v>1000</v>
      </c>
      <c r="H447" s="0" t="s">
        <v>145</v>
      </c>
      <c r="I447" s="0" t="n">
        <v>1</v>
      </c>
      <c r="J447" s="0" t="n">
        <f aca="false">F447*E447</f>
        <v>700</v>
      </c>
      <c r="K447" s="0" t="str">
        <f aca="false">IF(G447&lt;1000,"1-Low",IF(G447&lt;5000,"2-Medium","3-Bulk"))</f>
        <v>2-Medium</v>
      </c>
      <c r="L447" s="0" t="str">
        <f aca="false">IF(H447="TRUE","Out of stock","In stock")</f>
        <v>In stock</v>
      </c>
      <c r="M447" s="0" t="str">
        <f aca="false">IF(D447&lt;5,"1) Under 5%",IF(D447&lt;10,"2) 5-9%",IF(D447&lt;15,"3) 10-14%",IF(D447&lt;25,"4) 15-24%","5) 25%+"))))</f>
        <v>1) Under 5%</v>
      </c>
      <c r="N447" s="0" t="str">
        <f aca="false">IF(F447&lt;50,"1) Under Rs 50",IF(F447&lt;100,"2) Rs 50-99",IF(F447&lt;200,"3) Rs 100-199",IF(F447&lt;500,"4) Rs 200-499","5) Rs 500+"))))</f>
        <v>3) Rs 100-199</v>
      </c>
      <c r="O447" s="0" t="n">
        <f aca="false">G447*E447/1000</f>
        <v>5</v>
      </c>
    </row>
    <row r="448" customFormat="false" ht="15" hidden="false" customHeight="false" outlineLevel="0" collapsed="false">
      <c r="A448" s="0" t="s">
        <v>96</v>
      </c>
      <c r="B448" s="0" t="s">
        <v>557</v>
      </c>
      <c r="C448" s="0" t="n">
        <v>44</v>
      </c>
      <c r="D448" s="0" t="n">
        <v>0</v>
      </c>
      <c r="E448" s="0" t="n">
        <v>6</v>
      </c>
      <c r="F448" s="0" t="n">
        <v>44</v>
      </c>
      <c r="G448" s="0" t="n">
        <v>60</v>
      </c>
      <c r="H448" s="0" t="s">
        <v>145</v>
      </c>
      <c r="I448" s="0" t="n">
        <v>60</v>
      </c>
      <c r="J448" s="0" t="n">
        <f aca="false">F448*E448</f>
        <v>264</v>
      </c>
      <c r="K448" s="0" t="str">
        <f aca="false">IF(G448&lt;1000,"1-Low",IF(G448&lt;5000,"2-Medium","3-Bulk"))</f>
        <v>1-Low</v>
      </c>
      <c r="L448" s="0" t="str">
        <f aca="false">IF(H448="TRUE","Out of stock","In stock")</f>
        <v>In stock</v>
      </c>
      <c r="M448" s="0" t="str">
        <f aca="false">IF(D448&lt;5,"1) Under 5%",IF(D448&lt;10,"2) 5-9%",IF(D448&lt;15,"3) 10-14%",IF(D448&lt;25,"4) 15-24%","5) 25%+"))))</f>
        <v>1) Under 5%</v>
      </c>
      <c r="N448" s="0" t="str">
        <f aca="false">IF(F448&lt;50,"1) Under Rs 50",IF(F448&lt;100,"2) Rs 50-99",IF(F448&lt;200,"3) Rs 100-199",IF(F448&lt;500,"4) Rs 200-499","5) Rs 500+"))))</f>
        <v>1) Under Rs 50</v>
      </c>
      <c r="O448" s="0" t="n">
        <f aca="false">G448*E448/1000</f>
        <v>0.36</v>
      </c>
    </row>
    <row r="449" customFormat="false" ht="15" hidden="false" customHeight="false" outlineLevel="0" collapsed="false">
      <c r="A449" s="0" t="s">
        <v>96</v>
      </c>
      <c r="B449" s="0" t="s">
        <v>558</v>
      </c>
      <c r="C449" s="0" t="n">
        <v>200</v>
      </c>
      <c r="D449" s="0" t="n">
        <v>11</v>
      </c>
      <c r="E449" s="0" t="n">
        <v>6</v>
      </c>
      <c r="F449" s="0" t="n">
        <v>178</v>
      </c>
      <c r="G449" s="0" t="n">
        <v>264</v>
      </c>
      <c r="H449" s="0" t="s">
        <v>145</v>
      </c>
      <c r="I449" s="0" t="n">
        <v>264</v>
      </c>
      <c r="J449" s="0" t="n">
        <f aca="false">F449*E449</f>
        <v>1068</v>
      </c>
      <c r="K449" s="0" t="str">
        <f aca="false">IF(G449&lt;1000,"1-Low",IF(G449&lt;5000,"2-Medium","3-Bulk"))</f>
        <v>1-Low</v>
      </c>
      <c r="L449" s="0" t="str">
        <f aca="false">IF(H449="TRUE","Out of stock","In stock")</f>
        <v>In stock</v>
      </c>
      <c r="M449" s="0" t="str">
        <f aca="false">IF(D449&lt;5,"1) Under 5%",IF(D449&lt;10,"2) 5-9%",IF(D449&lt;15,"3) 10-14%",IF(D449&lt;25,"4) 15-24%","5) 25%+"))))</f>
        <v>3) 10-14%</v>
      </c>
      <c r="N449" s="0" t="str">
        <f aca="false">IF(F449&lt;50,"1) Under Rs 50",IF(F449&lt;100,"2) Rs 50-99",IF(F449&lt;200,"3) Rs 100-199",IF(F449&lt;500,"4) Rs 200-499","5) Rs 500+"))))</f>
        <v>3) Rs 100-199</v>
      </c>
      <c r="O449" s="0" t="n">
        <f aca="false">G449*E449/1000</f>
        <v>1.584</v>
      </c>
    </row>
    <row r="450" customFormat="false" ht="15" hidden="false" customHeight="false" outlineLevel="0" collapsed="false">
      <c r="A450" s="0" t="s">
        <v>96</v>
      </c>
      <c r="B450" s="0" t="s">
        <v>433</v>
      </c>
      <c r="C450" s="0" t="n">
        <v>60</v>
      </c>
      <c r="D450" s="0" t="n">
        <v>10</v>
      </c>
      <c r="E450" s="0" t="n">
        <v>5</v>
      </c>
      <c r="F450" s="0" t="n">
        <v>54</v>
      </c>
      <c r="G450" s="0" t="n">
        <v>108</v>
      </c>
      <c r="H450" s="0" t="s">
        <v>145</v>
      </c>
      <c r="I450" s="0" t="n">
        <v>108</v>
      </c>
      <c r="J450" s="0" t="n">
        <f aca="false">F450*E450</f>
        <v>270</v>
      </c>
      <c r="K450" s="0" t="str">
        <f aca="false">IF(G450&lt;1000,"1-Low",IF(G450&lt;5000,"2-Medium","3-Bulk"))</f>
        <v>1-Low</v>
      </c>
      <c r="L450" s="0" t="str">
        <f aca="false">IF(H450="TRUE","Out of stock","In stock")</f>
        <v>In stock</v>
      </c>
      <c r="M450" s="0" t="str">
        <f aca="false">IF(D450&lt;5,"1) Under 5%",IF(D450&lt;10,"2) 5-9%",IF(D450&lt;15,"3) 10-14%",IF(D450&lt;25,"4) 15-24%","5) 25%+"))))</f>
        <v>3) 10-14%</v>
      </c>
      <c r="N450" s="0" t="str">
        <f aca="false">IF(F450&lt;50,"1) Under Rs 50",IF(F450&lt;100,"2) Rs 50-99",IF(F450&lt;200,"3) Rs 100-199",IF(F450&lt;500,"4) Rs 200-499","5) Rs 500+"))))</f>
        <v>2) Rs 50-99</v>
      </c>
      <c r="O450" s="0" t="n">
        <f aca="false">G450*E450/1000</f>
        <v>0.54</v>
      </c>
    </row>
    <row r="451" customFormat="false" ht="15" hidden="false" customHeight="false" outlineLevel="0" collapsed="false">
      <c r="A451" s="0" t="s">
        <v>96</v>
      </c>
      <c r="B451" s="0" t="s">
        <v>559</v>
      </c>
      <c r="C451" s="0" t="n">
        <v>100</v>
      </c>
      <c r="D451" s="0" t="n">
        <v>0</v>
      </c>
      <c r="E451" s="0" t="n">
        <v>1</v>
      </c>
      <c r="F451" s="0" t="n">
        <v>100</v>
      </c>
      <c r="G451" s="0" t="n">
        <v>50</v>
      </c>
      <c r="H451" s="0" t="s">
        <v>145</v>
      </c>
      <c r="I451" s="0" t="n">
        <v>50</v>
      </c>
      <c r="J451" s="0" t="n">
        <f aca="false">F451*E451</f>
        <v>100</v>
      </c>
      <c r="K451" s="0" t="str">
        <f aca="false">IF(G451&lt;1000,"1-Low",IF(G451&lt;5000,"2-Medium","3-Bulk"))</f>
        <v>1-Low</v>
      </c>
      <c r="L451" s="0" t="str">
        <f aca="false">IF(H451="TRUE","Out of stock","In stock")</f>
        <v>In stock</v>
      </c>
      <c r="M451" s="0" t="str">
        <f aca="false">IF(D451&lt;5,"1) Under 5%",IF(D451&lt;10,"2) 5-9%",IF(D451&lt;15,"3) 10-14%",IF(D451&lt;25,"4) 15-24%","5) 25%+"))))</f>
        <v>1) Under 5%</v>
      </c>
      <c r="N451" s="0" t="str">
        <f aca="false">IF(F451&lt;50,"1) Under Rs 50",IF(F451&lt;100,"2) Rs 50-99",IF(F451&lt;200,"3) Rs 100-199",IF(F451&lt;500,"4) Rs 200-499","5) Rs 500+"))))</f>
        <v>3) Rs 100-199</v>
      </c>
      <c r="O451" s="0" t="n">
        <f aca="false">G451*E451/1000</f>
        <v>0.05</v>
      </c>
    </row>
    <row r="452" customFormat="false" ht="15" hidden="false" customHeight="false" outlineLevel="0" collapsed="false">
      <c r="A452" s="0" t="s">
        <v>96</v>
      </c>
      <c r="B452" s="0" t="s">
        <v>560</v>
      </c>
      <c r="C452" s="0" t="n">
        <v>95</v>
      </c>
      <c r="D452" s="0" t="n">
        <v>6</v>
      </c>
      <c r="E452" s="0" t="n">
        <v>6</v>
      </c>
      <c r="F452" s="0" t="n">
        <v>89</v>
      </c>
      <c r="G452" s="0" t="n">
        <v>150</v>
      </c>
      <c r="H452" s="0" t="s">
        <v>145</v>
      </c>
      <c r="I452" s="0" t="n">
        <v>150</v>
      </c>
      <c r="J452" s="0" t="n">
        <f aca="false">F452*E452</f>
        <v>534</v>
      </c>
      <c r="K452" s="0" t="str">
        <f aca="false">IF(G452&lt;1000,"1-Low",IF(G452&lt;5000,"2-Medium","3-Bulk"))</f>
        <v>1-Low</v>
      </c>
      <c r="L452" s="0" t="str">
        <f aca="false">IF(H452="TRUE","Out of stock","In stock")</f>
        <v>In stock</v>
      </c>
      <c r="M452" s="0" t="str">
        <f aca="false">IF(D452&lt;5,"1) Under 5%",IF(D452&lt;10,"2) 5-9%",IF(D452&lt;15,"3) 10-14%",IF(D452&lt;25,"4) 15-24%","5) 25%+"))))</f>
        <v>2) 5-9%</v>
      </c>
      <c r="N452" s="0" t="str">
        <f aca="false">IF(F452&lt;50,"1) Under Rs 50",IF(F452&lt;100,"2) Rs 50-99",IF(F452&lt;200,"3) Rs 100-199",IF(F452&lt;500,"4) Rs 200-499","5) Rs 500+"))))</f>
        <v>2) Rs 50-99</v>
      </c>
      <c r="O452" s="0" t="n">
        <f aca="false">G452*E452/1000</f>
        <v>0.9</v>
      </c>
    </row>
    <row r="453" customFormat="false" ht="15" hidden="false" customHeight="false" outlineLevel="0" collapsed="false">
      <c r="A453" s="0" t="s">
        <v>96</v>
      </c>
      <c r="B453" s="0" t="s">
        <v>561</v>
      </c>
      <c r="C453" s="0" t="n">
        <v>75</v>
      </c>
      <c r="D453" s="0" t="n">
        <v>30</v>
      </c>
      <c r="E453" s="0" t="n">
        <v>6</v>
      </c>
      <c r="F453" s="0" t="n">
        <v>52</v>
      </c>
      <c r="G453" s="0" t="n">
        <v>80</v>
      </c>
      <c r="H453" s="0" t="s">
        <v>145</v>
      </c>
      <c r="I453" s="0" t="n">
        <v>80</v>
      </c>
      <c r="J453" s="0" t="n">
        <f aca="false">F453*E453</f>
        <v>312</v>
      </c>
      <c r="K453" s="0" t="str">
        <f aca="false">IF(G453&lt;1000,"1-Low",IF(G453&lt;5000,"2-Medium","3-Bulk"))</f>
        <v>1-Low</v>
      </c>
      <c r="L453" s="0" t="str">
        <f aca="false">IF(H453="TRUE","Out of stock","In stock")</f>
        <v>In stock</v>
      </c>
      <c r="M453" s="0" t="str">
        <f aca="false">IF(D453&lt;5,"1) Under 5%",IF(D453&lt;10,"2) 5-9%",IF(D453&lt;15,"3) 10-14%",IF(D453&lt;25,"4) 15-24%","5) 25%+"))))</f>
        <v>5) 25%+</v>
      </c>
      <c r="N453" s="0" t="str">
        <f aca="false">IF(F453&lt;50,"1) Under Rs 50",IF(F453&lt;100,"2) Rs 50-99",IF(F453&lt;200,"3) Rs 100-199",IF(F453&lt;500,"4) Rs 200-499","5) Rs 500+"))))</f>
        <v>2) Rs 50-99</v>
      </c>
      <c r="O453" s="0" t="n">
        <f aca="false">G453*E453/1000</f>
        <v>0.48</v>
      </c>
    </row>
    <row r="454" customFormat="false" ht="15" hidden="false" customHeight="false" outlineLevel="0" collapsed="false">
      <c r="A454" s="0" t="s">
        <v>96</v>
      </c>
      <c r="B454" s="0" t="s">
        <v>562</v>
      </c>
      <c r="C454" s="0" t="n">
        <v>195</v>
      </c>
      <c r="D454" s="0" t="n">
        <v>9</v>
      </c>
      <c r="E454" s="0" t="n">
        <v>5</v>
      </c>
      <c r="F454" s="0" t="n">
        <v>176</v>
      </c>
      <c r="G454" s="0" t="n">
        <v>500</v>
      </c>
      <c r="H454" s="0" t="s">
        <v>145</v>
      </c>
      <c r="I454" s="0" t="n">
        <v>500</v>
      </c>
      <c r="J454" s="0" t="n">
        <f aca="false">F454*E454</f>
        <v>880</v>
      </c>
      <c r="K454" s="0" t="str">
        <f aca="false">IF(G454&lt;1000,"1-Low",IF(G454&lt;5000,"2-Medium","3-Bulk"))</f>
        <v>1-Low</v>
      </c>
      <c r="L454" s="0" t="str">
        <f aca="false">IF(H454="TRUE","Out of stock","In stock")</f>
        <v>In stock</v>
      </c>
      <c r="M454" s="0" t="str">
        <f aca="false">IF(D454&lt;5,"1) Under 5%",IF(D454&lt;10,"2) 5-9%",IF(D454&lt;15,"3) 10-14%",IF(D454&lt;25,"4) 15-24%","5) 25%+"))))</f>
        <v>2) 5-9%</v>
      </c>
      <c r="N454" s="0" t="str">
        <f aca="false">IF(F454&lt;50,"1) Under Rs 50",IF(F454&lt;100,"2) Rs 50-99",IF(F454&lt;200,"3) Rs 100-199",IF(F454&lt;500,"4) Rs 200-499","5) Rs 500+"))))</f>
        <v>3) Rs 100-199</v>
      </c>
      <c r="O454" s="0" t="n">
        <f aca="false">G454*E454/1000</f>
        <v>2.5</v>
      </c>
    </row>
    <row r="455" customFormat="false" ht="15" hidden="false" customHeight="false" outlineLevel="0" collapsed="false">
      <c r="A455" s="0" t="s">
        <v>96</v>
      </c>
      <c r="B455" s="0" t="s">
        <v>563</v>
      </c>
      <c r="C455" s="0" t="n">
        <v>42</v>
      </c>
      <c r="D455" s="0" t="n">
        <v>0</v>
      </c>
      <c r="E455" s="0" t="n">
        <v>6</v>
      </c>
      <c r="F455" s="0" t="n">
        <v>42</v>
      </c>
      <c r="G455" s="0" t="n">
        <v>60</v>
      </c>
      <c r="H455" s="0" t="s">
        <v>145</v>
      </c>
      <c r="I455" s="0" t="n">
        <v>60</v>
      </c>
      <c r="J455" s="0" t="n">
        <f aca="false">F455*E455</f>
        <v>252</v>
      </c>
      <c r="K455" s="0" t="str">
        <f aca="false">IF(G455&lt;1000,"1-Low",IF(G455&lt;5000,"2-Medium","3-Bulk"))</f>
        <v>1-Low</v>
      </c>
      <c r="L455" s="0" t="str">
        <f aca="false">IF(H455="TRUE","Out of stock","In stock")</f>
        <v>In stock</v>
      </c>
      <c r="M455" s="0" t="str">
        <f aca="false">IF(D455&lt;5,"1) Under 5%",IF(D455&lt;10,"2) 5-9%",IF(D455&lt;15,"3) 10-14%",IF(D455&lt;25,"4) 15-24%","5) 25%+"))))</f>
        <v>1) Under 5%</v>
      </c>
      <c r="N455" s="0" t="str">
        <f aca="false">IF(F455&lt;50,"1) Under Rs 50",IF(F455&lt;100,"2) Rs 50-99",IF(F455&lt;200,"3) Rs 100-199",IF(F455&lt;500,"4) Rs 200-499","5) Rs 500+"))))</f>
        <v>1) Under Rs 50</v>
      </c>
      <c r="O455" s="0" t="n">
        <f aca="false">G455*E455/1000</f>
        <v>0.36</v>
      </c>
    </row>
    <row r="456" customFormat="false" ht="15" hidden="false" customHeight="false" outlineLevel="0" collapsed="false">
      <c r="A456" s="0" t="s">
        <v>96</v>
      </c>
      <c r="B456" s="0" t="s">
        <v>564</v>
      </c>
      <c r="C456" s="0" t="n">
        <v>110</v>
      </c>
      <c r="D456" s="0" t="n">
        <v>30</v>
      </c>
      <c r="E456" s="0" t="n">
        <v>6</v>
      </c>
      <c r="F456" s="0" t="n">
        <v>77</v>
      </c>
      <c r="G456" s="0" t="n">
        <v>285</v>
      </c>
      <c r="H456" s="0" t="s">
        <v>145</v>
      </c>
      <c r="I456" s="0" t="n">
        <v>285</v>
      </c>
      <c r="J456" s="0" t="n">
        <f aca="false">F456*E456</f>
        <v>462</v>
      </c>
      <c r="K456" s="0" t="str">
        <f aca="false">IF(G456&lt;1000,"1-Low",IF(G456&lt;5000,"2-Medium","3-Bulk"))</f>
        <v>1-Low</v>
      </c>
      <c r="L456" s="0" t="str">
        <f aca="false">IF(H456="TRUE","Out of stock","In stock")</f>
        <v>In stock</v>
      </c>
      <c r="M456" s="0" t="str">
        <f aca="false">IF(D456&lt;5,"1) Under 5%",IF(D456&lt;10,"2) 5-9%",IF(D456&lt;15,"3) 10-14%",IF(D456&lt;25,"4) 15-24%","5) 25%+"))))</f>
        <v>5) 25%+</v>
      </c>
      <c r="N456" s="0" t="str">
        <f aca="false">IF(F456&lt;50,"1) Under Rs 50",IF(F456&lt;100,"2) Rs 50-99",IF(F456&lt;200,"3) Rs 100-199",IF(F456&lt;500,"4) Rs 200-499","5) Rs 500+"))))</f>
        <v>2) Rs 50-99</v>
      </c>
      <c r="O456" s="0" t="n">
        <f aca="false">G456*E456/1000</f>
        <v>1.71</v>
      </c>
    </row>
    <row r="457" customFormat="false" ht="15" hidden="false" customHeight="false" outlineLevel="0" collapsed="false">
      <c r="A457" s="0" t="s">
        <v>96</v>
      </c>
      <c r="B457" s="0" t="s">
        <v>565</v>
      </c>
      <c r="C457" s="0" t="n">
        <v>70</v>
      </c>
      <c r="D457" s="0" t="n">
        <v>10</v>
      </c>
      <c r="E457" s="0" t="n">
        <v>6</v>
      </c>
      <c r="F457" s="0" t="n">
        <v>63</v>
      </c>
      <c r="G457" s="0" t="n">
        <v>500</v>
      </c>
      <c r="H457" s="0" t="s">
        <v>145</v>
      </c>
      <c r="I457" s="0" t="n">
        <v>500</v>
      </c>
      <c r="J457" s="0" t="n">
        <f aca="false">F457*E457</f>
        <v>378</v>
      </c>
      <c r="K457" s="0" t="str">
        <f aca="false">IF(G457&lt;1000,"1-Low",IF(G457&lt;5000,"2-Medium","3-Bulk"))</f>
        <v>1-Low</v>
      </c>
      <c r="L457" s="0" t="str">
        <f aca="false">IF(H457="TRUE","Out of stock","In stock")</f>
        <v>In stock</v>
      </c>
      <c r="M457" s="0" t="str">
        <f aca="false">IF(D457&lt;5,"1) Under 5%",IF(D457&lt;10,"2) 5-9%",IF(D457&lt;15,"3) 10-14%",IF(D457&lt;25,"4) 15-24%","5) 25%+"))))</f>
        <v>3) 10-14%</v>
      </c>
      <c r="N457" s="0" t="str">
        <f aca="false">IF(F457&lt;50,"1) Under Rs 50",IF(F457&lt;100,"2) Rs 50-99",IF(F457&lt;200,"3) Rs 100-199",IF(F457&lt;500,"4) Rs 200-499","5) Rs 500+"))))</f>
        <v>2) Rs 50-99</v>
      </c>
      <c r="O457" s="0" t="n">
        <f aca="false">G457*E457/1000</f>
        <v>3</v>
      </c>
    </row>
    <row r="458" customFormat="false" ht="15" hidden="false" customHeight="false" outlineLevel="0" collapsed="false">
      <c r="A458" s="0" t="s">
        <v>96</v>
      </c>
      <c r="B458" s="0" t="s">
        <v>566</v>
      </c>
      <c r="C458" s="0" t="n">
        <v>75</v>
      </c>
      <c r="D458" s="0" t="n">
        <v>16</v>
      </c>
      <c r="E458" s="0" t="n">
        <v>6</v>
      </c>
      <c r="F458" s="0" t="n">
        <v>63</v>
      </c>
      <c r="G458" s="0" t="n">
        <v>100</v>
      </c>
      <c r="H458" s="0" t="s">
        <v>145</v>
      </c>
      <c r="I458" s="0" t="n">
        <v>100</v>
      </c>
      <c r="J458" s="0" t="n">
        <f aca="false">F458*E458</f>
        <v>378</v>
      </c>
      <c r="K458" s="0" t="str">
        <f aca="false">IF(G458&lt;1000,"1-Low",IF(G458&lt;5000,"2-Medium","3-Bulk"))</f>
        <v>1-Low</v>
      </c>
      <c r="L458" s="0" t="str">
        <f aca="false">IF(H458="TRUE","Out of stock","In stock")</f>
        <v>In stock</v>
      </c>
      <c r="M458" s="0" t="str">
        <f aca="false">IF(D458&lt;5,"1) Under 5%",IF(D458&lt;10,"2) 5-9%",IF(D458&lt;15,"3) 10-14%",IF(D458&lt;25,"4) 15-24%","5) 25%+"))))</f>
        <v>4) 15-24%</v>
      </c>
      <c r="N458" s="0" t="str">
        <f aca="false">IF(F458&lt;50,"1) Under Rs 50",IF(F458&lt;100,"2) Rs 50-99",IF(F458&lt;200,"3) Rs 100-199",IF(F458&lt;500,"4) Rs 200-499","5) Rs 500+"))))</f>
        <v>2) Rs 50-99</v>
      </c>
      <c r="O458" s="0" t="n">
        <f aca="false">G458*E458/1000</f>
        <v>0.6</v>
      </c>
    </row>
    <row r="459" customFormat="false" ht="15" hidden="false" customHeight="false" outlineLevel="0" collapsed="false">
      <c r="A459" s="0" t="s">
        <v>96</v>
      </c>
      <c r="B459" s="0" t="s">
        <v>567</v>
      </c>
      <c r="C459" s="0" t="n">
        <v>80</v>
      </c>
      <c r="D459" s="0" t="n">
        <v>6</v>
      </c>
      <c r="E459" s="0" t="n">
        <v>6</v>
      </c>
      <c r="F459" s="0" t="n">
        <v>75</v>
      </c>
      <c r="G459" s="0" t="n">
        <v>500</v>
      </c>
      <c r="H459" s="0" t="s">
        <v>145</v>
      </c>
      <c r="I459" s="0" t="n">
        <v>500</v>
      </c>
      <c r="J459" s="0" t="n">
        <f aca="false">F459*E459</f>
        <v>450</v>
      </c>
      <c r="K459" s="0" t="str">
        <f aca="false">IF(G459&lt;1000,"1-Low",IF(G459&lt;5000,"2-Medium","3-Bulk"))</f>
        <v>1-Low</v>
      </c>
      <c r="L459" s="0" t="str">
        <f aca="false">IF(H459="TRUE","Out of stock","In stock")</f>
        <v>In stock</v>
      </c>
      <c r="M459" s="0" t="str">
        <f aca="false">IF(D459&lt;5,"1) Under 5%",IF(D459&lt;10,"2) 5-9%",IF(D459&lt;15,"3) 10-14%",IF(D459&lt;25,"4) 15-24%","5) 25%+"))))</f>
        <v>2) 5-9%</v>
      </c>
      <c r="N459" s="0" t="str">
        <f aca="false">IF(F459&lt;50,"1) Under Rs 50",IF(F459&lt;100,"2) Rs 50-99",IF(F459&lt;200,"3) Rs 100-199",IF(F459&lt;500,"4) Rs 200-499","5) Rs 500+"))))</f>
        <v>2) Rs 50-99</v>
      </c>
      <c r="O459" s="0" t="n">
        <f aca="false">G459*E459/1000</f>
        <v>3</v>
      </c>
    </row>
    <row r="460" customFormat="false" ht="15" hidden="false" customHeight="false" outlineLevel="0" collapsed="false">
      <c r="A460" s="0" t="s">
        <v>96</v>
      </c>
      <c r="B460" s="0" t="s">
        <v>568</v>
      </c>
      <c r="C460" s="0" t="n">
        <v>105</v>
      </c>
      <c r="D460" s="0" t="n">
        <v>7</v>
      </c>
      <c r="E460" s="0" t="n">
        <v>6</v>
      </c>
      <c r="F460" s="0" t="n">
        <v>97</v>
      </c>
      <c r="G460" s="0" t="n">
        <v>500</v>
      </c>
      <c r="H460" s="0" t="s">
        <v>145</v>
      </c>
      <c r="I460" s="0" t="n">
        <v>500</v>
      </c>
      <c r="J460" s="0" t="n">
        <f aca="false">F460*E460</f>
        <v>582</v>
      </c>
      <c r="K460" s="0" t="str">
        <f aca="false">IF(G460&lt;1000,"1-Low",IF(G460&lt;5000,"2-Medium","3-Bulk"))</f>
        <v>1-Low</v>
      </c>
      <c r="L460" s="0" t="str">
        <f aca="false">IF(H460="TRUE","Out of stock","In stock")</f>
        <v>In stock</v>
      </c>
      <c r="M460" s="0" t="str">
        <f aca="false">IF(D460&lt;5,"1) Under 5%",IF(D460&lt;10,"2) 5-9%",IF(D460&lt;15,"3) 10-14%",IF(D460&lt;25,"4) 15-24%","5) 25%+"))))</f>
        <v>2) 5-9%</v>
      </c>
      <c r="N460" s="0" t="str">
        <f aca="false">IF(F460&lt;50,"1) Under Rs 50",IF(F460&lt;100,"2) Rs 50-99",IF(F460&lt;200,"3) Rs 100-199",IF(F460&lt;500,"4) Rs 200-499","5) Rs 500+"))))</f>
        <v>2) Rs 50-99</v>
      </c>
      <c r="O460" s="0" t="n">
        <f aca="false">G460*E460/1000</f>
        <v>3</v>
      </c>
    </row>
    <row r="461" customFormat="false" ht="15" hidden="false" customHeight="false" outlineLevel="0" collapsed="false">
      <c r="A461" s="0" t="s">
        <v>96</v>
      </c>
      <c r="B461" s="0" t="s">
        <v>569</v>
      </c>
      <c r="C461" s="0" t="n">
        <v>109</v>
      </c>
      <c r="D461" s="0" t="n">
        <v>10</v>
      </c>
      <c r="E461" s="0" t="n">
        <v>6</v>
      </c>
      <c r="F461" s="0" t="n">
        <v>98</v>
      </c>
      <c r="G461" s="0" t="n">
        <v>35</v>
      </c>
      <c r="H461" s="0" t="s">
        <v>145</v>
      </c>
      <c r="I461" s="0" t="n">
        <v>35</v>
      </c>
      <c r="J461" s="0" t="n">
        <f aca="false">F461*E461</f>
        <v>588</v>
      </c>
      <c r="K461" s="0" t="str">
        <f aca="false">IF(G461&lt;1000,"1-Low",IF(G461&lt;5000,"2-Medium","3-Bulk"))</f>
        <v>1-Low</v>
      </c>
      <c r="L461" s="0" t="str">
        <f aca="false">IF(H461="TRUE","Out of stock","In stock")</f>
        <v>In stock</v>
      </c>
      <c r="M461" s="0" t="str">
        <f aca="false">IF(D461&lt;5,"1) Under 5%",IF(D461&lt;10,"2) 5-9%",IF(D461&lt;15,"3) 10-14%",IF(D461&lt;25,"4) 15-24%","5) 25%+"))))</f>
        <v>3) 10-14%</v>
      </c>
      <c r="N461" s="0" t="str">
        <f aca="false">IF(F461&lt;50,"1) Under Rs 50",IF(F461&lt;100,"2) Rs 50-99",IF(F461&lt;200,"3) Rs 100-199",IF(F461&lt;500,"4) Rs 200-499","5) Rs 500+"))))</f>
        <v>2) Rs 50-99</v>
      </c>
      <c r="O461" s="0" t="n">
        <f aca="false">G461*E461/1000</f>
        <v>0.21</v>
      </c>
    </row>
    <row r="462" customFormat="false" ht="15" hidden="false" customHeight="false" outlineLevel="0" collapsed="false">
      <c r="A462" s="0" t="s">
        <v>96</v>
      </c>
      <c r="B462" s="0" t="s">
        <v>570</v>
      </c>
      <c r="C462" s="0" t="n">
        <v>115</v>
      </c>
      <c r="D462" s="0" t="n">
        <v>0</v>
      </c>
      <c r="E462" s="0" t="n">
        <v>3</v>
      </c>
      <c r="F462" s="0" t="n">
        <v>115</v>
      </c>
      <c r="G462" s="0" t="n">
        <v>200</v>
      </c>
      <c r="H462" s="0" t="s">
        <v>145</v>
      </c>
      <c r="I462" s="0" t="n">
        <v>200</v>
      </c>
      <c r="J462" s="0" t="n">
        <f aca="false">F462*E462</f>
        <v>345</v>
      </c>
      <c r="K462" s="0" t="str">
        <f aca="false">IF(G462&lt;1000,"1-Low",IF(G462&lt;5000,"2-Medium","3-Bulk"))</f>
        <v>1-Low</v>
      </c>
      <c r="L462" s="0" t="str">
        <f aca="false">IF(H462="TRUE","Out of stock","In stock")</f>
        <v>In stock</v>
      </c>
      <c r="M462" s="0" t="str">
        <f aca="false">IF(D462&lt;5,"1) Under 5%",IF(D462&lt;10,"2) 5-9%",IF(D462&lt;15,"3) 10-14%",IF(D462&lt;25,"4) 15-24%","5) 25%+"))))</f>
        <v>1) Under 5%</v>
      </c>
      <c r="N462" s="0" t="str">
        <f aca="false">IF(F462&lt;50,"1) Under Rs 50",IF(F462&lt;100,"2) Rs 50-99",IF(F462&lt;200,"3) Rs 100-199",IF(F462&lt;500,"4) Rs 200-499","5) Rs 500+"))))</f>
        <v>3) Rs 100-199</v>
      </c>
      <c r="O462" s="0" t="n">
        <f aca="false">G462*E462/1000</f>
        <v>0.6</v>
      </c>
    </row>
    <row r="463" customFormat="false" ht="15" hidden="false" customHeight="false" outlineLevel="0" collapsed="false">
      <c r="A463" s="0" t="s">
        <v>96</v>
      </c>
      <c r="B463" s="0" t="s">
        <v>571</v>
      </c>
      <c r="C463" s="0" t="n">
        <v>399</v>
      </c>
      <c r="D463" s="0" t="n">
        <v>25</v>
      </c>
      <c r="E463" s="0" t="n">
        <v>6</v>
      </c>
      <c r="F463" s="0" t="n">
        <v>299</v>
      </c>
      <c r="G463" s="0" t="n">
        <v>200</v>
      </c>
      <c r="H463" s="0" t="s">
        <v>145</v>
      </c>
      <c r="I463" s="0" t="n">
        <v>200</v>
      </c>
      <c r="J463" s="0" t="n">
        <f aca="false">F463*E463</f>
        <v>1794</v>
      </c>
      <c r="K463" s="0" t="str">
        <f aca="false">IF(G463&lt;1000,"1-Low",IF(G463&lt;5000,"2-Medium","3-Bulk"))</f>
        <v>1-Low</v>
      </c>
      <c r="L463" s="0" t="str">
        <f aca="false">IF(H463="TRUE","Out of stock","In stock")</f>
        <v>In stock</v>
      </c>
      <c r="M463" s="0" t="str">
        <f aca="false">IF(D463&lt;5,"1) Under 5%",IF(D463&lt;10,"2) 5-9%",IF(D463&lt;15,"3) 10-14%",IF(D463&lt;25,"4) 15-24%","5) 25%+"))))</f>
        <v>5) 25%+</v>
      </c>
      <c r="N463" s="0" t="str">
        <f aca="false">IF(F463&lt;50,"1) Under Rs 50",IF(F463&lt;100,"2) Rs 50-99",IF(F463&lt;200,"3) Rs 100-199",IF(F463&lt;500,"4) Rs 200-499","5) Rs 500+"))))</f>
        <v>4) Rs 200-499</v>
      </c>
      <c r="O463" s="0" t="n">
        <f aca="false">G463*E463/1000</f>
        <v>1.2</v>
      </c>
    </row>
    <row r="464" customFormat="false" ht="15" hidden="false" customHeight="false" outlineLevel="0" collapsed="false">
      <c r="A464" s="0" t="s">
        <v>96</v>
      </c>
      <c r="B464" s="0" t="s">
        <v>572</v>
      </c>
      <c r="C464" s="0" t="n">
        <v>120</v>
      </c>
      <c r="D464" s="0" t="n">
        <v>10</v>
      </c>
      <c r="E464" s="0" t="n">
        <v>6</v>
      </c>
      <c r="F464" s="0" t="n">
        <v>108</v>
      </c>
      <c r="G464" s="0" t="n">
        <v>500</v>
      </c>
      <c r="H464" s="0" t="s">
        <v>145</v>
      </c>
      <c r="I464" s="0" t="n">
        <v>500</v>
      </c>
      <c r="J464" s="0" t="n">
        <f aca="false">F464*E464</f>
        <v>648</v>
      </c>
      <c r="K464" s="0" t="str">
        <f aca="false">IF(G464&lt;1000,"1-Low",IF(G464&lt;5000,"2-Medium","3-Bulk"))</f>
        <v>1-Low</v>
      </c>
      <c r="L464" s="0" t="str">
        <f aca="false">IF(H464="TRUE","Out of stock","In stock")</f>
        <v>In stock</v>
      </c>
      <c r="M464" s="0" t="str">
        <f aca="false">IF(D464&lt;5,"1) Under 5%",IF(D464&lt;10,"2) 5-9%",IF(D464&lt;15,"3) 10-14%",IF(D464&lt;25,"4) 15-24%","5) 25%+"))))</f>
        <v>3) 10-14%</v>
      </c>
      <c r="N464" s="0" t="str">
        <f aca="false">IF(F464&lt;50,"1) Under Rs 50",IF(F464&lt;100,"2) Rs 50-99",IF(F464&lt;200,"3) Rs 100-199",IF(F464&lt;500,"4) Rs 200-499","5) Rs 500+"))))</f>
        <v>3) Rs 100-199</v>
      </c>
      <c r="O464" s="0" t="n">
        <f aca="false">G464*E464/1000</f>
        <v>3</v>
      </c>
    </row>
    <row r="465" customFormat="false" ht="15" hidden="false" customHeight="false" outlineLevel="0" collapsed="false">
      <c r="A465" s="0" t="s">
        <v>96</v>
      </c>
      <c r="B465" s="0" t="s">
        <v>573</v>
      </c>
      <c r="C465" s="0" t="n">
        <v>99</v>
      </c>
      <c r="D465" s="0" t="n">
        <v>0</v>
      </c>
      <c r="E465" s="0" t="n">
        <v>6</v>
      </c>
      <c r="F465" s="0" t="n">
        <v>99</v>
      </c>
      <c r="G465" s="0" t="n">
        <v>75</v>
      </c>
      <c r="H465" s="0" t="s">
        <v>145</v>
      </c>
      <c r="I465" s="0" t="n">
        <v>75</v>
      </c>
      <c r="J465" s="0" t="n">
        <f aca="false">F465*E465</f>
        <v>594</v>
      </c>
      <c r="K465" s="0" t="str">
        <f aca="false">IF(G465&lt;1000,"1-Low",IF(G465&lt;5000,"2-Medium","3-Bulk"))</f>
        <v>1-Low</v>
      </c>
      <c r="L465" s="0" t="str">
        <f aca="false">IF(H465="TRUE","Out of stock","In stock")</f>
        <v>In stock</v>
      </c>
      <c r="M465" s="0" t="str">
        <f aca="false">IF(D465&lt;5,"1) Under 5%",IF(D465&lt;10,"2) 5-9%",IF(D465&lt;15,"3) 10-14%",IF(D465&lt;25,"4) 15-24%","5) 25%+"))))</f>
        <v>1) Under 5%</v>
      </c>
      <c r="N465" s="0" t="str">
        <f aca="false">IF(F465&lt;50,"1) Under Rs 50",IF(F465&lt;100,"2) Rs 50-99",IF(F465&lt;200,"3) Rs 100-199",IF(F465&lt;500,"4) Rs 200-499","5) Rs 500+"))))</f>
        <v>2) Rs 50-99</v>
      </c>
      <c r="O465" s="0" t="n">
        <f aca="false">G465*E465/1000</f>
        <v>0.45</v>
      </c>
    </row>
    <row r="466" customFormat="false" ht="15" hidden="false" customHeight="false" outlineLevel="0" collapsed="false">
      <c r="A466" s="0" t="s">
        <v>96</v>
      </c>
      <c r="B466" s="0" t="s">
        <v>574</v>
      </c>
      <c r="C466" s="0" t="n">
        <v>63</v>
      </c>
      <c r="D466" s="0" t="n">
        <v>0</v>
      </c>
      <c r="E466" s="0" t="n">
        <v>6</v>
      </c>
      <c r="F466" s="0" t="n">
        <v>63</v>
      </c>
      <c r="G466" s="0" t="n">
        <v>200</v>
      </c>
      <c r="H466" s="0" t="s">
        <v>145</v>
      </c>
      <c r="I466" s="0" t="n">
        <v>200</v>
      </c>
      <c r="J466" s="0" t="n">
        <f aca="false">F466*E466</f>
        <v>378</v>
      </c>
      <c r="K466" s="0" t="str">
        <f aca="false">IF(G466&lt;1000,"1-Low",IF(G466&lt;5000,"2-Medium","3-Bulk"))</f>
        <v>1-Low</v>
      </c>
      <c r="L466" s="0" t="str">
        <f aca="false">IF(H466="TRUE","Out of stock","In stock")</f>
        <v>In stock</v>
      </c>
      <c r="M466" s="0" t="str">
        <f aca="false">IF(D466&lt;5,"1) Under 5%",IF(D466&lt;10,"2) 5-9%",IF(D466&lt;15,"3) 10-14%",IF(D466&lt;25,"4) 15-24%","5) 25%+"))))</f>
        <v>1) Under 5%</v>
      </c>
      <c r="N466" s="0" t="str">
        <f aca="false">IF(F466&lt;50,"1) Under Rs 50",IF(F466&lt;100,"2) Rs 50-99",IF(F466&lt;200,"3) Rs 100-199",IF(F466&lt;500,"4) Rs 200-499","5) Rs 500+"))))</f>
        <v>2) Rs 50-99</v>
      </c>
      <c r="O466" s="0" t="n">
        <f aca="false">G466*E466/1000</f>
        <v>1.2</v>
      </c>
    </row>
    <row r="467" customFormat="false" ht="15" hidden="false" customHeight="false" outlineLevel="0" collapsed="false">
      <c r="A467" s="0" t="s">
        <v>96</v>
      </c>
      <c r="B467" s="0" t="s">
        <v>575</v>
      </c>
      <c r="C467" s="0" t="n">
        <v>200</v>
      </c>
      <c r="D467" s="0" t="n">
        <v>11</v>
      </c>
      <c r="E467" s="0" t="n">
        <v>6</v>
      </c>
      <c r="F467" s="0" t="n">
        <v>178</v>
      </c>
      <c r="G467" s="0" t="n">
        <v>180</v>
      </c>
      <c r="H467" s="0" t="s">
        <v>145</v>
      </c>
      <c r="I467" s="0" t="n">
        <v>180</v>
      </c>
      <c r="J467" s="0" t="n">
        <f aca="false">F467*E467</f>
        <v>1068</v>
      </c>
      <c r="K467" s="0" t="str">
        <f aca="false">IF(G467&lt;1000,"1-Low",IF(G467&lt;5000,"2-Medium","3-Bulk"))</f>
        <v>1-Low</v>
      </c>
      <c r="L467" s="0" t="str">
        <f aca="false">IF(H467="TRUE","Out of stock","In stock")</f>
        <v>In stock</v>
      </c>
      <c r="M467" s="0" t="str">
        <f aca="false">IF(D467&lt;5,"1) Under 5%",IF(D467&lt;10,"2) 5-9%",IF(D467&lt;15,"3) 10-14%",IF(D467&lt;25,"4) 15-24%","5) 25%+"))))</f>
        <v>3) 10-14%</v>
      </c>
      <c r="N467" s="0" t="str">
        <f aca="false">IF(F467&lt;50,"1) Under Rs 50",IF(F467&lt;100,"2) Rs 50-99",IF(F467&lt;200,"3) Rs 100-199",IF(F467&lt;500,"4) Rs 200-499","5) Rs 500+"))))</f>
        <v>3) Rs 100-199</v>
      </c>
      <c r="O467" s="0" t="n">
        <f aca="false">G467*E467/1000</f>
        <v>1.08</v>
      </c>
    </row>
    <row r="468" customFormat="false" ht="15" hidden="false" customHeight="false" outlineLevel="0" collapsed="false">
      <c r="A468" s="0" t="s">
        <v>96</v>
      </c>
      <c r="B468" s="0" t="s">
        <v>576</v>
      </c>
      <c r="C468" s="0" t="n">
        <v>50</v>
      </c>
      <c r="D468" s="0" t="n">
        <v>2</v>
      </c>
      <c r="E468" s="0" t="n">
        <v>6</v>
      </c>
      <c r="F468" s="0" t="n">
        <v>49</v>
      </c>
      <c r="G468" s="0" t="n">
        <v>20</v>
      </c>
      <c r="H468" s="0" t="s">
        <v>145</v>
      </c>
      <c r="I468" s="0" t="n">
        <v>20</v>
      </c>
      <c r="J468" s="0" t="n">
        <f aca="false">F468*E468</f>
        <v>294</v>
      </c>
      <c r="K468" s="0" t="str">
        <f aca="false">IF(G468&lt;1000,"1-Low",IF(G468&lt;5000,"2-Medium","3-Bulk"))</f>
        <v>1-Low</v>
      </c>
      <c r="L468" s="0" t="str">
        <f aca="false">IF(H468="TRUE","Out of stock","In stock")</f>
        <v>In stock</v>
      </c>
      <c r="M468" s="0" t="str">
        <f aca="false">IF(D468&lt;5,"1) Under 5%",IF(D468&lt;10,"2) 5-9%",IF(D468&lt;15,"3) 10-14%",IF(D468&lt;25,"4) 15-24%","5) 25%+"))))</f>
        <v>1) Under 5%</v>
      </c>
      <c r="N468" s="0" t="str">
        <f aca="false">IF(F468&lt;50,"1) Under Rs 50",IF(F468&lt;100,"2) Rs 50-99",IF(F468&lt;200,"3) Rs 100-199",IF(F468&lt;500,"4) Rs 200-499","5) Rs 500+"))))</f>
        <v>1) Under Rs 50</v>
      </c>
      <c r="O468" s="0" t="n">
        <f aca="false">G468*E468/1000</f>
        <v>0.12</v>
      </c>
    </row>
    <row r="469" customFormat="false" ht="15" hidden="false" customHeight="false" outlineLevel="0" collapsed="false">
      <c r="A469" s="0" t="s">
        <v>96</v>
      </c>
      <c r="B469" s="0" t="s">
        <v>423</v>
      </c>
      <c r="C469" s="0" t="n">
        <v>50</v>
      </c>
      <c r="D469" s="0" t="n">
        <v>2</v>
      </c>
      <c r="E469" s="0" t="n">
        <v>2</v>
      </c>
      <c r="F469" s="0" t="n">
        <v>49</v>
      </c>
      <c r="G469" s="0" t="n">
        <v>200</v>
      </c>
      <c r="H469" s="0" t="s">
        <v>145</v>
      </c>
      <c r="I469" s="0" t="n">
        <v>200</v>
      </c>
      <c r="J469" s="0" t="n">
        <f aca="false">F469*E469</f>
        <v>98</v>
      </c>
      <c r="K469" s="0" t="str">
        <f aca="false">IF(G469&lt;1000,"1-Low",IF(G469&lt;5000,"2-Medium","3-Bulk"))</f>
        <v>1-Low</v>
      </c>
      <c r="L469" s="0" t="str">
        <f aca="false">IF(H469="TRUE","Out of stock","In stock")</f>
        <v>In stock</v>
      </c>
      <c r="M469" s="0" t="str">
        <f aca="false">IF(D469&lt;5,"1) Under 5%",IF(D469&lt;10,"2) 5-9%",IF(D469&lt;15,"3) 10-14%",IF(D469&lt;25,"4) 15-24%","5) 25%+"))))</f>
        <v>1) Under 5%</v>
      </c>
      <c r="N469" s="0" t="str">
        <f aca="false">IF(F469&lt;50,"1) Under Rs 50",IF(F469&lt;100,"2) Rs 50-99",IF(F469&lt;200,"3) Rs 100-199",IF(F469&lt;500,"4) Rs 200-499","5) Rs 500+"))))</f>
        <v>1) Under Rs 50</v>
      </c>
      <c r="O469" s="0" t="n">
        <f aca="false">G469*E469/1000</f>
        <v>0.4</v>
      </c>
    </row>
    <row r="470" customFormat="false" ht="15" hidden="false" customHeight="false" outlineLevel="0" collapsed="false">
      <c r="A470" s="0" t="s">
        <v>96</v>
      </c>
      <c r="B470" s="0" t="s">
        <v>130</v>
      </c>
      <c r="C470" s="0" t="n">
        <v>295</v>
      </c>
      <c r="D470" s="0" t="n">
        <v>9</v>
      </c>
      <c r="E470" s="0" t="n">
        <v>6</v>
      </c>
      <c r="F470" s="0" t="n">
        <v>266</v>
      </c>
      <c r="G470" s="0" t="n">
        <v>250</v>
      </c>
      <c r="H470" s="0" t="s">
        <v>145</v>
      </c>
      <c r="I470" s="0" t="n">
        <v>250</v>
      </c>
      <c r="J470" s="0" t="n">
        <f aca="false">F470*E470</f>
        <v>1596</v>
      </c>
      <c r="K470" s="0" t="str">
        <f aca="false">IF(G470&lt;1000,"1-Low",IF(G470&lt;5000,"2-Medium","3-Bulk"))</f>
        <v>1-Low</v>
      </c>
      <c r="L470" s="0" t="str">
        <f aca="false">IF(H470="TRUE","Out of stock","In stock")</f>
        <v>In stock</v>
      </c>
      <c r="M470" s="0" t="str">
        <f aca="false">IF(D470&lt;5,"1) Under 5%",IF(D470&lt;10,"2) 5-9%",IF(D470&lt;15,"3) 10-14%",IF(D470&lt;25,"4) 15-24%","5) 25%+"))))</f>
        <v>2) 5-9%</v>
      </c>
      <c r="N470" s="0" t="str">
        <f aca="false">IF(F470&lt;50,"1) Under Rs 50",IF(F470&lt;100,"2) Rs 50-99",IF(F470&lt;200,"3) Rs 100-199",IF(F470&lt;500,"4) Rs 200-499","5) Rs 500+"))))</f>
        <v>4) Rs 200-499</v>
      </c>
      <c r="O470" s="0" t="n">
        <f aca="false">G470*E470/1000</f>
        <v>1.5</v>
      </c>
    </row>
    <row r="471" customFormat="false" ht="15" hidden="false" customHeight="false" outlineLevel="0" collapsed="false">
      <c r="A471" s="0" t="s">
        <v>96</v>
      </c>
      <c r="B471" s="0" t="s">
        <v>577</v>
      </c>
      <c r="C471" s="0" t="n">
        <v>150</v>
      </c>
      <c r="D471" s="0" t="n">
        <v>0</v>
      </c>
      <c r="E471" s="0" t="n">
        <v>4</v>
      </c>
      <c r="F471" s="0" t="n">
        <v>150</v>
      </c>
      <c r="G471" s="0" t="n">
        <v>400</v>
      </c>
      <c r="H471" s="0" t="s">
        <v>145</v>
      </c>
      <c r="I471" s="0" t="n">
        <v>400</v>
      </c>
      <c r="J471" s="0" t="n">
        <f aca="false">F471*E471</f>
        <v>600</v>
      </c>
      <c r="K471" s="0" t="str">
        <f aca="false">IF(G471&lt;1000,"1-Low",IF(G471&lt;5000,"2-Medium","3-Bulk"))</f>
        <v>1-Low</v>
      </c>
      <c r="L471" s="0" t="str">
        <f aca="false">IF(H471="TRUE","Out of stock","In stock")</f>
        <v>In stock</v>
      </c>
      <c r="M471" s="0" t="str">
        <f aca="false">IF(D471&lt;5,"1) Under 5%",IF(D471&lt;10,"2) 5-9%",IF(D471&lt;15,"3) 10-14%",IF(D471&lt;25,"4) 15-24%","5) 25%+"))))</f>
        <v>1) Under 5%</v>
      </c>
      <c r="N471" s="0" t="str">
        <f aca="false">IF(F471&lt;50,"1) Under Rs 50",IF(F471&lt;100,"2) Rs 50-99",IF(F471&lt;200,"3) Rs 100-199",IF(F471&lt;500,"4) Rs 200-499","5) Rs 500+"))))</f>
        <v>3) Rs 100-199</v>
      </c>
      <c r="O471" s="0" t="n">
        <f aca="false">G471*E471/1000</f>
        <v>1.6</v>
      </c>
    </row>
    <row r="472" customFormat="false" ht="15" hidden="false" customHeight="false" outlineLevel="0" collapsed="false">
      <c r="A472" s="0" t="s">
        <v>96</v>
      </c>
      <c r="B472" s="0" t="s">
        <v>578</v>
      </c>
      <c r="C472" s="0" t="n">
        <v>130</v>
      </c>
      <c r="D472" s="0" t="n">
        <v>10</v>
      </c>
      <c r="E472" s="0" t="n">
        <v>6</v>
      </c>
      <c r="F472" s="0" t="n">
        <v>116</v>
      </c>
      <c r="G472" s="0" t="n">
        <v>500</v>
      </c>
      <c r="H472" s="0" t="s">
        <v>145</v>
      </c>
      <c r="I472" s="0" t="n">
        <v>500</v>
      </c>
      <c r="J472" s="0" t="n">
        <f aca="false">F472*E472</f>
        <v>696</v>
      </c>
      <c r="K472" s="0" t="str">
        <f aca="false">IF(G472&lt;1000,"1-Low",IF(G472&lt;5000,"2-Medium","3-Bulk"))</f>
        <v>1-Low</v>
      </c>
      <c r="L472" s="0" t="str">
        <f aca="false">IF(H472="TRUE","Out of stock","In stock")</f>
        <v>In stock</v>
      </c>
      <c r="M472" s="0" t="str">
        <f aca="false">IF(D472&lt;5,"1) Under 5%",IF(D472&lt;10,"2) 5-9%",IF(D472&lt;15,"3) 10-14%",IF(D472&lt;25,"4) 15-24%","5) 25%+"))))</f>
        <v>3) 10-14%</v>
      </c>
      <c r="N472" s="0" t="str">
        <f aca="false">IF(F472&lt;50,"1) Under Rs 50",IF(F472&lt;100,"2) Rs 50-99",IF(F472&lt;200,"3) Rs 100-199",IF(F472&lt;500,"4) Rs 200-499","5) Rs 500+"))))</f>
        <v>3) Rs 100-199</v>
      </c>
      <c r="O472" s="0" t="n">
        <f aca="false">G472*E472/1000</f>
        <v>3</v>
      </c>
    </row>
    <row r="473" customFormat="false" ht="15" hidden="false" customHeight="false" outlineLevel="0" collapsed="false">
      <c r="A473" s="0" t="s">
        <v>96</v>
      </c>
      <c r="B473" s="0" t="s">
        <v>579</v>
      </c>
      <c r="C473" s="0" t="n">
        <v>430</v>
      </c>
      <c r="D473" s="0" t="n">
        <v>10</v>
      </c>
      <c r="E473" s="0" t="n">
        <v>6</v>
      </c>
      <c r="F473" s="0" t="n">
        <v>387</v>
      </c>
      <c r="G473" s="0" t="n">
        <v>5000</v>
      </c>
      <c r="H473" s="0" t="s">
        <v>145</v>
      </c>
      <c r="I473" s="0" t="n">
        <v>5</v>
      </c>
      <c r="J473" s="0" t="n">
        <f aca="false">F473*E473</f>
        <v>2322</v>
      </c>
      <c r="K473" s="0" t="str">
        <f aca="false">IF(G473&lt;1000,"1-Low",IF(G473&lt;5000,"2-Medium","3-Bulk"))</f>
        <v>3-Bulk</v>
      </c>
      <c r="L473" s="0" t="str">
        <f aca="false">IF(H473="TRUE","Out of stock","In stock")</f>
        <v>In stock</v>
      </c>
      <c r="M473" s="0" t="str">
        <f aca="false">IF(D473&lt;5,"1) Under 5%",IF(D473&lt;10,"2) 5-9%",IF(D473&lt;15,"3) 10-14%",IF(D473&lt;25,"4) 15-24%","5) 25%+"))))</f>
        <v>3) 10-14%</v>
      </c>
      <c r="N473" s="0" t="str">
        <f aca="false">IF(F473&lt;50,"1) Under Rs 50",IF(F473&lt;100,"2) Rs 50-99",IF(F473&lt;200,"3) Rs 100-199",IF(F473&lt;500,"4) Rs 200-499","5) Rs 500+"))))</f>
        <v>4) Rs 200-499</v>
      </c>
      <c r="O473" s="0" t="n">
        <f aca="false">G473*E473/1000</f>
        <v>30</v>
      </c>
    </row>
    <row r="474" customFormat="false" ht="15" hidden="false" customHeight="false" outlineLevel="0" collapsed="false">
      <c r="A474" s="0" t="s">
        <v>96</v>
      </c>
      <c r="B474" s="0" t="s">
        <v>580</v>
      </c>
      <c r="C474" s="0" t="n">
        <v>70</v>
      </c>
      <c r="D474" s="0" t="n">
        <v>18</v>
      </c>
      <c r="E474" s="0" t="n">
        <v>6</v>
      </c>
      <c r="F474" s="0" t="n">
        <v>57</v>
      </c>
      <c r="G474" s="0" t="n">
        <v>400</v>
      </c>
      <c r="H474" s="0" t="s">
        <v>145</v>
      </c>
      <c r="I474" s="0" t="n">
        <v>400</v>
      </c>
      <c r="J474" s="0" t="n">
        <f aca="false">F474*E474</f>
        <v>342</v>
      </c>
      <c r="K474" s="0" t="str">
        <f aca="false">IF(G474&lt;1000,"1-Low",IF(G474&lt;5000,"2-Medium","3-Bulk"))</f>
        <v>1-Low</v>
      </c>
      <c r="L474" s="0" t="str">
        <f aca="false">IF(H474="TRUE","Out of stock","In stock")</f>
        <v>In stock</v>
      </c>
      <c r="M474" s="0" t="str">
        <f aca="false">IF(D474&lt;5,"1) Under 5%",IF(D474&lt;10,"2) 5-9%",IF(D474&lt;15,"3) 10-14%",IF(D474&lt;25,"4) 15-24%","5) 25%+"))))</f>
        <v>4) 15-24%</v>
      </c>
      <c r="N474" s="0" t="str">
        <f aca="false">IF(F474&lt;50,"1) Under Rs 50",IF(F474&lt;100,"2) Rs 50-99",IF(F474&lt;200,"3) Rs 100-199",IF(F474&lt;500,"4) Rs 200-499","5) Rs 500+"))))</f>
        <v>2) Rs 50-99</v>
      </c>
      <c r="O474" s="0" t="n">
        <f aca="false">G474*E474/1000</f>
        <v>2.4</v>
      </c>
    </row>
    <row r="475" customFormat="false" ht="15" hidden="false" customHeight="false" outlineLevel="0" collapsed="false">
      <c r="A475" s="0" t="s">
        <v>96</v>
      </c>
      <c r="B475" s="0" t="s">
        <v>581</v>
      </c>
      <c r="C475" s="0" t="n">
        <v>265</v>
      </c>
      <c r="D475" s="0" t="n">
        <v>9</v>
      </c>
      <c r="E475" s="0" t="n">
        <v>6</v>
      </c>
      <c r="F475" s="0" t="n">
        <v>239</v>
      </c>
      <c r="G475" s="0" t="n">
        <v>1000</v>
      </c>
      <c r="H475" s="0" t="s">
        <v>145</v>
      </c>
      <c r="I475" s="0" t="n">
        <v>1</v>
      </c>
      <c r="J475" s="0" t="n">
        <f aca="false">F475*E475</f>
        <v>1434</v>
      </c>
      <c r="K475" s="0" t="str">
        <f aca="false">IF(G475&lt;1000,"1-Low",IF(G475&lt;5000,"2-Medium","3-Bulk"))</f>
        <v>2-Medium</v>
      </c>
      <c r="L475" s="0" t="str">
        <f aca="false">IF(H475="TRUE","Out of stock","In stock")</f>
        <v>In stock</v>
      </c>
      <c r="M475" s="0" t="str">
        <f aca="false">IF(D475&lt;5,"1) Under 5%",IF(D475&lt;10,"2) 5-9%",IF(D475&lt;15,"3) 10-14%",IF(D475&lt;25,"4) 15-24%","5) 25%+"))))</f>
        <v>2) 5-9%</v>
      </c>
      <c r="N475" s="0" t="str">
        <f aca="false">IF(F475&lt;50,"1) Under Rs 50",IF(F475&lt;100,"2) Rs 50-99",IF(F475&lt;200,"3) Rs 100-199",IF(F475&lt;500,"4) Rs 200-499","5) Rs 500+"))))</f>
        <v>4) Rs 200-499</v>
      </c>
      <c r="O475" s="0" t="n">
        <f aca="false">G475*E475/1000</f>
        <v>6</v>
      </c>
    </row>
    <row r="476" customFormat="false" ht="15" hidden="false" customHeight="false" outlineLevel="0" collapsed="false">
      <c r="A476" s="0" t="s">
        <v>96</v>
      </c>
      <c r="B476" s="0" t="s">
        <v>582</v>
      </c>
      <c r="C476" s="0" t="n">
        <v>540</v>
      </c>
      <c r="D476" s="0" t="n">
        <v>20</v>
      </c>
      <c r="E476" s="0" t="n">
        <v>6</v>
      </c>
      <c r="F476" s="0" t="n">
        <v>432</v>
      </c>
      <c r="G476" s="0" t="n">
        <v>150</v>
      </c>
      <c r="H476" s="0" t="s">
        <v>145</v>
      </c>
      <c r="I476" s="0" t="n">
        <v>150</v>
      </c>
      <c r="J476" s="0" t="n">
        <f aca="false">F476*E476</f>
        <v>2592</v>
      </c>
      <c r="K476" s="0" t="str">
        <f aca="false">IF(G476&lt;1000,"1-Low",IF(G476&lt;5000,"2-Medium","3-Bulk"))</f>
        <v>1-Low</v>
      </c>
      <c r="L476" s="0" t="str">
        <f aca="false">IF(H476="TRUE","Out of stock","In stock")</f>
        <v>In stock</v>
      </c>
      <c r="M476" s="0" t="str">
        <f aca="false">IF(D476&lt;5,"1) Under 5%",IF(D476&lt;10,"2) 5-9%",IF(D476&lt;15,"3) 10-14%",IF(D476&lt;25,"4) 15-24%","5) 25%+"))))</f>
        <v>4) 15-24%</v>
      </c>
      <c r="N476" s="0" t="str">
        <f aca="false">IF(F476&lt;50,"1) Under Rs 50",IF(F476&lt;100,"2) Rs 50-99",IF(F476&lt;200,"3) Rs 100-199",IF(F476&lt;500,"4) Rs 200-499","5) Rs 500+"))))</f>
        <v>4) Rs 200-499</v>
      </c>
      <c r="O476" s="0" t="n">
        <f aca="false">G476*E476/1000</f>
        <v>0.9</v>
      </c>
    </row>
    <row r="477" customFormat="false" ht="15" hidden="false" customHeight="false" outlineLevel="0" collapsed="false">
      <c r="A477" s="0" t="s">
        <v>96</v>
      </c>
      <c r="B477" s="0" t="s">
        <v>583</v>
      </c>
      <c r="C477" s="0" t="n">
        <v>60</v>
      </c>
      <c r="D477" s="0" t="n">
        <v>10</v>
      </c>
      <c r="E477" s="0" t="n">
        <v>6</v>
      </c>
      <c r="F477" s="0" t="n">
        <v>54</v>
      </c>
      <c r="G477" s="0" t="n">
        <v>250</v>
      </c>
      <c r="H477" s="0" t="s">
        <v>145</v>
      </c>
      <c r="I477" s="0" t="n">
        <v>250</v>
      </c>
      <c r="J477" s="0" t="n">
        <f aca="false">F477*E477</f>
        <v>324</v>
      </c>
      <c r="K477" s="0" t="str">
        <f aca="false">IF(G477&lt;1000,"1-Low",IF(G477&lt;5000,"2-Medium","3-Bulk"))</f>
        <v>1-Low</v>
      </c>
      <c r="L477" s="0" t="str">
        <f aca="false">IF(H477="TRUE","Out of stock","In stock")</f>
        <v>In stock</v>
      </c>
      <c r="M477" s="0" t="str">
        <f aca="false">IF(D477&lt;5,"1) Under 5%",IF(D477&lt;10,"2) 5-9%",IF(D477&lt;15,"3) 10-14%",IF(D477&lt;25,"4) 15-24%","5) 25%+"))))</f>
        <v>3) 10-14%</v>
      </c>
      <c r="N477" s="0" t="str">
        <f aca="false">IF(F477&lt;50,"1) Under Rs 50",IF(F477&lt;100,"2) Rs 50-99",IF(F477&lt;200,"3) Rs 100-199",IF(F477&lt;500,"4) Rs 200-499","5) Rs 500+"))))</f>
        <v>2) Rs 50-99</v>
      </c>
      <c r="O477" s="0" t="n">
        <f aca="false">G477*E477/1000</f>
        <v>1.5</v>
      </c>
    </row>
    <row r="478" customFormat="false" ht="15" hidden="false" customHeight="false" outlineLevel="0" collapsed="false">
      <c r="A478" s="0" t="s">
        <v>96</v>
      </c>
      <c r="B478" s="0" t="s">
        <v>584</v>
      </c>
      <c r="C478" s="0" t="n">
        <v>349</v>
      </c>
      <c r="D478" s="0" t="n">
        <v>20</v>
      </c>
      <c r="E478" s="0" t="n">
        <v>6</v>
      </c>
      <c r="F478" s="0" t="n">
        <v>279</v>
      </c>
      <c r="G478" s="0" t="n">
        <v>200</v>
      </c>
      <c r="H478" s="0" t="s">
        <v>145</v>
      </c>
      <c r="I478" s="0" t="n">
        <v>200</v>
      </c>
      <c r="J478" s="0" t="n">
        <f aca="false">F478*E478</f>
        <v>1674</v>
      </c>
      <c r="K478" s="0" t="str">
        <f aca="false">IF(G478&lt;1000,"1-Low",IF(G478&lt;5000,"2-Medium","3-Bulk"))</f>
        <v>1-Low</v>
      </c>
      <c r="L478" s="0" t="str">
        <f aca="false">IF(H478="TRUE","Out of stock","In stock")</f>
        <v>In stock</v>
      </c>
      <c r="M478" s="0" t="str">
        <f aca="false">IF(D478&lt;5,"1) Under 5%",IF(D478&lt;10,"2) 5-9%",IF(D478&lt;15,"3) 10-14%",IF(D478&lt;25,"4) 15-24%","5) 25%+"))))</f>
        <v>4) 15-24%</v>
      </c>
      <c r="N478" s="0" t="str">
        <f aca="false">IF(F478&lt;50,"1) Under Rs 50",IF(F478&lt;100,"2) Rs 50-99",IF(F478&lt;200,"3) Rs 100-199",IF(F478&lt;500,"4) Rs 200-499","5) Rs 500+"))))</f>
        <v>4) Rs 200-499</v>
      </c>
      <c r="O478" s="0" t="n">
        <f aca="false">G478*E478/1000</f>
        <v>1.2</v>
      </c>
    </row>
    <row r="479" customFormat="false" ht="15" hidden="false" customHeight="false" outlineLevel="0" collapsed="false">
      <c r="A479" s="0" t="s">
        <v>96</v>
      </c>
      <c r="B479" s="0" t="s">
        <v>585</v>
      </c>
      <c r="C479" s="0" t="n">
        <v>160</v>
      </c>
      <c r="D479" s="0" t="n">
        <v>6</v>
      </c>
      <c r="E479" s="0" t="n">
        <v>6</v>
      </c>
      <c r="F479" s="0" t="n">
        <v>150</v>
      </c>
      <c r="G479" s="0" t="n">
        <v>900</v>
      </c>
      <c r="H479" s="0" t="s">
        <v>145</v>
      </c>
      <c r="I479" s="0" t="n">
        <v>900</v>
      </c>
      <c r="J479" s="0" t="n">
        <f aca="false">F479*E479</f>
        <v>900</v>
      </c>
      <c r="K479" s="0" t="str">
        <f aca="false">IF(G479&lt;1000,"1-Low",IF(G479&lt;5000,"2-Medium","3-Bulk"))</f>
        <v>1-Low</v>
      </c>
      <c r="L479" s="0" t="str">
        <f aca="false">IF(H479="TRUE","Out of stock","In stock")</f>
        <v>In stock</v>
      </c>
      <c r="M479" s="0" t="str">
        <f aca="false">IF(D479&lt;5,"1) Under 5%",IF(D479&lt;10,"2) 5-9%",IF(D479&lt;15,"3) 10-14%",IF(D479&lt;25,"4) 15-24%","5) 25%+"))))</f>
        <v>2) 5-9%</v>
      </c>
      <c r="N479" s="0" t="str">
        <f aca="false">IF(F479&lt;50,"1) Under Rs 50",IF(F479&lt;100,"2) Rs 50-99",IF(F479&lt;200,"3) Rs 100-199",IF(F479&lt;500,"4) Rs 200-499","5) Rs 500+"))))</f>
        <v>3) Rs 100-199</v>
      </c>
      <c r="O479" s="0" t="n">
        <f aca="false">G479*E479/1000</f>
        <v>5.4</v>
      </c>
    </row>
    <row r="480" customFormat="false" ht="15" hidden="false" customHeight="false" outlineLevel="0" collapsed="false">
      <c r="A480" s="0" t="s">
        <v>96</v>
      </c>
      <c r="B480" s="0" t="s">
        <v>586</v>
      </c>
      <c r="C480" s="0" t="n">
        <v>90</v>
      </c>
      <c r="D480" s="0" t="n">
        <v>6</v>
      </c>
      <c r="E480" s="0" t="n">
        <v>6</v>
      </c>
      <c r="F480" s="0" t="n">
        <v>84</v>
      </c>
      <c r="G480" s="0" t="n">
        <v>500</v>
      </c>
      <c r="H480" s="0" t="s">
        <v>145</v>
      </c>
      <c r="I480" s="0" t="n">
        <v>500</v>
      </c>
      <c r="J480" s="0" t="n">
        <f aca="false">F480*E480</f>
        <v>504</v>
      </c>
      <c r="K480" s="0" t="str">
        <f aca="false">IF(G480&lt;1000,"1-Low",IF(G480&lt;5000,"2-Medium","3-Bulk"))</f>
        <v>1-Low</v>
      </c>
      <c r="L480" s="0" t="str">
        <f aca="false">IF(H480="TRUE","Out of stock","In stock")</f>
        <v>In stock</v>
      </c>
      <c r="M480" s="0" t="str">
        <f aca="false">IF(D480&lt;5,"1) Under 5%",IF(D480&lt;10,"2) 5-9%",IF(D480&lt;15,"3) 10-14%",IF(D480&lt;25,"4) 15-24%","5) 25%+"))))</f>
        <v>2) 5-9%</v>
      </c>
      <c r="N480" s="0" t="str">
        <f aca="false">IF(F480&lt;50,"1) Under Rs 50",IF(F480&lt;100,"2) Rs 50-99",IF(F480&lt;200,"3) Rs 100-199",IF(F480&lt;500,"4) Rs 200-499","5) Rs 500+"))))</f>
        <v>2) Rs 50-99</v>
      </c>
      <c r="O480" s="0" t="n">
        <f aca="false">G480*E480/1000</f>
        <v>3</v>
      </c>
    </row>
    <row r="481" customFormat="false" ht="15" hidden="false" customHeight="false" outlineLevel="0" collapsed="false">
      <c r="A481" s="0" t="s">
        <v>96</v>
      </c>
      <c r="B481" s="0" t="s">
        <v>587</v>
      </c>
      <c r="C481" s="0" t="n">
        <v>115</v>
      </c>
      <c r="D481" s="0" t="n">
        <v>0</v>
      </c>
      <c r="E481" s="0" t="n">
        <v>4</v>
      </c>
      <c r="F481" s="0" t="n">
        <v>115</v>
      </c>
      <c r="G481" s="0" t="n">
        <v>200</v>
      </c>
      <c r="H481" s="0" t="s">
        <v>145</v>
      </c>
      <c r="I481" s="0" t="n">
        <v>200</v>
      </c>
      <c r="J481" s="0" t="n">
        <f aca="false">F481*E481</f>
        <v>460</v>
      </c>
      <c r="K481" s="0" t="str">
        <f aca="false">IF(G481&lt;1000,"1-Low",IF(G481&lt;5000,"2-Medium","3-Bulk"))</f>
        <v>1-Low</v>
      </c>
      <c r="L481" s="0" t="str">
        <f aca="false">IF(H481="TRUE","Out of stock","In stock")</f>
        <v>In stock</v>
      </c>
      <c r="M481" s="0" t="str">
        <f aca="false">IF(D481&lt;5,"1) Under 5%",IF(D481&lt;10,"2) 5-9%",IF(D481&lt;15,"3) 10-14%",IF(D481&lt;25,"4) 15-24%","5) 25%+"))))</f>
        <v>1) Under 5%</v>
      </c>
      <c r="N481" s="0" t="str">
        <f aca="false">IF(F481&lt;50,"1) Under Rs 50",IF(F481&lt;100,"2) Rs 50-99",IF(F481&lt;200,"3) Rs 100-199",IF(F481&lt;500,"4) Rs 200-499","5) Rs 500+"))))</f>
        <v>3) Rs 100-199</v>
      </c>
      <c r="O481" s="0" t="n">
        <f aca="false">G481*E481/1000</f>
        <v>0.8</v>
      </c>
    </row>
    <row r="482" customFormat="false" ht="15" hidden="false" customHeight="false" outlineLevel="0" collapsed="false">
      <c r="A482" s="0" t="s">
        <v>96</v>
      </c>
      <c r="B482" s="0" t="s">
        <v>410</v>
      </c>
      <c r="C482" s="0" t="n">
        <v>173</v>
      </c>
      <c r="D482" s="0" t="n">
        <v>6</v>
      </c>
      <c r="E482" s="0" t="n">
        <v>6</v>
      </c>
      <c r="F482" s="0" t="n">
        <v>162</v>
      </c>
      <c r="G482" s="0" t="n">
        <v>500</v>
      </c>
      <c r="H482" s="0" t="s">
        <v>145</v>
      </c>
      <c r="I482" s="0" t="n">
        <v>500</v>
      </c>
      <c r="J482" s="0" t="n">
        <f aca="false">F482*E482</f>
        <v>972</v>
      </c>
      <c r="K482" s="0" t="str">
        <f aca="false">IF(G482&lt;1000,"1-Low",IF(G482&lt;5000,"2-Medium","3-Bulk"))</f>
        <v>1-Low</v>
      </c>
      <c r="L482" s="0" t="str">
        <f aca="false">IF(H482="TRUE","Out of stock","In stock")</f>
        <v>In stock</v>
      </c>
      <c r="M482" s="0" t="str">
        <f aca="false">IF(D482&lt;5,"1) Under 5%",IF(D482&lt;10,"2) 5-9%",IF(D482&lt;15,"3) 10-14%",IF(D482&lt;25,"4) 15-24%","5) 25%+"))))</f>
        <v>2) 5-9%</v>
      </c>
      <c r="N482" s="0" t="str">
        <f aca="false">IF(F482&lt;50,"1) Under Rs 50",IF(F482&lt;100,"2) Rs 50-99",IF(F482&lt;200,"3) Rs 100-199",IF(F482&lt;500,"4) Rs 200-499","5) Rs 500+"))))</f>
        <v>3) Rs 100-199</v>
      </c>
      <c r="O482" s="0" t="n">
        <f aca="false">G482*E482/1000</f>
        <v>3</v>
      </c>
    </row>
    <row r="483" customFormat="false" ht="15" hidden="false" customHeight="false" outlineLevel="0" collapsed="false">
      <c r="A483" s="0" t="s">
        <v>96</v>
      </c>
      <c r="B483" s="0" t="s">
        <v>588</v>
      </c>
      <c r="C483" s="0" t="n">
        <v>75</v>
      </c>
      <c r="D483" s="0" t="n">
        <v>30</v>
      </c>
      <c r="E483" s="0" t="n">
        <v>5</v>
      </c>
      <c r="F483" s="0" t="n">
        <v>52</v>
      </c>
      <c r="G483" s="0" t="n">
        <v>80</v>
      </c>
      <c r="H483" s="0" t="s">
        <v>145</v>
      </c>
      <c r="I483" s="0" t="n">
        <v>80</v>
      </c>
      <c r="J483" s="0" t="n">
        <f aca="false">F483*E483</f>
        <v>260</v>
      </c>
      <c r="K483" s="0" t="str">
        <f aca="false">IF(G483&lt;1000,"1-Low",IF(G483&lt;5000,"2-Medium","3-Bulk"))</f>
        <v>1-Low</v>
      </c>
      <c r="L483" s="0" t="str">
        <f aca="false">IF(H483="TRUE","Out of stock","In stock")</f>
        <v>In stock</v>
      </c>
      <c r="M483" s="0" t="str">
        <f aca="false">IF(D483&lt;5,"1) Under 5%",IF(D483&lt;10,"2) 5-9%",IF(D483&lt;15,"3) 10-14%",IF(D483&lt;25,"4) 15-24%","5) 25%+"))))</f>
        <v>5) 25%+</v>
      </c>
      <c r="N483" s="0" t="str">
        <f aca="false">IF(F483&lt;50,"1) Under Rs 50",IF(F483&lt;100,"2) Rs 50-99",IF(F483&lt;200,"3) Rs 100-199",IF(F483&lt;500,"4) Rs 200-499","5) Rs 500+"))))</f>
        <v>2) Rs 50-99</v>
      </c>
      <c r="O483" s="0" t="n">
        <f aca="false">G483*E483/1000</f>
        <v>0.4</v>
      </c>
    </row>
    <row r="484" customFormat="false" ht="15" hidden="false" customHeight="false" outlineLevel="0" collapsed="false">
      <c r="A484" s="0" t="s">
        <v>96</v>
      </c>
      <c r="B484" s="0" t="s">
        <v>589</v>
      </c>
      <c r="C484" s="0" t="n">
        <v>100</v>
      </c>
      <c r="D484" s="0" t="n">
        <v>0</v>
      </c>
      <c r="E484" s="0" t="n">
        <v>2</v>
      </c>
      <c r="F484" s="0" t="n">
        <v>100</v>
      </c>
      <c r="G484" s="0" t="n">
        <v>950</v>
      </c>
      <c r="H484" s="0" t="s">
        <v>145</v>
      </c>
      <c r="I484" s="0" t="n">
        <v>950</v>
      </c>
      <c r="J484" s="0" t="n">
        <f aca="false">F484*E484</f>
        <v>200</v>
      </c>
      <c r="K484" s="0" t="str">
        <f aca="false">IF(G484&lt;1000,"1-Low",IF(G484&lt;5000,"2-Medium","3-Bulk"))</f>
        <v>1-Low</v>
      </c>
      <c r="L484" s="0" t="str">
        <f aca="false">IF(H484="TRUE","Out of stock","In stock")</f>
        <v>In stock</v>
      </c>
      <c r="M484" s="0" t="str">
        <f aca="false">IF(D484&lt;5,"1) Under 5%",IF(D484&lt;10,"2) 5-9%",IF(D484&lt;15,"3) 10-14%",IF(D484&lt;25,"4) 15-24%","5) 25%+"))))</f>
        <v>1) Under 5%</v>
      </c>
      <c r="N484" s="0" t="str">
        <f aca="false">IF(F484&lt;50,"1) Under Rs 50",IF(F484&lt;100,"2) Rs 50-99",IF(F484&lt;200,"3) Rs 100-199",IF(F484&lt;500,"4) Rs 200-499","5) Rs 500+"))))</f>
        <v>3) Rs 100-199</v>
      </c>
      <c r="O484" s="0" t="n">
        <f aca="false">G484*E484/1000</f>
        <v>1.9</v>
      </c>
    </row>
    <row r="485" customFormat="false" ht="15" hidden="false" customHeight="false" outlineLevel="0" collapsed="false">
      <c r="A485" s="0" t="s">
        <v>96</v>
      </c>
      <c r="B485" s="0" t="s">
        <v>590</v>
      </c>
      <c r="C485" s="0" t="n">
        <v>170</v>
      </c>
      <c r="D485" s="0" t="n">
        <v>6</v>
      </c>
      <c r="E485" s="0" t="n">
        <v>6</v>
      </c>
      <c r="F485" s="0" t="n">
        <v>159</v>
      </c>
      <c r="G485" s="0" t="n">
        <v>500</v>
      </c>
      <c r="H485" s="0" t="s">
        <v>145</v>
      </c>
      <c r="I485" s="0" t="n">
        <v>500</v>
      </c>
      <c r="J485" s="0" t="n">
        <f aca="false">F485*E485</f>
        <v>954</v>
      </c>
      <c r="K485" s="0" t="str">
        <f aca="false">IF(G485&lt;1000,"1-Low",IF(G485&lt;5000,"2-Medium","3-Bulk"))</f>
        <v>1-Low</v>
      </c>
      <c r="L485" s="0" t="str">
        <f aca="false">IF(H485="TRUE","Out of stock","In stock")</f>
        <v>In stock</v>
      </c>
      <c r="M485" s="0" t="str">
        <f aca="false">IF(D485&lt;5,"1) Under 5%",IF(D485&lt;10,"2) 5-9%",IF(D485&lt;15,"3) 10-14%",IF(D485&lt;25,"4) 15-24%","5) 25%+"))))</f>
        <v>2) 5-9%</v>
      </c>
      <c r="N485" s="0" t="str">
        <f aca="false">IF(F485&lt;50,"1) Under Rs 50",IF(F485&lt;100,"2) Rs 50-99",IF(F485&lt;200,"3) Rs 100-199",IF(F485&lt;500,"4) Rs 200-499","5) Rs 500+"))))</f>
        <v>3) Rs 100-199</v>
      </c>
      <c r="O485" s="0" t="n">
        <f aca="false">G485*E485/1000</f>
        <v>3</v>
      </c>
    </row>
    <row r="486" customFormat="false" ht="15" hidden="false" customHeight="false" outlineLevel="0" collapsed="false">
      <c r="A486" s="0" t="s">
        <v>96</v>
      </c>
      <c r="B486" s="0" t="s">
        <v>591</v>
      </c>
      <c r="C486" s="0" t="n">
        <v>195</v>
      </c>
      <c r="D486" s="0" t="n">
        <v>9</v>
      </c>
      <c r="E486" s="0" t="n">
        <v>6</v>
      </c>
      <c r="F486" s="0" t="n">
        <v>176</v>
      </c>
      <c r="G486" s="0" t="n">
        <v>500</v>
      </c>
      <c r="H486" s="0" t="s">
        <v>145</v>
      </c>
      <c r="I486" s="0" t="n">
        <v>500</v>
      </c>
      <c r="J486" s="0" t="n">
        <f aca="false">F486*E486</f>
        <v>1056</v>
      </c>
      <c r="K486" s="0" t="str">
        <f aca="false">IF(G486&lt;1000,"1-Low",IF(G486&lt;5000,"2-Medium","3-Bulk"))</f>
        <v>1-Low</v>
      </c>
      <c r="L486" s="0" t="str">
        <f aca="false">IF(H486="TRUE","Out of stock","In stock")</f>
        <v>In stock</v>
      </c>
      <c r="M486" s="0" t="str">
        <f aca="false">IF(D486&lt;5,"1) Under 5%",IF(D486&lt;10,"2) 5-9%",IF(D486&lt;15,"3) 10-14%",IF(D486&lt;25,"4) 15-24%","5) 25%+"))))</f>
        <v>2) 5-9%</v>
      </c>
      <c r="N486" s="0" t="str">
        <f aca="false">IF(F486&lt;50,"1) Under Rs 50",IF(F486&lt;100,"2) Rs 50-99",IF(F486&lt;200,"3) Rs 100-199",IF(F486&lt;500,"4) Rs 200-499","5) Rs 500+"))))</f>
        <v>3) Rs 100-199</v>
      </c>
      <c r="O486" s="0" t="n">
        <f aca="false">G486*E486/1000</f>
        <v>3</v>
      </c>
    </row>
    <row r="487" customFormat="false" ht="15" hidden="false" customHeight="false" outlineLevel="0" collapsed="false">
      <c r="A487" s="0" t="s">
        <v>96</v>
      </c>
      <c r="B487" s="0" t="s">
        <v>490</v>
      </c>
      <c r="C487" s="0" t="n">
        <v>199</v>
      </c>
      <c r="D487" s="0" t="n">
        <v>0</v>
      </c>
      <c r="E487" s="0" t="n">
        <v>2</v>
      </c>
      <c r="F487" s="0" t="n">
        <v>199</v>
      </c>
      <c r="G487" s="0" t="n">
        <v>240</v>
      </c>
      <c r="H487" s="0" t="s">
        <v>145</v>
      </c>
      <c r="I487" s="0" t="n">
        <v>240</v>
      </c>
      <c r="J487" s="0" t="n">
        <f aca="false">F487*E487</f>
        <v>398</v>
      </c>
      <c r="K487" s="0" t="str">
        <f aca="false">IF(G487&lt;1000,"1-Low",IF(G487&lt;5000,"2-Medium","3-Bulk"))</f>
        <v>1-Low</v>
      </c>
      <c r="L487" s="0" t="str">
        <f aca="false">IF(H487="TRUE","Out of stock","In stock")</f>
        <v>In stock</v>
      </c>
      <c r="M487" s="0" t="str">
        <f aca="false">IF(D487&lt;5,"1) Under 5%",IF(D487&lt;10,"2) 5-9%",IF(D487&lt;15,"3) 10-14%",IF(D487&lt;25,"4) 15-24%","5) 25%+"))))</f>
        <v>1) Under 5%</v>
      </c>
      <c r="N487" s="0" t="str">
        <f aca="false">IF(F487&lt;50,"1) Under Rs 50",IF(F487&lt;100,"2) Rs 50-99",IF(F487&lt;200,"3) Rs 100-199",IF(F487&lt;500,"4) Rs 200-499","5) Rs 500+"))))</f>
        <v>3) Rs 100-199</v>
      </c>
      <c r="O487" s="0" t="n">
        <f aca="false">G487*E487/1000</f>
        <v>0.48</v>
      </c>
    </row>
    <row r="488" customFormat="false" ht="15" hidden="false" customHeight="false" outlineLevel="0" collapsed="false">
      <c r="A488" s="0" t="s">
        <v>96</v>
      </c>
      <c r="B488" s="0" t="s">
        <v>592</v>
      </c>
      <c r="C488" s="0" t="n">
        <v>99</v>
      </c>
      <c r="D488" s="0" t="n">
        <v>0</v>
      </c>
      <c r="E488" s="0" t="n">
        <v>6</v>
      </c>
      <c r="F488" s="0" t="n">
        <v>99</v>
      </c>
      <c r="G488" s="0" t="n">
        <v>14</v>
      </c>
      <c r="H488" s="0" t="s">
        <v>145</v>
      </c>
      <c r="I488" s="0" t="n">
        <v>14</v>
      </c>
      <c r="J488" s="0" t="n">
        <f aca="false">F488*E488</f>
        <v>594</v>
      </c>
      <c r="K488" s="0" t="str">
        <f aca="false">IF(G488&lt;1000,"1-Low",IF(G488&lt;5000,"2-Medium","3-Bulk"))</f>
        <v>1-Low</v>
      </c>
      <c r="L488" s="0" t="str">
        <f aca="false">IF(H488="TRUE","Out of stock","In stock")</f>
        <v>In stock</v>
      </c>
      <c r="M488" s="0" t="str">
        <f aca="false">IF(D488&lt;5,"1) Under 5%",IF(D488&lt;10,"2) 5-9%",IF(D488&lt;15,"3) 10-14%",IF(D488&lt;25,"4) 15-24%","5) 25%+"))))</f>
        <v>1) Under 5%</v>
      </c>
      <c r="N488" s="0" t="str">
        <f aca="false">IF(F488&lt;50,"1) Under Rs 50",IF(F488&lt;100,"2) Rs 50-99",IF(F488&lt;200,"3) Rs 100-199",IF(F488&lt;500,"4) Rs 200-499","5) Rs 500+"))))</f>
        <v>2) Rs 50-99</v>
      </c>
      <c r="O488" s="0" t="n">
        <f aca="false">G488*E488/1000</f>
        <v>0.084</v>
      </c>
    </row>
    <row r="489" customFormat="false" ht="15" hidden="false" customHeight="false" outlineLevel="0" collapsed="false">
      <c r="A489" s="0" t="s">
        <v>96</v>
      </c>
      <c r="B489" s="0" t="s">
        <v>593</v>
      </c>
      <c r="C489" s="0" t="n">
        <v>80</v>
      </c>
      <c r="D489" s="0" t="n">
        <v>10</v>
      </c>
      <c r="E489" s="0" t="n">
        <v>6</v>
      </c>
      <c r="F489" s="0" t="n">
        <v>72</v>
      </c>
      <c r="G489" s="0" t="n">
        <v>500</v>
      </c>
      <c r="H489" s="0" t="s">
        <v>145</v>
      </c>
      <c r="I489" s="0" t="n">
        <v>500</v>
      </c>
      <c r="J489" s="0" t="n">
        <f aca="false">F489*E489</f>
        <v>432</v>
      </c>
      <c r="K489" s="0" t="str">
        <f aca="false">IF(G489&lt;1000,"1-Low",IF(G489&lt;5000,"2-Medium","3-Bulk"))</f>
        <v>1-Low</v>
      </c>
      <c r="L489" s="0" t="str">
        <f aca="false">IF(H489="TRUE","Out of stock","In stock")</f>
        <v>In stock</v>
      </c>
      <c r="M489" s="0" t="str">
        <f aca="false">IF(D489&lt;5,"1) Under 5%",IF(D489&lt;10,"2) 5-9%",IF(D489&lt;15,"3) 10-14%",IF(D489&lt;25,"4) 15-24%","5) 25%+"))))</f>
        <v>3) 10-14%</v>
      </c>
      <c r="N489" s="0" t="str">
        <f aca="false">IF(F489&lt;50,"1) Under Rs 50",IF(F489&lt;100,"2) Rs 50-99",IF(F489&lt;200,"3) Rs 100-199",IF(F489&lt;500,"4) Rs 200-499","5) Rs 500+"))))</f>
        <v>2) Rs 50-99</v>
      </c>
      <c r="O489" s="0" t="n">
        <f aca="false">G489*E489/1000</f>
        <v>3</v>
      </c>
    </row>
    <row r="490" customFormat="false" ht="15" hidden="false" customHeight="false" outlineLevel="0" collapsed="false">
      <c r="A490" s="0" t="s">
        <v>96</v>
      </c>
      <c r="B490" s="0" t="s">
        <v>594</v>
      </c>
      <c r="C490" s="0" t="n">
        <v>55</v>
      </c>
      <c r="D490" s="0" t="n">
        <v>0</v>
      </c>
      <c r="E490" s="0" t="n">
        <v>4</v>
      </c>
      <c r="F490" s="0" t="n">
        <v>55</v>
      </c>
      <c r="G490" s="0" t="n">
        <v>80</v>
      </c>
      <c r="H490" s="0" t="s">
        <v>145</v>
      </c>
      <c r="I490" s="0" t="n">
        <v>80</v>
      </c>
      <c r="J490" s="0" t="n">
        <f aca="false">F490*E490</f>
        <v>220</v>
      </c>
      <c r="K490" s="0" t="str">
        <f aca="false">IF(G490&lt;1000,"1-Low",IF(G490&lt;5000,"2-Medium","3-Bulk"))</f>
        <v>1-Low</v>
      </c>
      <c r="L490" s="0" t="str">
        <f aca="false">IF(H490="TRUE","Out of stock","In stock")</f>
        <v>In stock</v>
      </c>
      <c r="M490" s="0" t="str">
        <f aca="false">IF(D490&lt;5,"1) Under 5%",IF(D490&lt;10,"2) 5-9%",IF(D490&lt;15,"3) 10-14%",IF(D490&lt;25,"4) 15-24%","5) 25%+"))))</f>
        <v>1) Under 5%</v>
      </c>
      <c r="N490" s="0" t="str">
        <f aca="false">IF(F490&lt;50,"1) Under Rs 50",IF(F490&lt;100,"2) Rs 50-99",IF(F490&lt;200,"3) Rs 100-199",IF(F490&lt;500,"4) Rs 200-499","5) Rs 500+"))))</f>
        <v>2) Rs 50-99</v>
      </c>
      <c r="O490" s="0" t="n">
        <f aca="false">G490*E490/1000</f>
        <v>0.32</v>
      </c>
    </row>
    <row r="491" customFormat="false" ht="15" hidden="false" customHeight="false" outlineLevel="0" collapsed="false">
      <c r="A491" s="0" t="s">
        <v>96</v>
      </c>
      <c r="B491" s="0" t="s">
        <v>595</v>
      </c>
      <c r="C491" s="0" t="n">
        <v>170</v>
      </c>
      <c r="D491" s="0" t="n">
        <v>0</v>
      </c>
      <c r="E491" s="0" t="n">
        <v>5</v>
      </c>
      <c r="F491" s="0" t="n">
        <v>170</v>
      </c>
      <c r="G491" s="0" t="n">
        <v>500</v>
      </c>
      <c r="H491" s="0" t="s">
        <v>145</v>
      </c>
      <c r="I491" s="0" t="n">
        <v>500</v>
      </c>
      <c r="J491" s="0" t="n">
        <f aca="false">F491*E491</f>
        <v>850</v>
      </c>
      <c r="K491" s="0" t="str">
        <f aca="false">IF(G491&lt;1000,"1-Low",IF(G491&lt;5000,"2-Medium","3-Bulk"))</f>
        <v>1-Low</v>
      </c>
      <c r="L491" s="0" t="str">
        <f aca="false">IF(H491="TRUE","Out of stock","In stock")</f>
        <v>In stock</v>
      </c>
      <c r="M491" s="0" t="str">
        <f aca="false">IF(D491&lt;5,"1) Under 5%",IF(D491&lt;10,"2) 5-9%",IF(D491&lt;15,"3) 10-14%",IF(D491&lt;25,"4) 15-24%","5) 25%+"))))</f>
        <v>1) Under 5%</v>
      </c>
      <c r="N491" s="0" t="str">
        <f aca="false">IF(F491&lt;50,"1) Under Rs 50",IF(F491&lt;100,"2) Rs 50-99",IF(F491&lt;200,"3) Rs 100-199",IF(F491&lt;500,"4) Rs 200-499","5) Rs 500+"))))</f>
        <v>3) Rs 100-199</v>
      </c>
      <c r="O491" s="0" t="n">
        <f aca="false">G491*E491/1000</f>
        <v>2.5</v>
      </c>
    </row>
    <row r="492" customFormat="false" ht="15" hidden="false" customHeight="false" outlineLevel="0" collapsed="false">
      <c r="A492" s="0" t="s">
        <v>96</v>
      </c>
      <c r="B492" s="0" t="s">
        <v>596</v>
      </c>
      <c r="C492" s="0" t="n">
        <v>220</v>
      </c>
      <c r="D492" s="0" t="n">
        <v>50</v>
      </c>
      <c r="E492" s="0" t="n">
        <v>6</v>
      </c>
      <c r="F492" s="0" t="n">
        <v>110</v>
      </c>
      <c r="G492" s="0" t="n">
        <v>200</v>
      </c>
      <c r="H492" s="0" t="s">
        <v>145</v>
      </c>
      <c r="I492" s="0" t="n">
        <v>200</v>
      </c>
      <c r="J492" s="0" t="n">
        <f aca="false">F492*E492</f>
        <v>660</v>
      </c>
      <c r="K492" s="0" t="str">
        <f aca="false">IF(G492&lt;1000,"1-Low",IF(G492&lt;5000,"2-Medium","3-Bulk"))</f>
        <v>1-Low</v>
      </c>
      <c r="L492" s="0" t="str">
        <f aca="false">IF(H492="TRUE","Out of stock","In stock")</f>
        <v>In stock</v>
      </c>
      <c r="M492" s="0" t="str">
        <f aca="false">IF(D492&lt;5,"1) Under 5%",IF(D492&lt;10,"2) 5-9%",IF(D492&lt;15,"3) 10-14%",IF(D492&lt;25,"4) 15-24%","5) 25%+"))))</f>
        <v>5) 25%+</v>
      </c>
      <c r="N492" s="0" t="str">
        <f aca="false">IF(F492&lt;50,"1) Under Rs 50",IF(F492&lt;100,"2) Rs 50-99",IF(F492&lt;200,"3) Rs 100-199",IF(F492&lt;500,"4) Rs 200-499","5) Rs 500+"))))</f>
        <v>3) Rs 100-199</v>
      </c>
      <c r="O492" s="0" t="n">
        <f aca="false">G492*E492/1000</f>
        <v>1.2</v>
      </c>
    </row>
    <row r="493" customFormat="false" ht="15" hidden="false" customHeight="false" outlineLevel="0" collapsed="false">
      <c r="A493" s="0" t="s">
        <v>96</v>
      </c>
      <c r="B493" s="0" t="s">
        <v>597</v>
      </c>
      <c r="C493" s="0" t="n">
        <v>399</v>
      </c>
      <c r="D493" s="0" t="n">
        <v>0</v>
      </c>
      <c r="E493" s="0" t="n">
        <v>6</v>
      </c>
      <c r="F493" s="0" t="n">
        <v>399</v>
      </c>
      <c r="G493" s="0" t="n">
        <v>1000</v>
      </c>
      <c r="H493" s="0" t="s">
        <v>145</v>
      </c>
      <c r="I493" s="0" t="n">
        <v>1</v>
      </c>
      <c r="J493" s="0" t="n">
        <f aca="false">F493*E493</f>
        <v>2394</v>
      </c>
      <c r="K493" s="0" t="str">
        <f aca="false">IF(G493&lt;1000,"1-Low",IF(G493&lt;5000,"2-Medium","3-Bulk"))</f>
        <v>2-Medium</v>
      </c>
      <c r="L493" s="0" t="str">
        <f aca="false">IF(H493="TRUE","Out of stock","In stock")</f>
        <v>In stock</v>
      </c>
      <c r="M493" s="0" t="str">
        <f aca="false">IF(D493&lt;5,"1) Under 5%",IF(D493&lt;10,"2) 5-9%",IF(D493&lt;15,"3) 10-14%",IF(D493&lt;25,"4) 15-24%","5) 25%+"))))</f>
        <v>1) Under 5%</v>
      </c>
      <c r="N493" s="0" t="str">
        <f aca="false">IF(F493&lt;50,"1) Under Rs 50",IF(F493&lt;100,"2) Rs 50-99",IF(F493&lt;200,"3) Rs 100-199",IF(F493&lt;500,"4) Rs 200-499","5) Rs 500+"))))</f>
        <v>4) Rs 200-499</v>
      </c>
      <c r="O493" s="0" t="n">
        <f aca="false">G493*E493/1000</f>
        <v>6</v>
      </c>
    </row>
    <row r="494" customFormat="false" ht="15" hidden="false" customHeight="false" outlineLevel="0" collapsed="false">
      <c r="A494" s="0" t="s">
        <v>96</v>
      </c>
      <c r="B494" s="0" t="s">
        <v>598</v>
      </c>
      <c r="C494" s="0" t="n">
        <v>66</v>
      </c>
      <c r="D494" s="0" t="n">
        <v>0</v>
      </c>
      <c r="E494" s="0" t="n">
        <v>6</v>
      </c>
      <c r="F494" s="0" t="n">
        <v>66</v>
      </c>
      <c r="G494" s="0" t="n">
        <v>50</v>
      </c>
      <c r="H494" s="0" t="s">
        <v>145</v>
      </c>
      <c r="I494" s="0" t="n">
        <v>50</v>
      </c>
      <c r="J494" s="0" t="n">
        <f aca="false">F494*E494</f>
        <v>396</v>
      </c>
      <c r="K494" s="0" t="str">
        <f aca="false">IF(G494&lt;1000,"1-Low",IF(G494&lt;5000,"2-Medium","3-Bulk"))</f>
        <v>1-Low</v>
      </c>
      <c r="L494" s="0" t="str">
        <f aca="false">IF(H494="TRUE","Out of stock","In stock")</f>
        <v>In stock</v>
      </c>
      <c r="M494" s="0" t="str">
        <f aca="false">IF(D494&lt;5,"1) Under 5%",IF(D494&lt;10,"2) 5-9%",IF(D494&lt;15,"3) 10-14%",IF(D494&lt;25,"4) 15-24%","5) 25%+"))))</f>
        <v>1) Under 5%</v>
      </c>
      <c r="N494" s="0" t="str">
        <f aca="false">IF(F494&lt;50,"1) Under Rs 50",IF(F494&lt;100,"2) Rs 50-99",IF(F494&lt;200,"3) Rs 100-199",IF(F494&lt;500,"4) Rs 200-499","5) Rs 500+"))))</f>
        <v>2) Rs 50-99</v>
      </c>
      <c r="O494" s="0" t="n">
        <f aca="false">G494*E494/1000</f>
        <v>0.3</v>
      </c>
    </row>
    <row r="495" customFormat="false" ht="15" hidden="false" customHeight="false" outlineLevel="0" collapsed="false">
      <c r="A495" s="0" t="s">
        <v>96</v>
      </c>
      <c r="B495" s="0" t="s">
        <v>599</v>
      </c>
      <c r="C495" s="0" t="n">
        <v>99</v>
      </c>
      <c r="D495" s="0" t="n">
        <v>0</v>
      </c>
      <c r="E495" s="0" t="n">
        <v>6</v>
      </c>
      <c r="F495" s="0" t="n">
        <v>99</v>
      </c>
      <c r="G495" s="0" t="n">
        <v>100</v>
      </c>
      <c r="H495" s="0" t="s">
        <v>145</v>
      </c>
      <c r="I495" s="0" t="n">
        <v>100</v>
      </c>
      <c r="J495" s="0" t="n">
        <f aca="false">F495*E495</f>
        <v>594</v>
      </c>
      <c r="K495" s="0" t="str">
        <f aca="false">IF(G495&lt;1000,"1-Low",IF(G495&lt;5000,"2-Medium","3-Bulk"))</f>
        <v>1-Low</v>
      </c>
      <c r="L495" s="0" t="str">
        <f aca="false">IF(H495="TRUE","Out of stock","In stock")</f>
        <v>In stock</v>
      </c>
      <c r="M495" s="0" t="str">
        <f aca="false">IF(D495&lt;5,"1) Under 5%",IF(D495&lt;10,"2) 5-9%",IF(D495&lt;15,"3) 10-14%",IF(D495&lt;25,"4) 15-24%","5) 25%+"))))</f>
        <v>1) Under 5%</v>
      </c>
      <c r="N495" s="0" t="str">
        <f aca="false">IF(F495&lt;50,"1) Under Rs 50",IF(F495&lt;100,"2) Rs 50-99",IF(F495&lt;200,"3) Rs 100-199",IF(F495&lt;500,"4) Rs 200-499","5) Rs 500+"))))</f>
        <v>2) Rs 50-99</v>
      </c>
      <c r="O495" s="0" t="n">
        <f aca="false">G495*E495/1000</f>
        <v>0.6</v>
      </c>
    </row>
    <row r="496" customFormat="false" ht="15" hidden="false" customHeight="false" outlineLevel="0" collapsed="false">
      <c r="A496" s="0" t="s">
        <v>96</v>
      </c>
      <c r="B496" s="0" t="s">
        <v>600</v>
      </c>
      <c r="C496" s="0" t="n">
        <v>40</v>
      </c>
      <c r="D496" s="0" t="n">
        <v>2</v>
      </c>
      <c r="E496" s="0" t="n">
        <v>6</v>
      </c>
      <c r="F496" s="0" t="n">
        <v>39</v>
      </c>
      <c r="G496" s="0" t="n">
        <v>100</v>
      </c>
      <c r="H496" s="0" t="s">
        <v>145</v>
      </c>
      <c r="I496" s="0" t="n">
        <v>100</v>
      </c>
      <c r="J496" s="0" t="n">
        <f aca="false">F496*E496</f>
        <v>234</v>
      </c>
      <c r="K496" s="0" t="str">
        <f aca="false">IF(G496&lt;1000,"1-Low",IF(G496&lt;5000,"2-Medium","3-Bulk"))</f>
        <v>1-Low</v>
      </c>
      <c r="L496" s="0" t="str">
        <f aca="false">IF(H496="TRUE","Out of stock","In stock")</f>
        <v>In stock</v>
      </c>
      <c r="M496" s="0" t="str">
        <f aca="false">IF(D496&lt;5,"1) Under 5%",IF(D496&lt;10,"2) 5-9%",IF(D496&lt;15,"3) 10-14%",IF(D496&lt;25,"4) 15-24%","5) 25%+"))))</f>
        <v>1) Under 5%</v>
      </c>
      <c r="N496" s="0" t="str">
        <f aca="false">IF(F496&lt;50,"1) Under Rs 50",IF(F496&lt;100,"2) Rs 50-99",IF(F496&lt;200,"3) Rs 100-199",IF(F496&lt;500,"4) Rs 200-499","5) Rs 500+"))))</f>
        <v>1) Under Rs 50</v>
      </c>
      <c r="O496" s="0" t="n">
        <f aca="false">G496*E496/1000</f>
        <v>0.6</v>
      </c>
    </row>
    <row r="497" customFormat="false" ht="15" hidden="false" customHeight="false" outlineLevel="0" collapsed="false">
      <c r="A497" s="0" t="s">
        <v>96</v>
      </c>
      <c r="B497" s="0" t="s">
        <v>601</v>
      </c>
      <c r="C497" s="0" t="n">
        <v>170</v>
      </c>
      <c r="D497" s="0" t="n">
        <v>6</v>
      </c>
      <c r="E497" s="0" t="n">
        <v>6</v>
      </c>
      <c r="F497" s="0" t="n">
        <v>159</v>
      </c>
      <c r="G497" s="0" t="n">
        <v>270</v>
      </c>
      <c r="H497" s="0" t="s">
        <v>145</v>
      </c>
      <c r="I497" s="0" t="n">
        <v>270</v>
      </c>
      <c r="J497" s="0" t="n">
        <f aca="false">F497*E497</f>
        <v>954</v>
      </c>
      <c r="K497" s="0" t="str">
        <f aca="false">IF(G497&lt;1000,"1-Low",IF(G497&lt;5000,"2-Medium","3-Bulk"))</f>
        <v>1-Low</v>
      </c>
      <c r="L497" s="0" t="str">
        <f aca="false">IF(H497="TRUE","Out of stock","In stock")</f>
        <v>In stock</v>
      </c>
      <c r="M497" s="0" t="str">
        <f aca="false">IF(D497&lt;5,"1) Under 5%",IF(D497&lt;10,"2) 5-9%",IF(D497&lt;15,"3) 10-14%",IF(D497&lt;25,"4) 15-24%","5) 25%+"))))</f>
        <v>2) 5-9%</v>
      </c>
      <c r="N497" s="0" t="str">
        <f aca="false">IF(F497&lt;50,"1) Under Rs 50",IF(F497&lt;100,"2) Rs 50-99",IF(F497&lt;200,"3) Rs 100-199",IF(F497&lt;500,"4) Rs 200-499","5) Rs 500+"))))</f>
        <v>3) Rs 100-199</v>
      </c>
      <c r="O497" s="0" t="n">
        <f aca="false">G497*E497/1000</f>
        <v>1.62</v>
      </c>
    </row>
    <row r="498" customFormat="false" ht="15" hidden="false" customHeight="false" outlineLevel="0" collapsed="false">
      <c r="A498" s="0" t="s">
        <v>96</v>
      </c>
      <c r="B498" s="0" t="s">
        <v>602</v>
      </c>
      <c r="C498" s="0" t="n">
        <v>25</v>
      </c>
      <c r="D498" s="0" t="n">
        <v>0</v>
      </c>
      <c r="E498" s="0" t="n">
        <v>1</v>
      </c>
      <c r="F498" s="0" t="n">
        <v>25</v>
      </c>
      <c r="G498" s="0" t="n">
        <v>77</v>
      </c>
      <c r="H498" s="0" t="s">
        <v>145</v>
      </c>
      <c r="I498" s="0" t="n">
        <v>77</v>
      </c>
      <c r="J498" s="0" t="n">
        <f aca="false">F498*E498</f>
        <v>25</v>
      </c>
      <c r="K498" s="0" t="str">
        <f aca="false">IF(G498&lt;1000,"1-Low",IF(G498&lt;5000,"2-Medium","3-Bulk"))</f>
        <v>1-Low</v>
      </c>
      <c r="L498" s="0" t="str">
        <f aca="false">IF(H498="TRUE","Out of stock","In stock")</f>
        <v>In stock</v>
      </c>
      <c r="M498" s="0" t="str">
        <f aca="false">IF(D498&lt;5,"1) Under 5%",IF(D498&lt;10,"2) 5-9%",IF(D498&lt;15,"3) 10-14%",IF(D498&lt;25,"4) 15-24%","5) 25%+"))))</f>
        <v>1) Under 5%</v>
      </c>
      <c r="N498" s="0" t="str">
        <f aca="false">IF(F498&lt;50,"1) Under Rs 50",IF(F498&lt;100,"2) Rs 50-99",IF(F498&lt;200,"3) Rs 100-199",IF(F498&lt;500,"4) Rs 200-499","5) Rs 500+"))))</f>
        <v>1) Under Rs 50</v>
      </c>
      <c r="O498" s="0" t="n">
        <f aca="false">G498*E498/1000</f>
        <v>0.077</v>
      </c>
    </row>
    <row r="499" customFormat="false" ht="15" hidden="false" customHeight="false" outlineLevel="0" collapsed="false">
      <c r="A499" s="0" t="s">
        <v>96</v>
      </c>
      <c r="B499" s="0" t="s">
        <v>603</v>
      </c>
      <c r="C499" s="0" t="n">
        <v>110</v>
      </c>
      <c r="D499" s="0" t="n">
        <v>6</v>
      </c>
      <c r="E499" s="0" t="n">
        <v>6</v>
      </c>
      <c r="F499" s="0" t="n">
        <v>103</v>
      </c>
      <c r="G499" s="0" t="n">
        <v>500</v>
      </c>
      <c r="H499" s="0" t="s">
        <v>145</v>
      </c>
      <c r="I499" s="0" t="n">
        <v>500</v>
      </c>
      <c r="J499" s="0" t="n">
        <f aca="false">F499*E499</f>
        <v>618</v>
      </c>
      <c r="K499" s="0" t="str">
        <f aca="false">IF(G499&lt;1000,"1-Low",IF(G499&lt;5000,"2-Medium","3-Bulk"))</f>
        <v>1-Low</v>
      </c>
      <c r="L499" s="0" t="str">
        <f aca="false">IF(H499="TRUE","Out of stock","In stock")</f>
        <v>In stock</v>
      </c>
      <c r="M499" s="0" t="str">
        <f aca="false">IF(D499&lt;5,"1) Under 5%",IF(D499&lt;10,"2) 5-9%",IF(D499&lt;15,"3) 10-14%",IF(D499&lt;25,"4) 15-24%","5) 25%+"))))</f>
        <v>2) 5-9%</v>
      </c>
      <c r="N499" s="0" t="str">
        <f aca="false">IF(F499&lt;50,"1) Under Rs 50",IF(F499&lt;100,"2) Rs 50-99",IF(F499&lt;200,"3) Rs 100-199",IF(F499&lt;500,"4) Rs 200-499","5) Rs 500+"))))</f>
        <v>3) Rs 100-199</v>
      </c>
      <c r="O499" s="0" t="n">
        <f aca="false">G499*E499/1000</f>
        <v>3</v>
      </c>
    </row>
    <row r="500" customFormat="false" ht="15" hidden="false" customHeight="false" outlineLevel="0" collapsed="false">
      <c r="A500" s="0" t="s">
        <v>96</v>
      </c>
      <c r="B500" s="0" t="s">
        <v>513</v>
      </c>
      <c r="C500" s="0" t="n">
        <v>270</v>
      </c>
      <c r="D500" s="0" t="n">
        <v>7</v>
      </c>
      <c r="E500" s="0" t="n">
        <v>6</v>
      </c>
      <c r="F500" s="0" t="n">
        <v>251</v>
      </c>
      <c r="G500" s="0" t="n">
        <v>50</v>
      </c>
      <c r="H500" s="0" t="s">
        <v>145</v>
      </c>
      <c r="I500" s="0" t="n">
        <v>50</v>
      </c>
      <c r="J500" s="0" t="n">
        <f aca="false">F500*E500</f>
        <v>1506</v>
      </c>
      <c r="K500" s="0" t="str">
        <f aca="false">IF(G500&lt;1000,"1-Low",IF(G500&lt;5000,"2-Medium","3-Bulk"))</f>
        <v>1-Low</v>
      </c>
      <c r="L500" s="0" t="str">
        <f aca="false">IF(H500="TRUE","Out of stock","In stock")</f>
        <v>In stock</v>
      </c>
      <c r="M500" s="0" t="str">
        <f aca="false">IF(D500&lt;5,"1) Under 5%",IF(D500&lt;10,"2) 5-9%",IF(D500&lt;15,"3) 10-14%",IF(D500&lt;25,"4) 15-24%","5) 25%+"))))</f>
        <v>2) 5-9%</v>
      </c>
      <c r="N500" s="0" t="str">
        <f aca="false">IF(F500&lt;50,"1) Under Rs 50",IF(F500&lt;100,"2) Rs 50-99",IF(F500&lt;200,"3) Rs 100-199",IF(F500&lt;500,"4) Rs 200-499","5) Rs 500+"))))</f>
        <v>4) Rs 200-499</v>
      </c>
      <c r="O500" s="0" t="n">
        <f aca="false">G500*E500/1000</f>
        <v>0.3</v>
      </c>
    </row>
    <row r="501" customFormat="false" ht="15" hidden="false" customHeight="false" outlineLevel="0" collapsed="false">
      <c r="A501" s="0" t="s">
        <v>96</v>
      </c>
      <c r="B501" s="0" t="s">
        <v>604</v>
      </c>
      <c r="C501" s="0" t="n">
        <v>295</v>
      </c>
      <c r="D501" s="0" t="n">
        <v>0</v>
      </c>
      <c r="E501" s="0" t="n">
        <v>4</v>
      </c>
      <c r="F501" s="0" t="n">
        <v>295</v>
      </c>
      <c r="G501" s="0" t="n">
        <v>500</v>
      </c>
      <c r="H501" s="0" t="s">
        <v>145</v>
      </c>
      <c r="I501" s="0" t="n">
        <v>500</v>
      </c>
      <c r="J501" s="0" t="n">
        <f aca="false">F501*E501</f>
        <v>1180</v>
      </c>
      <c r="K501" s="0" t="str">
        <f aca="false">IF(G501&lt;1000,"1-Low",IF(G501&lt;5000,"2-Medium","3-Bulk"))</f>
        <v>1-Low</v>
      </c>
      <c r="L501" s="0" t="str">
        <f aca="false">IF(H501="TRUE","Out of stock","In stock")</f>
        <v>In stock</v>
      </c>
      <c r="M501" s="0" t="str">
        <f aca="false">IF(D501&lt;5,"1) Under 5%",IF(D501&lt;10,"2) 5-9%",IF(D501&lt;15,"3) 10-14%",IF(D501&lt;25,"4) 15-24%","5) 25%+"))))</f>
        <v>1) Under 5%</v>
      </c>
      <c r="N501" s="0" t="str">
        <f aca="false">IF(F501&lt;50,"1) Under Rs 50",IF(F501&lt;100,"2) Rs 50-99",IF(F501&lt;200,"3) Rs 100-199",IF(F501&lt;500,"4) Rs 200-499","5) Rs 500+"))))</f>
        <v>4) Rs 200-499</v>
      </c>
      <c r="O501" s="0" t="n">
        <f aca="false">G501*E501/1000</f>
        <v>2</v>
      </c>
    </row>
    <row r="502" customFormat="false" ht="15" hidden="false" customHeight="false" outlineLevel="0" collapsed="false">
      <c r="A502" s="0" t="s">
        <v>96</v>
      </c>
      <c r="B502" s="0" t="s">
        <v>605</v>
      </c>
      <c r="C502" s="0" t="n">
        <v>250</v>
      </c>
      <c r="D502" s="0" t="n">
        <v>0</v>
      </c>
      <c r="E502" s="0" t="n">
        <v>5</v>
      </c>
      <c r="F502" s="0" t="n">
        <v>250</v>
      </c>
      <c r="G502" s="0" t="n">
        <v>400</v>
      </c>
      <c r="H502" s="0" t="s">
        <v>145</v>
      </c>
      <c r="I502" s="0" t="n">
        <v>400</v>
      </c>
      <c r="J502" s="0" t="n">
        <f aca="false">F502*E502</f>
        <v>1250</v>
      </c>
      <c r="K502" s="0" t="str">
        <f aca="false">IF(G502&lt;1000,"1-Low",IF(G502&lt;5000,"2-Medium","3-Bulk"))</f>
        <v>1-Low</v>
      </c>
      <c r="L502" s="0" t="str">
        <f aca="false">IF(H502="TRUE","Out of stock","In stock")</f>
        <v>In stock</v>
      </c>
      <c r="M502" s="0" t="str">
        <f aca="false">IF(D502&lt;5,"1) Under 5%",IF(D502&lt;10,"2) 5-9%",IF(D502&lt;15,"3) 10-14%",IF(D502&lt;25,"4) 15-24%","5) 25%+"))))</f>
        <v>1) Under 5%</v>
      </c>
      <c r="N502" s="0" t="str">
        <f aca="false">IF(F502&lt;50,"1) Under Rs 50",IF(F502&lt;100,"2) Rs 50-99",IF(F502&lt;200,"3) Rs 100-199",IF(F502&lt;500,"4) Rs 200-499","5) Rs 500+"))))</f>
        <v>4) Rs 200-499</v>
      </c>
      <c r="O502" s="0" t="n">
        <f aca="false">G502*E502/1000</f>
        <v>2</v>
      </c>
    </row>
    <row r="503" customFormat="false" ht="15" hidden="false" customHeight="false" outlineLevel="0" collapsed="false">
      <c r="A503" s="0" t="s">
        <v>96</v>
      </c>
      <c r="B503" s="0" t="s">
        <v>606</v>
      </c>
      <c r="C503" s="0" t="n">
        <v>490</v>
      </c>
      <c r="D503" s="0" t="n">
        <v>11</v>
      </c>
      <c r="E503" s="0" t="n">
        <v>6</v>
      </c>
      <c r="F503" s="0" t="n">
        <v>436</v>
      </c>
      <c r="G503" s="0" t="n">
        <v>2000</v>
      </c>
      <c r="H503" s="0" t="s">
        <v>145</v>
      </c>
      <c r="I503" s="0" t="n">
        <v>2</v>
      </c>
      <c r="J503" s="0" t="n">
        <f aca="false">F503*E503</f>
        <v>2616</v>
      </c>
      <c r="K503" s="0" t="str">
        <f aca="false">IF(G503&lt;1000,"1-Low",IF(G503&lt;5000,"2-Medium","3-Bulk"))</f>
        <v>2-Medium</v>
      </c>
      <c r="L503" s="0" t="str">
        <f aca="false">IF(H503="TRUE","Out of stock","In stock")</f>
        <v>In stock</v>
      </c>
      <c r="M503" s="0" t="str">
        <f aca="false">IF(D503&lt;5,"1) Under 5%",IF(D503&lt;10,"2) 5-9%",IF(D503&lt;15,"3) 10-14%",IF(D503&lt;25,"4) 15-24%","5) 25%+"))))</f>
        <v>3) 10-14%</v>
      </c>
      <c r="N503" s="0" t="str">
        <f aca="false">IF(F503&lt;50,"1) Under Rs 50",IF(F503&lt;100,"2) Rs 50-99",IF(F503&lt;200,"3) Rs 100-199",IF(F503&lt;500,"4) Rs 200-499","5) Rs 500+"))))</f>
        <v>4) Rs 200-499</v>
      </c>
      <c r="O503" s="0" t="n">
        <f aca="false">G503*E503/1000</f>
        <v>12</v>
      </c>
    </row>
    <row r="504" customFormat="false" ht="15" hidden="false" customHeight="false" outlineLevel="0" collapsed="false">
      <c r="A504" s="0" t="s">
        <v>96</v>
      </c>
      <c r="B504" s="0" t="s">
        <v>607</v>
      </c>
      <c r="C504" s="0" t="n">
        <v>140</v>
      </c>
      <c r="D504" s="0" t="n">
        <v>0</v>
      </c>
      <c r="E504" s="0" t="n">
        <v>6</v>
      </c>
      <c r="F504" s="0" t="n">
        <v>140</v>
      </c>
      <c r="G504" s="0" t="n">
        <v>500</v>
      </c>
      <c r="H504" s="0" t="s">
        <v>145</v>
      </c>
      <c r="I504" s="0" t="n">
        <v>500</v>
      </c>
      <c r="J504" s="0" t="n">
        <f aca="false">F504*E504</f>
        <v>840</v>
      </c>
      <c r="K504" s="0" t="str">
        <f aca="false">IF(G504&lt;1000,"1-Low",IF(G504&lt;5000,"2-Medium","3-Bulk"))</f>
        <v>1-Low</v>
      </c>
      <c r="L504" s="0" t="str">
        <f aca="false">IF(H504="TRUE","Out of stock","In stock")</f>
        <v>In stock</v>
      </c>
      <c r="M504" s="0" t="str">
        <f aca="false">IF(D504&lt;5,"1) Under 5%",IF(D504&lt;10,"2) 5-9%",IF(D504&lt;15,"3) 10-14%",IF(D504&lt;25,"4) 15-24%","5) 25%+"))))</f>
        <v>1) Under 5%</v>
      </c>
      <c r="N504" s="0" t="str">
        <f aca="false">IF(F504&lt;50,"1) Under Rs 50",IF(F504&lt;100,"2) Rs 50-99",IF(F504&lt;200,"3) Rs 100-199",IF(F504&lt;500,"4) Rs 200-499","5) Rs 500+"))))</f>
        <v>3) Rs 100-199</v>
      </c>
      <c r="O504" s="0" t="n">
        <f aca="false">G504*E504/1000</f>
        <v>3</v>
      </c>
    </row>
    <row r="505" customFormat="false" ht="15" hidden="false" customHeight="false" outlineLevel="0" collapsed="false">
      <c r="A505" s="0" t="s">
        <v>96</v>
      </c>
      <c r="B505" s="0" t="s">
        <v>415</v>
      </c>
      <c r="C505" s="0" t="n">
        <v>185</v>
      </c>
      <c r="D505" s="0" t="n">
        <v>5</v>
      </c>
      <c r="E505" s="0" t="n">
        <v>3</v>
      </c>
      <c r="F505" s="0" t="n">
        <v>175</v>
      </c>
      <c r="G505" s="0" t="n">
        <v>300</v>
      </c>
      <c r="H505" s="0" t="s">
        <v>145</v>
      </c>
      <c r="I505" s="0" t="n">
        <v>300</v>
      </c>
      <c r="J505" s="0" t="n">
        <f aca="false">F505*E505</f>
        <v>525</v>
      </c>
      <c r="K505" s="0" t="str">
        <f aca="false">IF(G505&lt;1000,"1-Low",IF(G505&lt;5000,"2-Medium","3-Bulk"))</f>
        <v>1-Low</v>
      </c>
      <c r="L505" s="0" t="str">
        <f aca="false">IF(H505="TRUE","Out of stock","In stock")</f>
        <v>In stock</v>
      </c>
      <c r="M505" s="0" t="str">
        <f aca="false">IF(D505&lt;5,"1) Under 5%",IF(D505&lt;10,"2) 5-9%",IF(D505&lt;15,"3) 10-14%",IF(D505&lt;25,"4) 15-24%","5) 25%+"))))</f>
        <v>2) 5-9%</v>
      </c>
      <c r="N505" s="0" t="str">
        <f aca="false">IF(F505&lt;50,"1) Under Rs 50",IF(F505&lt;100,"2) Rs 50-99",IF(F505&lt;200,"3) Rs 100-199",IF(F505&lt;500,"4) Rs 200-499","5) Rs 500+"))))</f>
        <v>3) Rs 100-199</v>
      </c>
      <c r="O505" s="0" t="n">
        <f aca="false">G505*E505/1000</f>
        <v>0.9</v>
      </c>
    </row>
    <row r="506" customFormat="false" ht="15" hidden="false" customHeight="false" outlineLevel="0" collapsed="false">
      <c r="A506" s="0" t="s">
        <v>96</v>
      </c>
      <c r="B506" s="0" t="s">
        <v>608</v>
      </c>
      <c r="C506" s="0" t="n">
        <v>250</v>
      </c>
      <c r="D506" s="0" t="n">
        <v>14</v>
      </c>
      <c r="E506" s="0" t="n">
        <v>6</v>
      </c>
      <c r="F506" s="0" t="n">
        <v>213</v>
      </c>
      <c r="G506" s="0" t="n">
        <v>410</v>
      </c>
      <c r="H506" s="0" t="s">
        <v>145</v>
      </c>
      <c r="I506" s="0" t="n">
        <v>410</v>
      </c>
      <c r="J506" s="0" t="n">
        <f aca="false">F506*E506</f>
        <v>1278</v>
      </c>
      <c r="K506" s="0" t="str">
        <f aca="false">IF(G506&lt;1000,"1-Low",IF(G506&lt;5000,"2-Medium","3-Bulk"))</f>
        <v>1-Low</v>
      </c>
      <c r="L506" s="0" t="str">
        <f aca="false">IF(H506="TRUE","Out of stock","In stock")</f>
        <v>In stock</v>
      </c>
      <c r="M506" s="0" t="str">
        <f aca="false">IF(D506&lt;5,"1) Under 5%",IF(D506&lt;10,"2) 5-9%",IF(D506&lt;15,"3) 10-14%",IF(D506&lt;25,"4) 15-24%","5) 25%+"))))</f>
        <v>3) 10-14%</v>
      </c>
      <c r="N506" s="0" t="str">
        <f aca="false">IF(F506&lt;50,"1) Under Rs 50",IF(F506&lt;100,"2) Rs 50-99",IF(F506&lt;200,"3) Rs 100-199",IF(F506&lt;500,"4) Rs 200-499","5) Rs 500+"))))</f>
        <v>4) Rs 200-499</v>
      </c>
      <c r="O506" s="0" t="n">
        <f aca="false">G506*E506/1000</f>
        <v>2.46</v>
      </c>
    </row>
    <row r="507" customFormat="false" ht="15" hidden="false" customHeight="false" outlineLevel="0" collapsed="false">
      <c r="A507" s="0" t="s">
        <v>96</v>
      </c>
      <c r="B507" s="0" t="s">
        <v>609</v>
      </c>
      <c r="C507" s="0" t="n">
        <v>175</v>
      </c>
      <c r="D507" s="0" t="n">
        <v>10</v>
      </c>
      <c r="E507" s="0" t="n">
        <v>6</v>
      </c>
      <c r="F507" s="0" t="n">
        <v>156</v>
      </c>
      <c r="G507" s="0" t="n">
        <v>225</v>
      </c>
      <c r="H507" s="0" t="s">
        <v>145</v>
      </c>
      <c r="I507" s="0" t="n">
        <v>225</v>
      </c>
      <c r="J507" s="0" t="n">
        <f aca="false">F507*E507</f>
        <v>936</v>
      </c>
      <c r="K507" s="0" t="str">
        <f aca="false">IF(G507&lt;1000,"1-Low",IF(G507&lt;5000,"2-Medium","3-Bulk"))</f>
        <v>1-Low</v>
      </c>
      <c r="L507" s="0" t="str">
        <f aca="false">IF(H507="TRUE","Out of stock","In stock")</f>
        <v>In stock</v>
      </c>
      <c r="M507" s="0" t="str">
        <f aca="false">IF(D507&lt;5,"1) Under 5%",IF(D507&lt;10,"2) 5-9%",IF(D507&lt;15,"3) 10-14%",IF(D507&lt;25,"4) 15-24%","5) 25%+"))))</f>
        <v>3) 10-14%</v>
      </c>
      <c r="N507" s="0" t="str">
        <f aca="false">IF(F507&lt;50,"1) Under Rs 50",IF(F507&lt;100,"2) Rs 50-99",IF(F507&lt;200,"3) Rs 100-199",IF(F507&lt;500,"4) Rs 200-499","5) Rs 500+"))))</f>
        <v>3) Rs 100-199</v>
      </c>
      <c r="O507" s="0" t="n">
        <f aca="false">G507*E507/1000</f>
        <v>1.35</v>
      </c>
    </row>
    <row r="508" customFormat="false" ht="15" hidden="false" customHeight="false" outlineLevel="0" collapsed="false">
      <c r="A508" s="0" t="s">
        <v>96</v>
      </c>
      <c r="B508" s="0" t="s">
        <v>610</v>
      </c>
      <c r="C508" s="0" t="n">
        <v>200</v>
      </c>
      <c r="D508" s="0" t="n">
        <v>0</v>
      </c>
      <c r="E508" s="0" t="n">
        <v>6</v>
      </c>
      <c r="F508" s="0" t="n">
        <v>200</v>
      </c>
      <c r="G508" s="0" t="n">
        <v>450</v>
      </c>
      <c r="H508" s="0" t="s">
        <v>145</v>
      </c>
      <c r="I508" s="0" t="n">
        <v>450</v>
      </c>
      <c r="J508" s="0" t="n">
        <f aca="false">F508*E508</f>
        <v>1200</v>
      </c>
      <c r="K508" s="0" t="str">
        <f aca="false">IF(G508&lt;1000,"1-Low",IF(G508&lt;5000,"2-Medium","3-Bulk"))</f>
        <v>1-Low</v>
      </c>
      <c r="L508" s="0" t="str">
        <f aca="false">IF(H508="TRUE","Out of stock","In stock")</f>
        <v>In stock</v>
      </c>
      <c r="M508" s="0" t="str">
        <f aca="false">IF(D508&lt;5,"1) Under 5%",IF(D508&lt;10,"2) 5-9%",IF(D508&lt;15,"3) 10-14%",IF(D508&lt;25,"4) 15-24%","5) 25%+"))))</f>
        <v>1) Under 5%</v>
      </c>
      <c r="N508" s="0" t="str">
        <f aca="false">IF(F508&lt;50,"1) Under Rs 50",IF(F508&lt;100,"2) Rs 50-99",IF(F508&lt;200,"3) Rs 100-199",IF(F508&lt;500,"4) Rs 200-499","5) Rs 500+"))))</f>
        <v>4) Rs 200-499</v>
      </c>
      <c r="O508" s="0" t="n">
        <f aca="false">G508*E508/1000</f>
        <v>2.7</v>
      </c>
    </row>
    <row r="509" customFormat="false" ht="15" hidden="false" customHeight="false" outlineLevel="0" collapsed="false">
      <c r="A509" s="0" t="s">
        <v>96</v>
      </c>
      <c r="B509" s="0" t="s">
        <v>611</v>
      </c>
      <c r="C509" s="0" t="n">
        <v>80</v>
      </c>
      <c r="D509" s="0" t="n">
        <v>0</v>
      </c>
      <c r="E509" s="0" t="n">
        <v>6</v>
      </c>
      <c r="F509" s="0" t="n">
        <v>80</v>
      </c>
      <c r="G509" s="0" t="n">
        <v>100</v>
      </c>
      <c r="H509" s="0" t="s">
        <v>145</v>
      </c>
      <c r="I509" s="0" t="n">
        <v>100</v>
      </c>
      <c r="J509" s="0" t="n">
        <f aca="false">F509*E509</f>
        <v>480</v>
      </c>
      <c r="K509" s="0" t="str">
        <f aca="false">IF(G509&lt;1000,"1-Low",IF(G509&lt;5000,"2-Medium","3-Bulk"))</f>
        <v>1-Low</v>
      </c>
      <c r="L509" s="0" t="str">
        <f aca="false">IF(H509="TRUE","Out of stock","In stock")</f>
        <v>In stock</v>
      </c>
      <c r="M509" s="0" t="str">
        <f aca="false">IF(D509&lt;5,"1) Under 5%",IF(D509&lt;10,"2) 5-9%",IF(D509&lt;15,"3) 10-14%",IF(D509&lt;25,"4) 15-24%","5) 25%+"))))</f>
        <v>1) Under 5%</v>
      </c>
      <c r="N509" s="0" t="str">
        <f aca="false">IF(F509&lt;50,"1) Under Rs 50",IF(F509&lt;100,"2) Rs 50-99",IF(F509&lt;200,"3) Rs 100-199",IF(F509&lt;500,"4) Rs 200-499","5) Rs 500+"))))</f>
        <v>2) Rs 50-99</v>
      </c>
      <c r="O509" s="0" t="n">
        <f aca="false">G509*E509/1000</f>
        <v>0.6</v>
      </c>
    </row>
    <row r="510" customFormat="false" ht="15" hidden="false" customHeight="false" outlineLevel="0" collapsed="false">
      <c r="A510" s="0" t="s">
        <v>96</v>
      </c>
      <c r="B510" s="0" t="s">
        <v>612</v>
      </c>
      <c r="C510" s="0" t="n">
        <v>66</v>
      </c>
      <c r="D510" s="0" t="n">
        <v>0</v>
      </c>
      <c r="E510" s="0" t="n">
        <v>6</v>
      </c>
      <c r="F510" s="0" t="n">
        <v>66</v>
      </c>
      <c r="G510" s="0" t="n">
        <v>50</v>
      </c>
      <c r="H510" s="0" t="s">
        <v>145</v>
      </c>
      <c r="I510" s="0" t="n">
        <v>50</v>
      </c>
      <c r="J510" s="0" t="n">
        <f aca="false">F510*E510</f>
        <v>396</v>
      </c>
      <c r="K510" s="0" t="str">
        <f aca="false">IF(G510&lt;1000,"1-Low",IF(G510&lt;5000,"2-Medium","3-Bulk"))</f>
        <v>1-Low</v>
      </c>
      <c r="L510" s="0" t="str">
        <f aca="false">IF(H510="TRUE","Out of stock","In stock")</f>
        <v>In stock</v>
      </c>
      <c r="M510" s="0" t="str">
        <f aca="false">IF(D510&lt;5,"1) Under 5%",IF(D510&lt;10,"2) 5-9%",IF(D510&lt;15,"3) 10-14%",IF(D510&lt;25,"4) 15-24%","5) 25%+"))))</f>
        <v>1) Under 5%</v>
      </c>
      <c r="N510" s="0" t="str">
        <f aca="false">IF(F510&lt;50,"1) Under Rs 50",IF(F510&lt;100,"2) Rs 50-99",IF(F510&lt;200,"3) Rs 100-199",IF(F510&lt;500,"4) Rs 200-499","5) Rs 500+"))))</f>
        <v>2) Rs 50-99</v>
      </c>
      <c r="O510" s="0" t="n">
        <f aca="false">G510*E510/1000</f>
        <v>0.3</v>
      </c>
    </row>
    <row r="511" customFormat="false" ht="15" hidden="false" customHeight="false" outlineLevel="0" collapsed="false">
      <c r="A511" s="0" t="s">
        <v>96</v>
      </c>
      <c r="B511" s="0" t="s">
        <v>613</v>
      </c>
      <c r="C511" s="0" t="n">
        <v>135</v>
      </c>
      <c r="D511" s="0" t="n">
        <v>0</v>
      </c>
      <c r="E511" s="0" t="n">
        <v>6</v>
      </c>
      <c r="F511" s="0" t="n">
        <v>135</v>
      </c>
      <c r="G511" s="0" t="n">
        <v>500</v>
      </c>
      <c r="H511" s="0" t="s">
        <v>145</v>
      </c>
      <c r="I511" s="0" t="n">
        <v>500</v>
      </c>
      <c r="J511" s="0" t="n">
        <f aca="false">F511*E511</f>
        <v>810</v>
      </c>
      <c r="K511" s="0" t="str">
        <f aca="false">IF(G511&lt;1000,"1-Low",IF(G511&lt;5000,"2-Medium","3-Bulk"))</f>
        <v>1-Low</v>
      </c>
      <c r="L511" s="0" t="str">
        <f aca="false">IF(H511="TRUE","Out of stock","In stock")</f>
        <v>In stock</v>
      </c>
      <c r="M511" s="0" t="str">
        <f aca="false">IF(D511&lt;5,"1) Under 5%",IF(D511&lt;10,"2) 5-9%",IF(D511&lt;15,"3) 10-14%",IF(D511&lt;25,"4) 15-24%","5) 25%+"))))</f>
        <v>1) Under 5%</v>
      </c>
      <c r="N511" s="0" t="str">
        <f aca="false">IF(F511&lt;50,"1) Under Rs 50",IF(F511&lt;100,"2) Rs 50-99",IF(F511&lt;200,"3) Rs 100-199",IF(F511&lt;500,"4) Rs 200-499","5) Rs 500+"))))</f>
        <v>3) Rs 100-199</v>
      </c>
      <c r="O511" s="0" t="n">
        <f aca="false">G511*E511/1000</f>
        <v>3</v>
      </c>
    </row>
    <row r="512" customFormat="false" ht="15" hidden="false" customHeight="false" outlineLevel="0" collapsed="false">
      <c r="A512" s="0" t="s">
        <v>96</v>
      </c>
      <c r="B512" s="0" t="s">
        <v>490</v>
      </c>
      <c r="C512" s="0" t="n">
        <v>199</v>
      </c>
      <c r="D512" s="0" t="n">
        <v>10</v>
      </c>
      <c r="E512" s="0" t="n">
        <v>6</v>
      </c>
      <c r="F512" s="0" t="n">
        <v>179</v>
      </c>
      <c r="G512" s="0" t="n">
        <v>240</v>
      </c>
      <c r="H512" s="0" t="s">
        <v>145</v>
      </c>
      <c r="I512" s="0" t="n">
        <v>240</v>
      </c>
      <c r="J512" s="0" t="n">
        <f aca="false">F512*E512</f>
        <v>1074</v>
      </c>
      <c r="K512" s="0" t="str">
        <f aca="false">IF(G512&lt;1000,"1-Low",IF(G512&lt;5000,"2-Medium","3-Bulk"))</f>
        <v>1-Low</v>
      </c>
      <c r="L512" s="0" t="str">
        <f aca="false">IF(H512="TRUE","Out of stock","In stock")</f>
        <v>In stock</v>
      </c>
      <c r="M512" s="0" t="str">
        <f aca="false">IF(D512&lt;5,"1) Under 5%",IF(D512&lt;10,"2) 5-9%",IF(D512&lt;15,"3) 10-14%",IF(D512&lt;25,"4) 15-24%","5) 25%+"))))</f>
        <v>3) 10-14%</v>
      </c>
      <c r="N512" s="0" t="str">
        <f aca="false">IF(F512&lt;50,"1) Under Rs 50",IF(F512&lt;100,"2) Rs 50-99",IF(F512&lt;200,"3) Rs 100-199",IF(F512&lt;500,"4) Rs 200-499","5) Rs 500+"))))</f>
        <v>3) Rs 100-199</v>
      </c>
      <c r="O512" s="0" t="n">
        <f aca="false">G512*E512/1000</f>
        <v>1.44</v>
      </c>
    </row>
    <row r="513" customFormat="false" ht="15" hidden="false" customHeight="false" outlineLevel="0" collapsed="false">
      <c r="A513" s="0" t="s">
        <v>96</v>
      </c>
      <c r="B513" s="0" t="s">
        <v>83</v>
      </c>
      <c r="C513" s="0" t="n">
        <v>1050</v>
      </c>
      <c r="D513" s="0" t="n">
        <v>0</v>
      </c>
      <c r="E513" s="0" t="n">
        <v>2</v>
      </c>
      <c r="F513" s="0" t="n">
        <v>1050</v>
      </c>
      <c r="G513" s="0" t="n">
        <v>5000</v>
      </c>
      <c r="H513" s="0" t="s">
        <v>145</v>
      </c>
      <c r="I513" s="0" t="n">
        <v>5</v>
      </c>
      <c r="J513" s="0" t="n">
        <f aca="false">F513*E513</f>
        <v>2100</v>
      </c>
      <c r="K513" s="0" t="str">
        <f aca="false">IF(G513&lt;1000,"1-Low",IF(G513&lt;5000,"2-Medium","3-Bulk"))</f>
        <v>3-Bulk</v>
      </c>
      <c r="L513" s="0" t="str">
        <f aca="false">IF(H513="TRUE","Out of stock","In stock")</f>
        <v>In stock</v>
      </c>
      <c r="M513" s="0" t="str">
        <f aca="false">IF(D513&lt;5,"1) Under 5%",IF(D513&lt;10,"2) 5-9%",IF(D513&lt;15,"3) 10-14%",IF(D513&lt;25,"4) 15-24%","5) 25%+"))))</f>
        <v>1) Under 5%</v>
      </c>
      <c r="N513" s="0" t="str">
        <f aca="false">IF(F513&lt;50,"1) Under Rs 50",IF(F513&lt;100,"2) Rs 50-99",IF(F513&lt;200,"3) Rs 100-199",IF(F513&lt;500,"4) Rs 200-499","5) Rs 500+"))))</f>
        <v>5) Rs 500+</v>
      </c>
      <c r="O513" s="0" t="n">
        <f aca="false">G513*E513/1000</f>
        <v>10</v>
      </c>
    </row>
    <row r="514" customFormat="false" ht="15" hidden="false" customHeight="false" outlineLevel="0" collapsed="false">
      <c r="A514" s="0" t="s">
        <v>96</v>
      </c>
      <c r="B514" s="0" t="s">
        <v>614</v>
      </c>
      <c r="C514" s="0" t="n">
        <v>475</v>
      </c>
      <c r="D514" s="0" t="n">
        <v>10</v>
      </c>
      <c r="E514" s="0" t="n">
        <v>6</v>
      </c>
      <c r="F514" s="0" t="n">
        <v>423</v>
      </c>
      <c r="G514" s="0" t="n">
        <v>5000</v>
      </c>
      <c r="H514" s="0" t="s">
        <v>145</v>
      </c>
      <c r="I514" s="0" t="n">
        <v>5</v>
      </c>
      <c r="J514" s="0" t="n">
        <f aca="false">F514*E514</f>
        <v>2538</v>
      </c>
      <c r="K514" s="0" t="str">
        <f aca="false">IF(G514&lt;1000,"1-Low",IF(G514&lt;5000,"2-Medium","3-Bulk"))</f>
        <v>3-Bulk</v>
      </c>
      <c r="L514" s="0" t="str">
        <f aca="false">IF(H514="TRUE","Out of stock","In stock")</f>
        <v>In stock</v>
      </c>
      <c r="M514" s="0" t="str">
        <f aca="false">IF(D514&lt;5,"1) Under 5%",IF(D514&lt;10,"2) 5-9%",IF(D514&lt;15,"3) 10-14%",IF(D514&lt;25,"4) 15-24%","5) 25%+"))))</f>
        <v>3) 10-14%</v>
      </c>
      <c r="N514" s="0" t="str">
        <f aca="false">IF(F514&lt;50,"1) Under Rs 50",IF(F514&lt;100,"2) Rs 50-99",IF(F514&lt;200,"3) Rs 100-199",IF(F514&lt;500,"4) Rs 200-499","5) Rs 500+"))))</f>
        <v>4) Rs 200-499</v>
      </c>
      <c r="O514" s="0" t="n">
        <f aca="false">G514*E514/1000</f>
        <v>30</v>
      </c>
    </row>
    <row r="515" customFormat="false" ht="15" hidden="false" customHeight="false" outlineLevel="0" collapsed="false">
      <c r="A515" s="0" t="s">
        <v>96</v>
      </c>
      <c r="B515" s="0" t="s">
        <v>615</v>
      </c>
      <c r="C515" s="0" t="n">
        <v>130</v>
      </c>
      <c r="D515" s="0" t="n">
        <v>7</v>
      </c>
      <c r="E515" s="0" t="n">
        <v>6</v>
      </c>
      <c r="F515" s="0" t="n">
        <v>120</v>
      </c>
      <c r="G515" s="0" t="n">
        <v>500</v>
      </c>
      <c r="H515" s="0" t="s">
        <v>145</v>
      </c>
      <c r="I515" s="0" t="n">
        <v>500</v>
      </c>
      <c r="J515" s="0" t="n">
        <f aca="false">F515*E515</f>
        <v>720</v>
      </c>
      <c r="K515" s="0" t="str">
        <f aca="false">IF(G515&lt;1000,"1-Low",IF(G515&lt;5000,"2-Medium","3-Bulk"))</f>
        <v>1-Low</v>
      </c>
      <c r="L515" s="0" t="str">
        <f aca="false">IF(H515="TRUE","Out of stock","In stock")</f>
        <v>In stock</v>
      </c>
      <c r="M515" s="0" t="str">
        <f aca="false">IF(D515&lt;5,"1) Under 5%",IF(D515&lt;10,"2) 5-9%",IF(D515&lt;15,"3) 10-14%",IF(D515&lt;25,"4) 15-24%","5) 25%+"))))</f>
        <v>2) 5-9%</v>
      </c>
      <c r="N515" s="0" t="str">
        <f aca="false">IF(F515&lt;50,"1) Under Rs 50",IF(F515&lt;100,"2) Rs 50-99",IF(F515&lt;200,"3) Rs 100-199",IF(F515&lt;500,"4) Rs 200-499","5) Rs 500+"))))</f>
        <v>3) Rs 100-199</v>
      </c>
      <c r="O515" s="0" t="n">
        <f aca="false">G515*E515/1000</f>
        <v>3</v>
      </c>
    </row>
    <row r="516" customFormat="false" ht="15" hidden="false" customHeight="false" outlineLevel="0" collapsed="false">
      <c r="A516" s="0" t="s">
        <v>96</v>
      </c>
      <c r="B516" s="0" t="s">
        <v>616</v>
      </c>
      <c r="C516" s="0" t="n">
        <v>70</v>
      </c>
      <c r="D516" s="0" t="n">
        <v>0</v>
      </c>
      <c r="E516" s="0" t="n">
        <v>6</v>
      </c>
      <c r="F516" s="0" t="n">
        <v>70</v>
      </c>
      <c r="G516" s="0" t="n">
        <v>100</v>
      </c>
      <c r="H516" s="0" t="s">
        <v>145</v>
      </c>
      <c r="I516" s="0" t="n">
        <v>100</v>
      </c>
      <c r="J516" s="0" t="n">
        <f aca="false">F516*E516</f>
        <v>420</v>
      </c>
      <c r="K516" s="0" t="str">
        <f aca="false">IF(G516&lt;1000,"1-Low",IF(G516&lt;5000,"2-Medium","3-Bulk"))</f>
        <v>1-Low</v>
      </c>
      <c r="L516" s="0" t="str">
        <f aca="false">IF(H516="TRUE","Out of stock","In stock")</f>
        <v>In stock</v>
      </c>
      <c r="M516" s="0" t="str">
        <f aca="false">IF(D516&lt;5,"1) Under 5%",IF(D516&lt;10,"2) 5-9%",IF(D516&lt;15,"3) 10-14%",IF(D516&lt;25,"4) 15-24%","5) 25%+"))))</f>
        <v>1) Under 5%</v>
      </c>
      <c r="N516" s="0" t="str">
        <f aca="false">IF(F516&lt;50,"1) Under Rs 50",IF(F516&lt;100,"2) Rs 50-99",IF(F516&lt;200,"3) Rs 100-199",IF(F516&lt;500,"4) Rs 200-499","5) Rs 500+"))))</f>
        <v>2) Rs 50-99</v>
      </c>
      <c r="O516" s="0" t="n">
        <f aca="false">G516*E516/1000</f>
        <v>0.6</v>
      </c>
    </row>
    <row r="517" customFormat="false" ht="15" hidden="false" customHeight="false" outlineLevel="0" collapsed="false">
      <c r="A517" s="0" t="s">
        <v>96</v>
      </c>
      <c r="B517" s="0" t="s">
        <v>617</v>
      </c>
      <c r="C517" s="0" t="n">
        <v>100</v>
      </c>
      <c r="D517" s="0" t="n">
        <v>11</v>
      </c>
      <c r="E517" s="0" t="n">
        <v>6</v>
      </c>
      <c r="F517" s="0" t="n">
        <v>89</v>
      </c>
      <c r="G517" s="0" t="n">
        <v>500</v>
      </c>
      <c r="H517" s="0" t="s">
        <v>145</v>
      </c>
      <c r="I517" s="0" t="n">
        <v>500</v>
      </c>
      <c r="J517" s="0" t="n">
        <f aca="false">F517*E517</f>
        <v>534</v>
      </c>
      <c r="K517" s="0" t="str">
        <f aca="false">IF(G517&lt;1000,"1-Low",IF(G517&lt;5000,"2-Medium","3-Bulk"))</f>
        <v>1-Low</v>
      </c>
      <c r="L517" s="0" t="str">
        <f aca="false">IF(H517="TRUE","Out of stock","In stock")</f>
        <v>In stock</v>
      </c>
      <c r="M517" s="0" t="str">
        <f aca="false">IF(D517&lt;5,"1) Under 5%",IF(D517&lt;10,"2) 5-9%",IF(D517&lt;15,"3) 10-14%",IF(D517&lt;25,"4) 15-24%","5) 25%+"))))</f>
        <v>3) 10-14%</v>
      </c>
      <c r="N517" s="0" t="str">
        <f aca="false">IF(F517&lt;50,"1) Under Rs 50",IF(F517&lt;100,"2) Rs 50-99",IF(F517&lt;200,"3) Rs 100-199",IF(F517&lt;500,"4) Rs 200-499","5) Rs 500+"))))</f>
        <v>2) Rs 50-99</v>
      </c>
      <c r="O517" s="0" t="n">
        <f aca="false">G517*E517/1000</f>
        <v>3</v>
      </c>
    </row>
    <row r="518" customFormat="false" ht="15" hidden="false" customHeight="false" outlineLevel="0" collapsed="false">
      <c r="A518" s="0" t="s">
        <v>96</v>
      </c>
      <c r="B518" s="0" t="s">
        <v>618</v>
      </c>
      <c r="C518" s="0" t="n">
        <v>295</v>
      </c>
      <c r="D518" s="0" t="n">
        <v>0</v>
      </c>
      <c r="E518" s="0" t="n">
        <v>6</v>
      </c>
      <c r="F518" s="0" t="n">
        <v>295</v>
      </c>
      <c r="G518" s="0" t="n">
        <v>475</v>
      </c>
      <c r="H518" s="0" t="s">
        <v>145</v>
      </c>
      <c r="I518" s="0" t="n">
        <v>475</v>
      </c>
      <c r="J518" s="0" t="n">
        <f aca="false">F518*E518</f>
        <v>1770</v>
      </c>
      <c r="K518" s="0" t="str">
        <f aca="false">IF(G518&lt;1000,"1-Low",IF(G518&lt;5000,"2-Medium","3-Bulk"))</f>
        <v>1-Low</v>
      </c>
      <c r="L518" s="0" t="str">
        <f aca="false">IF(H518="TRUE","Out of stock","In stock")</f>
        <v>In stock</v>
      </c>
      <c r="M518" s="0" t="str">
        <f aca="false">IF(D518&lt;5,"1) Under 5%",IF(D518&lt;10,"2) 5-9%",IF(D518&lt;15,"3) 10-14%",IF(D518&lt;25,"4) 15-24%","5) 25%+"))))</f>
        <v>1) Under 5%</v>
      </c>
      <c r="N518" s="0" t="str">
        <f aca="false">IF(F518&lt;50,"1) Under Rs 50",IF(F518&lt;100,"2) Rs 50-99",IF(F518&lt;200,"3) Rs 100-199",IF(F518&lt;500,"4) Rs 200-499","5) Rs 500+"))))</f>
        <v>4) Rs 200-499</v>
      </c>
      <c r="O518" s="0" t="n">
        <f aca="false">G518*E518/1000</f>
        <v>2.85</v>
      </c>
    </row>
    <row r="519" customFormat="false" ht="15" hidden="false" customHeight="false" outlineLevel="0" collapsed="false">
      <c r="A519" s="0" t="s">
        <v>96</v>
      </c>
      <c r="B519" s="0" t="s">
        <v>75</v>
      </c>
      <c r="C519" s="0" t="n">
        <v>2600</v>
      </c>
      <c r="D519" s="0" t="n">
        <v>46</v>
      </c>
      <c r="E519" s="0" t="n">
        <v>6</v>
      </c>
      <c r="F519" s="0" t="n">
        <v>1399</v>
      </c>
      <c r="G519" s="0" t="n">
        <v>2000</v>
      </c>
      <c r="H519" s="0" t="s">
        <v>145</v>
      </c>
      <c r="I519" s="0" t="n">
        <v>2</v>
      </c>
      <c r="J519" s="0" t="n">
        <f aca="false">F519*E519</f>
        <v>8394</v>
      </c>
      <c r="K519" s="0" t="str">
        <f aca="false">IF(G519&lt;1000,"1-Low",IF(G519&lt;5000,"2-Medium","3-Bulk"))</f>
        <v>2-Medium</v>
      </c>
      <c r="L519" s="0" t="str">
        <f aca="false">IF(H519="TRUE","Out of stock","In stock")</f>
        <v>In stock</v>
      </c>
      <c r="M519" s="0" t="str">
        <f aca="false">IF(D519&lt;5,"1) Under 5%",IF(D519&lt;10,"2) 5-9%",IF(D519&lt;15,"3) 10-14%",IF(D519&lt;25,"4) 15-24%","5) 25%+"))))</f>
        <v>5) 25%+</v>
      </c>
      <c r="N519" s="0" t="str">
        <f aca="false">IF(F519&lt;50,"1) Under Rs 50",IF(F519&lt;100,"2) Rs 50-99",IF(F519&lt;200,"3) Rs 100-199",IF(F519&lt;500,"4) Rs 200-499","5) Rs 500+"))))</f>
        <v>5) Rs 500+</v>
      </c>
      <c r="O519" s="0" t="n">
        <f aca="false">G519*E519/1000</f>
        <v>12</v>
      </c>
    </row>
    <row r="520" customFormat="false" ht="15" hidden="false" customHeight="false" outlineLevel="0" collapsed="false">
      <c r="A520" s="0" t="s">
        <v>96</v>
      </c>
      <c r="B520" s="0" t="s">
        <v>619</v>
      </c>
      <c r="C520" s="0" t="n">
        <v>60</v>
      </c>
      <c r="D520" s="0" t="n">
        <v>0</v>
      </c>
      <c r="E520" s="0" t="n">
        <v>6</v>
      </c>
      <c r="F520" s="0" t="n">
        <v>60</v>
      </c>
      <c r="G520" s="0" t="n">
        <v>20</v>
      </c>
      <c r="H520" s="0" t="s">
        <v>145</v>
      </c>
      <c r="I520" s="0" t="n">
        <v>20</v>
      </c>
      <c r="J520" s="0" t="n">
        <f aca="false">F520*E520</f>
        <v>360</v>
      </c>
      <c r="K520" s="0" t="str">
        <f aca="false">IF(G520&lt;1000,"1-Low",IF(G520&lt;5000,"2-Medium","3-Bulk"))</f>
        <v>1-Low</v>
      </c>
      <c r="L520" s="0" t="str">
        <f aca="false">IF(H520="TRUE","Out of stock","In stock")</f>
        <v>In stock</v>
      </c>
      <c r="M520" s="0" t="str">
        <f aca="false">IF(D520&lt;5,"1) Under 5%",IF(D520&lt;10,"2) 5-9%",IF(D520&lt;15,"3) 10-14%",IF(D520&lt;25,"4) 15-24%","5) 25%+"))))</f>
        <v>1) Under 5%</v>
      </c>
      <c r="N520" s="0" t="str">
        <f aca="false">IF(F520&lt;50,"1) Under Rs 50",IF(F520&lt;100,"2) Rs 50-99",IF(F520&lt;200,"3) Rs 100-199",IF(F520&lt;500,"4) Rs 200-499","5) Rs 500+"))))</f>
        <v>2) Rs 50-99</v>
      </c>
      <c r="O520" s="0" t="n">
        <f aca="false">G520*E520/1000</f>
        <v>0.12</v>
      </c>
    </row>
    <row r="521" customFormat="false" ht="15" hidden="false" customHeight="false" outlineLevel="0" collapsed="false">
      <c r="A521" s="0" t="s">
        <v>96</v>
      </c>
      <c r="B521" s="0" t="s">
        <v>620</v>
      </c>
      <c r="C521" s="0" t="n">
        <v>95</v>
      </c>
      <c r="D521" s="0" t="n">
        <v>0</v>
      </c>
      <c r="E521" s="0" t="n">
        <v>6</v>
      </c>
      <c r="F521" s="0" t="n">
        <v>95</v>
      </c>
      <c r="G521" s="0" t="n">
        <v>100</v>
      </c>
      <c r="H521" s="0" t="s">
        <v>145</v>
      </c>
      <c r="I521" s="0" t="n">
        <v>100</v>
      </c>
      <c r="J521" s="0" t="n">
        <f aca="false">F521*E521</f>
        <v>570</v>
      </c>
      <c r="K521" s="0" t="str">
        <f aca="false">IF(G521&lt;1000,"1-Low",IF(G521&lt;5000,"2-Medium","3-Bulk"))</f>
        <v>1-Low</v>
      </c>
      <c r="L521" s="0" t="str">
        <f aca="false">IF(H521="TRUE","Out of stock","In stock")</f>
        <v>In stock</v>
      </c>
      <c r="M521" s="0" t="str">
        <f aca="false">IF(D521&lt;5,"1) Under 5%",IF(D521&lt;10,"2) 5-9%",IF(D521&lt;15,"3) 10-14%",IF(D521&lt;25,"4) 15-24%","5) 25%+"))))</f>
        <v>1) Under 5%</v>
      </c>
      <c r="N521" s="0" t="str">
        <f aca="false">IF(F521&lt;50,"1) Under Rs 50",IF(F521&lt;100,"2) Rs 50-99",IF(F521&lt;200,"3) Rs 100-199",IF(F521&lt;500,"4) Rs 200-499","5) Rs 500+"))))</f>
        <v>2) Rs 50-99</v>
      </c>
      <c r="O521" s="0" t="n">
        <f aca="false">G521*E521/1000</f>
        <v>0.6</v>
      </c>
    </row>
    <row r="522" customFormat="false" ht="15" hidden="false" customHeight="false" outlineLevel="0" collapsed="false">
      <c r="A522" s="0" t="s">
        <v>96</v>
      </c>
      <c r="B522" s="0" t="s">
        <v>621</v>
      </c>
      <c r="C522" s="0" t="n">
        <v>700</v>
      </c>
      <c r="D522" s="0" t="n">
        <v>10</v>
      </c>
      <c r="E522" s="0" t="n">
        <v>3</v>
      </c>
      <c r="F522" s="0" t="n">
        <v>630</v>
      </c>
      <c r="G522" s="0" t="n">
        <v>5000</v>
      </c>
      <c r="H522" s="0" t="s">
        <v>145</v>
      </c>
      <c r="I522" s="0" t="n">
        <v>5</v>
      </c>
      <c r="J522" s="0" t="n">
        <f aca="false">F522*E522</f>
        <v>1890</v>
      </c>
      <c r="K522" s="0" t="str">
        <f aca="false">IF(G522&lt;1000,"1-Low",IF(G522&lt;5000,"2-Medium","3-Bulk"))</f>
        <v>3-Bulk</v>
      </c>
      <c r="L522" s="0" t="str">
        <f aca="false">IF(H522="TRUE","Out of stock","In stock")</f>
        <v>In stock</v>
      </c>
      <c r="M522" s="0" t="str">
        <f aca="false">IF(D522&lt;5,"1) Under 5%",IF(D522&lt;10,"2) 5-9%",IF(D522&lt;15,"3) 10-14%",IF(D522&lt;25,"4) 15-24%","5) 25%+"))))</f>
        <v>3) 10-14%</v>
      </c>
      <c r="N522" s="0" t="str">
        <f aca="false">IF(F522&lt;50,"1) Under Rs 50",IF(F522&lt;100,"2) Rs 50-99",IF(F522&lt;200,"3) Rs 100-199",IF(F522&lt;500,"4) Rs 200-499","5) Rs 500+"))))</f>
        <v>5) Rs 500+</v>
      </c>
      <c r="O522" s="0" t="n">
        <f aca="false">G522*E522/1000</f>
        <v>15</v>
      </c>
    </row>
    <row r="523" customFormat="false" ht="15" hidden="false" customHeight="false" outlineLevel="0" collapsed="false">
      <c r="A523" s="0" t="s">
        <v>96</v>
      </c>
      <c r="B523" s="0" t="s">
        <v>622</v>
      </c>
      <c r="C523" s="0" t="n">
        <v>50</v>
      </c>
      <c r="D523" s="0" t="n">
        <v>0</v>
      </c>
      <c r="E523" s="0" t="n">
        <v>6</v>
      </c>
      <c r="F523" s="0" t="n">
        <v>50</v>
      </c>
      <c r="G523" s="0" t="n">
        <v>20</v>
      </c>
      <c r="H523" s="0" t="s">
        <v>145</v>
      </c>
      <c r="I523" s="0" t="n">
        <v>20</v>
      </c>
      <c r="J523" s="0" t="n">
        <f aca="false">F523*E523</f>
        <v>300</v>
      </c>
      <c r="K523" s="0" t="str">
        <f aca="false">IF(G523&lt;1000,"1-Low",IF(G523&lt;5000,"2-Medium","3-Bulk"))</f>
        <v>1-Low</v>
      </c>
      <c r="L523" s="0" t="str">
        <f aca="false">IF(H523="TRUE","Out of stock","In stock")</f>
        <v>In stock</v>
      </c>
      <c r="M523" s="0" t="str">
        <f aca="false">IF(D523&lt;5,"1) Under 5%",IF(D523&lt;10,"2) 5-9%",IF(D523&lt;15,"3) 10-14%",IF(D523&lt;25,"4) 15-24%","5) 25%+"))))</f>
        <v>1) Under 5%</v>
      </c>
      <c r="N523" s="0" t="str">
        <f aca="false">IF(F523&lt;50,"1) Under Rs 50",IF(F523&lt;100,"2) Rs 50-99",IF(F523&lt;200,"3) Rs 100-199",IF(F523&lt;500,"4) Rs 200-499","5) Rs 500+"))))</f>
        <v>2) Rs 50-99</v>
      </c>
      <c r="O523" s="0" t="n">
        <f aca="false">G523*E523/1000</f>
        <v>0.12</v>
      </c>
    </row>
    <row r="524" customFormat="false" ht="15" hidden="false" customHeight="false" outlineLevel="0" collapsed="false">
      <c r="A524" s="0" t="s">
        <v>96</v>
      </c>
      <c r="B524" s="0" t="s">
        <v>623</v>
      </c>
      <c r="C524" s="0" t="n">
        <v>200</v>
      </c>
      <c r="D524" s="0" t="n">
        <v>0</v>
      </c>
      <c r="E524" s="0" t="n">
        <v>1</v>
      </c>
      <c r="F524" s="0" t="n">
        <v>200</v>
      </c>
      <c r="G524" s="0" t="n">
        <v>500</v>
      </c>
      <c r="H524" s="0" t="s">
        <v>145</v>
      </c>
      <c r="I524" s="0" t="n">
        <v>500</v>
      </c>
      <c r="J524" s="0" t="n">
        <f aca="false">F524*E524</f>
        <v>200</v>
      </c>
      <c r="K524" s="0" t="str">
        <f aca="false">IF(G524&lt;1000,"1-Low",IF(G524&lt;5000,"2-Medium","3-Bulk"))</f>
        <v>1-Low</v>
      </c>
      <c r="L524" s="0" t="str">
        <f aca="false">IF(H524="TRUE","Out of stock","In stock")</f>
        <v>In stock</v>
      </c>
      <c r="M524" s="0" t="str">
        <f aca="false">IF(D524&lt;5,"1) Under 5%",IF(D524&lt;10,"2) 5-9%",IF(D524&lt;15,"3) 10-14%",IF(D524&lt;25,"4) 15-24%","5) 25%+"))))</f>
        <v>1) Under 5%</v>
      </c>
      <c r="N524" s="0" t="str">
        <f aca="false">IF(F524&lt;50,"1) Under Rs 50",IF(F524&lt;100,"2) Rs 50-99",IF(F524&lt;200,"3) Rs 100-199",IF(F524&lt;500,"4) Rs 200-499","5) Rs 500+"))))</f>
        <v>4) Rs 200-499</v>
      </c>
      <c r="O524" s="0" t="n">
        <f aca="false">G524*E524/1000</f>
        <v>0.5</v>
      </c>
    </row>
    <row r="525" customFormat="false" ht="15" hidden="false" customHeight="false" outlineLevel="0" collapsed="false">
      <c r="A525" s="0" t="s">
        <v>96</v>
      </c>
      <c r="B525" s="0" t="s">
        <v>624</v>
      </c>
      <c r="C525" s="0" t="n">
        <v>99</v>
      </c>
      <c r="D525" s="0" t="n">
        <v>0</v>
      </c>
      <c r="E525" s="0" t="n">
        <v>6</v>
      </c>
      <c r="F525" s="0" t="n">
        <v>99</v>
      </c>
      <c r="G525" s="0" t="n">
        <v>30</v>
      </c>
      <c r="H525" s="0" t="s">
        <v>145</v>
      </c>
      <c r="I525" s="0" t="n">
        <v>30</v>
      </c>
      <c r="J525" s="0" t="n">
        <f aca="false">F525*E525</f>
        <v>594</v>
      </c>
      <c r="K525" s="0" t="str">
        <f aca="false">IF(G525&lt;1000,"1-Low",IF(G525&lt;5000,"2-Medium","3-Bulk"))</f>
        <v>1-Low</v>
      </c>
      <c r="L525" s="0" t="str">
        <f aca="false">IF(H525="TRUE","Out of stock","In stock")</f>
        <v>In stock</v>
      </c>
      <c r="M525" s="0" t="str">
        <f aca="false">IF(D525&lt;5,"1) Under 5%",IF(D525&lt;10,"2) 5-9%",IF(D525&lt;15,"3) 10-14%",IF(D525&lt;25,"4) 15-24%","5) 25%+"))))</f>
        <v>1) Under 5%</v>
      </c>
      <c r="N525" s="0" t="str">
        <f aca="false">IF(F525&lt;50,"1) Under Rs 50",IF(F525&lt;100,"2) Rs 50-99",IF(F525&lt;200,"3) Rs 100-199",IF(F525&lt;500,"4) Rs 200-499","5) Rs 500+"))))</f>
        <v>2) Rs 50-99</v>
      </c>
      <c r="O525" s="0" t="n">
        <f aca="false">G525*E525/1000</f>
        <v>0.18</v>
      </c>
    </row>
    <row r="526" customFormat="false" ht="15" hidden="false" customHeight="false" outlineLevel="0" collapsed="false">
      <c r="A526" s="0" t="s">
        <v>96</v>
      </c>
      <c r="B526" s="0" t="s">
        <v>625</v>
      </c>
      <c r="C526" s="0" t="n">
        <v>70</v>
      </c>
      <c r="D526" s="0" t="n">
        <v>0</v>
      </c>
      <c r="E526" s="0" t="n">
        <v>6</v>
      </c>
      <c r="F526" s="0" t="n">
        <v>70</v>
      </c>
      <c r="G526" s="0" t="n">
        <v>500</v>
      </c>
      <c r="H526" s="0" t="s">
        <v>145</v>
      </c>
      <c r="I526" s="0" t="n">
        <v>500</v>
      </c>
      <c r="J526" s="0" t="n">
        <f aca="false">F526*E526</f>
        <v>420</v>
      </c>
      <c r="K526" s="0" t="str">
        <f aca="false">IF(G526&lt;1000,"1-Low",IF(G526&lt;5000,"2-Medium","3-Bulk"))</f>
        <v>1-Low</v>
      </c>
      <c r="L526" s="0" t="str">
        <f aca="false">IF(H526="TRUE","Out of stock","In stock")</f>
        <v>In stock</v>
      </c>
      <c r="M526" s="0" t="str">
        <f aca="false">IF(D526&lt;5,"1) Under 5%",IF(D526&lt;10,"2) 5-9%",IF(D526&lt;15,"3) 10-14%",IF(D526&lt;25,"4) 15-24%","5) 25%+"))))</f>
        <v>1) Under 5%</v>
      </c>
      <c r="N526" s="0" t="str">
        <f aca="false">IF(F526&lt;50,"1) Under Rs 50",IF(F526&lt;100,"2) Rs 50-99",IF(F526&lt;200,"3) Rs 100-199",IF(F526&lt;500,"4) Rs 200-499","5) Rs 500+"))))</f>
        <v>2) Rs 50-99</v>
      </c>
      <c r="O526" s="0" t="n">
        <f aca="false">G526*E526/1000</f>
        <v>3</v>
      </c>
    </row>
    <row r="527" customFormat="false" ht="15" hidden="false" customHeight="false" outlineLevel="0" collapsed="false">
      <c r="A527" s="0" t="s">
        <v>96</v>
      </c>
      <c r="B527" s="0" t="s">
        <v>626</v>
      </c>
      <c r="C527" s="0" t="n">
        <v>99</v>
      </c>
      <c r="D527" s="0" t="n">
        <v>0</v>
      </c>
      <c r="E527" s="0" t="n">
        <v>6</v>
      </c>
      <c r="F527" s="0" t="n">
        <v>99</v>
      </c>
      <c r="G527" s="0" t="n">
        <v>28</v>
      </c>
      <c r="H527" s="0" t="s">
        <v>145</v>
      </c>
      <c r="I527" s="0" t="n">
        <v>28</v>
      </c>
      <c r="J527" s="0" t="n">
        <f aca="false">F527*E527</f>
        <v>594</v>
      </c>
      <c r="K527" s="0" t="str">
        <f aca="false">IF(G527&lt;1000,"1-Low",IF(G527&lt;5000,"2-Medium","3-Bulk"))</f>
        <v>1-Low</v>
      </c>
      <c r="L527" s="0" t="str">
        <f aca="false">IF(H527="TRUE","Out of stock","In stock")</f>
        <v>In stock</v>
      </c>
      <c r="M527" s="0" t="str">
        <f aca="false">IF(D527&lt;5,"1) Under 5%",IF(D527&lt;10,"2) 5-9%",IF(D527&lt;15,"3) 10-14%",IF(D527&lt;25,"4) 15-24%","5) 25%+"))))</f>
        <v>1) Under 5%</v>
      </c>
      <c r="N527" s="0" t="str">
        <f aca="false">IF(F527&lt;50,"1) Under Rs 50",IF(F527&lt;100,"2) Rs 50-99",IF(F527&lt;200,"3) Rs 100-199",IF(F527&lt;500,"4) Rs 200-499","5) Rs 500+"))))</f>
        <v>2) Rs 50-99</v>
      </c>
      <c r="O527" s="0" t="n">
        <f aca="false">G527*E527/1000</f>
        <v>0.168</v>
      </c>
    </row>
    <row r="528" customFormat="false" ht="15" hidden="false" customHeight="false" outlineLevel="0" collapsed="false">
      <c r="A528" s="0" t="s">
        <v>96</v>
      </c>
      <c r="B528" s="0" t="s">
        <v>627</v>
      </c>
      <c r="C528" s="0" t="n">
        <v>120</v>
      </c>
      <c r="D528" s="0" t="n">
        <v>30</v>
      </c>
      <c r="E528" s="0" t="n">
        <v>4</v>
      </c>
      <c r="F528" s="0" t="n">
        <v>84</v>
      </c>
      <c r="G528" s="0" t="n">
        <v>285</v>
      </c>
      <c r="H528" s="0" t="s">
        <v>145</v>
      </c>
      <c r="I528" s="0" t="n">
        <v>285</v>
      </c>
      <c r="J528" s="0" t="n">
        <f aca="false">F528*E528</f>
        <v>336</v>
      </c>
      <c r="K528" s="0" t="str">
        <f aca="false">IF(G528&lt;1000,"1-Low",IF(G528&lt;5000,"2-Medium","3-Bulk"))</f>
        <v>1-Low</v>
      </c>
      <c r="L528" s="0" t="str">
        <f aca="false">IF(H528="TRUE","Out of stock","In stock")</f>
        <v>In stock</v>
      </c>
      <c r="M528" s="0" t="str">
        <f aca="false">IF(D528&lt;5,"1) Under 5%",IF(D528&lt;10,"2) 5-9%",IF(D528&lt;15,"3) 10-14%",IF(D528&lt;25,"4) 15-24%","5) 25%+"))))</f>
        <v>5) 25%+</v>
      </c>
      <c r="N528" s="0" t="str">
        <f aca="false">IF(F528&lt;50,"1) Under Rs 50",IF(F528&lt;100,"2) Rs 50-99",IF(F528&lt;200,"3) Rs 100-199",IF(F528&lt;500,"4) Rs 200-499","5) Rs 500+"))))</f>
        <v>2) Rs 50-99</v>
      </c>
      <c r="O528" s="0" t="n">
        <f aca="false">G528*E528/1000</f>
        <v>1.14</v>
      </c>
    </row>
    <row r="529" customFormat="false" ht="15" hidden="false" customHeight="false" outlineLevel="0" collapsed="false">
      <c r="A529" s="0" t="s">
        <v>96</v>
      </c>
      <c r="B529" s="0" t="s">
        <v>628</v>
      </c>
      <c r="C529" s="0" t="n">
        <v>295</v>
      </c>
      <c r="D529" s="0" t="n">
        <v>0</v>
      </c>
      <c r="E529" s="0" t="n">
        <v>6</v>
      </c>
      <c r="F529" s="0" t="n">
        <v>295</v>
      </c>
      <c r="G529" s="0" t="n">
        <v>500</v>
      </c>
      <c r="H529" s="0" t="s">
        <v>145</v>
      </c>
      <c r="I529" s="0" t="n">
        <v>500</v>
      </c>
      <c r="J529" s="0" t="n">
        <f aca="false">F529*E529</f>
        <v>1770</v>
      </c>
      <c r="K529" s="0" t="str">
        <f aca="false">IF(G529&lt;1000,"1-Low",IF(G529&lt;5000,"2-Medium","3-Bulk"))</f>
        <v>1-Low</v>
      </c>
      <c r="L529" s="0" t="str">
        <f aca="false">IF(H529="TRUE","Out of stock","In stock")</f>
        <v>In stock</v>
      </c>
      <c r="M529" s="0" t="str">
        <f aca="false">IF(D529&lt;5,"1) Under 5%",IF(D529&lt;10,"2) 5-9%",IF(D529&lt;15,"3) 10-14%",IF(D529&lt;25,"4) 15-24%","5) 25%+"))))</f>
        <v>1) Under 5%</v>
      </c>
      <c r="N529" s="0" t="str">
        <f aca="false">IF(F529&lt;50,"1) Under Rs 50",IF(F529&lt;100,"2) Rs 50-99",IF(F529&lt;200,"3) Rs 100-199",IF(F529&lt;500,"4) Rs 200-499","5) Rs 500+"))))</f>
        <v>4) Rs 200-499</v>
      </c>
      <c r="O529" s="0" t="n">
        <f aca="false">G529*E529/1000</f>
        <v>3</v>
      </c>
    </row>
    <row r="530" customFormat="false" ht="15" hidden="false" customHeight="false" outlineLevel="0" collapsed="false">
      <c r="A530" s="0" t="s">
        <v>96</v>
      </c>
      <c r="B530" s="0" t="s">
        <v>629</v>
      </c>
      <c r="C530" s="0" t="n">
        <v>95</v>
      </c>
      <c r="D530" s="0" t="n">
        <v>0</v>
      </c>
      <c r="E530" s="0" t="n">
        <v>6</v>
      </c>
      <c r="F530" s="0" t="n">
        <v>95</v>
      </c>
      <c r="G530" s="0" t="n">
        <v>150</v>
      </c>
      <c r="H530" s="0" t="s">
        <v>145</v>
      </c>
      <c r="I530" s="0" t="n">
        <v>150</v>
      </c>
      <c r="J530" s="0" t="n">
        <f aca="false">F530*E530</f>
        <v>570</v>
      </c>
      <c r="K530" s="0" t="str">
        <f aca="false">IF(G530&lt;1000,"1-Low",IF(G530&lt;5000,"2-Medium","3-Bulk"))</f>
        <v>1-Low</v>
      </c>
      <c r="L530" s="0" t="str">
        <f aca="false">IF(H530="TRUE","Out of stock","In stock")</f>
        <v>In stock</v>
      </c>
      <c r="M530" s="0" t="str">
        <f aca="false">IF(D530&lt;5,"1) Under 5%",IF(D530&lt;10,"2) 5-9%",IF(D530&lt;15,"3) 10-14%",IF(D530&lt;25,"4) 15-24%","5) 25%+"))))</f>
        <v>1) Under 5%</v>
      </c>
      <c r="N530" s="0" t="str">
        <f aca="false">IF(F530&lt;50,"1) Under Rs 50",IF(F530&lt;100,"2) Rs 50-99",IF(F530&lt;200,"3) Rs 100-199",IF(F530&lt;500,"4) Rs 200-499","5) Rs 500+"))))</f>
        <v>2) Rs 50-99</v>
      </c>
      <c r="O530" s="0" t="n">
        <f aca="false">G530*E530/1000</f>
        <v>0.9</v>
      </c>
    </row>
    <row r="531" customFormat="false" ht="15" hidden="false" customHeight="false" outlineLevel="0" collapsed="false">
      <c r="A531" s="0" t="s">
        <v>96</v>
      </c>
      <c r="B531" s="0" t="s">
        <v>630</v>
      </c>
      <c r="C531" s="0" t="n">
        <v>165</v>
      </c>
      <c r="D531" s="0" t="n">
        <v>10</v>
      </c>
      <c r="E531" s="0" t="n">
        <v>6</v>
      </c>
      <c r="F531" s="0" t="n">
        <v>147</v>
      </c>
      <c r="G531" s="0" t="n">
        <v>1000</v>
      </c>
      <c r="H531" s="0" t="s">
        <v>145</v>
      </c>
      <c r="I531" s="0" t="n">
        <v>1</v>
      </c>
      <c r="J531" s="0" t="n">
        <f aca="false">F531*E531</f>
        <v>882</v>
      </c>
      <c r="K531" s="0" t="str">
        <f aca="false">IF(G531&lt;1000,"1-Low",IF(G531&lt;5000,"2-Medium","3-Bulk"))</f>
        <v>2-Medium</v>
      </c>
      <c r="L531" s="0" t="str">
        <f aca="false">IF(H531="TRUE","Out of stock","In stock")</f>
        <v>In stock</v>
      </c>
      <c r="M531" s="0" t="str">
        <f aca="false">IF(D531&lt;5,"1) Under 5%",IF(D531&lt;10,"2) 5-9%",IF(D531&lt;15,"3) 10-14%",IF(D531&lt;25,"4) 15-24%","5) 25%+"))))</f>
        <v>3) 10-14%</v>
      </c>
      <c r="N531" s="0" t="str">
        <f aca="false">IF(F531&lt;50,"1) Under Rs 50",IF(F531&lt;100,"2) Rs 50-99",IF(F531&lt;200,"3) Rs 100-199",IF(F531&lt;500,"4) Rs 200-499","5) Rs 500+"))))</f>
        <v>3) Rs 100-199</v>
      </c>
      <c r="O531" s="0" t="n">
        <f aca="false">G531*E531/1000</f>
        <v>6</v>
      </c>
    </row>
    <row r="532" customFormat="false" ht="15" hidden="false" customHeight="false" outlineLevel="0" collapsed="false">
      <c r="A532" s="0" t="s">
        <v>96</v>
      </c>
      <c r="B532" s="0" t="s">
        <v>631</v>
      </c>
      <c r="C532" s="0" t="n">
        <v>295</v>
      </c>
      <c r="D532" s="0" t="n">
        <v>0</v>
      </c>
      <c r="E532" s="0" t="n">
        <v>6</v>
      </c>
      <c r="F532" s="0" t="n">
        <v>295</v>
      </c>
      <c r="G532" s="0" t="n">
        <v>500</v>
      </c>
      <c r="H532" s="0" t="s">
        <v>145</v>
      </c>
      <c r="I532" s="0" t="n">
        <v>500</v>
      </c>
      <c r="J532" s="0" t="n">
        <f aca="false">F532*E532</f>
        <v>1770</v>
      </c>
      <c r="K532" s="0" t="str">
        <f aca="false">IF(G532&lt;1000,"1-Low",IF(G532&lt;5000,"2-Medium","3-Bulk"))</f>
        <v>1-Low</v>
      </c>
      <c r="L532" s="0" t="str">
        <f aca="false">IF(H532="TRUE","Out of stock","In stock")</f>
        <v>In stock</v>
      </c>
      <c r="M532" s="0" t="str">
        <f aca="false">IF(D532&lt;5,"1) Under 5%",IF(D532&lt;10,"2) 5-9%",IF(D532&lt;15,"3) 10-14%",IF(D532&lt;25,"4) 15-24%","5) 25%+"))))</f>
        <v>1) Under 5%</v>
      </c>
      <c r="N532" s="0" t="str">
        <f aca="false">IF(F532&lt;50,"1) Under Rs 50",IF(F532&lt;100,"2) Rs 50-99",IF(F532&lt;200,"3) Rs 100-199",IF(F532&lt;500,"4) Rs 200-499","5) Rs 500+"))))</f>
        <v>4) Rs 200-499</v>
      </c>
      <c r="O532" s="0" t="n">
        <f aca="false">G532*E532/1000</f>
        <v>3</v>
      </c>
    </row>
    <row r="533" customFormat="false" ht="15" hidden="false" customHeight="false" outlineLevel="0" collapsed="false">
      <c r="A533" s="0" t="s">
        <v>96</v>
      </c>
      <c r="B533" s="0" t="s">
        <v>632</v>
      </c>
      <c r="C533" s="0" t="n">
        <v>75</v>
      </c>
      <c r="D533" s="0" t="n">
        <v>0</v>
      </c>
      <c r="E533" s="0" t="n">
        <v>2</v>
      </c>
      <c r="F533" s="0" t="n">
        <v>75</v>
      </c>
      <c r="G533" s="0" t="n">
        <v>100</v>
      </c>
      <c r="H533" s="0" t="s">
        <v>145</v>
      </c>
      <c r="I533" s="0" t="n">
        <v>100</v>
      </c>
      <c r="J533" s="0" t="n">
        <f aca="false">F533*E533</f>
        <v>150</v>
      </c>
      <c r="K533" s="0" t="str">
        <f aca="false">IF(G533&lt;1000,"1-Low",IF(G533&lt;5000,"2-Medium","3-Bulk"))</f>
        <v>1-Low</v>
      </c>
      <c r="L533" s="0" t="str">
        <f aca="false">IF(H533="TRUE","Out of stock","In stock")</f>
        <v>In stock</v>
      </c>
      <c r="M533" s="0" t="str">
        <f aca="false">IF(D533&lt;5,"1) Under 5%",IF(D533&lt;10,"2) 5-9%",IF(D533&lt;15,"3) 10-14%",IF(D533&lt;25,"4) 15-24%","5) 25%+"))))</f>
        <v>1) Under 5%</v>
      </c>
      <c r="N533" s="0" t="str">
        <f aca="false">IF(F533&lt;50,"1) Under Rs 50",IF(F533&lt;100,"2) Rs 50-99",IF(F533&lt;200,"3) Rs 100-199",IF(F533&lt;500,"4) Rs 200-499","5) Rs 500+"))))</f>
        <v>2) Rs 50-99</v>
      </c>
      <c r="O533" s="0" t="n">
        <f aca="false">G533*E533/1000</f>
        <v>0.2</v>
      </c>
    </row>
    <row r="534" customFormat="false" ht="15" hidden="false" customHeight="false" outlineLevel="0" collapsed="false">
      <c r="A534" s="0" t="s">
        <v>96</v>
      </c>
      <c r="B534" s="0" t="s">
        <v>633</v>
      </c>
      <c r="C534" s="0" t="n">
        <v>99</v>
      </c>
      <c r="D534" s="0" t="n">
        <v>0</v>
      </c>
      <c r="E534" s="0" t="n">
        <v>6</v>
      </c>
      <c r="F534" s="0" t="n">
        <v>99</v>
      </c>
      <c r="G534" s="0" t="n">
        <v>75</v>
      </c>
      <c r="H534" s="0" t="s">
        <v>145</v>
      </c>
      <c r="I534" s="0" t="n">
        <v>75</v>
      </c>
      <c r="J534" s="0" t="n">
        <f aca="false">F534*E534</f>
        <v>594</v>
      </c>
      <c r="K534" s="0" t="str">
        <f aca="false">IF(G534&lt;1000,"1-Low",IF(G534&lt;5000,"2-Medium","3-Bulk"))</f>
        <v>1-Low</v>
      </c>
      <c r="L534" s="0" t="str">
        <f aca="false">IF(H534="TRUE","Out of stock","In stock")</f>
        <v>In stock</v>
      </c>
      <c r="M534" s="0" t="str">
        <f aca="false">IF(D534&lt;5,"1) Under 5%",IF(D534&lt;10,"2) 5-9%",IF(D534&lt;15,"3) 10-14%",IF(D534&lt;25,"4) 15-24%","5) 25%+"))))</f>
        <v>1) Under 5%</v>
      </c>
      <c r="N534" s="0" t="str">
        <f aca="false">IF(F534&lt;50,"1) Under Rs 50",IF(F534&lt;100,"2) Rs 50-99",IF(F534&lt;200,"3) Rs 100-199",IF(F534&lt;500,"4) Rs 200-499","5) Rs 500+"))))</f>
        <v>2) Rs 50-99</v>
      </c>
      <c r="O534" s="0" t="n">
        <f aca="false">G534*E534/1000</f>
        <v>0.45</v>
      </c>
    </row>
    <row r="535" customFormat="false" ht="15" hidden="false" customHeight="false" outlineLevel="0" collapsed="false">
      <c r="A535" s="0" t="s">
        <v>96</v>
      </c>
      <c r="B535" s="0" t="s">
        <v>634</v>
      </c>
      <c r="C535" s="0" t="n">
        <v>89</v>
      </c>
      <c r="D535" s="0" t="n">
        <v>10</v>
      </c>
      <c r="E535" s="0" t="n">
        <v>6</v>
      </c>
      <c r="F535" s="0" t="n">
        <v>80</v>
      </c>
      <c r="G535" s="0" t="n">
        <v>100</v>
      </c>
      <c r="H535" s="0" t="s">
        <v>145</v>
      </c>
      <c r="I535" s="0" t="n">
        <v>100</v>
      </c>
      <c r="J535" s="0" t="n">
        <f aca="false">F535*E535</f>
        <v>480</v>
      </c>
      <c r="K535" s="0" t="str">
        <f aca="false">IF(G535&lt;1000,"1-Low",IF(G535&lt;5000,"2-Medium","3-Bulk"))</f>
        <v>1-Low</v>
      </c>
      <c r="L535" s="0" t="str">
        <f aca="false">IF(H535="TRUE","Out of stock","In stock")</f>
        <v>In stock</v>
      </c>
      <c r="M535" s="0" t="str">
        <f aca="false">IF(D535&lt;5,"1) Under 5%",IF(D535&lt;10,"2) 5-9%",IF(D535&lt;15,"3) 10-14%",IF(D535&lt;25,"4) 15-24%","5) 25%+"))))</f>
        <v>3) 10-14%</v>
      </c>
      <c r="N535" s="0" t="str">
        <f aca="false">IF(F535&lt;50,"1) Under Rs 50",IF(F535&lt;100,"2) Rs 50-99",IF(F535&lt;200,"3) Rs 100-199",IF(F535&lt;500,"4) Rs 200-499","5) Rs 500+"))))</f>
        <v>2) Rs 50-99</v>
      </c>
      <c r="O535" s="0" t="n">
        <f aca="false">G535*E535/1000</f>
        <v>0.6</v>
      </c>
    </row>
    <row r="536" customFormat="false" ht="15" hidden="false" customHeight="false" outlineLevel="0" collapsed="false">
      <c r="A536" s="0" t="s">
        <v>96</v>
      </c>
      <c r="B536" s="0" t="s">
        <v>635</v>
      </c>
      <c r="C536" s="0" t="n">
        <v>45</v>
      </c>
      <c r="D536" s="0" t="n">
        <v>2</v>
      </c>
      <c r="E536" s="0" t="n">
        <v>6</v>
      </c>
      <c r="F536" s="0" t="n">
        <v>44</v>
      </c>
      <c r="G536" s="0" t="n">
        <v>90</v>
      </c>
      <c r="H536" s="0" t="s">
        <v>145</v>
      </c>
      <c r="I536" s="0" t="n">
        <v>90</v>
      </c>
      <c r="J536" s="0" t="n">
        <f aca="false">F536*E536</f>
        <v>264</v>
      </c>
      <c r="K536" s="0" t="str">
        <f aca="false">IF(G536&lt;1000,"1-Low",IF(G536&lt;5000,"2-Medium","3-Bulk"))</f>
        <v>1-Low</v>
      </c>
      <c r="L536" s="0" t="str">
        <f aca="false">IF(H536="TRUE","Out of stock","In stock")</f>
        <v>In stock</v>
      </c>
      <c r="M536" s="0" t="str">
        <f aca="false">IF(D536&lt;5,"1) Under 5%",IF(D536&lt;10,"2) 5-9%",IF(D536&lt;15,"3) 10-14%",IF(D536&lt;25,"4) 15-24%","5) 25%+"))))</f>
        <v>1) Under 5%</v>
      </c>
      <c r="N536" s="0" t="str">
        <f aca="false">IF(F536&lt;50,"1) Under Rs 50",IF(F536&lt;100,"2) Rs 50-99",IF(F536&lt;200,"3) Rs 100-199",IF(F536&lt;500,"4) Rs 200-499","5) Rs 500+"))))</f>
        <v>1) Under Rs 50</v>
      </c>
      <c r="O536" s="0" t="n">
        <f aca="false">G536*E536/1000</f>
        <v>0.54</v>
      </c>
    </row>
    <row r="537" customFormat="false" ht="15" hidden="false" customHeight="false" outlineLevel="0" collapsed="false">
      <c r="A537" s="0" t="s">
        <v>96</v>
      </c>
      <c r="B537" s="0" t="s">
        <v>636</v>
      </c>
      <c r="C537" s="0" t="n">
        <v>190</v>
      </c>
      <c r="D537" s="0" t="n">
        <v>11</v>
      </c>
      <c r="E537" s="0" t="n">
        <v>6</v>
      </c>
      <c r="F537" s="0" t="n">
        <v>169</v>
      </c>
      <c r="G537" s="0" t="n">
        <v>500</v>
      </c>
      <c r="H537" s="0" t="s">
        <v>145</v>
      </c>
      <c r="I537" s="0" t="n">
        <v>500</v>
      </c>
      <c r="J537" s="0" t="n">
        <f aca="false">F537*E537</f>
        <v>1014</v>
      </c>
      <c r="K537" s="0" t="str">
        <f aca="false">IF(G537&lt;1000,"1-Low",IF(G537&lt;5000,"2-Medium","3-Bulk"))</f>
        <v>1-Low</v>
      </c>
      <c r="L537" s="0" t="str">
        <f aca="false">IF(H537="TRUE","Out of stock","In stock")</f>
        <v>In stock</v>
      </c>
      <c r="M537" s="0" t="str">
        <f aca="false">IF(D537&lt;5,"1) Under 5%",IF(D537&lt;10,"2) 5-9%",IF(D537&lt;15,"3) 10-14%",IF(D537&lt;25,"4) 15-24%","5) 25%+"))))</f>
        <v>3) 10-14%</v>
      </c>
      <c r="N537" s="0" t="str">
        <f aca="false">IF(F537&lt;50,"1) Under Rs 50",IF(F537&lt;100,"2) Rs 50-99",IF(F537&lt;200,"3) Rs 100-199",IF(F537&lt;500,"4) Rs 200-499","5) Rs 500+"))))</f>
        <v>3) Rs 100-199</v>
      </c>
      <c r="O537" s="0" t="n">
        <f aca="false">G537*E537/1000</f>
        <v>3</v>
      </c>
    </row>
    <row r="538" customFormat="false" ht="15" hidden="false" customHeight="false" outlineLevel="0" collapsed="false">
      <c r="A538" s="0" t="s">
        <v>96</v>
      </c>
      <c r="B538" s="0" t="s">
        <v>637</v>
      </c>
      <c r="C538" s="0" t="n">
        <v>89</v>
      </c>
      <c r="D538" s="0" t="n">
        <v>0</v>
      </c>
      <c r="E538" s="0" t="n">
        <v>6</v>
      </c>
      <c r="F538" s="0" t="n">
        <v>89</v>
      </c>
      <c r="G538" s="0" t="n">
        <v>100</v>
      </c>
      <c r="H538" s="0" t="s">
        <v>145</v>
      </c>
      <c r="I538" s="0" t="n">
        <v>100</v>
      </c>
      <c r="J538" s="0" t="n">
        <f aca="false">F538*E538</f>
        <v>534</v>
      </c>
      <c r="K538" s="0" t="str">
        <f aca="false">IF(G538&lt;1000,"1-Low",IF(G538&lt;5000,"2-Medium","3-Bulk"))</f>
        <v>1-Low</v>
      </c>
      <c r="L538" s="0" t="str">
        <f aca="false">IF(H538="TRUE","Out of stock","In stock")</f>
        <v>In stock</v>
      </c>
      <c r="M538" s="0" t="str">
        <f aca="false">IF(D538&lt;5,"1) Under 5%",IF(D538&lt;10,"2) 5-9%",IF(D538&lt;15,"3) 10-14%",IF(D538&lt;25,"4) 15-24%","5) 25%+"))))</f>
        <v>1) Under 5%</v>
      </c>
      <c r="N538" s="0" t="str">
        <f aca="false">IF(F538&lt;50,"1) Under Rs 50",IF(F538&lt;100,"2) Rs 50-99",IF(F538&lt;200,"3) Rs 100-199",IF(F538&lt;500,"4) Rs 200-499","5) Rs 500+"))))</f>
        <v>2) Rs 50-99</v>
      </c>
      <c r="O538" s="0" t="n">
        <f aca="false">G538*E538/1000</f>
        <v>0.6</v>
      </c>
    </row>
    <row r="539" customFormat="false" ht="15" hidden="false" customHeight="false" outlineLevel="0" collapsed="false">
      <c r="A539" s="0" t="s">
        <v>96</v>
      </c>
      <c r="B539" s="0" t="s">
        <v>638</v>
      </c>
      <c r="C539" s="0" t="n">
        <v>399</v>
      </c>
      <c r="D539" s="0" t="n">
        <v>20</v>
      </c>
      <c r="E539" s="0" t="n">
        <v>6</v>
      </c>
      <c r="F539" s="0" t="n">
        <v>319</v>
      </c>
      <c r="G539" s="0" t="n">
        <v>200</v>
      </c>
      <c r="H539" s="0" t="s">
        <v>145</v>
      </c>
      <c r="I539" s="0" t="n">
        <v>200</v>
      </c>
      <c r="J539" s="0" t="n">
        <f aca="false">F539*E539</f>
        <v>1914</v>
      </c>
      <c r="K539" s="0" t="str">
        <f aca="false">IF(G539&lt;1000,"1-Low",IF(G539&lt;5000,"2-Medium","3-Bulk"))</f>
        <v>1-Low</v>
      </c>
      <c r="L539" s="0" t="str">
        <f aca="false">IF(H539="TRUE","Out of stock","In stock")</f>
        <v>In stock</v>
      </c>
      <c r="M539" s="0" t="str">
        <f aca="false">IF(D539&lt;5,"1) Under 5%",IF(D539&lt;10,"2) 5-9%",IF(D539&lt;15,"3) 10-14%",IF(D539&lt;25,"4) 15-24%","5) 25%+"))))</f>
        <v>4) 15-24%</v>
      </c>
      <c r="N539" s="0" t="str">
        <f aca="false">IF(F539&lt;50,"1) Under Rs 50",IF(F539&lt;100,"2) Rs 50-99",IF(F539&lt;200,"3) Rs 100-199",IF(F539&lt;500,"4) Rs 200-499","5) Rs 500+"))))</f>
        <v>4) Rs 200-499</v>
      </c>
      <c r="O539" s="0" t="n">
        <f aca="false">G539*E539/1000</f>
        <v>1.2</v>
      </c>
    </row>
    <row r="540" customFormat="false" ht="15" hidden="false" customHeight="false" outlineLevel="0" collapsed="false">
      <c r="A540" s="0" t="s">
        <v>96</v>
      </c>
      <c r="B540" s="0" t="s">
        <v>545</v>
      </c>
      <c r="C540" s="0" t="n">
        <v>205</v>
      </c>
      <c r="D540" s="0" t="n">
        <v>0</v>
      </c>
      <c r="E540" s="0" t="n">
        <v>6</v>
      </c>
      <c r="F540" s="0" t="n">
        <v>205</v>
      </c>
      <c r="G540" s="0" t="n">
        <v>50</v>
      </c>
      <c r="H540" s="0" t="s">
        <v>145</v>
      </c>
      <c r="I540" s="0" t="n">
        <v>20</v>
      </c>
      <c r="J540" s="0" t="n">
        <f aca="false">F540*E540</f>
        <v>1230</v>
      </c>
      <c r="K540" s="0" t="str">
        <f aca="false">IF(G540&lt;1000,"1-Low",IF(G540&lt;5000,"2-Medium","3-Bulk"))</f>
        <v>1-Low</v>
      </c>
      <c r="L540" s="0" t="str">
        <f aca="false">IF(H540="TRUE","Out of stock","In stock")</f>
        <v>In stock</v>
      </c>
      <c r="M540" s="0" t="str">
        <f aca="false">IF(D540&lt;5,"1) Under 5%",IF(D540&lt;10,"2) 5-9%",IF(D540&lt;15,"3) 10-14%",IF(D540&lt;25,"4) 15-24%","5) 25%+"))))</f>
        <v>1) Under 5%</v>
      </c>
      <c r="N540" s="0" t="str">
        <f aca="false">IF(F540&lt;50,"1) Under Rs 50",IF(F540&lt;100,"2) Rs 50-99",IF(F540&lt;200,"3) Rs 100-199",IF(F540&lt;500,"4) Rs 200-499","5) Rs 500+"))))</f>
        <v>4) Rs 200-499</v>
      </c>
      <c r="O540" s="0" t="n">
        <f aca="false">G540*E540/1000</f>
        <v>0.3</v>
      </c>
    </row>
    <row r="541" customFormat="false" ht="15" hidden="false" customHeight="false" outlineLevel="0" collapsed="false">
      <c r="A541" s="0" t="s">
        <v>96</v>
      </c>
      <c r="B541" s="0" t="s">
        <v>639</v>
      </c>
      <c r="C541" s="0" t="n">
        <v>139</v>
      </c>
      <c r="D541" s="0" t="n">
        <v>10</v>
      </c>
      <c r="E541" s="0" t="n">
        <v>6</v>
      </c>
      <c r="F541" s="0" t="n">
        <v>125</v>
      </c>
      <c r="G541" s="0" t="n">
        <v>100</v>
      </c>
      <c r="H541" s="0" t="s">
        <v>145</v>
      </c>
      <c r="I541" s="0" t="n">
        <v>100</v>
      </c>
      <c r="J541" s="0" t="n">
        <f aca="false">F541*E541</f>
        <v>750</v>
      </c>
      <c r="K541" s="0" t="str">
        <f aca="false">IF(G541&lt;1000,"1-Low",IF(G541&lt;5000,"2-Medium","3-Bulk"))</f>
        <v>1-Low</v>
      </c>
      <c r="L541" s="0" t="str">
        <f aca="false">IF(H541="TRUE","Out of stock","In stock")</f>
        <v>In stock</v>
      </c>
      <c r="M541" s="0" t="str">
        <f aca="false">IF(D541&lt;5,"1) Under 5%",IF(D541&lt;10,"2) 5-9%",IF(D541&lt;15,"3) 10-14%",IF(D541&lt;25,"4) 15-24%","5) 25%+"))))</f>
        <v>3) 10-14%</v>
      </c>
      <c r="N541" s="0" t="str">
        <f aca="false">IF(F541&lt;50,"1) Under Rs 50",IF(F541&lt;100,"2) Rs 50-99",IF(F541&lt;200,"3) Rs 100-199",IF(F541&lt;500,"4) Rs 200-499","5) Rs 500+"))))</f>
        <v>3) Rs 100-199</v>
      </c>
      <c r="O541" s="0" t="n">
        <f aca="false">G541*E541/1000</f>
        <v>0.6</v>
      </c>
    </row>
    <row r="542" customFormat="false" ht="15" hidden="false" customHeight="false" outlineLevel="0" collapsed="false">
      <c r="A542" s="0" t="s">
        <v>96</v>
      </c>
      <c r="B542" s="0" t="s">
        <v>640</v>
      </c>
      <c r="C542" s="0" t="n">
        <v>45</v>
      </c>
      <c r="D542" s="0" t="n">
        <v>0</v>
      </c>
      <c r="E542" s="0" t="n">
        <v>4</v>
      </c>
      <c r="F542" s="0" t="n">
        <v>45</v>
      </c>
      <c r="G542" s="0" t="n">
        <v>80</v>
      </c>
      <c r="H542" s="0" t="s">
        <v>145</v>
      </c>
      <c r="I542" s="0" t="n">
        <v>80</v>
      </c>
      <c r="J542" s="0" t="n">
        <f aca="false">F542*E542</f>
        <v>180</v>
      </c>
      <c r="K542" s="0" t="str">
        <f aca="false">IF(G542&lt;1000,"1-Low",IF(G542&lt;5000,"2-Medium","3-Bulk"))</f>
        <v>1-Low</v>
      </c>
      <c r="L542" s="0" t="str">
        <f aca="false">IF(H542="TRUE","Out of stock","In stock")</f>
        <v>In stock</v>
      </c>
      <c r="M542" s="0" t="str">
        <f aca="false">IF(D542&lt;5,"1) Under 5%",IF(D542&lt;10,"2) 5-9%",IF(D542&lt;15,"3) 10-14%",IF(D542&lt;25,"4) 15-24%","5) 25%+"))))</f>
        <v>1) Under 5%</v>
      </c>
      <c r="N542" s="0" t="str">
        <f aca="false">IF(F542&lt;50,"1) Under Rs 50",IF(F542&lt;100,"2) Rs 50-99",IF(F542&lt;200,"3) Rs 100-199",IF(F542&lt;500,"4) Rs 200-499","5) Rs 500+"))))</f>
        <v>1) Under Rs 50</v>
      </c>
      <c r="O542" s="0" t="n">
        <f aca="false">G542*E542/1000</f>
        <v>0.32</v>
      </c>
    </row>
    <row r="543" customFormat="false" ht="15" hidden="false" customHeight="false" outlineLevel="0" collapsed="false">
      <c r="A543" s="0" t="s">
        <v>96</v>
      </c>
      <c r="B543" s="0" t="s">
        <v>641</v>
      </c>
      <c r="C543" s="0" t="n">
        <v>139</v>
      </c>
      <c r="D543" s="0" t="n">
        <v>0</v>
      </c>
      <c r="E543" s="0" t="n">
        <v>6</v>
      </c>
      <c r="F543" s="0" t="n">
        <v>139</v>
      </c>
      <c r="G543" s="0" t="n">
        <v>45</v>
      </c>
      <c r="H543" s="0" t="s">
        <v>145</v>
      </c>
      <c r="I543" s="0" t="n">
        <v>45</v>
      </c>
      <c r="J543" s="0" t="n">
        <f aca="false">F543*E543</f>
        <v>834</v>
      </c>
      <c r="K543" s="0" t="str">
        <f aca="false">IF(G543&lt;1000,"1-Low",IF(G543&lt;5000,"2-Medium","3-Bulk"))</f>
        <v>1-Low</v>
      </c>
      <c r="L543" s="0" t="str">
        <f aca="false">IF(H543="TRUE","Out of stock","In stock")</f>
        <v>In stock</v>
      </c>
      <c r="M543" s="0" t="str">
        <f aca="false">IF(D543&lt;5,"1) Under 5%",IF(D543&lt;10,"2) 5-9%",IF(D543&lt;15,"3) 10-14%",IF(D543&lt;25,"4) 15-24%","5) 25%+"))))</f>
        <v>1) Under 5%</v>
      </c>
      <c r="N543" s="0" t="str">
        <f aca="false">IF(F543&lt;50,"1) Under Rs 50",IF(F543&lt;100,"2) Rs 50-99",IF(F543&lt;200,"3) Rs 100-199",IF(F543&lt;500,"4) Rs 200-499","5) Rs 500+"))))</f>
        <v>3) Rs 100-199</v>
      </c>
      <c r="O543" s="0" t="n">
        <f aca="false">G543*E543/1000</f>
        <v>0.27</v>
      </c>
    </row>
    <row r="544" customFormat="false" ht="15" hidden="false" customHeight="false" outlineLevel="0" collapsed="false">
      <c r="A544" s="0" t="s">
        <v>96</v>
      </c>
      <c r="B544" s="0" t="s">
        <v>642</v>
      </c>
      <c r="C544" s="0" t="n">
        <v>325</v>
      </c>
      <c r="D544" s="0" t="n">
        <v>8</v>
      </c>
      <c r="E544" s="0" t="n">
        <v>1</v>
      </c>
      <c r="F544" s="0" t="n">
        <v>299</v>
      </c>
      <c r="G544" s="0" t="n">
        <v>200</v>
      </c>
      <c r="H544" s="0" t="s">
        <v>145</v>
      </c>
      <c r="I544" s="0" t="n">
        <v>200</v>
      </c>
      <c r="J544" s="0" t="n">
        <f aca="false">F544*E544</f>
        <v>299</v>
      </c>
      <c r="K544" s="0" t="str">
        <f aca="false">IF(G544&lt;1000,"1-Low",IF(G544&lt;5000,"2-Medium","3-Bulk"))</f>
        <v>1-Low</v>
      </c>
      <c r="L544" s="0" t="str">
        <f aca="false">IF(H544="TRUE","Out of stock","In stock")</f>
        <v>In stock</v>
      </c>
      <c r="M544" s="0" t="str">
        <f aca="false">IF(D544&lt;5,"1) Under 5%",IF(D544&lt;10,"2) 5-9%",IF(D544&lt;15,"3) 10-14%",IF(D544&lt;25,"4) 15-24%","5) 25%+"))))</f>
        <v>2) 5-9%</v>
      </c>
      <c r="N544" s="0" t="str">
        <f aca="false">IF(F544&lt;50,"1) Under Rs 50",IF(F544&lt;100,"2) Rs 50-99",IF(F544&lt;200,"3) Rs 100-199",IF(F544&lt;500,"4) Rs 200-499","5) Rs 500+"))))</f>
        <v>4) Rs 200-499</v>
      </c>
      <c r="O544" s="0" t="n">
        <f aca="false">G544*E544/1000</f>
        <v>0.2</v>
      </c>
    </row>
    <row r="545" customFormat="false" ht="15" hidden="false" customHeight="false" outlineLevel="0" collapsed="false">
      <c r="A545" s="0" t="s">
        <v>96</v>
      </c>
      <c r="B545" s="0" t="s">
        <v>643</v>
      </c>
      <c r="C545" s="0" t="n">
        <v>60</v>
      </c>
      <c r="D545" s="0" t="n">
        <v>6</v>
      </c>
      <c r="E545" s="0" t="n">
        <v>0</v>
      </c>
      <c r="F545" s="0" t="n">
        <v>56</v>
      </c>
      <c r="G545" s="0" t="n">
        <v>1000</v>
      </c>
      <c r="H545" s="0" t="s">
        <v>230</v>
      </c>
      <c r="I545" s="0" t="n">
        <v>1</v>
      </c>
      <c r="J545" s="0" t="n">
        <f aca="false">F545*E545</f>
        <v>0</v>
      </c>
      <c r="K545" s="0" t="str">
        <f aca="false">IF(G545&lt;1000,"1-Low",IF(G545&lt;5000,"2-Medium","3-Bulk"))</f>
        <v>2-Medium</v>
      </c>
      <c r="L545" s="0" t="str">
        <f aca="false">IF(H545="TRUE","Out of stock","In stock")</f>
        <v>Out of stock</v>
      </c>
      <c r="M545" s="0" t="str">
        <f aca="false">IF(D545&lt;5,"1) Under 5%",IF(D545&lt;10,"2) 5-9%",IF(D545&lt;15,"3) 10-14%",IF(D545&lt;25,"4) 15-24%","5) 25%+"))))</f>
        <v>2) 5-9%</v>
      </c>
      <c r="N545" s="0" t="str">
        <f aca="false">IF(F545&lt;50,"1) Under Rs 50",IF(F545&lt;100,"2) Rs 50-99",IF(F545&lt;200,"3) Rs 100-199",IF(F545&lt;500,"4) Rs 200-499","5) Rs 500+"))))</f>
        <v>2) Rs 50-99</v>
      </c>
      <c r="O545" s="0" t="n">
        <f aca="false">G545*E545/1000</f>
        <v>0</v>
      </c>
    </row>
    <row r="546" customFormat="false" ht="15" hidden="false" customHeight="false" outlineLevel="0" collapsed="false">
      <c r="A546" s="0" t="s">
        <v>96</v>
      </c>
      <c r="B546" s="0" t="s">
        <v>250</v>
      </c>
      <c r="C546" s="0" t="n">
        <v>63</v>
      </c>
      <c r="D546" s="0" t="n">
        <v>0</v>
      </c>
      <c r="E546" s="0" t="n">
        <v>0</v>
      </c>
      <c r="F546" s="0" t="n">
        <v>63</v>
      </c>
      <c r="G546" s="0" t="n">
        <v>250</v>
      </c>
      <c r="H546" s="0" t="s">
        <v>230</v>
      </c>
      <c r="I546" s="0" t="n">
        <v>250</v>
      </c>
      <c r="J546" s="0" t="n">
        <f aca="false">F546*E546</f>
        <v>0</v>
      </c>
      <c r="K546" s="0" t="str">
        <f aca="false">IF(G546&lt;1000,"1-Low",IF(G546&lt;5000,"2-Medium","3-Bulk"))</f>
        <v>1-Low</v>
      </c>
      <c r="L546" s="0" t="str">
        <f aca="false">IF(H546="TRUE","Out of stock","In stock")</f>
        <v>Out of stock</v>
      </c>
      <c r="M546" s="0" t="str">
        <f aca="false">IF(D546&lt;5,"1) Under 5%",IF(D546&lt;10,"2) 5-9%",IF(D546&lt;15,"3) 10-14%",IF(D546&lt;25,"4) 15-24%","5) 25%+"))))</f>
        <v>1) Under 5%</v>
      </c>
      <c r="N546" s="0" t="str">
        <f aca="false">IF(F546&lt;50,"1) Under Rs 50",IF(F546&lt;100,"2) Rs 50-99",IF(F546&lt;200,"3) Rs 100-199",IF(F546&lt;500,"4) Rs 200-499","5) Rs 500+"))))</f>
        <v>2) Rs 50-99</v>
      </c>
      <c r="O546" s="0" t="n">
        <f aca="false">G546*E546/1000</f>
        <v>0</v>
      </c>
    </row>
    <row r="547" customFormat="false" ht="15" hidden="false" customHeight="false" outlineLevel="0" collapsed="false">
      <c r="A547" s="0" t="s">
        <v>96</v>
      </c>
      <c r="B547" s="0" t="s">
        <v>644</v>
      </c>
      <c r="C547" s="0" t="n">
        <v>295</v>
      </c>
      <c r="D547" s="0" t="n">
        <v>9</v>
      </c>
      <c r="E547" s="0" t="n">
        <v>0</v>
      </c>
      <c r="F547" s="0" t="n">
        <v>266</v>
      </c>
      <c r="G547" s="0" t="n">
        <v>5000</v>
      </c>
      <c r="H547" s="0" t="s">
        <v>230</v>
      </c>
      <c r="I547" s="0" t="n">
        <v>5</v>
      </c>
      <c r="J547" s="0" t="n">
        <f aca="false">F547*E547</f>
        <v>0</v>
      </c>
      <c r="K547" s="0" t="str">
        <f aca="false">IF(G547&lt;1000,"1-Low",IF(G547&lt;5000,"2-Medium","3-Bulk"))</f>
        <v>3-Bulk</v>
      </c>
      <c r="L547" s="0" t="str">
        <f aca="false">IF(H547="TRUE","Out of stock","In stock")</f>
        <v>Out of stock</v>
      </c>
      <c r="M547" s="0" t="str">
        <f aca="false">IF(D547&lt;5,"1) Under 5%",IF(D547&lt;10,"2) 5-9%",IF(D547&lt;15,"3) 10-14%",IF(D547&lt;25,"4) 15-24%","5) 25%+"))))</f>
        <v>2) 5-9%</v>
      </c>
      <c r="N547" s="0" t="str">
        <f aca="false">IF(F547&lt;50,"1) Under Rs 50",IF(F547&lt;100,"2) Rs 50-99",IF(F547&lt;200,"3) Rs 100-199",IF(F547&lt;500,"4) Rs 200-499","5) Rs 500+"))))</f>
        <v>4) Rs 200-499</v>
      </c>
      <c r="O547" s="0" t="n">
        <f aca="false">G547*E547/1000</f>
        <v>0</v>
      </c>
    </row>
    <row r="548" customFormat="false" ht="15" hidden="false" customHeight="false" outlineLevel="0" collapsed="false">
      <c r="A548" s="0" t="s">
        <v>96</v>
      </c>
      <c r="B548" s="0" t="s">
        <v>645</v>
      </c>
      <c r="C548" s="0" t="n">
        <v>35</v>
      </c>
      <c r="D548" s="0" t="n">
        <v>8</v>
      </c>
      <c r="E548" s="0" t="n">
        <v>0</v>
      </c>
      <c r="F548" s="0" t="n">
        <v>32</v>
      </c>
      <c r="G548" s="0" t="n">
        <v>500</v>
      </c>
      <c r="H548" s="0" t="s">
        <v>230</v>
      </c>
      <c r="I548" s="0" t="n">
        <v>500</v>
      </c>
      <c r="J548" s="0" t="n">
        <f aca="false">F548*E548</f>
        <v>0</v>
      </c>
      <c r="K548" s="0" t="str">
        <f aca="false">IF(G548&lt;1000,"1-Low",IF(G548&lt;5000,"2-Medium","3-Bulk"))</f>
        <v>1-Low</v>
      </c>
      <c r="L548" s="0" t="str">
        <f aca="false">IF(H548="TRUE","Out of stock","In stock")</f>
        <v>Out of stock</v>
      </c>
      <c r="M548" s="0" t="str">
        <f aca="false">IF(D548&lt;5,"1) Under 5%",IF(D548&lt;10,"2) 5-9%",IF(D548&lt;15,"3) 10-14%",IF(D548&lt;25,"4) 15-24%","5) 25%+"))))</f>
        <v>2) 5-9%</v>
      </c>
      <c r="N548" s="0" t="str">
        <f aca="false">IF(F548&lt;50,"1) Under Rs 50",IF(F548&lt;100,"2) Rs 50-99",IF(F548&lt;200,"3) Rs 100-199",IF(F548&lt;500,"4) Rs 200-499","5) Rs 500+"))))</f>
        <v>1) Under Rs 50</v>
      </c>
      <c r="O548" s="0" t="n">
        <f aca="false">G548*E548/1000</f>
        <v>0</v>
      </c>
    </row>
    <row r="549" customFormat="false" ht="15" hidden="false" customHeight="false" outlineLevel="0" collapsed="false">
      <c r="A549" s="0" t="s">
        <v>96</v>
      </c>
      <c r="B549" s="0" t="s">
        <v>646</v>
      </c>
      <c r="C549" s="0" t="n">
        <v>53</v>
      </c>
      <c r="D549" s="0" t="n">
        <v>1</v>
      </c>
      <c r="E549" s="0" t="n">
        <v>0</v>
      </c>
      <c r="F549" s="0" t="n">
        <v>52</v>
      </c>
      <c r="G549" s="0" t="n">
        <v>1000</v>
      </c>
      <c r="H549" s="0" t="s">
        <v>230</v>
      </c>
      <c r="I549" s="0" t="n">
        <v>1</v>
      </c>
      <c r="J549" s="0" t="n">
        <f aca="false">F549*E549</f>
        <v>0</v>
      </c>
      <c r="K549" s="0" t="str">
        <f aca="false">IF(G549&lt;1000,"1-Low",IF(G549&lt;5000,"2-Medium","3-Bulk"))</f>
        <v>2-Medium</v>
      </c>
      <c r="L549" s="0" t="str">
        <f aca="false">IF(H549="TRUE","Out of stock","In stock")</f>
        <v>Out of stock</v>
      </c>
      <c r="M549" s="0" t="str">
        <f aca="false">IF(D549&lt;5,"1) Under 5%",IF(D549&lt;10,"2) 5-9%",IF(D549&lt;15,"3) 10-14%",IF(D549&lt;25,"4) 15-24%","5) 25%+"))))</f>
        <v>1) Under 5%</v>
      </c>
      <c r="N549" s="0" t="str">
        <f aca="false">IF(F549&lt;50,"1) Under Rs 50",IF(F549&lt;100,"2) Rs 50-99",IF(F549&lt;200,"3) Rs 100-199",IF(F549&lt;500,"4) Rs 200-499","5) Rs 500+"))))</f>
        <v>2) Rs 50-99</v>
      </c>
      <c r="O549" s="0" t="n">
        <f aca="false">G549*E549/1000</f>
        <v>0</v>
      </c>
    </row>
    <row r="550" customFormat="false" ht="15" hidden="false" customHeight="false" outlineLevel="0" collapsed="false">
      <c r="A550" s="0" t="s">
        <v>96</v>
      </c>
      <c r="B550" s="0" t="s">
        <v>110</v>
      </c>
      <c r="C550" s="0" t="n">
        <v>210</v>
      </c>
      <c r="D550" s="0" t="n">
        <v>13</v>
      </c>
      <c r="E550" s="0" t="n">
        <v>0</v>
      </c>
      <c r="F550" s="0" t="n">
        <v>181</v>
      </c>
      <c r="G550" s="0" t="n">
        <v>1000</v>
      </c>
      <c r="H550" s="0" t="s">
        <v>230</v>
      </c>
      <c r="I550" s="0" t="n">
        <v>1</v>
      </c>
      <c r="J550" s="0" t="n">
        <f aca="false">F550*E550</f>
        <v>0</v>
      </c>
      <c r="K550" s="0" t="str">
        <f aca="false">IF(G550&lt;1000,"1-Low",IF(G550&lt;5000,"2-Medium","3-Bulk"))</f>
        <v>2-Medium</v>
      </c>
      <c r="L550" s="0" t="str">
        <f aca="false">IF(H550="TRUE","Out of stock","In stock")</f>
        <v>Out of stock</v>
      </c>
      <c r="M550" s="0" t="str">
        <f aca="false">IF(D550&lt;5,"1) Under 5%",IF(D550&lt;10,"2) 5-9%",IF(D550&lt;15,"3) 10-14%",IF(D550&lt;25,"4) 15-24%","5) 25%+"))))</f>
        <v>3) 10-14%</v>
      </c>
      <c r="N550" s="0" t="str">
        <f aca="false">IF(F550&lt;50,"1) Under Rs 50",IF(F550&lt;100,"2) Rs 50-99",IF(F550&lt;200,"3) Rs 100-199",IF(F550&lt;500,"4) Rs 200-499","5) Rs 500+"))))</f>
        <v>3) Rs 100-199</v>
      </c>
      <c r="O550" s="0" t="n">
        <f aca="false">G550*E550/1000</f>
        <v>0</v>
      </c>
    </row>
    <row r="551" customFormat="false" ht="15" hidden="false" customHeight="false" outlineLevel="0" collapsed="false">
      <c r="A551" s="0" t="s">
        <v>96</v>
      </c>
      <c r="B551" s="0" t="s">
        <v>647</v>
      </c>
      <c r="C551" s="0" t="n">
        <v>58</v>
      </c>
      <c r="D551" s="0" t="n">
        <v>6</v>
      </c>
      <c r="E551" s="0" t="n">
        <v>0</v>
      </c>
      <c r="F551" s="0" t="n">
        <v>54</v>
      </c>
      <c r="G551" s="0" t="n">
        <v>72</v>
      </c>
      <c r="H551" s="0" t="s">
        <v>230</v>
      </c>
      <c r="I551" s="0" t="n">
        <v>72</v>
      </c>
      <c r="J551" s="0" t="n">
        <f aca="false">F551*E551</f>
        <v>0</v>
      </c>
      <c r="K551" s="0" t="str">
        <f aca="false">IF(G551&lt;1000,"1-Low",IF(G551&lt;5000,"2-Medium","3-Bulk"))</f>
        <v>1-Low</v>
      </c>
      <c r="L551" s="0" t="str">
        <f aca="false">IF(H551="TRUE","Out of stock","In stock")</f>
        <v>Out of stock</v>
      </c>
      <c r="M551" s="0" t="str">
        <f aca="false">IF(D551&lt;5,"1) Under 5%",IF(D551&lt;10,"2) 5-9%",IF(D551&lt;15,"3) 10-14%",IF(D551&lt;25,"4) 15-24%","5) 25%+"))))</f>
        <v>2) 5-9%</v>
      </c>
      <c r="N551" s="0" t="str">
        <f aca="false">IF(F551&lt;50,"1) Under Rs 50",IF(F551&lt;100,"2) Rs 50-99",IF(F551&lt;200,"3) Rs 100-199",IF(F551&lt;500,"4) Rs 200-499","5) Rs 500+"))))</f>
        <v>2) Rs 50-99</v>
      </c>
      <c r="O551" s="0" t="n">
        <f aca="false">G551*E551/1000</f>
        <v>0</v>
      </c>
    </row>
    <row r="552" customFormat="false" ht="15" hidden="false" customHeight="false" outlineLevel="0" collapsed="false">
      <c r="A552" s="0" t="s">
        <v>96</v>
      </c>
      <c r="B552" s="0" t="s">
        <v>648</v>
      </c>
      <c r="C552" s="0" t="n">
        <v>22</v>
      </c>
      <c r="D552" s="0" t="n">
        <v>13</v>
      </c>
      <c r="E552" s="0" t="n">
        <v>0</v>
      </c>
      <c r="F552" s="0" t="n">
        <v>19</v>
      </c>
      <c r="G552" s="0" t="n">
        <v>1000</v>
      </c>
      <c r="H552" s="0" t="s">
        <v>230</v>
      </c>
      <c r="I552" s="0" t="n">
        <v>1</v>
      </c>
      <c r="J552" s="0" t="n">
        <f aca="false">F552*E552</f>
        <v>0</v>
      </c>
      <c r="K552" s="0" t="str">
        <f aca="false">IF(G552&lt;1000,"1-Low",IF(G552&lt;5000,"2-Medium","3-Bulk"))</f>
        <v>2-Medium</v>
      </c>
      <c r="L552" s="0" t="str">
        <f aca="false">IF(H552="TRUE","Out of stock","In stock")</f>
        <v>Out of stock</v>
      </c>
      <c r="M552" s="0" t="str">
        <f aca="false">IF(D552&lt;5,"1) Under 5%",IF(D552&lt;10,"2) 5-9%",IF(D552&lt;15,"3) 10-14%",IF(D552&lt;25,"4) 15-24%","5) 25%+"))))</f>
        <v>3) 10-14%</v>
      </c>
      <c r="N552" s="0" t="str">
        <f aca="false">IF(F552&lt;50,"1) Under Rs 50",IF(F552&lt;100,"2) Rs 50-99",IF(F552&lt;200,"3) Rs 100-199",IF(F552&lt;500,"4) Rs 200-499","5) Rs 500+"))))</f>
        <v>1) Under Rs 50</v>
      </c>
      <c r="O552" s="0" t="n">
        <f aca="false">G552*E552/1000</f>
        <v>0</v>
      </c>
    </row>
    <row r="553" customFormat="false" ht="15" hidden="false" customHeight="false" outlineLevel="0" collapsed="false">
      <c r="A553" s="0" t="s">
        <v>96</v>
      </c>
      <c r="B553" s="0" t="s">
        <v>649</v>
      </c>
      <c r="C553" s="0" t="n">
        <v>44</v>
      </c>
      <c r="D553" s="0" t="n">
        <v>0</v>
      </c>
      <c r="E553" s="0" t="n">
        <v>0</v>
      </c>
      <c r="F553" s="0" t="n">
        <v>44</v>
      </c>
      <c r="G553" s="0" t="n">
        <v>280</v>
      </c>
      <c r="H553" s="0" t="s">
        <v>230</v>
      </c>
      <c r="I553" s="0" t="n">
        <v>280</v>
      </c>
      <c r="J553" s="0" t="n">
        <f aca="false">F553*E553</f>
        <v>0</v>
      </c>
      <c r="K553" s="0" t="str">
        <f aca="false">IF(G553&lt;1000,"1-Low",IF(G553&lt;5000,"2-Medium","3-Bulk"))</f>
        <v>1-Low</v>
      </c>
      <c r="L553" s="0" t="str">
        <f aca="false">IF(H553="TRUE","Out of stock","In stock")</f>
        <v>Out of stock</v>
      </c>
      <c r="M553" s="0" t="str">
        <f aca="false">IF(D553&lt;5,"1) Under 5%",IF(D553&lt;10,"2) 5-9%",IF(D553&lt;15,"3) 10-14%",IF(D553&lt;25,"4) 15-24%","5) 25%+"))))</f>
        <v>1) Under 5%</v>
      </c>
      <c r="N553" s="0" t="str">
        <f aca="false">IF(F553&lt;50,"1) Under Rs 50",IF(F553&lt;100,"2) Rs 50-99",IF(F553&lt;200,"3) Rs 100-199",IF(F553&lt;500,"4) Rs 200-499","5) Rs 500+"))))</f>
        <v>1) Under Rs 50</v>
      </c>
      <c r="O553" s="0" t="n">
        <f aca="false">G553*E553/1000</f>
        <v>0</v>
      </c>
    </row>
    <row r="554" customFormat="false" ht="15" hidden="false" customHeight="false" outlineLevel="0" collapsed="false">
      <c r="A554" s="0" t="s">
        <v>96</v>
      </c>
      <c r="B554" s="0" t="s">
        <v>650</v>
      </c>
      <c r="C554" s="0" t="n">
        <v>150</v>
      </c>
      <c r="D554" s="0" t="n">
        <v>14</v>
      </c>
      <c r="E554" s="0" t="n">
        <v>0</v>
      </c>
      <c r="F554" s="0" t="n">
        <v>128</v>
      </c>
      <c r="G554" s="0" t="n">
        <v>100</v>
      </c>
      <c r="H554" s="0" t="s">
        <v>230</v>
      </c>
      <c r="I554" s="0" t="n">
        <v>100</v>
      </c>
      <c r="J554" s="0" t="n">
        <f aca="false">F554*E554</f>
        <v>0</v>
      </c>
      <c r="K554" s="0" t="str">
        <f aca="false">IF(G554&lt;1000,"1-Low",IF(G554&lt;5000,"2-Medium","3-Bulk"))</f>
        <v>1-Low</v>
      </c>
      <c r="L554" s="0" t="str">
        <f aca="false">IF(H554="TRUE","Out of stock","In stock")</f>
        <v>Out of stock</v>
      </c>
      <c r="M554" s="0" t="str">
        <f aca="false">IF(D554&lt;5,"1) Under 5%",IF(D554&lt;10,"2) 5-9%",IF(D554&lt;15,"3) 10-14%",IF(D554&lt;25,"4) 15-24%","5) 25%+"))))</f>
        <v>3) 10-14%</v>
      </c>
      <c r="N554" s="0" t="str">
        <f aca="false">IF(F554&lt;50,"1) Under Rs 50",IF(F554&lt;100,"2) Rs 50-99",IF(F554&lt;200,"3) Rs 100-199",IF(F554&lt;500,"4) Rs 200-499","5) Rs 500+"))))</f>
        <v>3) Rs 100-199</v>
      </c>
      <c r="O554" s="0" t="n">
        <f aca="false">G554*E554/1000</f>
        <v>0</v>
      </c>
    </row>
    <row r="555" customFormat="false" ht="15" hidden="false" customHeight="false" outlineLevel="0" collapsed="false">
      <c r="A555" s="0" t="s">
        <v>96</v>
      </c>
      <c r="B555" s="0" t="s">
        <v>651</v>
      </c>
      <c r="C555" s="0" t="n">
        <v>315</v>
      </c>
      <c r="D555" s="0" t="n">
        <v>8</v>
      </c>
      <c r="E555" s="0" t="n">
        <v>0</v>
      </c>
      <c r="F555" s="0" t="n">
        <v>287</v>
      </c>
      <c r="G555" s="0" t="n">
        <v>5000</v>
      </c>
      <c r="H555" s="0" t="s">
        <v>230</v>
      </c>
      <c r="I555" s="0" t="n">
        <v>5</v>
      </c>
      <c r="J555" s="0" t="n">
        <f aca="false">F555*E555</f>
        <v>0</v>
      </c>
      <c r="K555" s="0" t="str">
        <f aca="false">IF(G555&lt;1000,"1-Low",IF(G555&lt;5000,"2-Medium","3-Bulk"))</f>
        <v>3-Bulk</v>
      </c>
      <c r="L555" s="0" t="str">
        <f aca="false">IF(H555="TRUE","Out of stock","In stock")</f>
        <v>Out of stock</v>
      </c>
      <c r="M555" s="0" t="str">
        <f aca="false">IF(D555&lt;5,"1) Under 5%",IF(D555&lt;10,"2) 5-9%",IF(D555&lt;15,"3) 10-14%",IF(D555&lt;25,"4) 15-24%","5) 25%+"))))</f>
        <v>2) 5-9%</v>
      </c>
      <c r="N555" s="0" t="str">
        <f aca="false">IF(F555&lt;50,"1) Under Rs 50",IF(F555&lt;100,"2) Rs 50-99",IF(F555&lt;200,"3) Rs 100-199",IF(F555&lt;500,"4) Rs 200-499","5) Rs 500+"))))</f>
        <v>4) Rs 200-499</v>
      </c>
      <c r="O555" s="0" t="n">
        <f aca="false">G555*E555/1000</f>
        <v>0</v>
      </c>
    </row>
    <row r="556" customFormat="false" ht="15" hidden="false" customHeight="false" outlineLevel="0" collapsed="false">
      <c r="A556" s="0" t="s">
        <v>96</v>
      </c>
      <c r="B556" s="0" t="s">
        <v>652</v>
      </c>
      <c r="C556" s="0" t="n">
        <v>44</v>
      </c>
      <c r="D556" s="0" t="n">
        <v>6</v>
      </c>
      <c r="E556" s="0" t="n">
        <v>0</v>
      </c>
      <c r="F556" s="0" t="n">
        <v>41</v>
      </c>
      <c r="G556" s="0" t="n">
        <v>500</v>
      </c>
      <c r="H556" s="0" t="s">
        <v>230</v>
      </c>
      <c r="I556" s="0" t="n">
        <v>500</v>
      </c>
      <c r="J556" s="0" t="n">
        <f aca="false">F556*E556</f>
        <v>0</v>
      </c>
      <c r="K556" s="0" t="str">
        <f aca="false">IF(G556&lt;1000,"1-Low",IF(G556&lt;5000,"2-Medium","3-Bulk"))</f>
        <v>1-Low</v>
      </c>
      <c r="L556" s="0" t="str">
        <f aca="false">IF(H556="TRUE","Out of stock","In stock")</f>
        <v>Out of stock</v>
      </c>
      <c r="M556" s="0" t="str">
        <f aca="false">IF(D556&lt;5,"1) Under 5%",IF(D556&lt;10,"2) 5-9%",IF(D556&lt;15,"3) 10-14%",IF(D556&lt;25,"4) 15-24%","5) 25%+"))))</f>
        <v>2) 5-9%</v>
      </c>
      <c r="N556" s="0" t="str">
        <f aca="false">IF(F556&lt;50,"1) Under Rs 50",IF(F556&lt;100,"2) Rs 50-99",IF(F556&lt;200,"3) Rs 100-199",IF(F556&lt;500,"4) Rs 200-499","5) Rs 500+"))))</f>
        <v>1) Under Rs 50</v>
      </c>
      <c r="O556" s="0" t="n">
        <f aca="false">G556*E556/1000</f>
        <v>0</v>
      </c>
    </row>
    <row r="557" customFormat="false" ht="15" hidden="false" customHeight="false" outlineLevel="0" collapsed="false">
      <c r="A557" s="0" t="s">
        <v>96</v>
      </c>
      <c r="B557" s="0" t="s">
        <v>653</v>
      </c>
      <c r="C557" s="0" t="n">
        <v>120</v>
      </c>
      <c r="D557" s="0" t="n">
        <v>0</v>
      </c>
      <c r="E557" s="0" t="n">
        <v>0</v>
      </c>
      <c r="F557" s="0" t="n">
        <v>120</v>
      </c>
      <c r="G557" s="0" t="n">
        <v>1000</v>
      </c>
      <c r="H557" s="0" t="s">
        <v>230</v>
      </c>
      <c r="I557" s="0" t="n">
        <v>1</v>
      </c>
      <c r="J557" s="0" t="n">
        <f aca="false">F557*E557</f>
        <v>0</v>
      </c>
      <c r="K557" s="0" t="str">
        <f aca="false">IF(G557&lt;1000,"1-Low",IF(G557&lt;5000,"2-Medium","3-Bulk"))</f>
        <v>2-Medium</v>
      </c>
      <c r="L557" s="0" t="str">
        <f aca="false">IF(H557="TRUE","Out of stock","In stock")</f>
        <v>Out of stock</v>
      </c>
      <c r="M557" s="0" t="str">
        <f aca="false">IF(D557&lt;5,"1) Under 5%",IF(D557&lt;10,"2) 5-9%",IF(D557&lt;15,"3) 10-14%",IF(D557&lt;25,"4) 15-24%","5) 25%+"))))</f>
        <v>1) Under 5%</v>
      </c>
      <c r="N557" s="0" t="str">
        <f aca="false">IF(F557&lt;50,"1) Under Rs 50",IF(F557&lt;100,"2) Rs 50-99",IF(F557&lt;200,"3) Rs 100-199",IF(F557&lt;500,"4) Rs 200-499","5) Rs 500+"))))</f>
        <v>3) Rs 100-199</v>
      </c>
      <c r="O557" s="0" t="n">
        <f aca="false">G557*E557/1000</f>
        <v>0</v>
      </c>
    </row>
    <row r="558" customFormat="false" ht="15" hidden="false" customHeight="false" outlineLevel="0" collapsed="false">
      <c r="A558" s="0" t="s">
        <v>96</v>
      </c>
      <c r="B558" s="0" t="s">
        <v>248</v>
      </c>
      <c r="C558" s="0" t="n">
        <v>80</v>
      </c>
      <c r="D558" s="0" t="n">
        <v>7</v>
      </c>
      <c r="E558" s="0" t="n">
        <v>0</v>
      </c>
      <c r="F558" s="0" t="n">
        <v>74</v>
      </c>
      <c r="G558" s="0" t="n">
        <v>500</v>
      </c>
      <c r="H558" s="0" t="s">
        <v>230</v>
      </c>
      <c r="I558" s="0" t="n">
        <v>500</v>
      </c>
      <c r="J558" s="0" t="n">
        <f aca="false">F558*E558</f>
        <v>0</v>
      </c>
      <c r="K558" s="0" t="str">
        <f aca="false">IF(G558&lt;1000,"1-Low",IF(G558&lt;5000,"2-Medium","3-Bulk"))</f>
        <v>1-Low</v>
      </c>
      <c r="L558" s="0" t="str">
        <f aca="false">IF(H558="TRUE","Out of stock","In stock")</f>
        <v>Out of stock</v>
      </c>
      <c r="M558" s="0" t="str">
        <f aca="false">IF(D558&lt;5,"1) Under 5%",IF(D558&lt;10,"2) 5-9%",IF(D558&lt;15,"3) 10-14%",IF(D558&lt;25,"4) 15-24%","5) 25%+"))))</f>
        <v>2) 5-9%</v>
      </c>
      <c r="N558" s="0" t="str">
        <f aca="false">IF(F558&lt;50,"1) Under Rs 50",IF(F558&lt;100,"2) Rs 50-99",IF(F558&lt;200,"3) Rs 100-199",IF(F558&lt;500,"4) Rs 200-499","5) Rs 500+"))))</f>
        <v>2) Rs 50-99</v>
      </c>
      <c r="O558" s="0" t="n">
        <f aca="false">G558*E558/1000</f>
        <v>0</v>
      </c>
    </row>
    <row r="559" customFormat="false" ht="15" hidden="false" customHeight="false" outlineLevel="0" collapsed="false">
      <c r="A559" s="0" t="s">
        <v>96</v>
      </c>
      <c r="B559" s="0" t="s">
        <v>654</v>
      </c>
      <c r="C559" s="0" t="n">
        <v>47</v>
      </c>
      <c r="D559" s="0" t="n">
        <v>2</v>
      </c>
      <c r="E559" s="0" t="n">
        <v>0</v>
      </c>
      <c r="F559" s="0" t="n">
        <v>46</v>
      </c>
      <c r="G559" s="0" t="n">
        <v>100</v>
      </c>
      <c r="H559" s="0" t="s">
        <v>230</v>
      </c>
      <c r="I559" s="0" t="n">
        <v>100</v>
      </c>
      <c r="J559" s="0" t="n">
        <f aca="false">F559*E559</f>
        <v>0</v>
      </c>
      <c r="K559" s="0" t="str">
        <f aca="false">IF(G559&lt;1000,"1-Low",IF(G559&lt;5000,"2-Medium","3-Bulk"))</f>
        <v>1-Low</v>
      </c>
      <c r="L559" s="0" t="str">
        <f aca="false">IF(H559="TRUE","Out of stock","In stock")</f>
        <v>Out of stock</v>
      </c>
      <c r="M559" s="0" t="str">
        <f aca="false">IF(D559&lt;5,"1) Under 5%",IF(D559&lt;10,"2) 5-9%",IF(D559&lt;15,"3) 10-14%",IF(D559&lt;25,"4) 15-24%","5) 25%+"))))</f>
        <v>1) Under 5%</v>
      </c>
      <c r="N559" s="0" t="str">
        <f aca="false">IF(F559&lt;50,"1) Under Rs 50",IF(F559&lt;100,"2) Rs 50-99",IF(F559&lt;200,"3) Rs 100-199",IF(F559&lt;500,"4) Rs 200-499","5) Rs 500+"))))</f>
        <v>1) Under Rs 50</v>
      </c>
      <c r="O559" s="0" t="n">
        <f aca="false">G559*E559/1000</f>
        <v>0</v>
      </c>
    </row>
    <row r="560" customFormat="false" ht="15" hidden="false" customHeight="false" outlineLevel="0" collapsed="false">
      <c r="A560" s="0" t="s">
        <v>96</v>
      </c>
      <c r="B560" s="0" t="s">
        <v>655</v>
      </c>
      <c r="C560" s="0" t="n">
        <v>50</v>
      </c>
      <c r="D560" s="0" t="n">
        <v>2</v>
      </c>
      <c r="E560" s="0" t="n">
        <v>0</v>
      </c>
      <c r="F560" s="0" t="n">
        <v>49</v>
      </c>
      <c r="G560" s="0" t="n">
        <v>100</v>
      </c>
      <c r="H560" s="0" t="s">
        <v>230</v>
      </c>
      <c r="I560" s="0" t="n">
        <v>100</v>
      </c>
      <c r="J560" s="0" t="n">
        <f aca="false">F560*E560</f>
        <v>0</v>
      </c>
      <c r="K560" s="0" t="str">
        <f aca="false">IF(G560&lt;1000,"1-Low",IF(G560&lt;5000,"2-Medium","3-Bulk"))</f>
        <v>1-Low</v>
      </c>
      <c r="L560" s="0" t="str">
        <f aca="false">IF(H560="TRUE","Out of stock","In stock")</f>
        <v>Out of stock</v>
      </c>
      <c r="M560" s="0" t="str">
        <f aca="false">IF(D560&lt;5,"1) Under 5%",IF(D560&lt;10,"2) 5-9%",IF(D560&lt;15,"3) 10-14%",IF(D560&lt;25,"4) 15-24%","5) 25%+"))))</f>
        <v>1) Under 5%</v>
      </c>
      <c r="N560" s="0" t="str">
        <f aca="false">IF(F560&lt;50,"1) Under Rs 50",IF(F560&lt;100,"2) Rs 50-99",IF(F560&lt;200,"3) Rs 100-199",IF(F560&lt;500,"4) Rs 200-499","5) Rs 500+"))))</f>
        <v>1) Under Rs 50</v>
      </c>
      <c r="O560" s="0" t="n">
        <f aca="false">G560*E560/1000</f>
        <v>0</v>
      </c>
    </row>
    <row r="561" customFormat="false" ht="15" hidden="false" customHeight="false" outlineLevel="0" collapsed="false">
      <c r="A561" s="0" t="s">
        <v>96</v>
      </c>
      <c r="B561" s="0" t="s">
        <v>656</v>
      </c>
      <c r="C561" s="0" t="n">
        <v>179</v>
      </c>
      <c r="D561" s="0" t="n">
        <v>1</v>
      </c>
      <c r="E561" s="0" t="n">
        <v>0</v>
      </c>
      <c r="F561" s="0" t="n">
        <v>177</v>
      </c>
      <c r="G561" s="0" t="n">
        <v>1000</v>
      </c>
      <c r="H561" s="0" t="s">
        <v>230</v>
      </c>
      <c r="I561" s="0" t="n">
        <v>200</v>
      </c>
      <c r="J561" s="0" t="n">
        <f aca="false">F561*E561</f>
        <v>0</v>
      </c>
      <c r="K561" s="0" t="str">
        <f aca="false">IF(G561&lt;1000,"1-Low",IF(G561&lt;5000,"2-Medium","3-Bulk"))</f>
        <v>2-Medium</v>
      </c>
      <c r="L561" s="0" t="str">
        <f aca="false">IF(H561="TRUE","Out of stock","In stock")</f>
        <v>Out of stock</v>
      </c>
      <c r="M561" s="0" t="str">
        <f aca="false">IF(D561&lt;5,"1) Under 5%",IF(D561&lt;10,"2) 5-9%",IF(D561&lt;15,"3) 10-14%",IF(D561&lt;25,"4) 15-24%","5) 25%+"))))</f>
        <v>1) Under 5%</v>
      </c>
      <c r="N561" s="0" t="str">
        <f aca="false">IF(F561&lt;50,"1) Under Rs 50",IF(F561&lt;100,"2) Rs 50-99",IF(F561&lt;200,"3) Rs 100-199",IF(F561&lt;500,"4) Rs 200-499","5) Rs 500+"))))</f>
        <v>3) Rs 100-199</v>
      </c>
      <c r="O561" s="0" t="n">
        <f aca="false">G561*E561/1000</f>
        <v>0</v>
      </c>
    </row>
    <row r="562" customFormat="false" ht="15" hidden="false" customHeight="false" outlineLevel="0" collapsed="false">
      <c r="A562" s="0" t="s">
        <v>96</v>
      </c>
      <c r="B562" s="0" t="s">
        <v>657</v>
      </c>
      <c r="C562" s="0" t="n">
        <v>32</v>
      </c>
      <c r="D562" s="0" t="n">
        <v>3</v>
      </c>
      <c r="E562" s="0" t="n">
        <v>0</v>
      </c>
      <c r="F562" s="0" t="n">
        <v>31</v>
      </c>
      <c r="G562" s="0" t="n">
        <v>100</v>
      </c>
      <c r="H562" s="0" t="s">
        <v>230</v>
      </c>
      <c r="I562" s="0" t="n">
        <v>100</v>
      </c>
      <c r="J562" s="0" t="n">
        <f aca="false">F562*E562</f>
        <v>0</v>
      </c>
      <c r="K562" s="0" t="str">
        <f aca="false">IF(G562&lt;1000,"1-Low",IF(G562&lt;5000,"2-Medium","3-Bulk"))</f>
        <v>1-Low</v>
      </c>
      <c r="L562" s="0" t="str">
        <f aca="false">IF(H562="TRUE","Out of stock","In stock")</f>
        <v>Out of stock</v>
      </c>
      <c r="M562" s="0" t="str">
        <f aca="false">IF(D562&lt;5,"1) Under 5%",IF(D562&lt;10,"2) 5-9%",IF(D562&lt;15,"3) 10-14%",IF(D562&lt;25,"4) 15-24%","5) 25%+"))))</f>
        <v>1) Under 5%</v>
      </c>
      <c r="N562" s="0" t="str">
        <f aca="false">IF(F562&lt;50,"1) Under Rs 50",IF(F562&lt;100,"2) Rs 50-99",IF(F562&lt;200,"3) Rs 100-199",IF(F562&lt;500,"4) Rs 200-499","5) Rs 500+"))))</f>
        <v>1) Under Rs 50</v>
      </c>
      <c r="O562" s="0" t="n">
        <f aca="false">G562*E562/1000</f>
        <v>0</v>
      </c>
    </row>
    <row r="563" customFormat="false" ht="15" hidden="false" customHeight="false" outlineLevel="0" collapsed="false">
      <c r="A563" s="0" t="s">
        <v>96</v>
      </c>
      <c r="B563" s="0" t="s">
        <v>658</v>
      </c>
      <c r="C563" s="0" t="n">
        <v>38</v>
      </c>
      <c r="D563" s="0" t="n">
        <v>7</v>
      </c>
      <c r="E563" s="0" t="n">
        <v>0</v>
      </c>
      <c r="F563" s="0" t="n">
        <v>35</v>
      </c>
      <c r="G563" s="0" t="n">
        <v>500</v>
      </c>
      <c r="H563" s="0" t="s">
        <v>230</v>
      </c>
      <c r="I563" s="0" t="n">
        <v>500</v>
      </c>
      <c r="J563" s="0" t="n">
        <f aca="false">F563*E563</f>
        <v>0</v>
      </c>
      <c r="K563" s="0" t="str">
        <f aca="false">IF(G563&lt;1000,"1-Low",IF(G563&lt;5000,"2-Medium","3-Bulk"))</f>
        <v>1-Low</v>
      </c>
      <c r="L563" s="0" t="str">
        <f aca="false">IF(H563="TRUE","Out of stock","In stock")</f>
        <v>Out of stock</v>
      </c>
      <c r="M563" s="0" t="str">
        <f aca="false">IF(D563&lt;5,"1) Under 5%",IF(D563&lt;10,"2) 5-9%",IF(D563&lt;15,"3) 10-14%",IF(D563&lt;25,"4) 15-24%","5) 25%+"))))</f>
        <v>2) 5-9%</v>
      </c>
      <c r="N563" s="0" t="str">
        <f aca="false">IF(F563&lt;50,"1) Under Rs 50",IF(F563&lt;100,"2) Rs 50-99",IF(F563&lt;200,"3) Rs 100-199",IF(F563&lt;500,"4) Rs 200-499","5) Rs 500+"))))</f>
        <v>1) Under Rs 50</v>
      </c>
      <c r="O563" s="0" t="n">
        <f aca="false">G563*E563/1000</f>
        <v>0</v>
      </c>
    </row>
    <row r="564" customFormat="false" ht="15" hidden="false" customHeight="false" outlineLevel="0" collapsed="false">
      <c r="A564" s="0" t="s">
        <v>96</v>
      </c>
      <c r="B564" s="0" t="s">
        <v>659</v>
      </c>
      <c r="C564" s="0" t="n">
        <v>75</v>
      </c>
      <c r="D564" s="0" t="n">
        <v>0</v>
      </c>
      <c r="E564" s="0" t="n">
        <v>0</v>
      </c>
      <c r="F564" s="0" t="n">
        <v>75</v>
      </c>
      <c r="G564" s="0" t="n">
        <v>1000</v>
      </c>
      <c r="H564" s="0" t="s">
        <v>230</v>
      </c>
      <c r="I564" s="0" t="n">
        <v>1</v>
      </c>
      <c r="J564" s="0" t="n">
        <f aca="false">F564*E564</f>
        <v>0</v>
      </c>
      <c r="K564" s="0" t="str">
        <f aca="false">IF(G564&lt;1000,"1-Low",IF(G564&lt;5000,"2-Medium","3-Bulk"))</f>
        <v>2-Medium</v>
      </c>
      <c r="L564" s="0" t="str">
        <f aca="false">IF(H564="TRUE","Out of stock","In stock")</f>
        <v>Out of stock</v>
      </c>
      <c r="M564" s="0" t="str">
        <f aca="false">IF(D564&lt;5,"1) Under 5%",IF(D564&lt;10,"2) 5-9%",IF(D564&lt;15,"3) 10-14%",IF(D564&lt;25,"4) 15-24%","5) 25%+"))))</f>
        <v>1) Under 5%</v>
      </c>
      <c r="N564" s="0" t="str">
        <f aca="false">IF(F564&lt;50,"1) Under Rs 50",IF(F564&lt;100,"2) Rs 50-99",IF(F564&lt;200,"3) Rs 100-199",IF(F564&lt;500,"4) Rs 200-499","5) Rs 500+"))))</f>
        <v>2) Rs 50-99</v>
      </c>
      <c r="O564" s="0" t="n">
        <f aca="false">G564*E564/1000</f>
        <v>0</v>
      </c>
    </row>
    <row r="565" customFormat="false" ht="15" hidden="false" customHeight="false" outlineLevel="0" collapsed="false">
      <c r="A565" s="0" t="s">
        <v>96</v>
      </c>
      <c r="B565" s="0" t="s">
        <v>660</v>
      </c>
      <c r="C565" s="0" t="n">
        <v>64</v>
      </c>
      <c r="D565" s="0" t="n">
        <v>0</v>
      </c>
      <c r="E565" s="0" t="n">
        <v>0</v>
      </c>
      <c r="F565" s="0" t="n">
        <v>64</v>
      </c>
      <c r="G565" s="0" t="n">
        <v>500</v>
      </c>
      <c r="H565" s="0" t="s">
        <v>230</v>
      </c>
      <c r="I565" s="0" t="n">
        <v>500</v>
      </c>
      <c r="J565" s="0" t="n">
        <f aca="false">F565*E565</f>
        <v>0</v>
      </c>
      <c r="K565" s="0" t="str">
        <f aca="false">IF(G565&lt;1000,"1-Low",IF(G565&lt;5000,"2-Medium","3-Bulk"))</f>
        <v>1-Low</v>
      </c>
      <c r="L565" s="0" t="str">
        <f aca="false">IF(H565="TRUE","Out of stock","In stock")</f>
        <v>Out of stock</v>
      </c>
      <c r="M565" s="0" t="str">
        <f aca="false">IF(D565&lt;5,"1) Under 5%",IF(D565&lt;10,"2) 5-9%",IF(D565&lt;15,"3) 10-14%",IF(D565&lt;25,"4) 15-24%","5) 25%+"))))</f>
        <v>1) Under 5%</v>
      </c>
      <c r="N565" s="0" t="str">
        <f aca="false">IF(F565&lt;50,"1) Under Rs 50",IF(F565&lt;100,"2) Rs 50-99",IF(F565&lt;200,"3) Rs 100-199",IF(F565&lt;500,"4) Rs 200-499","5) Rs 500+"))))</f>
        <v>2) Rs 50-99</v>
      </c>
      <c r="O565" s="0" t="n">
        <f aca="false">G565*E565/1000</f>
        <v>0</v>
      </c>
    </row>
    <row r="566" customFormat="false" ht="15" hidden="false" customHeight="false" outlineLevel="0" collapsed="false">
      <c r="A566" s="0" t="s">
        <v>96</v>
      </c>
      <c r="B566" s="0" t="s">
        <v>661</v>
      </c>
      <c r="C566" s="0" t="n">
        <v>119</v>
      </c>
      <c r="D566" s="0" t="n">
        <v>6</v>
      </c>
      <c r="E566" s="0" t="n">
        <v>0</v>
      </c>
      <c r="F566" s="0" t="n">
        <v>111</v>
      </c>
      <c r="G566" s="0" t="n">
        <v>500</v>
      </c>
      <c r="H566" s="0" t="s">
        <v>230</v>
      </c>
      <c r="I566" s="0" t="n">
        <v>500</v>
      </c>
      <c r="J566" s="0" t="n">
        <f aca="false">F566*E566</f>
        <v>0</v>
      </c>
      <c r="K566" s="0" t="str">
        <f aca="false">IF(G566&lt;1000,"1-Low",IF(G566&lt;5000,"2-Medium","3-Bulk"))</f>
        <v>1-Low</v>
      </c>
      <c r="L566" s="0" t="str">
        <f aca="false">IF(H566="TRUE","Out of stock","In stock")</f>
        <v>Out of stock</v>
      </c>
      <c r="M566" s="0" t="str">
        <f aca="false">IF(D566&lt;5,"1) Under 5%",IF(D566&lt;10,"2) 5-9%",IF(D566&lt;15,"3) 10-14%",IF(D566&lt;25,"4) 15-24%","5) 25%+"))))</f>
        <v>2) 5-9%</v>
      </c>
      <c r="N566" s="0" t="str">
        <f aca="false">IF(F566&lt;50,"1) Under Rs 50",IF(F566&lt;100,"2) Rs 50-99",IF(F566&lt;200,"3) Rs 100-199",IF(F566&lt;500,"4) Rs 200-499","5) Rs 500+"))))</f>
        <v>3) Rs 100-199</v>
      </c>
      <c r="O566" s="0" t="n">
        <f aca="false">G566*E566/1000</f>
        <v>0</v>
      </c>
    </row>
    <row r="567" customFormat="false" ht="15" hidden="false" customHeight="false" outlineLevel="0" collapsed="false">
      <c r="A567" s="0" t="s">
        <v>96</v>
      </c>
      <c r="B567" s="0" t="s">
        <v>662</v>
      </c>
      <c r="C567" s="0" t="n">
        <v>88</v>
      </c>
      <c r="D567" s="0" t="n">
        <v>6</v>
      </c>
      <c r="E567" s="0" t="n">
        <v>0</v>
      </c>
      <c r="F567" s="0" t="n">
        <v>82</v>
      </c>
      <c r="G567" s="0" t="n">
        <v>500</v>
      </c>
      <c r="H567" s="0" t="s">
        <v>230</v>
      </c>
      <c r="I567" s="0" t="n">
        <v>500</v>
      </c>
      <c r="J567" s="0" t="n">
        <f aca="false">F567*E567</f>
        <v>0</v>
      </c>
      <c r="K567" s="0" t="str">
        <f aca="false">IF(G567&lt;1000,"1-Low",IF(G567&lt;5000,"2-Medium","3-Bulk"))</f>
        <v>1-Low</v>
      </c>
      <c r="L567" s="0" t="str">
        <f aca="false">IF(H567="TRUE","Out of stock","In stock")</f>
        <v>Out of stock</v>
      </c>
      <c r="M567" s="0" t="str">
        <f aca="false">IF(D567&lt;5,"1) Under 5%",IF(D567&lt;10,"2) 5-9%",IF(D567&lt;15,"3) 10-14%",IF(D567&lt;25,"4) 15-24%","5) 25%+"))))</f>
        <v>2) 5-9%</v>
      </c>
      <c r="N567" s="0" t="str">
        <f aca="false">IF(F567&lt;50,"1) Under Rs 50",IF(F567&lt;100,"2) Rs 50-99",IF(F567&lt;200,"3) Rs 100-199",IF(F567&lt;500,"4) Rs 200-499","5) Rs 500+"))))</f>
        <v>2) Rs 50-99</v>
      </c>
      <c r="O567" s="0" t="n">
        <f aca="false">G567*E567/1000</f>
        <v>0</v>
      </c>
    </row>
    <row r="568" customFormat="false" ht="15" hidden="false" customHeight="false" outlineLevel="0" collapsed="false">
      <c r="A568" s="0" t="s">
        <v>96</v>
      </c>
      <c r="B568" s="0" t="s">
        <v>663</v>
      </c>
      <c r="C568" s="0" t="n">
        <v>91</v>
      </c>
      <c r="D568" s="0" t="n">
        <v>2</v>
      </c>
      <c r="E568" s="0" t="n">
        <v>0</v>
      </c>
      <c r="F568" s="0" t="n">
        <v>89</v>
      </c>
      <c r="G568" s="0" t="n">
        <v>500</v>
      </c>
      <c r="H568" s="0" t="s">
        <v>230</v>
      </c>
      <c r="I568" s="0" t="n">
        <v>500</v>
      </c>
      <c r="J568" s="0" t="n">
        <f aca="false">F568*E568</f>
        <v>0</v>
      </c>
      <c r="K568" s="0" t="str">
        <f aca="false">IF(G568&lt;1000,"1-Low",IF(G568&lt;5000,"2-Medium","3-Bulk"))</f>
        <v>1-Low</v>
      </c>
      <c r="L568" s="0" t="str">
        <f aca="false">IF(H568="TRUE","Out of stock","In stock")</f>
        <v>Out of stock</v>
      </c>
      <c r="M568" s="0" t="str">
        <f aca="false">IF(D568&lt;5,"1) Under 5%",IF(D568&lt;10,"2) 5-9%",IF(D568&lt;15,"3) 10-14%",IF(D568&lt;25,"4) 15-24%","5) 25%+"))))</f>
        <v>1) Under 5%</v>
      </c>
      <c r="N568" s="0" t="str">
        <f aca="false">IF(F568&lt;50,"1) Under Rs 50",IF(F568&lt;100,"2) Rs 50-99",IF(F568&lt;200,"3) Rs 100-199",IF(F568&lt;500,"4) Rs 200-499","5) Rs 500+"))))</f>
        <v>2) Rs 50-99</v>
      </c>
      <c r="O568" s="0" t="n">
        <f aca="false">G568*E568/1000</f>
        <v>0</v>
      </c>
    </row>
    <row r="569" customFormat="false" ht="15" hidden="false" customHeight="false" outlineLevel="0" collapsed="false">
      <c r="A569" s="0" t="s">
        <v>96</v>
      </c>
      <c r="B569" s="0" t="s">
        <v>664</v>
      </c>
      <c r="C569" s="0" t="n">
        <v>10</v>
      </c>
      <c r="D569" s="0" t="n">
        <v>0</v>
      </c>
      <c r="E569" s="0" t="n">
        <v>0</v>
      </c>
      <c r="F569" s="0" t="n">
        <v>10</v>
      </c>
      <c r="G569" s="0" t="n">
        <v>20</v>
      </c>
      <c r="H569" s="0" t="s">
        <v>230</v>
      </c>
      <c r="I569" s="0" t="n">
        <v>20</v>
      </c>
      <c r="J569" s="0" t="n">
        <f aca="false">F569*E569</f>
        <v>0</v>
      </c>
      <c r="K569" s="0" t="str">
        <f aca="false">IF(G569&lt;1000,"1-Low",IF(G569&lt;5000,"2-Medium","3-Bulk"))</f>
        <v>1-Low</v>
      </c>
      <c r="L569" s="0" t="str">
        <f aca="false">IF(H569="TRUE","Out of stock","In stock")</f>
        <v>Out of stock</v>
      </c>
      <c r="M569" s="0" t="str">
        <f aca="false">IF(D569&lt;5,"1) Under 5%",IF(D569&lt;10,"2) 5-9%",IF(D569&lt;15,"3) 10-14%",IF(D569&lt;25,"4) 15-24%","5) 25%+"))))</f>
        <v>1) Under 5%</v>
      </c>
      <c r="N569" s="0" t="str">
        <f aca="false">IF(F569&lt;50,"1) Under Rs 50",IF(F569&lt;100,"2) Rs 50-99",IF(F569&lt;200,"3) Rs 100-199",IF(F569&lt;500,"4) Rs 200-499","5) Rs 500+"))))</f>
        <v>1) Under Rs 50</v>
      </c>
      <c r="O569" s="0" t="n">
        <f aca="false">G569*E569/1000</f>
        <v>0</v>
      </c>
    </row>
    <row r="570" customFormat="false" ht="15" hidden="false" customHeight="false" outlineLevel="0" collapsed="false">
      <c r="A570" s="0" t="s">
        <v>96</v>
      </c>
      <c r="B570" s="0" t="s">
        <v>665</v>
      </c>
      <c r="C570" s="0" t="n">
        <v>65</v>
      </c>
      <c r="D570" s="0" t="n">
        <v>9</v>
      </c>
      <c r="E570" s="0" t="n">
        <v>0</v>
      </c>
      <c r="F570" s="0" t="n">
        <v>59</v>
      </c>
      <c r="G570" s="0" t="n">
        <v>100</v>
      </c>
      <c r="H570" s="0" t="s">
        <v>230</v>
      </c>
      <c r="I570" s="0" t="n">
        <v>100</v>
      </c>
      <c r="J570" s="0" t="n">
        <f aca="false">F570*E570</f>
        <v>0</v>
      </c>
      <c r="K570" s="0" t="str">
        <f aca="false">IF(G570&lt;1000,"1-Low",IF(G570&lt;5000,"2-Medium","3-Bulk"))</f>
        <v>1-Low</v>
      </c>
      <c r="L570" s="0" t="str">
        <f aca="false">IF(H570="TRUE","Out of stock","In stock")</f>
        <v>Out of stock</v>
      </c>
      <c r="M570" s="0" t="str">
        <f aca="false">IF(D570&lt;5,"1) Under 5%",IF(D570&lt;10,"2) 5-9%",IF(D570&lt;15,"3) 10-14%",IF(D570&lt;25,"4) 15-24%","5) 25%+"))))</f>
        <v>2) 5-9%</v>
      </c>
      <c r="N570" s="0" t="str">
        <f aca="false">IF(F570&lt;50,"1) Under Rs 50",IF(F570&lt;100,"2) Rs 50-99",IF(F570&lt;200,"3) Rs 100-199",IF(F570&lt;500,"4) Rs 200-499","5) Rs 500+"))))</f>
        <v>2) Rs 50-99</v>
      </c>
      <c r="O570" s="0" t="n">
        <f aca="false">G570*E570/1000</f>
        <v>0</v>
      </c>
    </row>
    <row r="571" customFormat="false" ht="15" hidden="false" customHeight="false" outlineLevel="0" collapsed="false">
      <c r="A571" s="0" t="s">
        <v>96</v>
      </c>
      <c r="B571" s="0" t="s">
        <v>666</v>
      </c>
      <c r="C571" s="0" t="n">
        <v>55</v>
      </c>
      <c r="D571" s="0" t="n">
        <v>9</v>
      </c>
      <c r="E571" s="0" t="n">
        <v>0</v>
      </c>
      <c r="F571" s="0" t="n">
        <v>50</v>
      </c>
      <c r="G571" s="0" t="n">
        <v>500</v>
      </c>
      <c r="H571" s="0" t="s">
        <v>230</v>
      </c>
      <c r="I571" s="0" t="n">
        <v>500</v>
      </c>
      <c r="J571" s="0" t="n">
        <f aca="false">F571*E571</f>
        <v>0</v>
      </c>
      <c r="K571" s="0" t="str">
        <f aca="false">IF(G571&lt;1000,"1-Low",IF(G571&lt;5000,"2-Medium","3-Bulk"))</f>
        <v>1-Low</v>
      </c>
      <c r="L571" s="0" t="str">
        <f aca="false">IF(H571="TRUE","Out of stock","In stock")</f>
        <v>Out of stock</v>
      </c>
      <c r="M571" s="0" t="str">
        <f aca="false">IF(D571&lt;5,"1) Under 5%",IF(D571&lt;10,"2) 5-9%",IF(D571&lt;15,"3) 10-14%",IF(D571&lt;25,"4) 15-24%","5) 25%+"))))</f>
        <v>2) 5-9%</v>
      </c>
      <c r="N571" s="0" t="str">
        <f aca="false">IF(F571&lt;50,"1) Under Rs 50",IF(F571&lt;100,"2) Rs 50-99",IF(F571&lt;200,"3) Rs 100-199",IF(F571&lt;500,"4) Rs 200-499","5) Rs 500+"))))</f>
        <v>2) Rs 50-99</v>
      </c>
      <c r="O571" s="0" t="n">
        <f aca="false">G571*E571/1000</f>
        <v>0</v>
      </c>
    </row>
    <row r="572" customFormat="false" ht="15" hidden="false" customHeight="false" outlineLevel="0" collapsed="false">
      <c r="A572" s="0" t="s">
        <v>96</v>
      </c>
      <c r="B572" s="0" t="s">
        <v>260</v>
      </c>
      <c r="C572" s="0" t="n">
        <v>50</v>
      </c>
      <c r="D572" s="0" t="n">
        <v>6</v>
      </c>
      <c r="E572" s="0" t="n">
        <v>0</v>
      </c>
      <c r="F572" s="0" t="n">
        <v>47</v>
      </c>
      <c r="G572" s="0" t="n">
        <v>200</v>
      </c>
      <c r="H572" s="0" t="s">
        <v>230</v>
      </c>
      <c r="I572" s="0" t="n">
        <v>200</v>
      </c>
      <c r="J572" s="0" t="n">
        <f aca="false">F572*E572</f>
        <v>0</v>
      </c>
      <c r="K572" s="0" t="str">
        <f aca="false">IF(G572&lt;1000,"1-Low",IF(G572&lt;5000,"2-Medium","3-Bulk"))</f>
        <v>1-Low</v>
      </c>
      <c r="L572" s="0" t="str">
        <f aca="false">IF(H572="TRUE","Out of stock","In stock")</f>
        <v>Out of stock</v>
      </c>
      <c r="M572" s="0" t="str">
        <f aca="false">IF(D572&lt;5,"1) Under 5%",IF(D572&lt;10,"2) 5-9%",IF(D572&lt;15,"3) 10-14%",IF(D572&lt;25,"4) 15-24%","5) 25%+"))))</f>
        <v>2) 5-9%</v>
      </c>
      <c r="N572" s="0" t="str">
        <f aca="false">IF(F572&lt;50,"1) Under Rs 50",IF(F572&lt;100,"2) Rs 50-99",IF(F572&lt;200,"3) Rs 100-199",IF(F572&lt;500,"4) Rs 200-499","5) Rs 500+"))))</f>
        <v>1) Under Rs 50</v>
      </c>
      <c r="O572" s="0" t="n">
        <f aca="false">G572*E572/1000</f>
        <v>0</v>
      </c>
    </row>
    <row r="573" customFormat="false" ht="15" hidden="false" customHeight="false" outlineLevel="0" collapsed="false">
      <c r="A573" s="0" t="s">
        <v>96</v>
      </c>
      <c r="B573" s="0" t="s">
        <v>667</v>
      </c>
      <c r="C573" s="0" t="n">
        <v>107</v>
      </c>
      <c r="D573" s="0" t="n">
        <v>0</v>
      </c>
      <c r="E573" s="0" t="n">
        <v>0</v>
      </c>
      <c r="F573" s="0" t="n">
        <v>107</v>
      </c>
      <c r="G573" s="0" t="n">
        <v>600</v>
      </c>
      <c r="H573" s="0" t="s">
        <v>230</v>
      </c>
      <c r="I573" s="0" t="n">
        <v>600</v>
      </c>
      <c r="J573" s="0" t="n">
        <f aca="false">F573*E573</f>
        <v>0</v>
      </c>
      <c r="K573" s="0" t="str">
        <f aca="false">IF(G573&lt;1000,"1-Low",IF(G573&lt;5000,"2-Medium","3-Bulk"))</f>
        <v>1-Low</v>
      </c>
      <c r="L573" s="0" t="str">
        <f aca="false">IF(H573="TRUE","Out of stock","In stock")</f>
        <v>Out of stock</v>
      </c>
      <c r="M573" s="0" t="str">
        <f aca="false">IF(D573&lt;5,"1) Under 5%",IF(D573&lt;10,"2) 5-9%",IF(D573&lt;15,"3) 10-14%",IF(D573&lt;25,"4) 15-24%","5) 25%+"))))</f>
        <v>1) Under 5%</v>
      </c>
      <c r="N573" s="0" t="str">
        <f aca="false">IF(F573&lt;50,"1) Under Rs 50",IF(F573&lt;100,"2) Rs 50-99",IF(F573&lt;200,"3) Rs 100-199",IF(F573&lt;500,"4) Rs 200-499","5) Rs 500+"))))</f>
        <v>3) Rs 100-199</v>
      </c>
      <c r="O573" s="0" t="n">
        <f aca="false">G573*E573/1000</f>
        <v>0</v>
      </c>
    </row>
    <row r="574" customFormat="false" ht="15" hidden="false" customHeight="false" outlineLevel="0" collapsed="false">
      <c r="A574" s="0" t="s">
        <v>96</v>
      </c>
      <c r="B574" s="0" t="s">
        <v>668</v>
      </c>
      <c r="C574" s="0" t="n">
        <v>15</v>
      </c>
      <c r="D574" s="0" t="n">
        <v>0</v>
      </c>
      <c r="E574" s="0" t="n">
        <v>0</v>
      </c>
      <c r="F574" s="0" t="n">
        <v>15</v>
      </c>
      <c r="G574" s="0" t="n">
        <v>38</v>
      </c>
      <c r="H574" s="0" t="s">
        <v>230</v>
      </c>
      <c r="I574" s="0" t="n">
        <v>38</v>
      </c>
      <c r="J574" s="0" t="n">
        <f aca="false">F574*E574</f>
        <v>0</v>
      </c>
      <c r="K574" s="0" t="str">
        <f aca="false">IF(G574&lt;1000,"1-Low",IF(G574&lt;5000,"2-Medium","3-Bulk"))</f>
        <v>1-Low</v>
      </c>
      <c r="L574" s="0" t="str">
        <f aca="false">IF(H574="TRUE","Out of stock","In stock")</f>
        <v>Out of stock</v>
      </c>
      <c r="M574" s="0" t="str">
        <f aca="false">IF(D574&lt;5,"1) Under 5%",IF(D574&lt;10,"2) 5-9%",IF(D574&lt;15,"3) 10-14%",IF(D574&lt;25,"4) 15-24%","5) 25%+"))))</f>
        <v>1) Under 5%</v>
      </c>
      <c r="N574" s="0" t="str">
        <f aca="false">IF(F574&lt;50,"1) Under Rs 50",IF(F574&lt;100,"2) Rs 50-99",IF(F574&lt;200,"3) Rs 100-199",IF(F574&lt;500,"4) Rs 200-499","5) Rs 500+"))))</f>
        <v>1) Under Rs 50</v>
      </c>
      <c r="O574" s="0" t="n">
        <f aca="false">G574*E574/1000</f>
        <v>0</v>
      </c>
    </row>
    <row r="575" customFormat="false" ht="15" hidden="false" customHeight="false" outlineLevel="0" collapsed="false">
      <c r="A575" s="0" t="s">
        <v>96</v>
      </c>
      <c r="B575" s="0" t="s">
        <v>669</v>
      </c>
      <c r="C575" s="0" t="n">
        <v>310</v>
      </c>
      <c r="D575" s="0" t="n">
        <v>10</v>
      </c>
      <c r="E575" s="0" t="n">
        <v>0</v>
      </c>
      <c r="F575" s="0" t="n">
        <v>279</v>
      </c>
      <c r="G575" s="0" t="n">
        <v>500</v>
      </c>
      <c r="H575" s="0" t="s">
        <v>230</v>
      </c>
      <c r="I575" s="0" t="n">
        <v>500</v>
      </c>
      <c r="J575" s="0" t="n">
        <f aca="false">F575*E575</f>
        <v>0</v>
      </c>
      <c r="K575" s="0" t="str">
        <f aca="false">IF(G575&lt;1000,"1-Low",IF(G575&lt;5000,"2-Medium","3-Bulk"))</f>
        <v>1-Low</v>
      </c>
      <c r="L575" s="0" t="str">
        <f aca="false">IF(H575="TRUE","Out of stock","In stock")</f>
        <v>Out of stock</v>
      </c>
      <c r="M575" s="0" t="str">
        <f aca="false">IF(D575&lt;5,"1) Under 5%",IF(D575&lt;10,"2) 5-9%",IF(D575&lt;15,"3) 10-14%",IF(D575&lt;25,"4) 15-24%","5) 25%+"))))</f>
        <v>3) 10-14%</v>
      </c>
      <c r="N575" s="0" t="str">
        <f aca="false">IF(F575&lt;50,"1) Under Rs 50",IF(F575&lt;100,"2) Rs 50-99",IF(F575&lt;200,"3) Rs 100-199",IF(F575&lt;500,"4) Rs 200-499","5) Rs 500+"))))</f>
        <v>4) Rs 200-499</v>
      </c>
      <c r="O575" s="0" t="n">
        <f aca="false">G575*E575/1000</f>
        <v>0</v>
      </c>
    </row>
    <row r="576" customFormat="false" ht="15" hidden="false" customHeight="false" outlineLevel="0" collapsed="false">
      <c r="A576" s="0" t="s">
        <v>96</v>
      </c>
      <c r="B576" s="0" t="s">
        <v>670</v>
      </c>
      <c r="C576" s="0" t="n">
        <v>60</v>
      </c>
      <c r="D576" s="0" t="n">
        <v>10</v>
      </c>
      <c r="E576" s="0" t="n">
        <v>0</v>
      </c>
      <c r="F576" s="0" t="n">
        <v>54</v>
      </c>
      <c r="G576" s="0" t="n">
        <v>100</v>
      </c>
      <c r="H576" s="0" t="s">
        <v>230</v>
      </c>
      <c r="I576" s="0" t="n">
        <v>100</v>
      </c>
      <c r="J576" s="0" t="n">
        <f aca="false">F576*E576</f>
        <v>0</v>
      </c>
      <c r="K576" s="0" t="str">
        <f aca="false">IF(G576&lt;1000,"1-Low",IF(G576&lt;5000,"2-Medium","3-Bulk"))</f>
        <v>1-Low</v>
      </c>
      <c r="L576" s="0" t="str">
        <f aca="false">IF(H576="TRUE","Out of stock","In stock")</f>
        <v>Out of stock</v>
      </c>
      <c r="M576" s="0" t="str">
        <f aca="false">IF(D576&lt;5,"1) Under 5%",IF(D576&lt;10,"2) 5-9%",IF(D576&lt;15,"3) 10-14%",IF(D576&lt;25,"4) 15-24%","5) 25%+"))))</f>
        <v>3) 10-14%</v>
      </c>
      <c r="N576" s="0" t="str">
        <f aca="false">IF(F576&lt;50,"1) Under Rs 50",IF(F576&lt;100,"2) Rs 50-99",IF(F576&lt;200,"3) Rs 100-199",IF(F576&lt;500,"4) Rs 200-499","5) Rs 500+"))))</f>
        <v>2) Rs 50-99</v>
      </c>
      <c r="O576" s="0" t="n">
        <f aca="false">G576*E576/1000</f>
        <v>0</v>
      </c>
    </row>
    <row r="577" customFormat="false" ht="15" hidden="false" customHeight="false" outlineLevel="0" collapsed="false">
      <c r="A577" s="0" t="s">
        <v>96</v>
      </c>
      <c r="B577" s="0" t="s">
        <v>671</v>
      </c>
      <c r="C577" s="0" t="n">
        <v>79</v>
      </c>
      <c r="D577" s="0" t="n">
        <v>0</v>
      </c>
      <c r="E577" s="0" t="n">
        <v>0</v>
      </c>
      <c r="F577" s="0" t="n">
        <v>79</v>
      </c>
      <c r="G577" s="0" t="n">
        <v>1000</v>
      </c>
      <c r="H577" s="0" t="s">
        <v>230</v>
      </c>
      <c r="I577" s="0" t="n">
        <v>1</v>
      </c>
      <c r="J577" s="0" t="n">
        <f aca="false">F577*E577</f>
        <v>0</v>
      </c>
      <c r="K577" s="0" t="str">
        <f aca="false">IF(G577&lt;1000,"1-Low",IF(G577&lt;5000,"2-Medium","3-Bulk"))</f>
        <v>2-Medium</v>
      </c>
      <c r="L577" s="0" t="str">
        <f aca="false">IF(H577="TRUE","Out of stock","In stock")</f>
        <v>Out of stock</v>
      </c>
      <c r="M577" s="0" t="str">
        <f aca="false">IF(D577&lt;5,"1) Under 5%",IF(D577&lt;10,"2) 5-9%",IF(D577&lt;15,"3) 10-14%",IF(D577&lt;25,"4) 15-24%","5) 25%+"))))</f>
        <v>1) Under 5%</v>
      </c>
      <c r="N577" s="0" t="str">
        <f aca="false">IF(F577&lt;50,"1) Under Rs 50",IF(F577&lt;100,"2) Rs 50-99",IF(F577&lt;200,"3) Rs 100-199",IF(F577&lt;500,"4) Rs 200-499","5) Rs 500+"))))</f>
        <v>2) Rs 50-99</v>
      </c>
      <c r="O577" s="0" t="n">
        <f aca="false">G577*E577/1000</f>
        <v>0</v>
      </c>
    </row>
    <row r="578" customFormat="false" ht="15" hidden="false" customHeight="false" outlineLevel="0" collapsed="false">
      <c r="A578" s="0" t="s">
        <v>96</v>
      </c>
      <c r="B578" s="0" t="s">
        <v>672</v>
      </c>
      <c r="C578" s="0" t="n">
        <v>30</v>
      </c>
      <c r="D578" s="0" t="n">
        <v>3</v>
      </c>
      <c r="E578" s="0" t="n">
        <v>0</v>
      </c>
      <c r="F578" s="0" t="n">
        <v>29</v>
      </c>
      <c r="G578" s="0" t="n">
        <v>50</v>
      </c>
      <c r="H578" s="0" t="s">
        <v>230</v>
      </c>
      <c r="I578" s="0" t="n">
        <v>50</v>
      </c>
      <c r="J578" s="0" t="n">
        <f aca="false">F578*E578</f>
        <v>0</v>
      </c>
      <c r="K578" s="0" t="str">
        <f aca="false">IF(G578&lt;1000,"1-Low",IF(G578&lt;5000,"2-Medium","3-Bulk"))</f>
        <v>1-Low</v>
      </c>
      <c r="L578" s="0" t="str">
        <f aca="false">IF(H578="TRUE","Out of stock","In stock")</f>
        <v>Out of stock</v>
      </c>
      <c r="M578" s="0" t="str">
        <f aca="false">IF(D578&lt;5,"1) Under 5%",IF(D578&lt;10,"2) 5-9%",IF(D578&lt;15,"3) 10-14%",IF(D578&lt;25,"4) 15-24%","5) 25%+"))))</f>
        <v>1) Under 5%</v>
      </c>
      <c r="N578" s="0" t="str">
        <f aca="false">IF(F578&lt;50,"1) Under Rs 50",IF(F578&lt;100,"2) Rs 50-99",IF(F578&lt;200,"3) Rs 100-199",IF(F578&lt;500,"4) Rs 200-499","5) Rs 500+"))))</f>
        <v>1) Under Rs 50</v>
      </c>
      <c r="O578" s="0" t="n">
        <f aca="false">G578*E578/1000</f>
        <v>0</v>
      </c>
    </row>
    <row r="579" customFormat="false" ht="15" hidden="false" customHeight="false" outlineLevel="0" collapsed="false">
      <c r="A579" s="0" t="s">
        <v>96</v>
      </c>
      <c r="B579" s="0" t="s">
        <v>673</v>
      </c>
      <c r="C579" s="0" t="n">
        <v>34</v>
      </c>
      <c r="D579" s="0" t="n">
        <v>2</v>
      </c>
      <c r="E579" s="0" t="n">
        <v>0</v>
      </c>
      <c r="F579" s="0" t="n">
        <v>33</v>
      </c>
      <c r="G579" s="0" t="n">
        <v>50</v>
      </c>
      <c r="H579" s="0" t="s">
        <v>230</v>
      </c>
      <c r="I579" s="0" t="n">
        <v>50</v>
      </c>
      <c r="J579" s="0" t="n">
        <f aca="false">F579*E579</f>
        <v>0</v>
      </c>
      <c r="K579" s="0" t="str">
        <f aca="false">IF(G579&lt;1000,"1-Low",IF(G579&lt;5000,"2-Medium","3-Bulk"))</f>
        <v>1-Low</v>
      </c>
      <c r="L579" s="0" t="str">
        <f aca="false">IF(H579="TRUE","Out of stock","In stock")</f>
        <v>Out of stock</v>
      </c>
      <c r="M579" s="0" t="str">
        <f aca="false">IF(D579&lt;5,"1) Under 5%",IF(D579&lt;10,"2) 5-9%",IF(D579&lt;15,"3) 10-14%",IF(D579&lt;25,"4) 15-24%","5) 25%+"))))</f>
        <v>1) Under 5%</v>
      </c>
      <c r="N579" s="0" t="str">
        <f aca="false">IF(F579&lt;50,"1) Under Rs 50",IF(F579&lt;100,"2) Rs 50-99",IF(F579&lt;200,"3) Rs 100-199",IF(F579&lt;500,"4) Rs 200-499","5) Rs 500+"))))</f>
        <v>1) Under Rs 50</v>
      </c>
      <c r="O579" s="0" t="n">
        <f aca="false">G579*E579/1000</f>
        <v>0</v>
      </c>
    </row>
    <row r="580" customFormat="false" ht="15" hidden="false" customHeight="false" outlineLevel="0" collapsed="false">
      <c r="A580" s="0" t="s">
        <v>96</v>
      </c>
      <c r="B580" s="0" t="s">
        <v>674</v>
      </c>
      <c r="C580" s="0" t="n">
        <v>50</v>
      </c>
      <c r="D580" s="0" t="n">
        <v>0</v>
      </c>
      <c r="E580" s="0" t="n">
        <v>0</v>
      </c>
      <c r="F580" s="0" t="n">
        <v>50</v>
      </c>
      <c r="G580" s="0" t="n">
        <v>70</v>
      </c>
      <c r="H580" s="0" t="s">
        <v>230</v>
      </c>
      <c r="I580" s="0" t="n">
        <v>70</v>
      </c>
      <c r="J580" s="0" t="n">
        <f aca="false">F580*E580</f>
        <v>0</v>
      </c>
      <c r="K580" s="0" t="str">
        <f aca="false">IF(G580&lt;1000,"1-Low",IF(G580&lt;5000,"2-Medium","3-Bulk"))</f>
        <v>1-Low</v>
      </c>
      <c r="L580" s="0" t="str">
        <f aca="false">IF(H580="TRUE","Out of stock","In stock")</f>
        <v>Out of stock</v>
      </c>
      <c r="M580" s="0" t="str">
        <f aca="false">IF(D580&lt;5,"1) Under 5%",IF(D580&lt;10,"2) 5-9%",IF(D580&lt;15,"3) 10-14%",IF(D580&lt;25,"4) 15-24%","5) 25%+"))))</f>
        <v>1) Under 5%</v>
      </c>
      <c r="N580" s="0" t="str">
        <f aca="false">IF(F580&lt;50,"1) Under Rs 50",IF(F580&lt;100,"2) Rs 50-99",IF(F580&lt;200,"3) Rs 100-199",IF(F580&lt;500,"4) Rs 200-499","5) Rs 500+"))))</f>
        <v>2) Rs 50-99</v>
      </c>
      <c r="O580" s="0" t="n">
        <f aca="false">G580*E580/1000</f>
        <v>0</v>
      </c>
    </row>
    <row r="581" customFormat="false" ht="15" hidden="false" customHeight="false" outlineLevel="0" collapsed="false">
      <c r="A581" s="0" t="s">
        <v>96</v>
      </c>
      <c r="B581" s="0" t="s">
        <v>675</v>
      </c>
      <c r="C581" s="0" t="n">
        <v>20</v>
      </c>
      <c r="D581" s="0" t="n">
        <v>0</v>
      </c>
      <c r="E581" s="0" t="n">
        <v>0</v>
      </c>
      <c r="F581" s="0" t="n">
        <v>20</v>
      </c>
      <c r="G581" s="0" t="n">
        <v>100</v>
      </c>
      <c r="H581" s="0" t="s">
        <v>230</v>
      </c>
      <c r="I581" s="0" t="n">
        <v>100</v>
      </c>
      <c r="J581" s="0" t="n">
        <f aca="false">F581*E581</f>
        <v>0</v>
      </c>
      <c r="K581" s="0" t="str">
        <f aca="false">IF(G581&lt;1000,"1-Low",IF(G581&lt;5000,"2-Medium","3-Bulk"))</f>
        <v>1-Low</v>
      </c>
      <c r="L581" s="0" t="str">
        <f aca="false">IF(H581="TRUE","Out of stock","In stock")</f>
        <v>Out of stock</v>
      </c>
      <c r="M581" s="0" t="str">
        <f aca="false">IF(D581&lt;5,"1) Under 5%",IF(D581&lt;10,"2) 5-9%",IF(D581&lt;15,"3) 10-14%",IF(D581&lt;25,"4) 15-24%","5) 25%+"))))</f>
        <v>1) Under 5%</v>
      </c>
      <c r="N581" s="0" t="str">
        <f aca="false">IF(F581&lt;50,"1) Under Rs 50",IF(F581&lt;100,"2) Rs 50-99",IF(F581&lt;200,"3) Rs 100-199",IF(F581&lt;500,"4) Rs 200-499","5) Rs 500+"))))</f>
        <v>1) Under Rs 50</v>
      </c>
      <c r="O581" s="0" t="n">
        <f aca="false">G581*E581/1000</f>
        <v>0</v>
      </c>
    </row>
    <row r="582" customFormat="false" ht="15" hidden="false" customHeight="false" outlineLevel="0" collapsed="false">
      <c r="A582" s="0" t="s">
        <v>96</v>
      </c>
      <c r="B582" s="0" t="s">
        <v>676</v>
      </c>
      <c r="C582" s="0" t="n">
        <v>565</v>
      </c>
      <c r="D582" s="0" t="n">
        <v>0</v>
      </c>
      <c r="E582" s="0" t="n">
        <v>0</v>
      </c>
      <c r="F582" s="0" t="n">
        <v>565</v>
      </c>
      <c r="G582" s="0" t="n">
        <v>1000</v>
      </c>
      <c r="H582" s="0" t="s">
        <v>230</v>
      </c>
      <c r="I582" s="0" t="n">
        <v>1</v>
      </c>
      <c r="J582" s="0" t="n">
        <f aca="false">F582*E582</f>
        <v>0</v>
      </c>
      <c r="K582" s="0" t="str">
        <f aca="false">IF(G582&lt;1000,"1-Low",IF(G582&lt;5000,"2-Medium","3-Bulk"))</f>
        <v>2-Medium</v>
      </c>
      <c r="L582" s="0" t="str">
        <f aca="false">IF(H582="TRUE","Out of stock","In stock")</f>
        <v>Out of stock</v>
      </c>
      <c r="M582" s="0" t="str">
        <f aca="false">IF(D582&lt;5,"1) Under 5%",IF(D582&lt;10,"2) 5-9%",IF(D582&lt;15,"3) 10-14%",IF(D582&lt;25,"4) 15-24%","5) 25%+"))))</f>
        <v>1) Under 5%</v>
      </c>
      <c r="N582" s="0" t="str">
        <f aca="false">IF(F582&lt;50,"1) Under Rs 50",IF(F582&lt;100,"2) Rs 50-99",IF(F582&lt;200,"3) Rs 100-199",IF(F582&lt;500,"4) Rs 200-499","5) Rs 500+"))))</f>
        <v>5) Rs 500+</v>
      </c>
      <c r="O582" s="0" t="n">
        <f aca="false">G582*E582/1000</f>
        <v>0</v>
      </c>
    </row>
    <row r="583" customFormat="false" ht="15" hidden="false" customHeight="false" outlineLevel="0" collapsed="false">
      <c r="A583" s="0" t="s">
        <v>96</v>
      </c>
      <c r="B583" s="0" t="s">
        <v>677</v>
      </c>
      <c r="C583" s="0" t="n">
        <v>42</v>
      </c>
      <c r="D583" s="0" t="n">
        <v>2</v>
      </c>
      <c r="E583" s="0" t="n">
        <v>0</v>
      </c>
      <c r="F583" s="0" t="n">
        <v>41</v>
      </c>
      <c r="G583" s="0" t="n">
        <v>50</v>
      </c>
      <c r="H583" s="0" t="s">
        <v>230</v>
      </c>
      <c r="I583" s="0" t="n">
        <v>50</v>
      </c>
      <c r="J583" s="0" t="n">
        <f aca="false">F583*E583</f>
        <v>0</v>
      </c>
      <c r="K583" s="0" t="str">
        <f aca="false">IF(G583&lt;1000,"1-Low",IF(G583&lt;5000,"2-Medium","3-Bulk"))</f>
        <v>1-Low</v>
      </c>
      <c r="L583" s="0" t="str">
        <f aca="false">IF(H583="TRUE","Out of stock","In stock")</f>
        <v>Out of stock</v>
      </c>
      <c r="M583" s="0" t="str">
        <f aca="false">IF(D583&lt;5,"1) Under 5%",IF(D583&lt;10,"2) 5-9%",IF(D583&lt;15,"3) 10-14%",IF(D583&lt;25,"4) 15-24%","5) 25%+"))))</f>
        <v>1) Under 5%</v>
      </c>
      <c r="N583" s="0" t="str">
        <f aca="false">IF(F583&lt;50,"1) Under Rs 50",IF(F583&lt;100,"2) Rs 50-99",IF(F583&lt;200,"3) Rs 100-199",IF(F583&lt;500,"4) Rs 200-499","5) Rs 500+"))))</f>
        <v>1) Under Rs 50</v>
      </c>
      <c r="O583" s="0" t="n">
        <f aca="false">G583*E583/1000</f>
        <v>0</v>
      </c>
    </row>
    <row r="584" customFormat="false" ht="15" hidden="false" customHeight="false" outlineLevel="0" collapsed="false">
      <c r="A584" s="0" t="s">
        <v>96</v>
      </c>
      <c r="B584" s="0" t="s">
        <v>678</v>
      </c>
      <c r="C584" s="0" t="n">
        <v>185</v>
      </c>
      <c r="D584" s="0" t="n">
        <v>8</v>
      </c>
      <c r="E584" s="0" t="n">
        <v>0</v>
      </c>
      <c r="F584" s="0" t="n">
        <v>169</v>
      </c>
      <c r="G584" s="0" t="n">
        <v>1000</v>
      </c>
      <c r="H584" s="0" t="s">
        <v>230</v>
      </c>
      <c r="I584" s="0" t="n">
        <v>1</v>
      </c>
      <c r="J584" s="0" t="n">
        <f aca="false">F584*E584</f>
        <v>0</v>
      </c>
      <c r="K584" s="0" t="str">
        <f aca="false">IF(G584&lt;1000,"1-Low",IF(G584&lt;5000,"2-Medium","3-Bulk"))</f>
        <v>2-Medium</v>
      </c>
      <c r="L584" s="0" t="str">
        <f aca="false">IF(H584="TRUE","Out of stock","In stock")</f>
        <v>Out of stock</v>
      </c>
      <c r="M584" s="0" t="str">
        <f aca="false">IF(D584&lt;5,"1) Under 5%",IF(D584&lt;10,"2) 5-9%",IF(D584&lt;15,"3) 10-14%",IF(D584&lt;25,"4) 15-24%","5) 25%+"))))</f>
        <v>2) 5-9%</v>
      </c>
      <c r="N584" s="0" t="str">
        <f aca="false">IF(F584&lt;50,"1) Under Rs 50",IF(F584&lt;100,"2) Rs 50-99",IF(F584&lt;200,"3) Rs 100-199",IF(F584&lt;500,"4) Rs 200-499","5) Rs 500+"))))</f>
        <v>3) Rs 100-199</v>
      </c>
      <c r="O584" s="0" t="n">
        <f aca="false">G584*E584/1000</f>
        <v>0</v>
      </c>
    </row>
    <row r="585" customFormat="false" ht="15" hidden="false" customHeight="false" outlineLevel="0" collapsed="false">
      <c r="A585" s="0" t="s">
        <v>96</v>
      </c>
      <c r="B585" s="0" t="s">
        <v>679</v>
      </c>
      <c r="C585" s="0" t="n">
        <v>60</v>
      </c>
      <c r="D585" s="0" t="n">
        <v>10</v>
      </c>
      <c r="E585" s="0" t="n">
        <v>0</v>
      </c>
      <c r="F585" s="0" t="n">
        <v>54</v>
      </c>
      <c r="G585" s="0" t="n">
        <v>500</v>
      </c>
      <c r="H585" s="0" t="s">
        <v>230</v>
      </c>
      <c r="I585" s="0" t="n">
        <v>500</v>
      </c>
      <c r="J585" s="0" t="n">
        <f aca="false">F585*E585</f>
        <v>0</v>
      </c>
      <c r="K585" s="0" t="str">
        <f aca="false">IF(G585&lt;1000,"1-Low",IF(G585&lt;5000,"2-Medium","3-Bulk"))</f>
        <v>1-Low</v>
      </c>
      <c r="L585" s="0" t="str">
        <f aca="false">IF(H585="TRUE","Out of stock","In stock")</f>
        <v>Out of stock</v>
      </c>
      <c r="M585" s="0" t="str">
        <f aca="false">IF(D585&lt;5,"1) Under 5%",IF(D585&lt;10,"2) 5-9%",IF(D585&lt;15,"3) 10-14%",IF(D585&lt;25,"4) 15-24%","5) 25%+"))))</f>
        <v>3) 10-14%</v>
      </c>
      <c r="N585" s="0" t="str">
        <f aca="false">IF(F585&lt;50,"1) Under Rs 50",IF(F585&lt;100,"2) Rs 50-99",IF(F585&lt;200,"3) Rs 100-199",IF(F585&lt;500,"4) Rs 200-499","5) Rs 500+"))))</f>
        <v>2) Rs 50-99</v>
      </c>
      <c r="O585" s="0" t="n">
        <f aca="false">G585*E585/1000</f>
        <v>0</v>
      </c>
    </row>
    <row r="586" customFormat="false" ht="15" hidden="false" customHeight="false" outlineLevel="0" collapsed="false">
      <c r="A586" s="0" t="s">
        <v>96</v>
      </c>
      <c r="B586" s="0" t="s">
        <v>680</v>
      </c>
      <c r="C586" s="0" t="n">
        <v>40</v>
      </c>
      <c r="D586" s="0" t="n">
        <v>0</v>
      </c>
      <c r="E586" s="0" t="n">
        <v>0</v>
      </c>
      <c r="F586" s="0" t="n">
        <v>40</v>
      </c>
      <c r="G586" s="0" t="n">
        <v>500</v>
      </c>
      <c r="H586" s="0" t="s">
        <v>230</v>
      </c>
      <c r="I586" s="0" t="n">
        <v>500</v>
      </c>
      <c r="J586" s="0" t="n">
        <f aca="false">F586*E586</f>
        <v>0</v>
      </c>
      <c r="K586" s="0" t="str">
        <f aca="false">IF(G586&lt;1000,"1-Low",IF(G586&lt;5000,"2-Medium","3-Bulk"))</f>
        <v>1-Low</v>
      </c>
      <c r="L586" s="0" t="str">
        <f aca="false">IF(H586="TRUE","Out of stock","In stock")</f>
        <v>Out of stock</v>
      </c>
      <c r="M586" s="0" t="str">
        <f aca="false">IF(D586&lt;5,"1) Under 5%",IF(D586&lt;10,"2) 5-9%",IF(D586&lt;15,"3) 10-14%",IF(D586&lt;25,"4) 15-24%","5) 25%+"))))</f>
        <v>1) Under 5%</v>
      </c>
      <c r="N586" s="0" t="str">
        <f aca="false">IF(F586&lt;50,"1) Under Rs 50",IF(F586&lt;100,"2) Rs 50-99",IF(F586&lt;200,"3) Rs 100-199",IF(F586&lt;500,"4) Rs 200-499","5) Rs 500+"))))</f>
        <v>1) Under Rs 50</v>
      </c>
      <c r="O586" s="0" t="n">
        <f aca="false">G586*E586/1000</f>
        <v>0</v>
      </c>
    </row>
    <row r="587" customFormat="false" ht="15" hidden="false" customHeight="false" outlineLevel="0" collapsed="false">
      <c r="A587" s="0" t="s">
        <v>96</v>
      </c>
      <c r="B587" s="0" t="s">
        <v>657</v>
      </c>
      <c r="C587" s="0" t="n">
        <v>70</v>
      </c>
      <c r="D587" s="0" t="n">
        <v>10</v>
      </c>
      <c r="E587" s="0" t="n">
        <v>0</v>
      </c>
      <c r="F587" s="0" t="n">
        <v>63</v>
      </c>
      <c r="G587" s="0" t="n">
        <v>200</v>
      </c>
      <c r="H587" s="0" t="s">
        <v>230</v>
      </c>
      <c r="I587" s="0" t="n">
        <v>200</v>
      </c>
      <c r="J587" s="0" t="n">
        <f aca="false">F587*E587</f>
        <v>0</v>
      </c>
      <c r="K587" s="0" t="str">
        <f aca="false">IF(G587&lt;1000,"1-Low",IF(G587&lt;5000,"2-Medium","3-Bulk"))</f>
        <v>1-Low</v>
      </c>
      <c r="L587" s="0" t="str">
        <f aca="false">IF(H587="TRUE","Out of stock","In stock")</f>
        <v>Out of stock</v>
      </c>
      <c r="M587" s="0" t="str">
        <f aca="false">IF(D587&lt;5,"1) Under 5%",IF(D587&lt;10,"2) 5-9%",IF(D587&lt;15,"3) 10-14%",IF(D587&lt;25,"4) 15-24%","5) 25%+"))))</f>
        <v>3) 10-14%</v>
      </c>
      <c r="N587" s="0" t="str">
        <f aca="false">IF(F587&lt;50,"1) Under Rs 50",IF(F587&lt;100,"2) Rs 50-99",IF(F587&lt;200,"3) Rs 100-199",IF(F587&lt;500,"4) Rs 200-499","5) Rs 500+"))))</f>
        <v>2) Rs 50-99</v>
      </c>
      <c r="O587" s="0" t="n">
        <f aca="false">G587*E587/1000</f>
        <v>0</v>
      </c>
    </row>
    <row r="588" customFormat="false" ht="15" hidden="false" customHeight="false" outlineLevel="0" collapsed="false">
      <c r="A588" s="0" t="s">
        <v>96</v>
      </c>
      <c r="B588" s="0" t="s">
        <v>681</v>
      </c>
      <c r="C588" s="0" t="n">
        <v>48</v>
      </c>
      <c r="D588" s="0" t="n">
        <v>6</v>
      </c>
      <c r="E588" s="0" t="n">
        <v>0</v>
      </c>
      <c r="F588" s="0" t="n">
        <v>45</v>
      </c>
      <c r="G588" s="0" t="n">
        <v>240</v>
      </c>
      <c r="H588" s="0" t="s">
        <v>230</v>
      </c>
      <c r="I588" s="0" t="n">
        <v>240</v>
      </c>
      <c r="J588" s="0" t="n">
        <f aca="false">F588*E588</f>
        <v>0</v>
      </c>
      <c r="K588" s="0" t="str">
        <f aca="false">IF(G588&lt;1000,"1-Low",IF(G588&lt;5000,"2-Medium","3-Bulk"))</f>
        <v>1-Low</v>
      </c>
      <c r="L588" s="0" t="str">
        <f aca="false">IF(H588="TRUE","Out of stock","In stock")</f>
        <v>Out of stock</v>
      </c>
      <c r="M588" s="0" t="str">
        <f aca="false">IF(D588&lt;5,"1) Under 5%",IF(D588&lt;10,"2) 5-9%",IF(D588&lt;15,"3) 10-14%",IF(D588&lt;25,"4) 15-24%","5) 25%+"))))</f>
        <v>2) 5-9%</v>
      </c>
      <c r="N588" s="0" t="str">
        <f aca="false">IF(F588&lt;50,"1) Under Rs 50",IF(F588&lt;100,"2) Rs 50-99",IF(F588&lt;200,"3) Rs 100-199",IF(F588&lt;500,"4) Rs 200-499","5) Rs 500+"))))</f>
        <v>1) Under Rs 50</v>
      </c>
      <c r="O588" s="0" t="n">
        <f aca="false">G588*E588/1000</f>
        <v>0</v>
      </c>
    </row>
    <row r="589" customFormat="false" ht="15" hidden="false" customHeight="false" outlineLevel="0" collapsed="false">
      <c r="A589" s="0" t="s">
        <v>96</v>
      </c>
      <c r="B589" s="0" t="s">
        <v>682</v>
      </c>
      <c r="C589" s="0" t="n">
        <v>35</v>
      </c>
      <c r="D589" s="0" t="n">
        <v>0</v>
      </c>
      <c r="E589" s="0" t="n">
        <v>0</v>
      </c>
      <c r="F589" s="0" t="n">
        <v>35</v>
      </c>
      <c r="G589" s="0" t="n">
        <v>100</v>
      </c>
      <c r="H589" s="0" t="s">
        <v>230</v>
      </c>
      <c r="I589" s="0" t="n">
        <v>200</v>
      </c>
      <c r="J589" s="0" t="n">
        <f aca="false">F589*E589</f>
        <v>0</v>
      </c>
      <c r="K589" s="0" t="str">
        <f aca="false">IF(G589&lt;1000,"1-Low",IF(G589&lt;5000,"2-Medium","3-Bulk"))</f>
        <v>1-Low</v>
      </c>
      <c r="L589" s="0" t="str">
        <f aca="false">IF(H589="TRUE","Out of stock","In stock")</f>
        <v>Out of stock</v>
      </c>
      <c r="M589" s="0" t="str">
        <f aca="false">IF(D589&lt;5,"1) Under 5%",IF(D589&lt;10,"2) 5-9%",IF(D589&lt;15,"3) 10-14%",IF(D589&lt;25,"4) 15-24%","5) 25%+"))))</f>
        <v>1) Under 5%</v>
      </c>
      <c r="N589" s="0" t="str">
        <f aca="false">IF(F589&lt;50,"1) Under Rs 50",IF(F589&lt;100,"2) Rs 50-99",IF(F589&lt;200,"3) Rs 100-199",IF(F589&lt;500,"4) Rs 200-499","5) Rs 500+"))))</f>
        <v>1) Under Rs 50</v>
      </c>
      <c r="O589" s="0" t="n">
        <f aca="false">G589*E589/1000</f>
        <v>0</v>
      </c>
    </row>
    <row r="590" customFormat="false" ht="15" hidden="false" customHeight="false" outlineLevel="0" collapsed="false">
      <c r="A590" s="0" t="s">
        <v>96</v>
      </c>
      <c r="B590" s="0" t="s">
        <v>683</v>
      </c>
      <c r="C590" s="0" t="n">
        <v>90</v>
      </c>
      <c r="D590" s="0" t="n">
        <v>1</v>
      </c>
      <c r="E590" s="0" t="n">
        <v>0</v>
      </c>
      <c r="F590" s="0" t="n">
        <v>89</v>
      </c>
      <c r="G590" s="0" t="n">
        <v>1000</v>
      </c>
      <c r="H590" s="0" t="s">
        <v>230</v>
      </c>
      <c r="I590" s="0" t="n">
        <v>1</v>
      </c>
      <c r="J590" s="0" t="n">
        <f aca="false">F590*E590</f>
        <v>0</v>
      </c>
      <c r="K590" s="0" t="str">
        <f aca="false">IF(G590&lt;1000,"1-Low",IF(G590&lt;5000,"2-Medium","3-Bulk"))</f>
        <v>2-Medium</v>
      </c>
      <c r="L590" s="0" t="str">
        <f aca="false">IF(H590="TRUE","Out of stock","In stock")</f>
        <v>Out of stock</v>
      </c>
      <c r="M590" s="0" t="str">
        <f aca="false">IF(D590&lt;5,"1) Under 5%",IF(D590&lt;10,"2) 5-9%",IF(D590&lt;15,"3) 10-14%",IF(D590&lt;25,"4) 15-24%","5) 25%+"))))</f>
        <v>1) Under 5%</v>
      </c>
      <c r="N590" s="0" t="str">
        <f aca="false">IF(F590&lt;50,"1) Under Rs 50",IF(F590&lt;100,"2) Rs 50-99",IF(F590&lt;200,"3) Rs 100-199",IF(F590&lt;500,"4) Rs 200-499","5) Rs 500+"))))</f>
        <v>2) Rs 50-99</v>
      </c>
      <c r="O590" s="0" t="n">
        <f aca="false">G590*E590/1000</f>
        <v>0</v>
      </c>
    </row>
    <row r="591" customFormat="false" ht="15" hidden="false" customHeight="false" outlineLevel="0" collapsed="false">
      <c r="A591" s="0" t="s">
        <v>96</v>
      </c>
      <c r="B591" s="0" t="s">
        <v>684</v>
      </c>
      <c r="C591" s="0" t="n">
        <v>91</v>
      </c>
      <c r="D591" s="0" t="n">
        <v>9</v>
      </c>
      <c r="E591" s="0" t="n">
        <v>0</v>
      </c>
      <c r="F591" s="0" t="n">
        <v>82</v>
      </c>
      <c r="G591" s="0" t="n">
        <v>560</v>
      </c>
      <c r="H591" s="0" t="s">
        <v>230</v>
      </c>
      <c r="I591" s="0" t="n">
        <v>560</v>
      </c>
      <c r="J591" s="0" t="n">
        <f aca="false">F591*E591</f>
        <v>0</v>
      </c>
      <c r="K591" s="0" t="str">
        <f aca="false">IF(G591&lt;1000,"1-Low",IF(G591&lt;5000,"2-Medium","3-Bulk"))</f>
        <v>1-Low</v>
      </c>
      <c r="L591" s="0" t="str">
        <f aca="false">IF(H591="TRUE","Out of stock","In stock")</f>
        <v>Out of stock</v>
      </c>
      <c r="M591" s="0" t="str">
        <f aca="false">IF(D591&lt;5,"1) Under 5%",IF(D591&lt;10,"2) 5-9%",IF(D591&lt;15,"3) 10-14%",IF(D591&lt;25,"4) 15-24%","5) 25%+"))))</f>
        <v>2) 5-9%</v>
      </c>
      <c r="N591" s="0" t="str">
        <f aca="false">IF(F591&lt;50,"1) Under Rs 50",IF(F591&lt;100,"2) Rs 50-99",IF(F591&lt;200,"3) Rs 100-199",IF(F591&lt;500,"4) Rs 200-499","5) Rs 500+"))))</f>
        <v>2) Rs 50-99</v>
      </c>
      <c r="O591" s="0" t="n">
        <f aca="false">G591*E591/1000</f>
        <v>0</v>
      </c>
    </row>
    <row r="592" customFormat="false" ht="15" hidden="false" customHeight="false" outlineLevel="0" collapsed="false">
      <c r="A592" s="0" t="s">
        <v>96</v>
      </c>
      <c r="B592" s="0" t="s">
        <v>685</v>
      </c>
      <c r="C592" s="0" t="n">
        <v>67</v>
      </c>
      <c r="D592" s="0" t="n">
        <v>10</v>
      </c>
      <c r="E592" s="0" t="n">
        <v>0</v>
      </c>
      <c r="F592" s="0" t="n">
        <v>60</v>
      </c>
      <c r="G592" s="0" t="n">
        <v>200</v>
      </c>
      <c r="H592" s="0" t="s">
        <v>230</v>
      </c>
      <c r="I592" s="0" t="n">
        <v>200</v>
      </c>
      <c r="J592" s="0" t="n">
        <f aca="false">F592*E592</f>
        <v>0</v>
      </c>
      <c r="K592" s="0" t="str">
        <f aca="false">IF(G592&lt;1000,"1-Low",IF(G592&lt;5000,"2-Medium","3-Bulk"))</f>
        <v>1-Low</v>
      </c>
      <c r="L592" s="0" t="str">
        <f aca="false">IF(H592="TRUE","Out of stock","In stock")</f>
        <v>Out of stock</v>
      </c>
      <c r="M592" s="0" t="str">
        <f aca="false">IF(D592&lt;5,"1) Under 5%",IF(D592&lt;10,"2) 5-9%",IF(D592&lt;15,"3) 10-14%",IF(D592&lt;25,"4) 15-24%","5) 25%+"))))</f>
        <v>3) 10-14%</v>
      </c>
      <c r="N592" s="0" t="str">
        <f aca="false">IF(F592&lt;50,"1) Under Rs 50",IF(F592&lt;100,"2) Rs 50-99",IF(F592&lt;200,"3) Rs 100-199",IF(F592&lt;500,"4) Rs 200-499","5) Rs 500+"))))</f>
        <v>2) Rs 50-99</v>
      </c>
      <c r="O592" s="0" t="n">
        <f aca="false">G592*E592/1000</f>
        <v>0</v>
      </c>
    </row>
    <row r="593" customFormat="false" ht="15" hidden="false" customHeight="false" outlineLevel="0" collapsed="false">
      <c r="A593" s="0" t="s">
        <v>96</v>
      </c>
      <c r="B593" s="0" t="s">
        <v>686</v>
      </c>
      <c r="C593" s="0" t="n">
        <v>125</v>
      </c>
      <c r="D593" s="0" t="n">
        <v>9</v>
      </c>
      <c r="E593" s="0" t="n">
        <v>0</v>
      </c>
      <c r="F593" s="0" t="n">
        <v>113</v>
      </c>
      <c r="G593" s="0" t="n">
        <v>500</v>
      </c>
      <c r="H593" s="0" t="s">
        <v>230</v>
      </c>
      <c r="I593" s="0" t="n">
        <v>500</v>
      </c>
      <c r="J593" s="0" t="n">
        <f aca="false">F593*E593</f>
        <v>0</v>
      </c>
      <c r="K593" s="0" t="str">
        <f aca="false">IF(G593&lt;1000,"1-Low",IF(G593&lt;5000,"2-Medium","3-Bulk"))</f>
        <v>1-Low</v>
      </c>
      <c r="L593" s="0" t="str">
        <f aca="false">IF(H593="TRUE","Out of stock","In stock")</f>
        <v>Out of stock</v>
      </c>
      <c r="M593" s="0" t="str">
        <f aca="false">IF(D593&lt;5,"1) Under 5%",IF(D593&lt;10,"2) 5-9%",IF(D593&lt;15,"3) 10-14%",IF(D593&lt;25,"4) 15-24%","5) 25%+"))))</f>
        <v>2) 5-9%</v>
      </c>
      <c r="N593" s="0" t="str">
        <f aca="false">IF(F593&lt;50,"1) Under Rs 50",IF(F593&lt;100,"2) Rs 50-99",IF(F593&lt;200,"3) Rs 100-199",IF(F593&lt;500,"4) Rs 200-499","5) Rs 500+"))))</f>
        <v>3) Rs 100-199</v>
      </c>
      <c r="O593" s="0" t="n">
        <f aca="false">G593*E593/1000</f>
        <v>0</v>
      </c>
    </row>
    <row r="594" customFormat="false" ht="15" hidden="false" customHeight="false" outlineLevel="0" collapsed="false">
      <c r="A594" s="0" t="s">
        <v>96</v>
      </c>
      <c r="B594" s="0" t="s">
        <v>687</v>
      </c>
      <c r="C594" s="0" t="n">
        <v>109</v>
      </c>
      <c r="D594" s="0" t="n">
        <v>11</v>
      </c>
      <c r="E594" s="0" t="n">
        <v>0</v>
      </c>
      <c r="F594" s="0" t="n">
        <v>97</v>
      </c>
      <c r="G594" s="0" t="n">
        <v>80</v>
      </c>
      <c r="H594" s="0" t="s">
        <v>230</v>
      </c>
      <c r="I594" s="0" t="n">
        <v>80</v>
      </c>
      <c r="J594" s="0" t="n">
        <f aca="false">F594*E594</f>
        <v>0</v>
      </c>
      <c r="K594" s="0" t="str">
        <f aca="false">IF(G594&lt;1000,"1-Low",IF(G594&lt;5000,"2-Medium","3-Bulk"))</f>
        <v>1-Low</v>
      </c>
      <c r="L594" s="0" t="str">
        <f aca="false">IF(H594="TRUE","Out of stock","In stock")</f>
        <v>Out of stock</v>
      </c>
      <c r="M594" s="0" t="str">
        <f aca="false">IF(D594&lt;5,"1) Under 5%",IF(D594&lt;10,"2) 5-9%",IF(D594&lt;15,"3) 10-14%",IF(D594&lt;25,"4) 15-24%","5) 25%+"))))</f>
        <v>3) 10-14%</v>
      </c>
      <c r="N594" s="0" t="str">
        <f aca="false">IF(F594&lt;50,"1) Under Rs 50",IF(F594&lt;100,"2) Rs 50-99",IF(F594&lt;200,"3) Rs 100-199",IF(F594&lt;500,"4) Rs 200-499","5) Rs 500+"))))</f>
        <v>2) Rs 50-99</v>
      </c>
      <c r="O594" s="0" t="n">
        <f aca="false">G594*E594/1000</f>
        <v>0</v>
      </c>
    </row>
    <row r="595" customFormat="false" ht="15" hidden="false" customHeight="false" outlineLevel="0" collapsed="false">
      <c r="A595" s="0" t="s">
        <v>96</v>
      </c>
      <c r="B595" s="0" t="s">
        <v>688</v>
      </c>
      <c r="C595" s="0" t="n">
        <v>160</v>
      </c>
      <c r="D595" s="0" t="n">
        <v>50</v>
      </c>
      <c r="E595" s="0" t="n">
        <v>0</v>
      </c>
      <c r="F595" s="0" t="n">
        <v>80</v>
      </c>
      <c r="G595" s="0" t="n">
        <v>500</v>
      </c>
      <c r="H595" s="0" t="s">
        <v>230</v>
      </c>
      <c r="I595" s="0" t="n">
        <v>500</v>
      </c>
      <c r="J595" s="0" t="n">
        <f aca="false">F595*E595</f>
        <v>0</v>
      </c>
      <c r="K595" s="0" t="str">
        <f aca="false">IF(G595&lt;1000,"1-Low",IF(G595&lt;5000,"2-Medium","3-Bulk"))</f>
        <v>1-Low</v>
      </c>
      <c r="L595" s="0" t="str">
        <f aca="false">IF(H595="TRUE","Out of stock","In stock")</f>
        <v>Out of stock</v>
      </c>
      <c r="M595" s="0" t="str">
        <f aca="false">IF(D595&lt;5,"1) Under 5%",IF(D595&lt;10,"2) 5-9%",IF(D595&lt;15,"3) 10-14%",IF(D595&lt;25,"4) 15-24%","5) 25%+"))))</f>
        <v>5) 25%+</v>
      </c>
      <c r="N595" s="0" t="str">
        <f aca="false">IF(F595&lt;50,"1) Under Rs 50",IF(F595&lt;100,"2) Rs 50-99",IF(F595&lt;200,"3) Rs 100-199",IF(F595&lt;500,"4) Rs 200-499","5) Rs 500+"))))</f>
        <v>2) Rs 50-99</v>
      </c>
      <c r="O595" s="0" t="n">
        <f aca="false">G595*E595/1000</f>
        <v>0</v>
      </c>
    </row>
    <row r="596" customFormat="false" ht="15" hidden="false" customHeight="false" outlineLevel="0" collapsed="false">
      <c r="A596" s="0" t="s">
        <v>96</v>
      </c>
      <c r="B596" s="0" t="s">
        <v>335</v>
      </c>
      <c r="C596" s="0" t="n">
        <v>125</v>
      </c>
      <c r="D596" s="0" t="n">
        <v>0</v>
      </c>
      <c r="E596" s="0" t="n">
        <v>0</v>
      </c>
      <c r="F596" s="0" t="n">
        <v>125</v>
      </c>
      <c r="G596" s="0" t="n">
        <v>1000</v>
      </c>
      <c r="H596" s="0" t="s">
        <v>230</v>
      </c>
      <c r="I596" s="0" t="n">
        <v>1</v>
      </c>
      <c r="J596" s="0" t="n">
        <f aca="false">F596*E596</f>
        <v>0</v>
      </c>
      <c r="K596" s="0" t="str">
        <f aca="false">IF(G596&lt;1000,"1-Low",IF(G596&lt;5000,"2-Medium","3-Bulk"))</f>
        <v>2-Medium</v>
      </c>
      <c r="L596" s="0" t="str">
        <f aca="false">IF(H596="TRUE","Out of stock","In stock")</f>
        <v>Out of stock</v>
      </c>
      <c r="M596" s="0" t="str">
        <f aca="false">IF(D596&lt;5,"1) Under 5%",IF(D596&lt;10,"2) 5-9%",IF(D596&lt;15,"3) 10-14%",IF(D596&lt;25,"4) 15-24%","5) 25%+"))))</f>
        <v>1) Under 5%</v>
      </c>
      <c r="N596" s="0" t="str">
        <f aca="false">IF(F596&lt;50,"1) Under Rs 50",IF(F596&lt;100,"2) Rs 50-99",IF(F596&lt;200,"3) Rs 100-199",IF(F596&lt;500,"4) Rs 200-499","5) Rs 500+"))))</f>
        <v>3) Rs 100-199</v>
      </c>
      <c r="O596" s="0" t="n">
        <f aca="false">G596*E596/1000</f>
        <v>0</v>
      </c>
    </row>
    <row r="597" customFormat="false" ht="15" hidden="false" customHeight="false" outlineLevel="0" collapsed="false">
      <c r="A597" s="0" t="s">
        <v>96</v>
      </c>
      <c r="B597" s="0" t="s">
        <v>689</v>
      </c>
      <c r="C597" s="0" t="n">
        <v>210</v>
      </c>
      <c r="D597" s="0" t="n">
        <v>0</v>
      </c>
      <c r="E597" s="0" t="n">
        <v>0</v>
      </c>
      <c r="F597" s="0" t="n">
        <v>210</v>
      </c>
      <c r="G597" s="0" t="n">
        <v>1000</v>
      </c>
      <c r="H597" s="0" t="s">
        <v>230</v>
      </c>
      <c r="I597" s="0" t="n">
        <v>1</v>
      </c>
      <c r="J597" s="0" t="n">
        <f aca="false">F597*E597</f>
        <v>0</v>
      </c>
      <c r="K597" s="0" t="str">
        <f aca="false">IF(G597&lt;1000,"1-Low",IF(G597&lt;5000,"2-Medium","3-Bulk"))</f>
        <v>2-Medium</v>
      </c>
      <c r="L597" s="0" t="str">
        <f aca="false">IF(H597="TRUE","Out of stock","In stock")</f>
        <v>Out of stock</v>
      </c>
      <c r="M597" s="0" t="str">
        <f aca="false">IF(D597&lt;5,"1) Under 5%",IF(D597&lt;10,"2) 5-9%",IF(D597&lt;15,"3) 10-14%",IF(D597&lt;25,"4) 15-24%","5) 25%+"))))</f>
        <v>1) Under 5%</v>
      </c>
      <c r="N597" s="0" t="str">
        <f aca="false">IF(F597&lt;50,"1) Under Rs 50",IF(F597&lt;100,"2) Rs 50-99",IF(F597&lt;200,"3) Rs 100-199",IF(F597&lt;500,"4) Rs 200-499","5) Rs 500+"))))</f>
        <v>4) Rs 200-499</v>
      </c>
      <c r="O597" s="0" t="n">
        <f aca="false">G597*E597/1000</f>
        <v>0</v>
      </c>
    </row>
    <row r="598" customFormat="false" ht="15" hidden="false" customHeight="false" outlineLevel="0" collapsed="false">
      <c r="A598" s="0" t="s">
        <v>96</v>
      </c>
      <c r="B598" s="0" t="s">
        <v>690</v>
      </c>
      <c r="C598" s="0" t="n">
        <v>64</v>
      </c>
      <c r="D598" s="0" t="n">
        <v>7</v>
      </c>
      <c r="E598" s="0" t="n">
        <v>0</v>
      </c>
      <c r="F598" s="0" t="n">
        <v>59</v>
      </c>
      <c r="G598" s="0" t="n">
        <v>1000</v>
      </c>
      <c r="H598" s="0" t="s">
        <v>230</v>
      </c>
      <c r="I598" s="0" t="n">
        <v>1</v>
      </c>
      <c r="J598" s="0" t="n">
        <f aca="false">F598*E598</f>
        <v>0</v>
      </c>
      <c r="K598" s="0" t="str">
        <f aca="false">IF(G598&lt;1000,"1-Low",IF(G598&lt;5000,"2-Medium","3-Bulk"))</f>
        <v>2-Medium</v>
      </c>
      <c r="L598" s="0" t="str">
        <f aca="false">IF(H598="TRUE","Out of stock","In stock")</f>
        <v>Out of stock</v>
      </c>
      <c r="M598" s="0" t="str">
        <f aca="false">IF(D598&lt;5,"1) Under 5%",IF(D598&lt;10,"2) 5-9%",IF(D598&lt;15,"3) 10-14%",IF(D598&lt;25,"4) 15-24%","5) 25%+"))))</f>
        <v>2) 5-9%</v>
      </c>
      <c r="N598" s="0" t="str">
        <f aca="false">IF(F598&lt;50,"1) Under Rs 50",IF(F598&lt;100,"2) Rs 50-99",IF(F598&lt;200,"3) Rs 100-199",IF(F598&lt;500,"4) Rs 200-499","5) Rs 500+"))))</f>
        <v>2) Rs 50-99</v>
      </c>
      <c r="O598" s="0" t="n">
        <f aca="false">G598*E598/1000</f>
        <v>0</v>
      </c>
    </row>
    <row r="599" customFormat="false" ht="15" hidden="false" customHeight="false" outlineLevel="0" collapsed="false">
      <c r="A599" s="0" t="s">
        <v>96</v>
      </c>
      <c r="B599" s="0" t="s">
        <v>691</v>
      </c>
      <c r="C599" s="0" t="n">
        <v>190</v>
      </c>
      <c r="D599" s="0" t="n">
        <v>0</v>
      </c>
      <c r="E599" s="0" t="n">
        <v>0</v>
      </c>
      <c r="F599" s="0" t="n">
        <v>190</v>
      </c>
      <c r="G599" s="0" t="n">
        <v>300</v>
      </c>
      <c r="H599" s="0" t="s">
        <v>230</v>
      </c>
      <c r="I599" s="0" t="n">
        <v>300</v>
      </c>
      <c r="J599" s="0" t="n">
        <f aca="false">F599*E599</f>
        <v>0</v>
      </c>
      <c r="K599" s="0" t="str">
        <f aca="false">IF(G599&lt;1000,"1-Low",IF(G599&lt;5000,"2-Medium","3-Bulk"))</f>
        <v>1-Low</v>
      </c>
      <c r="L599" s="0" t="str">
        <f aca="false">IF(H599="TRUE","Out of stock","In stock")</f>
        <v>Out of stock</v>
      </c>
      <c r="M599" s="0" t="str">
        <f aca="false">IF(D599&lt;5,"1) Under 5%",IF(D599&lt;10,"2) 5-9%",IF(D599&lt;15,"3) 10-14%",IF(D599&lt;25,"4) 15-24%","5) 25%+"))))</f>
        <v>1) Under 5%</v>
      </c>
      <c r="N599" s="0" t="str">
        <f aca="false">IF(F599&lt;50,"1) Under Rs 50",IF(F599&lt;100,"2) Rs 50-99",IF(F599&lt;200,"3) Rs 100-199",IF(F599&lt;500,"4) Rs 200-499","5) Rs 500+"))))</f>
        <v>3) Rs 100-199</v>
      </c>
      <c r="O599" s="0" t="n">
        <f aca="false">G599*E599/1000</f>
        <v>0</v>
      </c>
    </row>
    <row r="600" customFormat="false" ht="15" hidden="false" customHeight="false" outlineLevel="0" collapsed="false">
      <c r="A600" s="0" t="s">
        <v>96</v>
      </c>
      <c r="B600" s="0" t="s">
        <v>692</v>
      </c>
      <c r="C600" s="0" t="n">
        <v>28</v>
      </c>
      <c r="D600" s="0" t="n">
        <v>17</v>
      </c>
      <c r="E600" s="0" t="n">
        <v>0</v>
      </c>
      <c r="F600" s="0" t="n">
        <v>23</v>
      </c>
      <c r="G600" s="0" t="n">
        <v>65</v>
      </c>
      <c r="H600" s="0" t="s">
        <v>230</v>
      </c>
      <c r="I600" s="0" t="n">
        <v>65</v>
      </c>
      <c r="J600" s="0" t="n">
        <f aca="false">F600*E600</f>
        <v>0</v>
      </c>
      <c r="K600" s="0" t="str">
        <f aca="false">IF(G600&lt;1000,"1-Low",IF(G600&lt;5000,"2-Medium","3-Bulk"))</f>
        <v>1-Low</v>
      </c>
      <c r="L600" s="0" t="str">
        <f aca="false">IF(H600="TRUE","Out of stock","In stock")</f>
        <v>Out of stock</v>
      </c>
      <c r="M600" s="0" t="str">
        <f aca="false">IF(D600&lt;5,"1) Under 5%",IF(D600&lt;10,"2) 5-9%",IF(D600&lt;15,"3) 10-14%",IF(D600&lt;25,"4) 15-24%","5) 25%+"))))</f>
        <v>4) 15-24%</v>
      </c>
      <c r="N600" s="0" t="str">
        <f aca="false">IF(F600&lt;50,"1) Under Rs 50",IF(F600&lt;100,"2) Rs 50-99",IF(F600&lt;200,"3) Rs 100-199",IF(F600&lt;500,"4) Rs 200-499","5) Rs 500+"))))</f>
        <v>1) Under Rs 50</v>
      </c>
      <c r="O600" s="0" t="n">
        <f aca="false">G600*E600/1000</f>
        <v>0</v>
      </c>
    </row>
    <row r="601" customFormat="false" ht="15" hidden="false" customHeight="false" outlineLevel="0" collapsed="false">
      <c r="A601" s="0" t="s">
        <v>96</v>
      </c>
      <c r="B601" s="0" t="s">
        <v>693</v>
      </c>
      <c r="C601" s="0" t="n">
        <v>99</v>
      </c>
      <c r="D601" s="0" t="n">
        <v>40</v>
      </c>
      <c r="E601" s="0" t="n">
        <v>0</v>
      </c>
      <c r="F601" s="0" t="n">
        <v>59</v>
      </c>
      <c r="G601" s="0" t="n">
        <v>500</v>
      </c>
      <c r="H601" s="0" t="s">
        <v>230</v>
      </c>
      <c r="I601" s="0" t="n">
        <v>500</v>
      </c>
      <c r="J601" s="0" t="n">
        <f aca="false">F601*E601</f>
        <v>0</v>
      </c>
      <c r="K601" s="0" t="str">
        <f aca="false">IF(G601&lt;1000,"1-Low",IF(G601&lt;5000,"2-Medium","3-Bulk"))</f>
        <v>1-Low</v>
      </c>
      <c r="L601" s="0" t="str">
        <f aca="false">IF(H601="TRUE","Out of stock","In stock")</f>
        <v>Out of stock</v>
      </c>
      <c r="M601" s="0" t="str">
        <f aca="false">IF(D601&lt;5,"1) Under 5%",IF(D601&lt;10,"2) 5-9%",IF(D601&lt;15,"3) 10-14%",IF(D601&lt;25,"4) 15-24%","5) 25%+"))))</f>
        <v>5) 25%+</v>
      </c>
      <c r="N601" s="0" t="str">
        <f aca="false">IF(F601&lt;50,"1) Under Rs 50",IF(F601&lt;100,"2) Rs 50-99",IF(F601&lt;200,"3) Rs 100-199",IF(F601&lt;500,"4) Rs 200-499","5) Rs 500+"))))</f>
        <v>2) Rs 50-99</v>
      </c>
      <c r="O601" s="0" t="n">
        <f aca="false">G601*E601/1000</f>
        <v>0</v>
      </c>
    </row>
    <row r="602" customFormat="false" ht="15" hidden="false" customHeight="false" outlineLevel="0" collapsed="false">
      <c r="A602" s="0" t="s">
        <v>96</v>
      </c>
      <c r="B602" s="0" t="s">
        <v>694</v>
      </c>
      <c r="C602" s="0" t="n">
        <v>60</v>
      </c>
      <c r="D602" s="0" t="n">
        <v>15</v>
      </c>
      <c r="E602" s="0" t="n">
        <v>0</v>
      </c>
      <c r="F602" s="0" t="n">
        <v>51</v>
      </c>
      <c r="G602" s="0" t="n">
        <v>100</v>
      </c>
      <c r="H602" s="0" t="s">
        <v>230</v>
      </c>
      <c r="I602" s="0" t="n">
        <v>100</v>
      </c>
      <c r="J602" s="0" t="n">
        <f aca="false">F602*E602</f>
        <v>0</v>
      </c>
      <c r="K602" s="0" t="str">
        <f aca="false">IF(G602&lt;1000,"1-Low",IF(G602&lt;5000,"2-Medium","3-Bulk"))</f>
        <v>1-Low</v>
      </c>
      <c r="L602" s="0" t="str">
        <f aca="false">IF(H602="TRUE","Out of stock","In stock")</f>
        <v>Out of stock</v>
      </c>
      <c r="M602" s="0" t="str">
        <f aca="false">IF(D602&lt;5,"1) Under 5%",IF(D602&lt;10,"2) 5-9%",IF(D602&lt;15,"3) 10-14%",IF(D602&lt;25,"4) 15-24%","5) 25%+"))))</f>
        <v>4) 15-24%</v>
      </c>
      <c r="N602" s="0" t="str">
        <f aca="false">IF(F602&lt;50,"1) Under Rs 50",IF(F602&lt;100,"2) Rs 50-99",IF(F602&lt;200,"3) Rs 100-199",IF(F602&lt;500,"4) Rs 200-499","5) Rs 500+"))))</f>
        <v>2) Rs 50-99</v>
      </c>
      <c r="O602" s="0" t="n">
        <f aca="false">G602*E602/1000</f>
        <v>0</v>
      </c>
    </row>
    <row r="603" customFormat="false" ht="15" hidden="false" customHeight="false" outlineLevel="0" collapsed="false">
      <c r="A603" s="0" t="s">
        <v>96</v>
      </c>
      <c r="B603" s="0" t="s">
        <v>695</v>
      </c>
      <c r="C603" s="0" t="n">
        <v>95</v>
      </c>
      <c r="D603" s="0" t="n">
        <v>0</v>
      </c>
      <c r="E603" s="0" t="n">
        <v>0</v>
      </c>
      <c r="F603" s="0" t="n">
        <v>95</v>
      </c>
      <c r="G603" s="0" t="n">
        <v>250</v>
      </c>
      <c r="H603" s="0" t="s">
        <v>230</v>
      </c>
      <c r="I603" s="0" t="n">
        <v>250</v>
      </c>
      <c r="J603" s="0" t="n">
        <f aca="false">F603*E603</f>
        <v>0</v>
      </c>
      <c r="K603" s="0" t="str">
        <f aca="false">IF(G603&lt;1000,"1-Low",IF(G603&lt;5000,"2-Medium","3-Bulk"))</f>
        <v>1-Low</v>
      </c>
      <c r="L603" s="0" t="str">
        <f aca="false">IF(H603="TRUE","Out of stock","In stock")</f>
        <v>Out of stock</v>
      </c>
      <c r="M603" s="0" t="str">
        <f aca="false">IF(D603&lt;5,"1) Under 5%",IF(D603&lt;10,"2) 5-9%",IF(D603&lt;15,"3) 10-14%",IF(D603&lt;25,"4) 15-24%","5) 25%+"))))</f>
        <v>1) Under 5%</v>
      </c>
      <c r="N603" s="0" t="str">
        <f aca="false">IF(F603&lt;50,"1) Under Rs 50",IF(F603&lt;100,"2) Rs 50-99",IF(F603&lt;200,"3) Rs 100-199",IF(F603&lt;500,"4) Rs 200-499","5) Rs 500+"))))</f>
        <v>2) Rs 50-99</v>
      </c>
      <c r="O603" s="0" t="n">
        <f aca="false">G603*E603/1000</f>
        <v>0</v>
      </c>
    </row>
    <row r="604" customFormat="false" ht="15" hidden="false" customHeight="false" outlineLevel="0" collapsed="false">
      <c r="A604" s="0" t="s">
        <v>96</v>
      </c>
      <c r="B604" s="0" t="s">
        <v>696</v>
      </c>
      <c r="C604" s="0" t="n">
        <v>49</v>
      </c>
      <c r="D604" s="0" t="n">
        <v>2</v>
      </c>
      <c r="E604" s="0" t="n">
        <v>0</v>
      </c>
      <c r="F604" s="0" t="n">
        <v>48</v>
      </c>
      <c r="G604" s="0" t="n">
        <v>200</v>
      </c>
      <c r="H604" s="0" t="s">
        <v>230</v>
      </c>
      <c r="I604" s="0" t="n">
        <v>200</v>
      </c>
      <c r="J604" s="0" t="n">
        <f aca="false">F604*E604</f>
        <v>0</v>
      </c>
      <c r="K604" s="0" t="str">
        <f aca="false">IF(G604&lt;1000,"1-Low",IF(G604&lt;5000,"2-Medium","3-Bulk"))</f>
        <v>1-Low</v>
      </c>
      <c r="L604" s="0" t="str">
        <f aca="false">IF(H604="TRUE","Out of stock","In stock")</f>
        <v>Out of stock</v>
      </c>
      <c r="M604" s="0" t="str">
        <f aca="false">IF(D604&lt;5,"1) Under 5%",IF(D604&lt;10,"2) 5-9%",IF(D604&lt;15,"3) 10-14%",IF(D604&lt;25,"4) 15-24%","5) 25%+"))))</f>
        <v>1) Under 5%</v>
      </c>
      <c r="N604" s="0" t="str">
        <f aca="false">IF(F604&lt;50,"1) Under Rs 50",IF(F604&lt;100,"2) Rs 50-99",IF(F604&lt;200,"3) Rs 100-199",IF(F604&lt;500,"4) Rs 200-499","5) Rs 500+"))))</f>
        <v>1) Under Rs 50</v>
      </c>
      <c r="O604" s="0" t="n">
        <f aca="false">G604*E604/1000</f>
        <v>0</v>
      </c>
    </row>
    <row r="605" customFormat="false" ht="15" hidden="false" customHeight="false" outlineLevel="0" collapsed="false">
      <c r="A605" s="0" t="s">
        <v>96</v>
      </c>
      <c r="B605" s="0" t="s">
        <v>697</v>
      </c>
      <c r="C605" s="0" t="n">
        <v>102</v>
      </c>
      <c r="D605" s="0" t="n">
        <v>7</v>
      </c>
      <c r="E605" s="0" t="n">
        <v>0</v>
      </c>
      <c r="F605" s="0" t="n">
        <v>94</v>
      </c>
      <c r="G605" s="0" t="n">
        <v>1000</v>
      </c>
      <c r="H605" s="0" t="s">
        <v>230</v>
      </c>
      <c r="I605" s="0" t="n">
        <v>1</v>
      </c>
      <c r="J605" s="0" t="n">
        <f aca="false">F605*E605</f>
        <v>0</v>
      </c>
      <c r="K605" s="0" t="str">
        <f aca="false">IF(G605&lt;1000,"1-Low",IF(G605&lt;5000,"2-Medium","3-Bulk"))</f>
        <v>2-Medium</v>
      </c>
      <c r="L605" s="0" t="str">
        <f aca="false">IF(H605="TRUE","Out of stock","In stock")</f>
        <v>Out of stock</v>
      </c>
      <c r="M605" s="0" t="str">
        <f aca="false">IF(D605&lt;5,"1) Under 5%",IF(D605&lt;10,"2) 5-9%",IF(D605&lt;15,"3) 10-14%",IF(D605&lt;25,"4) 15-24%","5) 25%+"))))</f>
        <v>2) 5-9%</v>
      </c>
      <c r="N605" s="0" t="str">
        <f aca="false">IF(F605&lt;50,"1) Under Rs 50",IF(F605&lt;100,"2) Rs 50-99",IF(F605&lt;200,"3) Rs 100-199",IF(F605&lt;500,"4) Rs 200-499","5) Rs 500+"))))</f>
        <v>2) Rs 50-99</v>
      </c>
      <c r="O605" s="0" t="n">
        <f aca="false">G605*E605/1000</f>
        <v>0</v>
      </c>
    </row>
    <row r="606" customFormat="false" ht="15" hidden="false" customHeight="false" outlineLevel="0" collapsed="false">
      <c r="A606" s="0" t="s">
        <v>96</v>
      </c>
      <c r="B606" s="0" t="s">
        <v>698</v>
      </c>
      <c r="C606" s="0" t="n">
        <v>72</v>
      </c>
      <c r="D606" s="0" t="n">
        <v>0</v>
      </c>
      <c r="E606" s="0" t="n">
        <v>0</v>
      </c>
      <c r="F606" s="0" t="n">
        <v>72</v>
      </c>
      <c r="G606" s="0" t="n">
        <v>280</v>
      </c>
      <c r="H606" s="0" t="s">
        <v>230</v>
      </c>
      <c r="I606" s="0" t="n">
        <v>280</v>
      </c>
      <c r="J606" s="0" t="n">
        <f aca="false">F606*E606</f>
        <v>0</v>
      </c>
      <c r="K606" s="0" t="str">
        <f aca="false">IF(G606&lt;1000,"1-Low",IF(G606&lt;5000,"2-Medium","3-Bulk"))</f>
        <v>1-Low</v>
      </c>
      <c r="L606" s="0" t="str">
        <f aca="false">IF(H606="TRUE","Out of stock","In stock")</f>
        <v>Out of stock</v>
      </c>
      <c r="M606" s="0" t="str">
        <f aca="false">IF(D606&lt;5,"1) Under 5%",IF(D606&lt;10,"2) 5-9%",IF(D606&lt;15,"3) 10-14%",IF(D606&lt;25,"4) 15-24%","5) 25%+"))))</f>
        <v>1) Under 5%</v>
      </c>
      <c r="N606" s="0" t="str">
        <f aca="false">IF(F606&lt;50,"1) Under Rs 50",IF(F606&lt;100,"2) Rs 50-99",IF(F606&lt;200,"3) Rs 100-199",IF(F606&lt;500,"4) Rs 200-499","5) Rs 500+"))))</f>
        <v>2) Rs 50-99</v>
      </c>
      <c r="O606" s="0" t="n">
        <f aca="false">G606*E606/1000</f>
        <v>0</v>
      </c>
    </row>
    <row r="607" customFormat="false" ht="15" hidden="false" customHeight="false" outlineLevel="0" collapsed="false">
      <c r="A607" s="0" t="s">
        <v>96</v>
      </c>
      <c r="B607" s="0" t="s">
        <v>699</v>
      </c>
      <c r="C607" s="0" t="n">
        <v>150</v>
      </c>
      <c r="D607" s="0" t="n">
        <v>4</v>
      </c>
      <c r="E607" s="0" t="n">
        <v>0</v>
      </c>
      <c r="F607" s="0" t="n">
        <v>143</v>
      </c>
      <c r="G607" s="0" t="n">
        <v>250</v>
      </c>
      <c r="H607" s="0" t="s">
        <v>230</v>
      </c>
      <c r="I607" s="0" t="n">
        <v>250</v>
      </c>
      <c r="J607" s="0" t="n">
        <f aca="false">F607*E607</f>
        <v>0</v>
      </c>
      <c r="K607" s="0" t="str">
        <f aca="false">IF(G607&lt;1000,"1-Low",IF(G607&lt;5000,"2-Medium","3-Bulk"))</f>
        <v>1-Low</v>
      </c>
      <c r="L607" s="0" t="str">
        <f aca="false">IF(H607="TRUE","Out of stock","In stock")</f>
        <v>Out of stock</v>
      </c>
      <c r="M607" s="0" t="str">
        <f aca="false">IF(D607&lt;5,"1) Under 5%",IF(D607&lt;10,"2) 5-9%",IF(D607&lt;15,"3) 10-14%",IF(D607&lt;25,"4) 15-24%","5) 25%+"))))</f>
        <v>1) Under 5%</v>
      </c>
      <c r="N607" s="0" t="str">
        <f aca="false">IF(F607&lt;50,"1) Under Rs 50",IF(F607&lt;100,"2) Rs 50-99",IF(F607&lt;200,"3) Rs 100-199",IF(F607&lt;500,"4) Rs 200-499","5) Rs 500+"))))</f>
        <v>3) Rs 100-199</v>
      </c>
      <c r="O607" s="0" t="n">
        <f aca="false">G607*E607/1000</f>
        <v>0</v>
      </c>
    </row>
    <row r="608" customFormat="false" ht="15" hidden="false" customHeight="false" outlineLevel="0" collapsed="false">
      <c r="A608" s="0" t="s">
        <v>96</v>
      </c>
      <c r="B608" s="0" t="s">
        <v>700</v>
      </c>
      <c r="C608" s="0" t="n">
        <v>120</v>
      </c>
      <c r="D608" s="0" t="n">
        <v>0</v>
      </c>
      <c r="E608" s="0" t="n">
        <v>0</v>
      </c>
      <c r="F608" s="0" t="n">
        <v>120</v>
      </c>
      <c r="G608" s="0" t="n">
        <v>1</v>
      </c>
      <c r="H608" s="0" t="s">
        <v>230</v>
      </c>
      <c r="I608" s="0" t="n">
        <v>0</v>
      </c>
      <c r="J608" s="0" t="n">
        <f aca="false">F608*E608</f>
        <v>0</v>
      </c>
      <c r="K608" s="0" t="str">
        <f aca="false">IF(G608&lt;1000,"1-Low",IF(G608&lt;5000,"2-Medium","3-Bulk"))</f>
        <v>1-Low</v>
      </c>
      <c r="L608" s="0" t="str">
        <f aca="false">IF(H608="TRUE","Out of stock","In stock")</f>
        <v>Out of stock</v>
      </c>
      <c r="M608" s="0" t="str">
        <f aca="false">IF(D608&lt;5,"1) Under 5%",IF(D608&lt;10,"2) 5-9%",IF(D608&lt;15,"3) 10-14%",IF(D608&lt;25,"4) 15-24%","5) 25%+"))))</f>
        <v>1) Under 5%</v>
      </c>
      <c r="N608" s="0" t="str">
        <f aca="false">IF(F608&lt;50,"1) Under Rs 50",IF(F608&lt;100,"2) Rs 50-99",IF(F608&lt;200,"3) Rs 100-199",IF(F608&lt;500,"4) Rs 200-499","5) Rs 500+"))))</f>
        <v>3) Rs 100-199</v>
      </c>
      <c r="O608" s="0" t="n">
        <f aca="false">G608*E608/1000</f>
        <v>0</v>
      </c>
    </row>
    <row r="609" customFormat="false" ht="15" hidden="false" customHeight="false" outlineLevel="0" collapsed="false">
      <c r="A609" s="0" t="s">
        <v>117</v>
      </c>
      <c r="B609" s="0" t="s">
        <v>235</v>
      </c>
      <c r="C609" s="0" t="n">
        <v>12</v>
      </c>
      <c r="D609" s="0" t="n">
        <v>0</v>
      </c>
      <c r="E609" s="0" t="n">
        <v>6</v>
      </c>
      <c r="F609" s="0" t="n">
        <v>12</v>
      </c>
      <c r="G609" s="0" t="n">
        <v>70</v>
      </c>
      <c r="H609" s="0" t="s">
        <v>145</v>
      </c>
      <c r="I609" s="0" t="n">
        <v>70</v>
      </c>
      <c r="J609" s="0" t="n">
        <f aca="false">F609*E609</f>
        <v>72</v>
      </c>
      <c r="K609" s="0" t="str">
        <f aca="false">IF(G609&lt;1000,"1-Low",IF(G609&lt;5000,"2-Medium","3-Bulk"))</f>
        <v>1-Low</v>
      </c>
      <c r="L609" s="0" t="str">
        <f aca="false">IF(H609="TRUE","Out of stock","In stock")</f>
        <v>In stock</v>
      </c>
      <c r="M609" s="0" t="str">
        <f aca="false">IF(D609&lt;5,"1) Under 5%",IF(D609&lt;10,"2) 5-9%",IF(D609&lt;15,"3) 10-14%",IF(D609&lt;25,"4) 15-24%","5) 25%+"))))</f>
        <v>1) Under 5%</v>
      </c>
      <c r="N609" s="0" t="str">
        <f aca="false">IF(F609&lt;50,"1) Under Rs 50",IF(F609&lt;100,"2) Rs 50-99",IF(F609&lt;200,"3) Rs 100-199",IF(F609&lt;500,"4) Rs 200-499","5) Rs 500+"))))</f>
        <v>1) Under Rs 50</v>
      </c>
      <c r="O609" s="0" t="n">
        <f aca="false">G609*E609/1000</f>
        <v>0.42</v>
      </c>
    </row>
    <row r="610" customFormat="false" ht="15" hidden="false" customHeight="false" outlineLevel="0" collapsed="false">
      <c r="A610" s="0" t="s">
        <v>117</v>
      </c>
      <c r="B610" s="0" t="s">
        <v>236</v>
      </c>
      <c r="C610" s="0" t="n">
        <v>80</v>
      </c>
      <c r="D610" s="0" t="n">
        <v>15</v>
      </c>
      <c r="E610" s="0" t="n">
        <v>6</v>
      </c>
      <c r="F610" s="0" t="n">
        <v>68</v>
      </c>
      <c r="G610" s="0" t="n">
        <v>1000</v>
      </c>
      <c r="H610" s="0" t="s">
        <v>145</v>
      </c>
      <c r="I610" s="0" t="n">
        <v>1</v>
      </c>
      <c r="J610" s="0" t="n">
        <f aca="false">F610*E610</f>
        <v>408</v>
      </c>
      <c r="K610" s="0" t="str">
        <f aca="false">IF(G610&lt;1000,"1-Low",IF(G610&lt;5000,"2-Medium","3-Bulk"))</f>
        <v>2-Medium</v>
      </c>
      <c r="L610" s="0" t="str">
        <f aca="false">IF(H610="TRUE","Out of stock","In stock")</f>
        <v>In stock</v>
      </c>
      <c r="M610" s="0" t="str">
        <f aca="false">IF(D610&lt;5,"1) Under 5%",IF(D610&lt;10,"2) 5-9%",IF(D610&lt;15,"3) 10-14%",IF(D610&lt;25,"4) 15-24%","5) 25%+"))))</f>
        <v>4) 15-24%</v>
      </c>
      <c r="N610" s="0" t="str">
        <f aca="false">IF(F610&lt;50,"1) Under Rs 50",IF(F610&lt;100,"2) Rs 50-99",IF(F610&lt;200,"3) Rs 100-199",IF(F610&lt;500,"4) Rs 200-499","5) Rs 500+"))))</f>
        <v>2) Rs 50-99</v>
      </c>
      <c r="O610" s="0" t="n">
        <f aca="false">G610*E610/1000</f>
        <v>6</v>
      </c>
    </row>
    <row r="611" customFormat="false" ht="15" hidden="false" customHeight="false" outlineLevel="0" collapsed="false">
      <c r="A611" s="0" t="s">
        <v>117</v>
      </c>
      <c r="B611" s="0" t="s">
        <v>237</v>
      </c>
      <c r="C611" s="0" t="n">
        <v>24</v>
      </c>
      <c r="D611" s="0" t="n">
        <v>0</v>
      </c>
      <c r="E611" s="0" t="n">
        <v>6</v>
      </c>
      <c r="F611" s="0" t="n">
        <v>24</v>
      </c>
      <c r="G611" s="0" t="n">
        <v>1000</v>
      </c>
      <c r="H611" s="0" t="s">
        <v>145</v>
      </c>
      <c r="I611" s="0" t="n">
        <v>1</v>
      </c>
      <c r="J611" s="0" t="n">
        <f aca="false">F611*E611</f>
        <v>144</v>
      </c>
      <c r="K611" s="0" t="str">
        <f aca="false">IF(G611&lt;1000,"1-Low",IF(G611&lt;5000,"2-Medium","3-Bulk"))</f>
        <v>2-Medium</v>
      </c>
      <c r="L611" s="0" t="str">
        <f aca="false">IF(H611="TRUE","Out of stock","In stock")</f>
        <v>In stock</v>
      </c>
      <c r="M611" s="0" t="str">
        <f aca="false">IF(D611&lt;5,"1) Under 5%",IF(D611&lt;10,"2) 5-9%",IF(D611&lt;15,"3) 10-14%",IF(D611&lt;25,"4) 15-24%","5) 25%+"))))</f>
        <v>1) Under 5%</v>
      </c>
      <c r="N611" s="0" t="str">
        <f aca="false">IF(F611&lt;50,"1) Under Rs 50",IF(F611&lt;100,"2) Rs 50-99",IF(F611&lt;200,"3) Rs 100-199",IF(F611&lt;500,"4) Rs 200-499","5) Rs 500+"))))</f>
        <v>1) Under Rs 50</v>
      </c>
      <c r="O611" s="0" t="n">
        <f aca="false">G611*E611/1000</f>
        <v>6</v>
      </c>
    </row>
    <row r="612" customFormat="false" ht="15" hidden="false" customHeight="false" outlineLevel="0" collapsed="false">
      <c r="A612" s="0" t="s">
        <v>117</v>
      </c>
      <c r="B612" s="0" t="s">
        <v>238</v>
      </c>
      <c r="C612" s="0" t="n">
        <v>97</v>
      </c>
      <c r="D612" s="0" t="n">
        <v>0</v>
      </c>
      <c r="E612" s="0" t="n">
        <v>4</v>
      </c>
      <c r="F612" s="0" t="n">
        <v>97</v>
      </c>
      <c r="G612" s="0" t="n">
        <v>696</v>
      </c>
      <c r="H612" s="0" t="s">
        <v>145</v>
      </c>
      <c r="I612" s="0" t="n">
        <v>12</v>
      </c>
      <c r="J612" s="0" t="n">
        <f aca="false">F612*E612</f>
        <v>388</v>
      </c>
      <c r="K612" s="0" t="str">
        <f aca="false">IF(G612&lt;1000,"1-Low",IF(G612&lt;5000,"2-Medium","3-Bulk"))</f>
        <v>1-Low</v>
      </c>
      <c r="L612" s="0" t="str">
        <f aca="false">IF(H612="TRUE","Out of stock","In stock")</f>
        <v>In stock</v>
      </c>
      <c r="M612" s="0" t="str">
        <f aca="false">IF(D612&lt;5,"1) Under 5%",IF(D612&lt;10,"2) 5-9%",IF(D612&lt;15,"3) 10-14%",IF(D612&lt;25,"4) 15-24%","5) 25%+"))))</f>
        <v>1) Under 5%</v>
      </c>
      <c r="N612" s="0" t="str">
        <f aca="false">IF(F612&lt;50,"1) Under Rs 50",IF(F612&lt;100,"2) Rs 50-99",IF(F612&lt;200,"3) Rs 100-199",IF(F612&lt;500,"4) Rs 200-499","5) Rs 500+"))))</f>
        <v>2) Rs 50-99</v>
      </c>
      <c r="O612" s="0" t="n">
        <f aca="false">G612*E612/1000</f>
        <v>2.784</v>
      </c>
    </row>
    <row r="613" customFormat="false" ht="15" hidden="false" customHeight="false" outlineLevel="0" collapsed="false">
      <c r="A613" s="0" t="s">
        <v>117</v>
      </c>
      <c r="B613" s="0" t="s">
        <v>238</v>
      </c>
      <c r="C613" s="0" t="n">
        <v>65</v>
      </c>
      <c r="D613" s="0" t="n">
        <v>15</v>
      </c>
      <c r="E613" s="0" t="n">
        <v>4</v>
      </c>
      <c r="F613" s="0" t="n">
        <v>55</v>
      </c>
      <c r="G613" s="0" t="n">
        <v>348</v>
      </c>
      <c r="H613" s="0" t="s">
        <v>145</v>
      </c>
      <c r="I613" s="0" t="n">
        <v>6</v>
      </c>
      <c r="J613" s="0" t="n">
        <f aca="false">F613*E613</f>
        <v>220</v>
      </c>
      <c r="K613" s="0" t="str">
        <f aca="false">IF(G613&lt;1000,"1-Low",IF(G613&lt;5000,"2-Medium","3-Bulk"))</f>
        <v>1-Low</v>
      </c>
      <c r="L613" s="0" t="str">
        <f aca="false">IF(H613="TRUE","Out of stock","In stock")</f>
        <v>In stock</v>
      </c>
      <c r="M613" s="0" t="str">
        <f aca="false">IF(D613&lt;5,"1) Under 5%",IF(D613&lt;10,"2) 5-9%",IF(D613&lt;15,"3) 10-14%",IF(D613&lt;25,"4) 15-24%","5) 25%+"))))</f>
        <v>4) 15-24%</v>
      </c>
      <c r="N613" s="0" t="str">
        <f aca="false">IF(F613&lt;50,"1) Under Rs 50",IF(F613&lt;100,"2) Rs 50-99",IF(F613&lt;200,"3) Rs 100-199",IF(F613&lt;500,"4) Rs 200-499","5) Rs 500+"))))</f>
        <v>2) Rs 50-99</v>
      </c>
      <c r="O613" s="0" t="n">
        <f aca="false">G613*E613/1000</f>
        <v>1.392</v>
      </c>
    </row>
    <row r="614" customFormat="false" ht="15" hidden="false" customHeight="false" outlineLevel="0" collapsed="false">
      <c r="A614" s="0" t="s">
        <v>117</v>
      </c>
      <c r="B614" s="0" t="s">
        <v>239</v>
      </c>
      <c r="C614" s="0" t="n">
        <v>230</v>
      </c>
      <c r="D614" s="0" t="n">
        <v>4</v>
      </c>
      <c r="E614" s="0" t="n">
        <v>6</v>
      </c>
      <c r="F614" s="0" t="n">
        <v>219</v>
      </c>
      <c r="G614" s="0" t="n">
        <v>1000</v>
      </c>
      <c r="H614" s="0" t="s">
        <v>145</v>
      </c>
      <c r="I614" s="0" t="n">
        <v>1</v>
      </c>
      <c r="J614" s="0" t="n">
        <f aca="false">F614*E614</f>
        <v>1314</v>
      </c>
      <c r="K614" s="0" t="str">
        <f aca="false">IF(G614&lt;1000,"1-Low",IF(G614&lt;5000,"2-Medium","3-Bulk"))</f>
        <v>2-Medium</v>
      </c>
      <c r="L614" s="0" t="str">
        <f aca="false">IF(H614="TRUE","Out of stock","In stock")</f>
        <v>In stock</v>
      </c>
      <c r="M614" s="0" t="str">
        <f aca="false">IF(D614&lt;5,"1) Under 5%",IF(D614&lt;10,"2) 5-9%",IF(D614&lt;15,"3) 10-14%",IF(D614&lt;25,"4) 15-24%","5) 25%+"))))</f>
        <v>1) Under 5%</v>
      </c>
      <c r="N614" s="0" t="str">
        <f aca="false">IF(F614&lt;50,"1) Under Rs 50",IF(F614&lt;100,"2) Rs 50-99",IF(F614&lt;200,"3) Rs 100-199",IF(F614&lt;500,"4) Rs 200-499","5) Rs 500+"))))</f>
        <v>4) Rs 200-499</v>
      </c>
      <c r="O614" s="0" t="n">
        <f aca="false">G614*E614/1000</f>
        <v>6</v>
      </c>
    </row>
    <row r="615" customFormat="false" ht="15" hidden="false" customHeight="false" outlineLevel="0" collapsed="false">
      <c r="A615" s="0" t="s">
        <v>117</v>
      </c>
      <c r="B615" s="0" t="s">
        <v>240</v>
      </c>
      <c r="C615" s="0" t="n">
        <v>250</v>
      </c>
      <c r="D615" s="0" t="n">
        <v>2</v>
      </c>
      <c r="E615" s="0" t="n">
        <v>6</v>
      </c>
      <c r="F615" s="0" t="n">
        <v>245</v>
      </c>
      <c r="G615" s="0" t="n">
        <v>5000</v>
      </c>
      <c r="H615" s="0" t="s">
        <v>145</v>
      </c>
      <c r="I615" s="0" t="n">
        <v>5</v>
      </c>
      <c r="J615" s="0" t="n">
        <f aca="false">F615*E615</f>
        <v>1470</v>
      </c>
      <c r="K615" s="0" t="str">
        <f aca="false">IF(G615&lt;1000,"1-Low",IF(G615&lt;5000,"2-Medium","3-Bulk"))</f>
        <v>3-Bulk</v>
      </c>
      <c r="L615" s="0" t="str">
        <f aca="false">IF(H615="TRUE","Out of stock","In stock")</f>
        <v>In stock</v>
      </c>
      <c r="M615" s="0" t="str">
        <f aca="false">IF(D615&lt;5,"1) Under 5%",IF(D615&lt;10,"2) 5-9%",IF(D615&lt;15,"3) 10-14%",IF(D615&lt;25,"4) 15-24%","5) 25%+"))))</f>
        <v>1) Under 5%</v>
      </c>
      <c r="N615" s="0" t="str">
        <f aca="false">IF(F615&lt;50,"1) Under Rs 50",IF(F615&lt;100,"2) Rs 50-99",IF(F615&lt;200,"3) Rs 100-199",IF(F615&lt;500,"4) Rs 200-499","5) Rs 500+"))))</f>
        <v>4) Rs 200-499</v>
      </c>
      <c r="O615" s="0" t="n">
        <f aca="false">G615*E615/1000</f>
        <v>30</v>
      </c>
    </row>
    <row r="616" customFormat="false" ht="15" hidden="false" customHeight="false" outlineLevel="0" collapsed="false">
      <c r="A616" s="0" t="s">
        <v>117</v>
      </c>
      <c r="B616" s="0" t="s">
        <v>241</v>
      </c>
      <c r="C616" s="0" t="n">
        <v>255</v>
      </c>
      <c r="D616" s="0" t="n">
        <v>2</v>
      </c>
      <c r="E616" s="0" t="n">
        <v>6</v>
      </c>
      <c r="F616" s="0" t="n">
        <v>249</v>
      </c>
      <c r="G616" s="0" t="n">
        <v>500</v>
      </c>
      <c r="H616" s="0" t="s">
        <v>145</v>
      </c>
      <c r="I616" s="0" t="n">
        <v>500</v>
      </c>
      <c r="J616" s="0" t="n">
        <f aca="false">F616*E616</f>
        <v>1494</v>
      </c>
      <c r="K616" s="0" t="str">
        <f aca="false">IF(G616&lt;1000,"1-Low",IF(G616&lt;5000,"2-Medium","3-Bulk"))</f>
        <v>1-Low</v>
      </c>
      <c r="L616" s="0" t="str">
        <f aca="false">IF(H616="TRUE","Out of stock","In stock")</f>
        <v>In stock</v>
      </c>
      <c r="M616" s="0" t="str">
        <f aca="false">IF(D616&lt;5,"1) Under 5%",IF(D616&lt;10,"2) 5-9%",IF(D616&lt;15,"3) 10-14%",IF(D616&lt;25,"4) 15-24%","5) 25%+"))))</f>
        <v>1) Under 5%</v>
      </c>
      <c r="N616" s="0" t="str">
        <f aca="false">IF(F616&lt;50,"1) Under Rs 50",IF(F616&lt;100,"2) Rs 50-99",IF(F616&lt;200,"3) Rs 100-199",IF(F616&lt;500,"4) Rs 200-499","5) Rs 500+"))))</f>
        <v>4) Rs 200-499</v>
      </c>
      <c r="O616" s="0" t="n">
        <f aca="false">G616*E616/1000</f>
        <v>3</v>
      </c>
    </row>
    <row r="617" customFormat="false" ht="15" hidden="false" customHeight="false" outlineLevel="0" collapsed="false">
      <c r="A617" s="0" t="s">
        <v>117</v>
      </c>
      <c r="B617" s="0" t="s">
        <v>242</v>
      </c>
      <c r="C617" s="0" t="n">
        <v>85</v>
      </c>
      <c r="D617" s="0" t="n">
        <v>7</v>
      </c>
      <c r="E617" s="0" t="n">
        <v>4</v>
      </c>
      <c r="F617" s="0" t="n">
        <v>79</v>
      </c>
      <c r="G617" s="0" t="n">
        <v>348</v>
      </c>
      <c r="H617" s="0" t="s">
        <v>145</v>
      </c>
      <c r="I617" s="0" t="n">
        <v>6</v>
      </c>
      <c r="J617" s="0" t="n">
        <f aca="false">F617*E617</f>
        <v>316</v>
      </c>
      <c r="K617" s="0" t="str">
        <f aca="false">IF(G617&lt;1000,"1-Low",IF(G617&lt;5000,"2-Medium","3-Bulk"))</f>
        <v>1-Low</v>
      </c>
      <c r="L617" s="0" t="str">
        <f aca="false">IF(H617="TRUE","Out of stock","In stock")</f>
        <v>In stock</v>
      </c>
      <c r="M617" s="0" t="str">
        <f aca="false">IF(D617&lt;5,"1) Under 5%",IF(D617&lt;10,"2) 5-9%",IF(D617&lt;15,"3) 10-14%",IF(D617&lt;25,"4) 15-24%","5) 25%+"))))</f>
        <v>2) 5-9%</v>
      </c>
      <c r="N617" s="0" t="str">
        <f aca="false">IF(F617&lt;50,"1) Under Rs 50",IF(F617&lt;100,"2) Rs 50-99",IF(F617&lt;200,"3) Rs 100-199",IF(F617&lt;500,"4) Rs 200-499","5) Rs 500+"))))</f>
        <v>2) Rs 50-99</v>
      </c>
      <c r="O617" s="0" t="n">
        <f aca="false">G617*E617/1000</f>
        <v>1.392</v>
      </c>
    </row>
    <row r="618" customFormat="false" ht="15" hidden="false" customHeight="false" outlineLevel="0" collapsed="false">
      <c r="A618" s="0" t="s">
        <v>117</v>
      </c>
      <c r="B618" s="0" t="s">
        <v>243</v>
      </c>
      <c r="C618" s="0" t="n">
        <v>40</v>
      </c>
      <c r="D618" s="0" t="n">
        <v>10</v>
      </c>
      <c r="E618" s="0" t="n">
        <v>6</v>
      </c>
      <c r="F618" s="0" t="n">
        <v>36</v>
      </c>
      <c r="G618" s="0" t="n">
        <v>1000</v>
      </c>
      <c r="H618" s="0" t="s">
        <v>145</v>
      </c>
      <c r="I618" s="0" t="n">
        <v>1</v>
      </c>
      <c r="J618" s="0" t="n">
        <f aca="false">F618*E618</f>
        <v>216</v>
      </c>
      <c r="K618" s="0" t="str">
        <f aca="false">IF(G618&lt;1000,"1-Low",IF(G618&lt;5000,"2-Medium","3-Bulk"))</f>
        <v>2-Medium</v>
      </c>
      <c r="L618" s="0" t="str">
        <f aca="false">IF(H618="TRUE","Out of stock","In stock")</f>
        <v>In stock</v>
      </c>
      <c r="M618" s="0" t="str">
        <f aca="false">IF(D618&lt;5,"1) Under 5%",IF(D618&lt;10,"2) 5-9%",IF(D618&lt;15,"3) 10-14%",IF(D618&lt;25,"4) 15-24%","5) 25%+"))))</f>
        <v>3) 10-14%</v>
      </c>
      <c r="N618" s="0" t="str">
        <f aca="false">IF(F618&lt;50,"1) Under Rs 50",IF(F618&lt;100,"2) Rs 50-99",IF(F618&lt;200,"3) Rs 100-199",IF(F618&lt;500,"4) Rs 200-499","5) Rs 500+"))))</f>
        <v>1) Under Rs 50</v>
      </c>
      <c r="O618" s="0" t="n">
        <f aca="false">G618*E618/1000</f>
        <v>6</v>
      </c>
    </row>
    <row r="619" customFormat="false" ht="15" hidden="false" customHeight="false" outlineLevel="0" collapsed="false">
      <c r="A619" s="0" t="s">
        <v>117</v>
      </c>
      <c r="B619" s="0" t="s">
        <v>244</v>
      </c>
      <c r="C619" s="0" t="n">
        <v>215</v>
      </c>
      <c r="D619" s="0" t="n">
        <v>0</v>
      </c>
      <c r="E619" s="0" t="n">
        <v>6</v>
      </c>
      <c r="F619" s="0" t="n">
        <v>215</v>
      </c>
      <c r="G619" s="0" t="n">
        <v>1000</v>
      </c>
      <c r="H619" s="0" t="s">
        <v>145</v>
      </c>
      <c r="I619" s="0" t="n">
        <v>1</v>
      </c>
      <c r="J619" s="0" t="n">
        <f aca="false">F619*E619</f>
        <v>1290</v>
      </c>
      <c r="K619" s="0" t="str">
        <f aca="false">IF(G619&lt;1000,"1-Low",IF(G619&lt;5000,"2-Medium","3-Bulk"))</f>
        <v>2-Medium</v>
      </c>
      <c r="L619" s="0" t="str">
        <f aca="false">IF(H619="TRUE","Out of stock","In stock")</f>
        <v>In stock</v>
      </c>
      <c r="M619" s="0" t="str">
        <f aca="false">IF(D619&lt;5,"1) Under 5%",IF(D619&lt;10,"2) 5-9%",IF(D619&lt;15,"3) 10-14%",IF(D619&lt;25,"4) 15-24%","5) 25%+"))))</f>
        <v>1) Under 5%</v>
      </c>
      <c r="N619" s="0" t="str">
        <f aca="false">IF(F619&lt;50,"1) Under Rs 50",IF(F619&lt;100,"2) Rs 50-99",IF(F619&lt;200,"3) Rs 100-199",IF(F619&lt;500,"4) Rs 200-499","5) Rs 500+"))))</f>
        <v>4) Rs 200-499</v>
      </c>
      <c r="O619" s="0" t="n">
        <f aca="false">G619*E619/1000</f>
        <v>6</v>
      </c>
    </row>
    <row r="620" customFormat="false" ht="15" hidden="false" customHeight="false" outlineLevel="0" collapsed="false">
      <c r="A620" s="0" t="s">
        <v>117</v>
      </c>
      <c r="B620" s="0" t="s">
        <v>116</v>
      </c>
      <c r="C620" s="0" t="n">
        <v>925</v>
      </c>
      <c r="D620" s="0" t="n">
        <v>0</v>
      </c>
      <c r="E620" s="0" t="n">
        <v>6</v>
      </c>
      <c r="F620" s="0" t="n">
        <v>925</v>
      </c>
      <c r="G620" s="0" t="n">
        <v>5000</v>
      </c>
      <c r="H620" s="0" t="s">
        <v>145</v>
      </c>
      <c r="I620" s="0" t="n">
        <v>5</v>
      </c>
      <c r="J620" s="0" t="n">
        <f aca="false">F620*E620</f>
        <v>5550</v>
      </c>
      <c r="K620" s="0" t="str">
        <f aca="false">IF(G620&lt;1000,"1-Low",IF(G620&lt;5000,"2-Medium","3-Bulk"))</f>
        <v>3-Bulk</v>
      </c>
      <c r="L620" s="0" t="str">
        <f aca="false">IF(H620="TRUE","Out of stock","In stock")</f>
        <v>In stock</v>
      </c>
      <c r="M620" s="0" t="str">
        <f aca="false">IF(D620&lt;5,"1) Under 5%",IF(D620&lt;10,"2) 5-9%",IF(D620&lt;15,"3) 10-14%",IF(D620&lt;25,"4) 15-24%","5) 25%+"))))</f>
        <v>1) Under 5%</v>
      </c>
      <c r="N620" s="0" t="str">
        <f aca="false">IF(F620&lt;50,"1) Under Rs 50",IF(F620&lt;100,"2) Rs 50-99",IF(F620&lt;200,"3) Rs 100-199",IF(F620&lt;500,"4) Rs 200-499","5) Rs 500+"))))</f>
        <v>5) Rs 500+</v>
      </c>
      <c r="O620" s="0" t="n">
        <f aca="false">G620*E620/1000</f>
        <v>30</v>
      </c>
    </row>
    <row r="621" customFormat="false" ht="15" hidden="false" customHeight="false" outlineLevel="0" collapsed="false">
      <c r="A621" s="0" t="s">
        <v>117</v>
      </c>
      <c r="B621" s="0" t="s">
        <v>245</v>
      </c>
      <c r="C621" s="0" t="n">
        <v>225</v>
      </c>
      <c r="D621" s="0" t="n">
        <v>11</v>
      </c>
      <c r="E621" s="0" t="n">
        <v>6</v>
      </c>
      <c r="F621" s="0" t="n">
        <v>199</v>
      </c>
      <c r="G621" s="0" t="n">
        <v>1000</v>
      </c>
      <c r="H621" s="0" t="s">
        <v>145</v>
      </c>
      <c r="I621" s="0" t="n">
        <v>1</v>
      </c>
      <c r="J621" s="0" t="n">
        <f aca="false">F621*E621</f>
        <v>1194</v>
      </c>
      <c r="K621" s="0" t="str">
        <f aca="false">IF(G621&lt;1000,"1-Low",IF(G621&lt;5000,"2-Medium","3-Bulk"))</f>
        <v>2-Medium</v>
      </c>
      <c r="L621" s="0" t="str">
        <f aca="false">IF(H621="TRUE","Out of stock","In stock")</f>
        <v>In stock</v>
      </c>
      <c r="M621" s="0" t="str">
        <f aca="false">IF(D621&lt;5,"1) Under 5%",IF(D621&lt;10,"2) 5-9%",IF(D621&lt;15,"3) 10-14%",IF(D621&lt;25,"4) 15-24%","5) 25%+"))))</f>
        <v>3) 10-14%</v>
      </c>
      <c r="N621" s="0" t="str">
        <f aca="false">IF(F621&lt;50,"1) Under Rs 50",IF(F621&lt;100,"2) Rs 50-99",IF(F621&lt;200,"3) Rs 100-199",IF(F621&lt;500,"4) Rs 200-499","5) Rs 500+"))))</f>
        <v>3) Rs 100-199</v>
      </c>
      <c r="O621" s="0" t="n">
        <f aca="false">G621*E621/1000</f>
        <v>6</v>
      </c>
    </row>
    <row r="622" customFormat="false" ht="15" hidden="false" customHeight="false" outlineLevel="0" collapsed="false">
      <c r="A622" s="0" t="s">
        <v>117</v>
      </c>
      <c r="B622" s="0" t="s">
        <v>246</v>
      </c>
      <c r="C622" s="0" t="n">
        <v>210</v>
      </c>
      <c r="D622" s="0" t="n">
        <v>0</v>
      </c>
      <c r="E622" s="0" t="n">
        <v>6</v>
      </c>
      <c r="F622" s="0" t="n">
        <v>210</v>
      </c>
      <c r="G622" s="0" t="n">
        <v>1000</v>
      </c>
      <c r="H622" s="0" t="s">
        <v>145</v>
      </c>
      <c r="I622" s="0" t="n">
        <v>1</v>
      </c>
      <c r="J622" s="0" t="n">
        <f aca="false">F622*E622</f>
        <v>1260</v>
      </c>
      <c r="K622" s="0" t="str">
        <f aca="false">IF(G622&lt;1000,"1-Low",IF(G622&lt;5000,"2-Medium","3-Bulk"))</f>
        <v>2-Medium</v>
      </c>
      <c r="L622" s="0" t="str">
        <f aca="false">IF(H622="TRUE","Out of stock","In stock")</f>
        <v>In stock</v>
      </c>
      <c r="M622" s="0" t="str">
        <f aca="false">IF(D622&lt;5,"1) Under 5%",IF(D622&lt;10,"2) 5-9%",IF(D622&lt;15,"3) 10-14%",IF(D622&lt;25,"4) 15-24%","5) 25%+"))))</f>
        <v>1) Under 5%</v>
      </c>
      <c r="N622" s="0" t="str">
        <f aca="false">IF(F622&lt;50,"1) Under Rs 50",IF(F622&lt;100,"2) Rs 50-99",IF(F622&lt;200,"3) Rs 100-199",IF(F622&lt;500,"4) Rs 200-499","5) Rs 500+"))))</f>
        <v>4) Rs 200-499</v>
      </c>
      <c r="O622" s="0" t="n">
        <f aca="false">G622*E622/1000</f>
        <v>6</v>
      </c>
    </row>
    <row r="623" customFormat="false" ht="15" hidden="false" customHeight="false" outlineLevel="0" collapsed="false">
      <c r="A623" s="0" t="s">
        <v>117</v>
      </c>
      <c r="B623" s="0" t="s">
        <v>241</v>
      </c>
      <c r="C623" s="0" t="n">
        <v>505</v>
      </c>
      <c r="D623" s="0" t="n">
        <v>1</v>
      </c>
      <c r="E623" s="0" t="n">
        <v>2</v>
      </c>
      <c r="F623" s="0" t="n">
        <v>499</v>
      </c>
      <c r="G623" s="0" t="n">
        <v>1000</v>
      </c>
      <c r="H623" s="0" t="s">
        <v>145</v>
      </c>
      <c r="I623" s="0" t="n">
        <v>1</v>
      </c>
      <c r="J623" s="0" t="n">
        <f aca="false">F623*E623</f>
        <v>998</v>
      </c>
      <c r="K623" s="0" t="str">
        <f aca="false">IF(G623&lt;1000,"1-Low",IF(G623&lt;5000,"2-Medium","3-Bulk"))</f>
        <v>2-Medium</v>
      </c>
      <c r="L623" s="0" t="str">
        <f aca="false">IF(H623="TRUE","Out of stock","In stock")</f>
        <v>In stock</v>
      </c>
      <c r="M623" s="0" t="str">
        <f aca="false">IF(D623&lt;5,"1) Under 5%",IF(D623&lt;10,"2) 5-9%",IF(D623&lt;15,"3) 10-14%",IF(D623&lt;25,"4) 15-24%","5) 25%+"))))</f>
        <v>1) Under 5%</v>
      </c>
      <c r="N623" s="0" t="str">
        <f aca="false">IF(F623&lt;50,"1) Under Rs 50",IF(F623&lt;100,"2) Rs 50-99",IF(F623&lt;200,"3) Rs 100-199",IF(F623&lt;500,"4) Rs 200-499","5) Rs 500+"))))</f>
        <v>4) Rs 200-499</v>
      </c>
      <c r="O623" s="0" t="n">
        <f aca="false">G623*E623/1000</f>
        <v>2</v>
      </c>
    </row>
    <row r="624" customFormat="false" ht="15" hidden="false" customHeight="false" outlineLevel="0" collapsed="false">
      <c r="A624" s="0" t="s">
        <v>117</v>
      </c>
      <c r="B624" s="0" t="s">
        <v>247</v>
      </c>
      <c r="C624" s="0" t="n">
        <v>460</v>
      </c>
      <c r="D624" s="0" t="n">
        <v>13</v>
      </c>
      <c r="E624" s="0" t="n">
        <v>6</v>
      </c>
      <c r="F624" s="0" t="n">
        <v>399</v>
      </c>
      <c r="G624" s="0" t="n">
        <v>10000</v>
      </c>
      <c r="H624" s="0" t="s">
        <v>145</v>
      </c>
      <c r="I624" s="0" t="n">
        <v>10</v>
      </c>
      <c r="J624" s="0" t="n">
        <f aca="false">F624*E624</f>
        <v>2394</v>
      </c>
      <c r="K624" s="0" t="str">
        <f aca="false">IF(G624&lt;1000,"1-Low",IF(G624&lt;5000,"2-Medium","3-Bulk"))</f>
        <v>3-Bulk</v>
      </c>
      <c r="L624" s="0" t="str">
        <f aca="false">IF(H624="TRUE","Out of stock","In stock")</f>
        <v>In stock</v>
      </c>
      <c r="M624" s="0" t="str">
        <f aca="false">IF(D624&lt;5,"1) Under 5%",IF(D624&lt;10,"2) 5-9%",IF(D624&lt;15,"3) 10-14%",IF(D624&lt;25,"4) 15-24%","5) 25%+"))))</f>
        <v>3) 10-14%</v>
      </c>
      <c r="N624" s="0" t="str">
        <f aca="false">IF(F624&lt;50,"1) Under Rs 50",IF(F624&lt;100,"2) Rs 50-99",IF(F624&lt;200,"3) Rs 100-199",IF(F624&lt;500,"4) Rs 200-499","5) Rs 500+"))))</f>
        <v>4) Rs 200-499</v>
      </c>
      <c r="O624" s="0" t="n">
        <f aca="false">G624*E624/1000</f>
        <v>60</v>
      </c>
    </row>
    <row r="625" customFormat="false" ht="15" hidden="false" customHeight="false" outlineLevel="0" collapsed="false">
      <c r="A625" s="0" t="s">
        <v>117</v>
      </c>
      <c r="B625" s="0" t="s">
        <v>248</v>
      </c>
      <c r="C625" s="0" t="n">
        <v>160</v>
      </c>
      <c r="D625" s="0" t="n">
        <v>6</v>
      </c>
      <c r="E625" s="0" t="n">
        <v>4</v>
      </c>
      <c r="F625" s="0" t="n">
        <v>149</v>
      </c>
      <c r="G625" s="0" t="n">
        <v>1000</v>
      </c>
      <c r="H625" s="0" t="s">
        <v>145</v>
      </c>
      <c r="I625" s="0" t="n">
        <v>1</v>
      </c>
      <c r="J625" s="0" t="n">
        <f aca="false">F625*E625</f>
        <v>596</v>
      </c>
      <c r="K625" s="0" t="str">
        <f aca="false">IF(G625&lt;1000,"1-Low",IF(G625&lt;5000,"2-Medium","3-Bulk"))</f>
        <v>2-Medium</v>
      </c>
      <c r="L625" s="0" t="str">
        <f aca="false">IF(H625="TRUE","Out of stock","In stock")</f>
        <v>In stock</v>
      </c>
      <c r="M625" s="0" t="str">
        <f aca="false">IF(D625&lt;5,"1) Under 5%",IF(D625&lt;10,"2) 5-9%",IF(D625&lt;15,"3) 10-14%",IF(D625&lt;25,"4) 15-24%","5) 25%+"))))</f>
        <v>2) 5-9%</v>
      </c>
      <c r="N625" s="0" t="str">
        <f aca="false">IF(F625&lt;50,"1) Under Rs 50",IF(F625&lt;100,"2) Rs 50-99",IF(F625&lt;200,"3) Rs 100-199",IF(F625&lt;500,"4) Rs 200-499","5) Rs 500+"))))</f>
        <v>3) Rs 100-199</v>
      </c>
      <c r="O625" s="0" t="n">
        <f aca="false">G625*E625/1000</f>
        <v>4</v>
      </c>
    </row>
    <row r="626" customFormat="false" ht="15" hidden="false" customHeight="false" outlineLevel="0" collapsed="false">
      <c r="A626" s="0" t="s">
        <v>117</v>
      </c>
      <c r="B626" s="0" t="s">
        <v>249</v>
      </c>
      <c r="C626" s="0" t="n">
        <v>520</v>
      </c>
      <c r="D626" s="0" t="n">
        <v>2</v>
      </c>
      <c r="E626" s="0" t="n">
        <v>6</v>
      </c>
      <c r="F626" s="0" t="n">
        <v>509</v>
      </c>
      <c r="G626" s="0" t="n">
        <v>1000</v>
      </c>
      <c r="H626" s="0" t="s">
        <v>145</v>
      </c>
      <c r="I626" s="0" t="n">
        <v>1</v>
      </c>
      <c r="J626" s="0" t="n">
        <f aca="false">F626*E626</f>
        <v>3054</v>
      </c>
      <c r="K626" s="0" t="str">
        <f aca="false">IF(G626&lt;1000,"1-Low",IF(G626&lt;5000,"2-Medium","3-Bulk"))</f>
        <v>2-Medium</v>
      </c>
      <c r="L626" s="0" t="str">
        <f aca="false">IF(H626="TRUE","Out of stock","In stock")</f>
        <v>In stock</v>
      </c>
      <c r="M626" s="0" t="str">
        <f aca="false">IF(D626&lt;5,"1) Under 5%",IF(D626&lt;10,"2) 5-9%",IF(D626&lt;15,"3) 10-14%",IF(D626&lt;25,"4) 15-24%","5) 25%+"))))</f>
        <v>1) Under 5%</v>
      </c>
      <c r="N626" s="0" t="str">
        <f aca="false">IF(F626&lt;50,"1) Under Rs 50",IF(F626&lt;100,"2) Rs 50-99",IF(F626&lt;200,"3) Rs 100-199",IF(F626&lt;500,"4) Rs 200-499","5) Rs 500+"))))</f>
        <v>5) Rs 500+</v>
      </c>
      <c r="O626" s="0" t="n">
        <f aca="false">G626*E626/1000</f>
        <v>6</v>
      </c>
    </row>
    <row r="627" customFormat="false" ht="15" hidden="false" customHeight="false" outlineLevel="0" collapsed="false">
      <c r="A627" s="0" t="s">
        <v>117</v>
      </c>
      <c r="B627" s="0" t="s">
        <v>250</v>
      </c>
      <c r="C627" s="0" t="n">
        <v>197</v>
      </c>
      <c r="D627" s="0" t="n">
        <v>3</v>
      </c>
      <c r="E627" s="0" t="n">
        <v>3</v>
      </c>
      <c r="F627" s="0" t="n">
        <v>191</v>
      </c>
      <c r="G627" s="0" t="n">
        <v>1000</v>
      </c>
      <c r="H627" s="0" t="s">
        <v>145</v>
      </c>
      <c r="I627" s="0" t="n">
        <v>1</v>
      </c>
      <c r="J627" s="0" t="n">
        <f aca="false">F627*E627</f>
        <v>573</v>
      </c>
      <c r="K627" s="0" t="str">
        <f aca="false">IF(G627&lt;1000,"1-Low",IF(G627&lt;5000,"2-Medium","3-Bulk"))</f>
        <v>2-Medium</v>
      </c>
      <c r="L627" s="0" t="str">
        <f aca="false">IF(H627="TRUE","Out of stock","In stock")</f>
        <v>In stock</v>
      </c>
      <c r="M627" s="0" t="str">
        <f aca="false">IF(D627&lt;5,"1) Under 5%",IF(D627&lt;10,"2) 5-9%",IF(D627&lt;15,"3) 10-14%",IF(D627&lt;25,"4) 15-24%","5) 25%+"))))</f>
        <v>1) Under 5%</v>
      </c>
      <c r="N627" s="0" t="str">
        <f aca="false">IF(F627&lt;50,"1) Under Rs 50",IF(F627&lt;100,"2) Rs 50-99",IF(F627&lt;200,"3) Rs 100-199",IF(F627&lt;500,"4) Rs 200-499","5) Rs 500+"))))</f>
        <v>3) Rs 100-199</v>
      </c>
      <c r="O627" s="0" t="n">
        <f aca="false">G627*E627/1000</f>
        <v>3</v>
      </c>
    </row>
    <row r="628" customFormat="false" ht="15" hidden="false" customHeight="false" outlineLevel="0" collapsed="false">
      <c r="A628" s="0" t="s">
        <v>117</v>
      </c>
      <c r="B628" s="0" t="s">
        <v>251</v>
      </c>
      <c r="C628" s="0" t="n">
        <v>50</v>
      </c>
      <c r="D628" s="0" t="n">
        <v>2</v>
      </c>
      <c r="E628" s="0" t="n">
        <v>6</v>
      </c>
      <c r="F628" s="0" t="n">
        <v>49</v>
      </c>
      <c r="G628" s="0" t="n">
        <v>450</v>
      </c>
      <c r="H628" s="0" t="s">
        <v>145</v>
      </c>
      <c r="I628" s="0" t="n">
        <v>450</v>
      </c>
      <c r="J628" s="0" t="n">
        <f aca="false">F628*E628</f>
        <v>294</v>
      </c>
      <c r="K628" s="0" t="str">
        <f aca="false">IF(G628&lt;1000,"1-Low",IF(G628&lt;5000,"2-Medium","3-Bulk"))</f>
        <v>1-Low</v>
      </c>
      <c r="L628" s="0" t="str">
        <f aca="false">IF(H628="TRUE","Out of stock","In stock")</f>
        <v>In stock</v>
      </c>
      <c r="M628" s="0" t="str">
        <f aca="false">IF(D628&lt;5,"1) Under 5%",IF(D628&lt;10,"2) 5-9%",IF(D628&lt;15,"3) 10-14%",IF(D628&lt;25,"4) 15-24%","5) 25%+"))))</f>
        <v>1) Under 5%</v>
      </c>
      <c r="N628" s="0" t="str">
        <f aca="false">IF(F628&lt;50,"1) Under Rs 50",IF(F628&lt;100,"2) Rs 50-99",IF(F628&lt;200,"3) Rs 100-199",IF(F628&lt;500,"4) Rs 200-499","5) Rs 500+"))))</f>
        <v>1) Under Rs 50</v>
      </c>
      <c r="O628" s="0" t="n">
        <f aca="false">G628*E628/1000</f>
        <v>2.7</v>
      </c>
    </row>
    <row r="629" customFormat="false" ht="15" hidden="false" customHeight="false" outlineLevel="0" collapsed="false">
      <c r="A629" s="0" t="s">
        <v>117</v>
      </c>
      <c r="B629" s="0" t="s">
        <v>252</v>
      </c>
      <c r="C629" s="0" t="n">
        <v>64</v>
      </c>
      <c r="D629" s="0" t="n">
        <v>3</v>
      </c>
      <c r="E629" s="0" t="n">
        <v>2</v>
      </c>
      <c r="F629" s="0" t="n">
        <v>62</v>
      </c>
      <c r="G629" s="0" t="n">
        <v>1000</v>
      </c>
      <c r="H629" s="0" t="s">
        <v>145</v>
      </c>
      <c r="I629" s="0" t="n">
        <v>1</v>
      </c>
      <c r="J629" s="0" t="n">
        <f aca="false">F629*E629</f>
        <v>124</v>
      </c>
      <c r="K629" s="0" t="str">
        <f aca="false">IF(G629&lt;1000,"1-Low",IF(G629&lt;5000,"2-Medium","3-Bulk"))</f>
        <v>2-Medium</v>
      </c>
      <c r="L629" s="0" t="str">
        <f aca="false">IF(H629="TRUE","Out of stock","In stock")</f>
        <v>In stock</v>
      </c>
      <c r="M629" s="0" t="str">
        <f aca="false">IF(D629&lt;5,"1) Under 5%",IF(D629&lt;10,"2) 5-9%",IF(D629&lt;15,"3) 10-14%",IF(D629&lt;25,"4) 15-24%","5) 25%+"))))</f>
        <v>1) Under 5%</v>
      </c>
      <c r="N629" s="0" t="str">
        <f aca="false">IF(F629&lt;50,"1) Under Rs 50",IF(F629&lt;100,"2) Rs 50-99",IF(F629&lt;200,"3) Rs 100-199",IF(F629&lt;500,"4) Rs 200-499","5) Rs 500+"))))</f>
        <v>2) Rs 50-99</v>
      </c>
      <c r="O629" s="0" t="n">
        <f aca="false">G629*E629/1000</f>
        <v>2</v>
      </c>
    </row>
    <row r="630" customFormat="false" ht="15" hidden="false" customHeight="false" outlineLevel="0" collapsed="false">
      <c r="A630" s="0" t="s">
        <v>117</v>
      </c>
      <c r="B630" s="0" t="s">
        <v>110</v>
      </c>
      <c r="C630" s="0" t="n">
        <v>1005</v>
      </c>
      <c r="D630" s="0" t="n">
        <v>0</v>
      </c>
      <c r="E630" s="0" t="n">
        <v>6</v>
      </c>
      <c r="F630" s="0" t="n">
        <v>999</v>
      </c>
      <c r="G630" s="0" t="n">
        <v>5000</v>
      </c>
      <c r="H630" s="0" t="s">
        <v>145</v>
      </c>
      <c r="I630" s="0" t="n">
        <v>5</v>
      </c>
      <c r="J630" s="0" t="n">
        <f aca="false">F630*E630</f>
        <v>5994</v>
      </c>
      <c r="K630" s="0" t="str">
        <f aca="false">IF(G630&lt;1000,"1-Low",IF(G630&lt;5000,"2-Medium","3-Bulk"))</f>
        <v>3-Bulk</v>
      </c>
      <c r="L630" s="0" t="str">
        <f aca="false">IF(H630="TRUE","Out of stock","In stock")</f>
        <v>In stock</v>
      </c>
      <c r="M630" s="0" t="str">
        <f aca="false">IF(D630&lt;5,"1) Under 5%",IF(D630&lt;10,"2) 5-9%",IF(D630&lt;15,"3) 10-14%",IF(D630&lt;25,"4) 15-24%","5) 25%+"))))</f>
        <v>1) Under 5%</v>
      </c>
      <c r="N630" s="0" t="str">
        <f aca="false">IF(F630&lt;50,"1) Under Rs 50",IF(F630&lt;100,"2) Rs 50-99",IF(F630&lt;200,"3) Rs 100-199",IF(F630&lt;500,"4) Rs 200-499","5) Rs 500+"))))</f>
        <v>5) Rs 500+</v>
      </c>
      <c r="O630" s="0" t="n">
        <f aca="false">G630*E630/1000</f>
        <v>30</v>
      </c>
    </row>
    <row r="631" customFormat="false" ht="15" hidden="false" customHeight="false" outlineLevel="0" collapsed="false">
      <c r="A631" s="0" t="s">
        <v>117</v>
      </c>
      <c r="B631" s="0" t="s">
        <v>253</v>
      </c>
      <c r="C631" s="0" t="n">
        <v>25</v>
      </c>
      <c r="D631" s="0" t="n">
        <v>0</v>
      </c>
      <c r="E631" s="0" t="n">
        <v>6</v>
      </c>
      <c r="F631" s="0" t="n">
        <v>25</v>
      </c>
      <c r="G631" s="0" t="n">
        <v>50</v>
      </c>
      <c r="H631" s="0" t="s">
        <v>145</v>
      </c>
      <c r="I631" s="0" t="n">
        <v>50</v>
      </c>
      <c r="J631" s="0" t="n">
        <f aca="false">F631*E631</f>
        <v>150</v>
      </c>
      <c r="K631" s="0" t="str">
        <f aca="false">IF(G631&lt;1000,"1-Low",IF(G631&lt;5000,"2-Medium","3-Bulk"))</f>
        <v>1-Low</v>
      </c>
      <c r="L631" s="0" t="str">
        <f aca="false">IF(H631="TRUE","Out of stock","In stock")</f>
        <v>In stock</v>
      </c>
      <c r="M631" s="0" t="str">
        <f aca="false">IF(D631&lt;5,"1) Under 5%",IF(D631&lt;10,"2) 5-9%",IF(D631&lt;15,"3) 10-14%",IF(D631&lt;25,"4) 15-24%","5) 25%+"))))</f>
        <v>1) Under 5%</v>
      </c>
      <c r="N631" s="0" t="str">
        <f aca="false">IF(F631&lt;50,"1) Under Rs 50",IF(F631&lt;100,"2) Rs 50-99",IF(F631&lt;200,"3) Rs 100-199",IF(F631&lt;500,"4) Rs 200-499","5) Rs 500+"))))</f>
        <v>1) Under Rs 50</v>
      </c>
      <c r="O631" s="0" t="n">
        <f aca="false">G631*E631/1000</f>
        <v>0.3</v>
      </c>
    </row>
    <row r="632" customFormat="false" ht="15" hidden="false" customHeight="false" outlineLevel="0" collapsed="false">
      <c r="A632" s="0" t="s">
        <v>117</v>
      </c>
      <c r="B632" s="0" t="s">
        <v>254</v>
      </c>
      <c r="C632" s="0" t="n">
        <v>185</v>
      </c>
      <c r="D632" s="0" t="n">
        <v>1</v>
      </c>
      <c r="E632" s="0" t="n">
        <v>4</v>
      </c>
      <c r="F632" s="0" t="n">
        <v>183</v>
      </c>
      <c r="G632" s="0" t="n">
        <v>1000</v>
      </c>
      <c r="H632" s="0" t="s">
        <v>145</v>
      </c>
      <c r="I632" s="0" t="n">
        <v>500</v>
      </c>
      <c r="J632" s="0" t="n">
        <f aca="false">F632*E632</f>
        <v>732</v>
      </c>
      <c r="K632" s="0" t="str">
        <f aca="false">IF(G632&lt;1000,"1-Low",IF(G632&lt;5000,"2-Medium","3-Bulk"))</f>
        <v>2-Medium</v>
      </c>
      <c r="L632" s="0" t="str">
        <f aca="false">IF(H632="TRUE","Out of stock","In stock")</f>
        <v>In stock</v>
      </c>
      <c r="M632" s="0" t="str">
        <f aca="false">IF(D632&lt;5,"1) Under 5%",IF(D632&lt;10,"2) 5-9%",IF(D632&lt;15,"3) 10-14%",IF(D632&lt;25,"4) 15-24%","5) 25%+"))))</f>
        <v>1) Under 5%</v>
      </c>
      <c r="N632" s="0" t="str">
        <f aca="false">IF(F632&lt;50,"1) Under Rs 50",IF(F632&lt;100,"2) Rs 50-99",IF(F632&lt;200,"3) Rs 100-199",IF(F632&lt;500,"4) Rs 200-499","5) Rs 500+"))))</f>
        <v>3) Rs 100-199</v>
      </c>
      <c r="O632" s="0" t="n">
        <f aca="false">G632*E632/1000</f>
        <v>4</v>
      </c>
    </row>
    <row r="633" customFormat="false" ht="15" hidden="false" customHeight="false" outlineLevel="0" collapsed="false">
      <c r="A633" s="0" t="s">
        <v>117</v>
      </c>
      <c r="B633" s="0" t="s">
        <v>255</v>
      </c>
      <c r="C633" s="0" t="n">
        <v>230</v>
      </c>
      <c r="D633" s="0" t="n">
        <v>11</v>
      </c>
      <c r="E633" s="0" t="n">
        <v>6</v>
      </c>
      <c r="F633" s="0" t="n">
        <v>203</v>
      </c>
      <c r="G633" s="0" t="n">
        <v>1000</v>
      </c>
      <c r="H633" s="0" t="s">
        <v>145</v>
      </c>
      <c r="I633" s="0" t="n">
        <v>1</v>
      </c>
      <c r="J633" s="0" t="n">
        <f aca="false">F633*E633</f>
        <v>1218</v>
      </c>
      <c r="K633" s="0" t="str">
        <f aca="false">IF(G633&lt;1000,"1-Low",IF(G633&lt;5000,"2-Medium","3-Bulk"))</f>
        <v>2-Medium</v>
      </c>
      <c r="L633" s="0" t="str">
        <f aca="false">IF(H633="TRUE","Out of stock","In stock")</f>
        <v>In stock</v>
      </c>
      <c r="M633" s="0" t="str">
        <f aca="false">IF(D633&lt;5,"1) Under 5%",IF(D633&lt;10,"2) 5-9%",IF(D633&lt;15,"3) 10-14%",IF(D633&lt;25,"4) 15-24%","5) 25%+"))))</f>
        <v>3) 10-14%</v>
      </c>
      <c r="N633" s="0" t="str">
        <f aca="false">IF(F633&lt;50,"1) Under Rs 50",IF(F633&lt;100,"2) Rs 50-99",IF(F633&lt;200,"3) Rs 100-199",IF(F633&lt;500,"4) Rs 200-499","5) Rs 500+"))))</f>
        <v>4) Rs 200-499</v>
      </c>
      <c r="O633" s="0" t="n">
        <f aca="false">G633*E633/1000</f>
        <v>6</v>
      </c>
    </row>
    <row r="634" customFormat="false" ht="15" hidden="false" customHeight="false" outlineLevel="0" collapsed="false">
      <c r="A634" s="0" t="s">
        <v>117</v>
      </c>
      <c r="B634" s="0" t="s">
        <v>112</v>
      </c>
      <c r="C634" s="0" t="n">
        <v>1200</v>
      </c>
      <c r="D634" s="0" t="n">
        <v>18</v>
      </c>
      <c r="E634" s="0" t="n">
        <v>6</v>
      </c>
      <c r="F634" s="0" t="n">
        <v>984</v>
      </c>
      <c r="G634" s="0" t="n">
        <v>5000</v>
      </c>
      <c r="H634" s="0" t="s">
        <v>145</v>
      </c>
      <c r="I634" s="0" t="n">
        <v>5</v>
      </c>
      <c r="J634" s="0" t="n">
        <f aca="false">F634*E634</f>
        <v>5904</v>
      </c>
      <c r="K634" s="0" t="str">
        <f aca="false">IF(G634&lt;1000,"1-Low",IF(G634&lt;5000,"2-Medium","3-Bulk"))</f>
        <v>3-Bulk</v>
      </c>
      <c r="L634" s="0" t="str">
        <f aca="false">IF(H634="TRUE","Out of stock","In stock")</f>
        <v>In stock</v>
      </c>
      <c r="M634" s="0" t="str">
        <f aca="false">IF(D634&lt;5,"1) Under 5%",IF(D634&lt;10,"2) 5-9%",IF(D634&lt;15,"3) 10-14%",IF(D634&lt;25,"4) 15-24%","5) 25%+"))))</f>
        <v>4) 15-24%</v>
      </c>
      <c r="N634" s="0" t="str">
        <f aca="false">IF(F634&lt;50,"1) Under Rs 50",IF(F634&lt;100,"2) Rs 50-99",IF(F634&lt;200,"3) Rs 100-199",IF(F634&lt;500,"4) Rs 200-499","5) Rs 500+"))))</f>
        <v>5) Rs 500+</v>
      </c>
      <c r="O634" s="0" t="n">
        <f aca="false">G634*E634/1000</f>
        <v>30</v>
      </c>
    </row>
    <row r="635" customFormat="false" ht="15" hidden="false" customHeight="false" outlineLevel="0" collapsed="false">
      <c r="A635" s="0" t="s">
        <v>117</v>
      </c>
      <c r="B635" s="0" t="s">
        <v>256</v>
      </c>
      <c r="C635" s="0" t="n">
        <v>80</v>
      </c>
      <c r="D635" s="0" t="n">
        <v>15</v>
      </c>
      <c r="E635" s="0" t="n">
        <v>6</v>
      </c>
      <c r="F635" s="0" t="n">
        <v>68</v>
      </c>
      <c r="G635" s="0" t="n">
        <v>500</v>
      </c>
      <c r="H635" s="0" t="s">
        <v>145</v>
      </c>
      <c r="I635" s="0" t="n">
        <v>500</v>
      </c>
      <c r="J635" s="0" t="n">
        <f aca="false">F635*E635</f>
        <v>408</v>
      </c>
      <c r="K635" s="0" t="str">
        <f aca="false">IF(G635&lt;1000,"1-Low",IF(G635&lt;5000,"2-Medium","3-Bulk"))</f>
        <v>1-Low</v>
      </c>
      <c r="L635" s="0" t="str">
        <f aca="false">IF(H635="TRUE","Out of stock","In stock")</f>
        <v>In stock</v>
      </c>
      <c r="M635" s="0" t="str">
        <f aca="false">IF(D635&lt;5,"1) Under 5%",IF(D635&lt;10,"2) 5-9%",IF(D635&lt;15,"3) 10-14%",IF(D635&lt;25,"4) 15-24%","5) 25%+"))))</f>
        <v>4) 15-24%</v>
      </c>
      <c r="N635" s="0" t="str">
        <f aca="false">IF(F635&lt;50,"1) Under Rs 50",IF(F635&lt;100,"2) Rs 50-99",IF(F635&lt;200,"3) Rs 100-199",IF(F635&lt;500,"4) Rs 200-499","5) Rs 500+"))))</f>
        <v>2) Rs 50-99</v>
      </c>
      <c r="O635" s="0" t="n">
        <f aca="false">G635*E635/1000</f>
        <v>3</v>
      </c>
    </row>
    <row r="636" customFormat="false" ht="15" hidden="false" customHeight="false" outlineLevel="0" collapsed="false">
      <c r="A636" s="0" t="s">
        <v>117</v>
      </c>
      <c r="B636" s="0" t="s">
        <v>257</v>
      </c>
      <c r="C636" s="0" t="n">
        <v>94</v>
      </c>
      <c r="D636" s="0" t="n">
        <v>0</v>
      </c>
      <c r="E636" s="0" t="n">
        <v>1</v>
      </c>
      <c r="F636" s="0" t="n">
        <v>94</v>
      </c>
      <c r="G636" s="0" t="n">
        <v>500</v>
      </c>
      <c r="H636" s="0" t="s">
        <v>145</v>
      </c>
      <c r="I636" s="0" t="n">
        <v>500</v>
      </c>
      <c r="J636" s="0" t="n">
        <f aca="false">F636*E636</f>
        <v>94</v>
      </c>
      <c r="K636" s="0" t="str">
        <f aca="false">IF(G636&lt;1000,"1-Low",IF(G636&lt;5000,"2-Medium","3-Bulk"))</f>
        <v>1-Low</v>
      </c>
      <c r="L636" s="0" t="str">
        <f aca="false">IF(H636="TRUE","Out of stock","In stock")</f>
        <v>In stock</v>
      </c>
      <c r="M636" s="0" t="str">
        <f aca="false">IF(D636&lt;5,"1) Under 5%",IF(D636&lt;10,"2) 5-9%",IF(D636&lt;15,"3) 10-14%",IF(D636&lt;25,"4) 15-24%","5) 25%+"))))</f>
        <v>1) Under 5%</v>
      </c>
      <c r="N636" s="0" t="str">
        <f aca="false">IF(F636&lt;50,"1) Under Rs 50",IF(F636&lt;100,"2) Rs 50-99",IF(F636&lt;200,"3) Rs 100-199",IF(F636&lt;500,"4) Rs 200-499","5) Rs 500+"))))</f>
        <v>2) Rs 50-99</v>
      </c>
      <c r="O636" s="0" t="n">
        <f aca="false">G636*E636/1000</f>
        <v>0.5</v>
      </c>
    </row>
    <row r="637" customFormat="false" ht="15" hidden="false" customHeight="false" outlineLevel="0" collapsed="false">
      <c r="A637" s="0" t="s">
        <v>117</v>
      </c>
      <c r="B637" s="0" t="s">
        <v>102</v>
      </c>
      <c r="C637" s="0" t="n">
        <v>1250</v>
      </c>
      <c r="D637" s="0" t="n">
        <v>8</v>
      </c>
      <c r="E637" s="0" t="n">
        <v>6</v>
      </c>
      <c r="F637" s="0" t="n">
        <v>1143</v>
      </c>
      <c r="G637" s="0" t="n">
        <v>5000</v>
      </c>
      <c r="H637" s="0" t="s">
        <v>145</v>
      </c>
      <c r="I637" s="0" t="n">
        <v>5</v>
      </c>
      <c r="J637" s="0" t="n">
        <f aca="false">F637*E637</f>
        <v>6858</v>
      </c>
      <c r="K637" s="0" t="str">
        <f aca="false">IF(G637&lt;1000,"1-Low",IF(G637&lt;5000,"2-Medium","3-Bulk"))</f>
        <v>3-Bulk</v>
      </c>
      <c r="L637" s="0" t="str">
        <f aca="false">IF(H637="TRUE","Out of stock","In stock")</f>
        <v>In stock</v>
      </c>
      <c r="M637" s="0" t="str">
        <f aca="false">IF(D637&lt;5,"1) Under 5%",IF(D637&lt;10,"2) 5-9%",IF(D637&lt;15,"3) 10-14%",IF(D637&lt;25,"4) 15-24%","5) 25%+"))))</f>
        <v>2) 5-9%</v>
      </c>
      <c r="N637" s="0" t="str">
        <f aca="false">IF(F637&lt;50,"1) Under Rs 50",IF(F637&lt;100,"2) Rs 50-99",IF(F637&lt;200,"3) Rs 100-199",IF(F637&lt;500,"4) Rs 200-499","5) Rs 500+"))))</f>
        <v>5) Rs 500+</v>
      </c>
      <c r="O637" s="0" t="n">
        <f aca="false">G637*E637/1000</f>
        <v>30</v>
      </c>
    </row>
    <row r="638" customFormat="false" ht="15" hidden="false" customHeight="false" outlineLevel="0" collapsed="false">
      <c r="A638" s="0" t="s">
        <v>117</v>
      </c>
      <c r="B638" s="0" t="s">
        <v>258</v>
      </c>
      <c r="C638" s="0" t="n">
        <v>54</v>
      </c>
      <c r="D638" s="0" t="n">
        <v>5</v>
      </c>
      <c r="E638" s="0" t="n">
        <v>6</v>
      </c>
      <c r="F638" s="0" t="n">
        <v>51</v>
      </c>
      <c r="G638" s="0" t="n">
        <v>200</v>
      </c>
      <c r="H638" s="0" t="s">
        <v>145</v>
      </c>
      <c r="I638" s="0" t="n">
        <v>200</v>
      </c>
      <c r="J638" s="0" t="n">
        <f aca="false">F638*E638</f>
        <v>306</v>
      </c>
      <c r="K638" s="0" t="str">
        <f aca="false">IF(G638&lt;1000,"1-Low",IF(G638&lt;5000,"2-Medium","3-Bulk"))</f>
        <v>1-Low</v>
      </c>
      <c r="L638" s="0" t="str">
        <f aca="false">IF(H638="TRUE","Out of stock","In stock")</f>
        <v>In stock</v>
      </c>
      <c r="M638" s="0" t="str">
        <f aca="false">IF(D638&lt;5,"1) Under 5%",IF(D638&lt;10,"2) 5-9%",IF(D638&lt;15,"3) 10-14%",IF(D638&lt;25,"4) 15-24%","5) 25%+"))))</f>
        <v>2) 5-9%</v>
      </c>
      <c r="N638" s="0" t="str">
        <f aca="false">IF(F638&lt;50,"1) Under Rs 50",IF(F638&lt;100,"2) Rs 50-99",IF(F638&lt;200,"3) Rs 100-199",IF(F638&lt;500,"4) Rs 200-499","5) Rs 500+"))))</f>
        <v>2) Rs 50-99</v>
      </c>
      <c r="O638" s="0" t="n">
        <f aca="false">G638*E638/1000</f>
        <v>1.2</v>
      </c>
    </row>
    <row r="639" customFormat="false" ht="15" hidden="false" customHeight="false" outlineLevel="0" collapsed="false">
      <c r="A639" s="0" t="s">
        <v>117</v>
      </c>
      <c r="B639" s="0" t="s">
        <v>259</v>
      </c>
      <c r="C639" s="0" t="n">
        <v>15</v>
      </c>
      <c r="D639" s="0" t="n">
        <v>0</v>
      </c>
      <c r="E639" s="0" t="n">
        <v>3</v>
      </c>
      <c r="F639" s="0" t="n">
        <v>15</v>
      </c>
      <c r="G639" s="0" t="n">
        <v>60</v>
      </c>
      <c r="H639" s="0" t="s">
        <v>145</v>
      </c>
      <c r="I639" s="0" t="n">
        <v>60</v>
      </c>
      <c r="J639" s="0" t="n">
        <f aca="false">F639*E639</f>
        <v>45</v>
      </c>
      <c r="K639" s="0" t="str">
        <f aca="false">IF(G639&lt;1000,"1-Low",IF(G639&lt;5000,"2-Medium","3-Bulk"))</f>
        <v>1-Low</v>
      </c>
      <c r="L639" s="0" t="str">
        <f aca="false">IF(H639="TRUE","Out of stock","In stock")</f>
        <v>In stock</v>
      </c>
      <c r="M639" s="0" t="str">
        <f aca="false">IF(D639&lt;5,"1) Under 5%",IF(D639&lt;10,"2) 5-9%",IF(D639&lt;15,"3) 10-14%",IF(D639&lt;25,"4) 15-24%","5) 25%+"))))</f>
        <v>1) Under 5%</v>
      </c>
      <c r="N639" s="0" t="str">
        <f aca="false">IF(F639&lt;50,"1) Under Rs 50",IF(F639&lt;100,"2) Rs 50-99",IF(F639&lt;200,"3) Rs 100-199",IF(F639&lt;500,"4) Rs 200-499","5) Rs 500+"))))</f>
        <v>1) Under Rs 50</v>
      </c>
      <c r="O639" s="0" t="n">
        <f aca="false">G639*E639/1000</f>
        <v>0.18</v>
      </c>
    </row>
    <row r="640" customFormat="false" ht="15" hidden="false" customHeight="false" outlineLevel="0" collapsed="false">
      <c r="A640" s="0" t="s">
        <v>117</v>
      </c>
      <c r="B640" s="0" t="s">
        <v>260</v>
      </c>
      <c r="C640" s="0" t="n">
        <v>25</v>
      </c>
      <c r="D640" s="0" t="n">
        <v>8</v>
      </c>
      <c r="E640" s="0" t="n">
        <v>3</v>
      </c>
      <c r="F640" s="0" t="n">
        <v>23</v>
      </c>
      <c r="G640" s="0" t="n">
        <v>100</v>
      </c>
      <c r="H640" s="0" t="s">
        <v>145</v>
      </c>
      <c r="I640" s="0" t="n">
        <v>100</v>
      </c>
      <c r="J640" s="0" t="n">
        <f aca="false">F640*E640</f>
        <v>69</v>
      </c>
      <c r="K640" s="0" t="str">
        <f aca="false">IF(G640&lt;1000,"1-Low",IF(G640&lt;5000,"2-Medium","3-Bulk"))</f>
        <v>1-Low</v>
      </c>
      <c r="L640" s="0" t="str">
        <f aca="false">IF(H640="TRUE","Out of stock","In stock")</f>
        <v>In stock</v>
      </c>
      <c r="M640" s="0" t="str">
        <f aca="false">IF(D640&lt;5,"1) Under 5%",IF(D640&lt;10,"2) 5-9%",IF(D640&lt;15,"3) 10-14%",IF(D640&lt;25,"4) 15-24%","5) 25%+"))))</f>
        <v>2) 5-9%</v>
      </c>
      <c r="N640" s="0" t="str">
        <f aca="false">IF(F640&lt;50,"1) Under Rs 50",IF(F640&lt;100,"2) Rs 50-99",IF(F640&lt;200,"3) Rs 100-199",IF(F640&lt;500,"4) Rs 200-499","5) Rs 500+"))))</f>
        <v>1) Under Rs 50</v>
      </c>
      <c r="O640" s="0" t="n">
        <f aca="false">G640*E640/1000</f>
        <v>0.3</v>
      </c>
    </row>
    <row r="641" customFormat="false" ht="15" hidden="false" customHeight="false" outlineLevel="0" collapsed="false">
      <c r="A641" s="0" t="s">
        <v>117</v>
      </c>
      <c r="B641" s="0" t="s">
        <v>261</v>
      </c>
      <c r="C641" s="0" t="n">
        <v>15</v>
      </c>
      <c r="D641" s="0" t="n">
        <v>0</v>
      </c>
      <c r="E641" s="0" t="n">
        <v>6</v>
      </c>
      <c r="F641" s="0" t="n">
        <v>15</v>
      </c>
      <c r="G641" s="0" t="n">
        <v>60</v>
      </c>
      <c r="H641" s="0" t="s">
        <v>145</v>
      </c>
      <c r="I641" s="0" t="n">
        <v>60</v>
      </c>
      <c r="J641" s="0" t="n">
        <f aca="false">F641*E641</f>
        <v>90</v>
      </c>
      <c r="K641" s="0" t="str">
        <f aca="false">IF(G641&lt;1000,"1-Low",IF(G641&lt;5000,"2-Medium","3-Bulk"))</f>
        <v>1-Low</v>
      </c>
      <c r="L641" s="0" t="str">
        <f aca="false">IF(H641="TRUE","Out of stock","In stock")</f>
        <v>In stock</v>
      </c>
      <c r="M641" s="0" t="str">
        <f aca="false">IF(D641&lt;5,"1) Under 5%",IF(D641&lt;10,"2) 5-9%",IF(D641&lt;15,"3) 10-14%",IF(D641&lt;25,"4) 15-24%","5) 25%+"))))</f>
        <v>1) Under 5%</v>
      </c>
      <c r="N641" s="0" t="str">
        <f aca="false">IF(F641&lt;50,"1) Under Rs 50",IF(F641&lt;100,"2) Rs 50-99",IF(F641&lt;200,"3) Rs 100-199",IF(F641&lt;500,"4) Rs 200-499","5) Rs 500+"))))</f>
        <v>1) Under Rs 50</v>
      </c>
      <c r="O641" s="0" t="n">
        <f aca="false">G641*E641/1000</f>
        <v>0.36</v>
      </c>
    </row>
    <row r="642" customFormat="false" ht="15" hidden="false" customHeight="false" outlineLevel="0" collapsed="false">
      <c r="A642" s="0" t="s">
        <v>117</v>
      </c>
      <c r="B642" s="0" t="s">
        <v>262</v>
      </c>
      <c r="C642" s="0" t="n">
        <v>315</v>
      </c>
      <c r="D642" s="0" t="n">
        <v>1</v>
      </c>
      <c r="E642" s="0" t="n">
        <v>6</v>
      </c>
      <c r="F642" s="0" t="n">
        <v>309</v>
      </c>
      <c r="G642" s="0" t="n">
        <v>500</v>
      </c>
      <c r="H642" s="0" t="s">
        <v>145</v>
      </c>
      <c r="I642" s="0" t="n">
        <v>500</v>
      </c>
      <c r="J642" s="0" t="n">
        <f aca="false">F642*E642</f>
        <v>1854</v>
      </c>
      <c r="K642" s="0" t="str">
        <f aca="false">IF(G642&lt;1000,"1-Low",IF(G642&lt;5000,"2-Medium","3-Bulk"))</f>
        <v>1-Low</v>
      </c>
      <c r="L642" s="0" t="str">
        <f aca="false">IF(H642="TRUE","Out of stock","In stock")</f>
        <v>In stock</v>
      </c>
      <c r="M642" s="0" t="str">
        <f aca="false">IF(D642&lt;5,"1) Under 5%",IF(D642&lt;10,"2) 5-9%",IF(D642&lt;15,"3) 10-14%",IF(D642&lt;25,"4) 15-24%","5) 25%+"))))</f>
        <v>1) Under 5%</v>
      </c>
      <c r="N642" s="0" t="str">
        <f aca="false">IF(F642&lt;50,"1) Under Rs 50",IF(F642&lt;100,"2) Rs 50-99",IF(F642&lt;200,"3) Rs 100-199",IF(F642&lt;500,"4) Rs 200-499","5) Rs 500+"))))</f>
        <v>4) Rs 200-499</v>
      </c>
      <c r="O642" s="0" t="n">
        <f aca="false">G642*E642/1000</f>
        <v>3</v>
      </c>
    </row>
    <row r="643" customFormat="false" ht="15" hidden="false" customHeight="false" outlineLevel="0" collapsed="false">
      <c r="A643" s="0" t="s">
        <v>117</v>
      </c>
      <c r="B643" s="0" t="s">
        <v>263</v>
      </c>
      <c r="C643" s="0" t="n">
        <v>92</v>
      </c>
      <c r="D643" s="0" t="n">
        <v>4</v>
      </c>
      <c r="E643" s="0" t="n">
        <v>4</v>
      </c>
      <c r="F643" s="0" t="n">
        <v>88</v>
      </c>
      <c r="G643" s="0" t="n">
        <v>500</v>
      </c>
      <c r="H643" s="0" t="s">
        <v>145</v>
      </c>
      <c r="I643" s="0" t="n">
        <v>500</v>
      </c>
      <c r="J643" s="0" t="n">
        <f aca="false">F643*E643</f>
        <v>352</v>
      </c>
      <c r="K643" s="0" t="str">
        <f aca="false">IF(G643&lt;1000,"1-Low",IF(G643&lt;5000,"2-Medium","3-Bulk"))</f>
        <v>1-Low</v>
      </c>
      <c r="L643" s="0" t="str">
        <f aca="false">IF(H643="TRUE","Out of stock","In stock")</f>
        <v>In stock</v>
      </c>
      <c r="M643" s="0" t="str">
        <f aca="false">IF(D643&lt;5,"1) Under 5%",IF(D643&lt;10,"2) 5-9%",IF(D643&lt;15,"3) 10-14%",IF(D643&lt;25,"4) 15-24%","5) 25%+"))))</f>
        <v>1) Under 5%</v>
      </c>
      <c r="N643" s="0" t="str">
        <f aca="false">IF(F643&lt;50,"1) Under Rs 50",IF(F643&lt;100,"2) Rs 50-99",IF(F643&lt;200,"3) Rs 100-199",IF(F643&lt;500,"4) Rs 200-499","5) Rs 500+"))))</f>
        <v>2) Rs 50-99</v>
      </c>
      <c r="O643" s="0" t="n">
        <f aca="false">G643*E643/1000</f>
        <v>2</v>
      </c>
    </row>
    <row r="644" customFormat="false" ht="15" hidden="false" customHeight="false" outlineLevel="0" collapsed="false">
      <c r="A644" s="0" t="s">
        <v>117</v>
      </c>
      <c r="B644" s="0" t="s">
        <v>264</v>
      </c>
      <c r="C644" s="0" t="n">
        <v>64</v>
      </c>
      <c r="D644" s="0" t="n">
        <v>0</v>
      </c>
      <c r="E644" s="0" t="n">
        <v>6</v>
      </c>
      <c r="F644" s="0" t="n">
        <v>64</v>
      </c>
      <c r="G644" s="0" t="n">
        <v>1000</v>
      </c>
      <c r="H644" s="0" t="s">
        <v>145</v>
      </c>
      <c r="I644" s="0" t="n">
        <v>1</v>
      </c>
      <c r="J644" s="0" t="n">
        <f aca="false">F644*E644</f>
        <v>384</v>
      </c>
      <c r="K644" s="0" t="str">
        <f aca="false">IF(G644&lt;1000,"1-Low",IF(G644&lt;5000,"2-Medium","3-Bulk"))</f>
        <v>2-Medium</v>
      </c>
      <c r="L644" s="0" t="str">
        <f aca="false">IF(H644="TRUE","Out of stock","In stock")</f>
        <v>In stock</v>
      </c>
      <c r="M644" s="0" t="str">
        <f aca="false">IF(D644&lt;5,"1) Under 5%",IF(D644&lt;10,"2) 5-9%",IF(D644&lt;15,"3) 10-14%",IF(D644&lt;25,"4) 15-24%","5) 25%+"))))</f>
        <v>1) Under 5%</v>
      </c>
      <c r="N644" s="0" t="str">
        <f aca="false">IF(F644&lt;50,"1) Under Rs 50",IF(F644&lt;100,"2) Rs 50-99",IF(F644&lt;200,"3) Rs 100-199",IF(F644&lt;500,"4) Rs 200-499","5) Rs 500+"))))</f>
        <v>2) Rs 50-99</v>
      </c>
      <c r="O644" s="0" t="n">
        <f aca="false">G644*E644/1000</f>
        <v>6</v>
      </c>
    </row>
    <row r="645" customFormat="false" ht="15" hidden="false" customHeight="false" outlineLevel="0" collapsed="false">
      <c r="A645" s="0" t="s">
        <v>117</v>
      </c>
      <c r="B645" s="0" t="s">
        <v>265</v>
      </c>
      <c r="C645" s="0" t="n">
        <v>15</v>
      </c>
      <c r="D645" s="0" t="n">
        <v>0</v>
      </c>
      <c r="E645" s="0" t="n">
        <v>4</v>
      </c>
      <c r="F645" s="0" t="n">
        <v>15</v>
      </c>
      <c r="G645" s="0" t="n">
        <v>100</v>
      </c>
      <c r="H645" s="0" t="s">
        <v>145</v>
      </c>
      <c r="I645" s="0" t="n">
        <v>100</v>
      </c>
      <c r="J645" s="0" t="n">
        <f aca="false">F645*E645</f>
        <v>60</v>
      </c>
      <c r="K645" s="0" t="str">
        <f aca="false">IF(G645&lt;1000,"1-Low",IF(G645&lt;5000,"2-Medium","3-Bulk"))</f>
        <v>1-Low</v>
      </c>
      <c r="L645" s="0" t="str">
        <f aca="false">IF(H645="TRUE","Out of stock","In stock")</f>
        <v>In stock</v>
      </c>
      <c r="M645" s="0" t="str">
        <f aca="false">IF(D645&lt;5,"1) Under 5%",IF(D645&lt;10,"2) 5-9%",IF(D645&lt;15,"3) 10-14%",IF(D645&lt;25,"4) 15-24%","5) 25%+"))))</f>
        <v>1) Under 5%</v>
      </c>
      <c r="N645" s="0" t="str">
        <f aca="false">IF(F645&lt;50,"1) Under Rs 50",IF(F645&lt;100,"2) Rs 50-99",IF(F645&lt;200,"3) Rs 100-199",IF(F645&lt;500,"4) Rs 200-499","5) Rs 500+"))))</f>
        <v>1) Under Rs 50</v>
      </c>
      <c r="O645" s="0" t="n">
        <f aca="false">G645*E645/1000</f>
        <v>0.4</v>
      </c>
    </row>
    <row r="646" customFormat="false" ht="15" hidden="false" customHeight="false" outlineLevel="0" collapsed="false">
      <c r="A646" s="0" t="s">
        <v>117</v>
      </c>
      <c r="B646" s="0" t="s">
        <v>266</v>
      </c>
      <c r="C646" s="0" t="n">
        <v>598</v>
      </c>
      <c r="D646" s="0" t="n">
        <v>3</v>
      </c>
      <c r="E646" s="0" t="n">
        <v>6</v>
      </c>
      <c r="F646" s="0" t="n">
        <v>579</v>
      </c>
      <c r="G646" s="0" t="n">
        <v>1000</v>
      </c>
      <c r="H646" s="0" t="s">
        <v>145</v>
      </c>
      <c r="I646" s="0" t="n">
        <v>1</v>
      </c>
      <c r="J646" s="0" t="n">
        <f aca="false">F646*E646</f>
        <v>3474</v>
      </c>
      <c r="K646" s="0" t="str">
        <f aca="false">IF(G646&lt;1000,"1-Low",IF(G646&lt;5000,"2-Medium","3-Bulk"))</f>
        <v>2-Medium</v>
      </c>
      <c r="L646" s="0" t="str">
        <f aca="false">IF(H646="TRUE","Out of stock","In stock")</f>
        <v>In stock</v>
      </c>
      <c r="M646" s="0" t="str">
        <f aca="false">IF(D646&lt;5,"1) Under 5%",IF(D646&lt;10,"2) 5-9%",IF(D646&lt;15,"3) 10-14%",IF(D646&lt;25,"4) 15-24%","5) 25%+"))))</f>
        <v>1) Under 5%</v>
      </c>
      <c r="N646" s="0" t="str">
        <f aca="false">IF(F646&lt;50,"1) Under Rs 50",IF(F646&lt;100,"2) Rs 50-99",IF(F646&lt;200,"3) Rs 100-199",IF(F646&lt;500,"4) Rs 200-499","5) Rs 500+"))))</f>
        <v>5) Rs 500+</v>
      </c>
      <c r="O646" s="0" t="n">
        <f aca="false">G646*E646/1000</f>
        <v>6</v>
      </c>
    </row>
    <row r="647" customFormat="false" ht="15" hidden="false" customHeight="false" outlineLevel="0" collapsed="false">
      <c r="A647" s="0" t="s">
        <v>117</v>
      </c>
      <c r="B647" s="0" t="s">
        <v>267</v>
      </c>
      <c r="C647" s="0" t="n">
        <v>20</v>
      </c>
      <c r="D647" s="0" t="n">
        <v>0</v>
      </c>
      <c r="E647" s="0" t="n">
        <v>1</v>
      </c>
      <c r="F647" s="0" t="n">
        <v>20</v>
      </c>
      <c r="G647" s="0" t="n">
        <v>70</v>
      </c>
      <c r="H647" s="0" t="s">
        <v>145</v>
      </c>
      <c r="I647" s="0" t="n">
        <v>70</v>
      </c>
      <c r="J647" s="0" t="n">
        <f aca="false">F647*E647</f>
        <v>20</v>
      </c>
      <c r="K647" s="0" t="str">
        <f aca="false">IF(G647&lt;1000,"1-Low",IF(G647&lt;5000,"2-Medium","3-Bulk"))</f>
        <v>1-Low</v>
      </c>
      <c r="L647" s="0" t="str">
        <f aca="false">IF(H647="TRUE","Out of stock","In stock")</f>
        <v>In stock</v>
      </c>
      <c r="M647" s="0" t="str">
        <f aca="false">IF(D647&lt;5,"1) Under 5%",IF(D647&lt;10,"2) 5-9%",IF(D647&lt;15,"3) 10-14%",IF(D647&lt;25,"4) 15-24%","5) 25%+"))))</f>
        <v>1) Under 5%</v>
      </c>
      <c r="N647" s="0" t="str">
        <f aca="false">IF(F647&lt;50,"1) Under Rs 50",IF(F647&lt;100,"2) Rs 50-99",IF(F647&lt;200,"3) Rs 100-199",IF(F647&lt;500,"4) Rs 200-499","5) Rs 500+"))))</f>
        <v>1) Under Rs 50</v>
      </c>
      <c r="O647" s="0" t="n">
        <f aca="false">G647*E647/1000</f>
        <v>0.07</v>
      </c>
    </row>
    <row r="648" customFormat="false" ht="15" hidden="false" customHeight="false" outlineLevel="0" collapsed="false">
      <c r="A648" s="0" t="s">
        <v>117</v>
      </c>
      <c r="B648" s="0" t="s">
        <v>268</v>
      </c>
      <c r="C648" s="0" t="n">
        <v>60</v>
      </c>
      <c r="D648" s="0" t="n">
        <v>0</v>
      </c>
      <c r="E648" s="0" t="n">
        <v>6</v>
      </c>
      <c r="F648" s="0" t="n">
        <v>60</v>
      </c>
      <c r="G648" s="0" t="n">
        <v>1000</v>
      </c>
      <c r="H648" s="0" t="s">
        <v>145</v>
      </c>
      <c r="I648" s="0" t="n">
        <v>1</v>
      </c>
      <c r="J648" s="0" t="n">
        <f aca="false">F648*E648</f>
        <v>360</v>
      </c>
      <c r="K648" s="0" t="str">
        <f aca="false">IF(G648&lt;1000,"1-Low",IF(G648&lt;5000,"2-Medium","3-Bulk"))</f>
        <v>2-Medium</v>
      </c>
      <c r="L648" s="0" t="str">
        <f aca="false">IF(H648="TRUE","Out of stock","In stock")</f>
        <v>In stock</v>
      </c>
      <c r="M648" s="0" t="str">
        <f aca="false">IF(D648&lt;5,"1) Under 5%",IF(D648&lt;10,"2) 5-9%",IF(D648&lt;15,"3) 10-14%",IF(D648&lt;25,"4) 15-24%","5) 25%+"))))</f>
        <v>1) Under 5%</v>
      </c>
      <c r="N648" s="0" t="str">
        <f aca="false">IF(F648&lt;50,"1) Under Rs 50",IF(F648&lt;100,"2) Rs 50-99",IF(F648&lt;200,"3) Rs 100-199",IF(F648&lt;500,"4) Rs 200-499","5) Rs 500+"))))</f>
        <v>2) Rs 50-99</v>
      </c>
      <c r="O648" s="0" t="n">
        <f aca="false">G648*E648/1000</f>
        <v>6</v>
      </c>
    </row>
    <row r="649" customFormat="false" ht="15" hidden="false" customHeight="false" outlineLevel="0" collapsed="false">
      <c r="A649" s="0" t="s">
        <v>117</v>
      </c>
      <c r="B649" s="0" t="s">
        <v>269</v>
      </c>
      <c r="C649" s="0" t="n">
        <v>216</v>
      </c>
      <c r="D649" s="0" t="n">
        <v>7</v>
      </c>
      <c r="E649" s="0" t="n">
        <v>6</v>
      </c>
      <c r="F649" s="0" t="n">
        <v>199</v>
      </c>
      <c r="G649" s="0" t="n">
        <v>1000</v>
      </c>
      <c r="H649" s="0" t="s">
        <v>145</v>
      </c>
      <c r="I649" s="0" t="n">
        <v>1</v>
      </c>
      <c r="J649" s="0" t="n">
        <f aca="false">F649*E649</f>
        <v>1194</v>
      </c>
      <c r="K649" s="0" t="str">
        <f aca="false">IF(G649&lt;1000,"1-Low",IF(G649&lt;5000,"2-Medium","3-Bulk"))</f>
        <v>2-Medium</v>
      </c>
      <c r="L649" s="0" t="str">
        <f aca="false">IF(H649="TRUE","Out of stock","In stock")</f>
        <v>In stock</v>
      </c>
      <c r="M649" s="0" t="str">
        <f aca="false">IF(D649&lt;5,"1) Under 5%",IF(D649&lt;10,"2) 5-9%",IF(D649&lt;15,"3) 10-14%",IF(D649&lt;25,"4) 15-24%","5) 25%+"))))</f>
        <v>2) 5-9%</v>
      </c>
      <c r="N649" s="0" t="str">
        <f aca="false">IF(F649&lt;50,"1) Under Rs 50",IF(F649&lt;100,"2) Rs 50-99",IF(F649&lt;200,"3) Rs 100-199",IF(F649&lt;500,"4) Rs 200-499","5) Rs 500+"))))</f>
        <v>3) Rs 100-199</v>
      </c>
      <c r="O649" s="0" t="n">
        <f aca="false">G649*E649/1000</f>
        <v>6</v>
      </c>
    </row>
    <row r="650" customFormat="false" ht="15" hidden="false" customHeight="false" outlineLevel="0" collapsed="false">
      <c r="A650" s="0" t="s">
        <v>117</v>
      </c>
      <c r="B650" s="0" t="s">
        <v>270</v>
      </c>
      <c r="C650" s="0" t="n">
        <v>15</v>
      </c>
      <c r="D650" s="0" t="n">
        <v>0</v>
      </c>
      <c r="E650" s="0" t="n">
        <v>6</v>
      </c>
      <c r="F650" s="0" t="n">
        <v>15</v>
      </c>
      <c r="G650" s="0" t="n">
        <v>38</v>
      </c>
      <c r="H650" s="0" t="s">
        <v>145</v>
      </c>
      <c r="I650" s="0" t="n">
        <v>38</v>
      </c>
      <c r="J650" s="0" t="n">
        <f aca="false">F650*E650</f>
        <v>90</v>
      </c>
      <c r="K650" s="0" t="str">
        <f aca="false">IF(G650&lt;1000,"1-Low",IF(G650&lt;5000,"2-Medium","3-Bulk"))</f>
        <v>1-Low</v>
      </c>
      <c r="L650" s="0" t="str">
        <f aca="false">IF(H650="TRUE","Out of stock","In stock")</f>
        <v>In stock</v>
      </c>
      <c r="M650" s="0" t="str">
        <f aca="false">IF(D650&lt;5,"1) Under 5%",IF(D650&lt;10,"2) 5-9%",IF(D650&lt;15,"3) 10-14%",IF(D650&lt;25,"4) 15-24%","5) 25%+"))))</f>
        <v>1) Under 5%</v>
      </c>
      <c r="N650" s="0" t="str">
        <f aca="false">IF(F650&lt;50,"1) Under Rs 50",IF(F650&lt;100,"2) Rs 50-99",IF(F650&lt;200,"3) Rs 100-199",IF(F650&lt;500,"4) Rs 200-499","5) Rs 500+"))))</f>
        <v>1) Under Rs 50</v>
      </c>
      <c r="O650" s="0" t="n">
        <f aca="false">G650*E650/1000</f>
        <v>0.228</v>
      </c>
    </row>
    <row r="651" customFormat="false" ht="15" hidden="false" customHeight="false" outlineLevel="0" collapsed="false">
      <c r="A651" s="0" t="s">
        <v>117</v>
      </c>
      <c r="B651" s="0" t="s">
        <v>271</v>
      </c>
      <c r="C651" s="0" t="n">
        <v>23</v>
      </c>
      <c r="D651" s="0" t="n">
        <v>0</v>
      </c>
      <c r="E651" s="0" t="n">
        <v>6</v>
      </c>
      <c r="F651" s="0" t="n">
        <v>23</v>
      </c>
      <c r="G651" s="0" t="n">
        <v>200</v>
      </c>
      <c r="H651" s="0" t="s">
        <v>145</v>
      </c>
      <c r="I651" s="0" t="n">
        <v>200</v>
      </c>
      <c r="J651" s="0" t="n">
        <f aca="false">F651*E651</f>
        <v>138</v>
      </c>
      <c r="K651" s="0" t="str">
        <f aca="false">IF(G651&lt;1000,"1-Low",IF(G651&lt;5000,"2-Medium","3-Bulk"))</f>
        <v>1-Low</v>
      </c>
      <c r="L651" s="0" t="str">
        <f aca="false">IF(H651="TRUE","Out of stock","In stock")</f>
        <v>In stock</v>
      </c>
      <c r="M651" s="0" t="str">
        <f aca="false">IF(D651&lt;5,"1) Under 5%",IF(D651&lt;10,"2) 5-9%",IF(D651&lt;15,"3) 10-14%",IF(D651&lt;25,"4) 15-24%","5) 25%+"))))</f>
        <v>1) Under 5%</v>
      </c>
      <c r="N651" s="0" t="str">
        <f aca="false">IF(F651&lt;50,"1) Under Rs 50",IF(F651&lt;100,"2) Rs 50-99",IF(F651&lt;200,"3) Rs 100-199",IF(F651&lt;500,"4) Rs 200-499","5) Rs 500+"))))</f>
        <v>1) Under Rs 50</v>
      </c>
      <c r="O651" s="0" t="n">
        <f aca="false">G651*E651/1000</f>
        <v>1.2</v>
      </c>
    </row>
    <row r="652" customFormat="false" ht="15" hidden="false" customHeight="false" outlineLevel="0" collapsed="false">
      <c r="A652" s="0" t="s">
        <v>117</v>
      </c>
      <c r="B652" s="0" t="s">
        <v>272</v>
      </c>
      <c r="C652" s="0" t="n">
        <v>79</v>
      </c>
      <c r="D652" s="0" t="n">
        <v>0</v>
      </c>
      <c r="E652" s="0" t="n">
        <v>2</v>
      </c>
      <c r="F652" s="0" t="n">
        <v>79</v>
      </c>
      <c r="G652" s="0" t="n">
        <v>400</v>
      </c>
      <c r="H652" s="0" t="s">
        <v>145</v>
      </c>
      <c r="I652" s="0" t="n">
        <v>400</v>
      </c>
      <c r="J652" s="0" t="n">
        <f aca="false">F652*E652</f>
        <v>158</v>
      </c>
      <c r="K652" s="0" t="str">
        <f aca="false">IF(G652&lt;1000,"1-Low",IF(G652&lt;5000,"2-Medium","3-Bulk"))</f>
        <v>1-Low</v>
      </c>
      <c r="L652" s="0" t="str">
        <f aca="false">IF(H652="TRUE","Out of stock","In stock")</f>
        <v>In stock</v>
      </c>
      <c r="M652" s="0" t="str">
        <f aca="false">IF(D652&lt;5,"1) Under 5%",IF(D652&lt;10,"2) 5-9%",IF(D652&lt;15,"3) 10-14%",IF(D652&lt;25,"4) 15-24%","5) 25%+"))))</f>
        <v>1) Under 5%</v>
      </c>
      <c r="N652" s="0" t="str">
        <f aca="false">IF(F652&lt;50,"1) Under Rs 50",IF(F652&lt;100,"2) Rs 50-99",IF(F652&lt;200,"3) Rs 100-199",IF(F652&lt;500,"4) Rs 200-499","5) Rs 500+"))))</f>
        <v>2) Rs 50-99</v>
      </c>
      <c r="O652" s="0" t="n">
        <f aca="false">G652*E652/1000</f>
        <v>0.8</v>
      </c>
    </row>
    <row r="653" customFormat="false" ht="15" hidden="false" customHeight="false" outlineLevel="0" collapsed="false">
      <c r="A653" s="0" t="s">
        <v>117</v>
      </c>
      <c r="B653" s="0" t="s">
        <v>273</v>
      </c>
      <c r="C653" s="0" t="n">
        <v>315</v>
      </c>
      <c r="D653" s="0" t="n">
        <v>10</v>
      </c>
      <c r="E653" s="0" t="n">
        <v>6</v>
      </c>
      <c r="F653" s="0" t="n">
        <v>283</v>
      </c>
      <c r="G653" s="0" t="n">
        <v>5000</v>
      </c>
      <c r="H653" s="0" t="s">
        <v>145</v>
      </c>
      <c r="I653" s="0" t="n">
        <v>5</v>
      </c>
      <c r="J653" s="0" t="n">
        <f aca="false">F653*E653</f>
        <v>1698</v>
      </c>
      <c r="K653" s="0" t="str">
        <f aca="false">IF(G653&lt;1000,"1-Low",IF(G653&lt;5000,"2-Medium","3-Bulk"))</f>
        <v>3-Bulk</v>
      </c>
      <c r="L653" s="0" t="str">
        <f aca="false">IF(H653="TRUE","Out of stock","In stock")</f>
        <v>In stock</v>
      </c>
      <c r="M653" s="0" t="str">
        <f aca="false">IF(D653&lt;5,"1) Under 5%",IF(D653&lt;10,"2) 5-9%",IF(D653&lt;15,"3) 10-14%",IF(D653&lt;25,"4) 15-24%","5) 25%+"))))</f>
        <v>3) 10-14%</v>
      </c>
      <c r="N653" s="0" t="str">
        <f aca="false">IF(F653&lt;50,"1) Under Rs 50",IF(F653&lt;100,"2) Rs 50-99",IF(F653&lt;200,"3) Rs 100-199",IF(F653&lt;500,"4) Rs 200-499","5) Rs 500+"))))</f>
        <v>4) Rs 200-499</v>
      </c>
      <c r="O653" s="0" t="n">
        <f aca="false">G653*E653/1000</f>
        <v>30</v>
      </c>
    </row>
    <row r="654" customFormat="false" ht="15" hidden="false" customHeight="false" outlineLevel="0" collapsed="false">
      <c r="A654" s="0" t="s">
        <v>117</v>
      </c>
      <c r="B654" s="0" t="s">
        <v>268</v>
      </c>
      <c r="C654" s="0" t="n">
        <v>295</v>
      </c>
      <c r="D654" s="0" t="n">
        <v>10</v>
      </c>
      <c r="E654" s="0" t="n">
        <v>6</v>
      </c>
      <c r="F654" s="0" t="n">
        <v>265</v>
      </c>
      <c r="G654" s="0" t="n">
        <v>5000</v>
      </c>
      <c r="H654" s="0" t="s">
        <v>145</v>
      </c>
      <c r="I654" s="0" t="n">
        <v>5</v>
      </c>
      <c r="J654" s="0" t="n">
        <f aca="false">F654*E654</f>
        <v>1590</v>
      </c>
      <c r="K654" s="0" t="str">
        <f aca="false">IF(G654&lt;1000,"1-Low",IF(G654&lt;5000,"2-Medium","3-Bulk"))</f>
        <v>3-Bulk</v>
      </c>
      <c r="L654" s="0" t="str">
        <f aca="false">IF(H654="TRUE","Out of stock","In stock")</f>
        <v>In stock</v>
      </c>
      <c r="M654" s="0" t="str">
        <f aca="false">IF(D654&lt;5,"1) Under 5%",IF(D654&lt;10,"2) 5-9%",IF(D654&lt;15,"3) 10-14%",IF(D654&lt;25,"4) 15-24%","5) 25%+"))))</f>
        <v>3) 10-14%</v>
      </c>
      <c r="N654" s="0" t="str">
        <f aca="false">IF(F654&lt;50,"1) Under Rs 50",IF(F654&lt;100,"2) Rs 50-99",IF(F654&lt;200,"3) Rs 100-199",IF(F654&lt;500,"4) Rs 200-499","5) Rs 500+"))))</f>
        <v>4) Rs 200-499</v>
      </c>
      <c r="O654" s="0" t="n">
        <f aca="false">G654*E654/1000</f>
        <v>30</v>
      </c>
    </row>
    <row r="655" customFormat="false" ht="15" hidden="false" customHeight="false" outlineLevel="0" collapsed="false">
      <c r="A655" s="0" t="s">
        <v>117</v>
      </c>
      <c r="B655" s="0" t="s">
        <v>274</v>
      </c>
      <c r="C655" s="0" t="n">
        <v>579</v>
      </c>
      <c r="D655" s="0" t="n">
        <v>10</v>
      </c>
      <c r="E655" s="0" t="n">
        <v>6</v>
      </c>
      <c r="F655" s="0" t="n">
        <v>521</v>
      </c>
      <c r="G655" s="0" t="n">
        <v>1000</v>
      </c>
      <c r="H655" s="0" t="s">
        <v>145</v>
      </c>
      <c r="I655" s="0" t="n">
        <v>1</v>
      </c>
      <c r="J655" s="0" t="n">
        <f aca="false">F655*E655</f>
        <v>3126</v>
      </c>
      <c r="K655" s="0" t="str">
        <f aca="false">IF(G655&lt;1000,"1-Low",IF(G655&lt;5000,"2-Medium","3-Bulk"))</f>
        <v>2-Medium</v>
      </c>
      <c r="L655" s="0" t="str">
        <f aca="false">IF(H655="TRUE","Out of stock","In stock")</f>
        <v>In stock</v>
      </c>
      <c r="M655" s="0" t="str">
        <f aca="false">IF(D655&lt;5,"1) Under 5%",IF(D655&lt;10,"2) 5-9%",IF(D655&lt;15,"3) 10-14%",IF(D655&lt;25,"4) 15-24%","5) 25%+"))))</f>
        <v>3) 10-14%</v>
      </c>
      <c r="N655" s="0" t="str">
        <f aca="false">IF(F655&lt;50,"1) Under Rs 50",IF(F655&lt;100,"2) Rs 50-99",IF(F655&lt;200,"3) Rs 100-199",IF(F655&lt;500,"4) Rs 200-499","5) Rs 500+"))))</f>
        <v>5) Rs 500+</v>
      </c>
      <c r="O655" s="0" t="n">
        <f aca="false">G655*E655/1000</f>
        <v>6</v>
      </c>
    </row>
    <row r="656" customFormat="false" ht="15" hidden="false" customHeight="false" outlineLevel="0" collapsed="false">
      <c r="A656" s="0" t="s">
        <v>117</v>
      </c>
      <c r="B656" s="0" t="s">
        <v>275</v>
      </c>
      <c r="C656" s="0" t="n">
        <v>210</v>
      </c>
      <c r="D656" s="0" t="n">
        <v>5</v>
      </c>
      <c r="E656" s="0" t="n">
        <v>6</v>
      </c>
      <c r="F656" s="0" t="n">
        <v>199</v>
      </c>
      <c r="G656" s="0" t="n">
        <v>1000</v>
      </c>
      <c r="H656" s="0" t="s">
        <v>145</v>
      </c>
      <c r="I656" s="0" t="n">
        <v>1</v>
      </c>
      <c r="J656" s="0" t="n">
        <f aca="false">F656*E656</f>
        <v>1194</v>
      </c>
      <c r="K656" s="0" t="str">
        <f aca="false">IF(G656&lt;1000,"1-Low",IF(G656&lt;5000,"2-Medium","3-Bulk"))</f>
        <v>2-Medium</v>
      </c>
      <c r="L656" s="0" t="str">
        <f aca="false">IF(H656="TRUE","Out of stock","In stock")</f>
        <v>In stock</v>
      </c>
      <c r="M656" s="0" t="str">
        <f aca="false">IF(D656&lt;5,"1) Under 5%",IF(D656&lt;10,"2) 5-9%",IF(D656&lt;15,"3) 10-14%",IF(D656&lt;25,"4) 15-24%","5) 25%+"))))</f>
        <v>2) 5-9%</v>
      </c>
      <c r="N656" s="0" t="str">
        <f aca="false">IF(F656&lt;50,"1) Under Rs 50",IF(F656&lt;100,"2) Rs 50-99",IF(F656&lt;200,"3) Rs 100-199",IF(F656&lt;500,"4) Rs 200-499","5) Rs 500+"))))</f>
        <v>3) Rs 100-199</v>
      </c>
      <c r="O656" s="0" t="n">
        <f aca="false">G656*E656/1000</f>
        <v>6</v>
      </c>
    </row>
    <row r="657" customFormat="false" ht="15" hidden="false" customHeight="false" outlineLevel="0" collapsed="false">
      <c r="A657" s="0" t="s">
        <v>117</v>
      </c>
      <c r="B657" s="0" t="s">
        <v>276</v>
      </c>
      <c r="C657" s="0" t="n">
        <v>40</v>
      </c>
      <c r="D657" s="0" t="n">
        <v>7</v>
      </c>
      <c r="E657" s="0" t="n">
        <v>3</v>
      </c>
      <c r="F657" s="0" t="n">
        <v>37</v>
      </c>
      <c r="G657" s="0" t="n">
        <v>100</v>
      </c>
      <c r="H657" s="0" t="s">
        <v>145</v>
      </c>
      <c r="I657" s="0" t="n">
        <v>100</v>
      </c>
      <c r="J657" s="0" t="n">
        <f aca="false">F657*E657</f>
        <v>111</v>
      </c>
      <c r="K657" s="0" t="str">
        <f aca="false">IF(G657&lt;1000,"1-Low",IF(G657&lt;5000,"2-Medium","3-Bulk"))</f>
        <v>1-Low</v>
      </c>
      <c r="L657" s="0" t="str">
        <f aca="false">IF(H657="TRUE","Out of stock","In stock")</f>
        <v>In stock</v>
      </c>
      <c r="M657" s="0" t="str">
        <f aca="false">IF(D657&lt;5,"1) Under 5%",IF(D657&lt;10,"2) 5-9%",IF(D657&lt;15,"3) 10-14%",IF(D657&lt;25,"4) 15-24%","5) 25%+"))))</f>
        <v>2) 5-9%</v>
      </c>
      <c r="N657" s="0" t="str">
        <f aca="false">IF(F657&lt;50,"1) Under Rs 50",IF(F657&lt;100,"2) Rs 50-99",IF(F657&lt;200,"3) Rs 100-199",IF(F657&lt;500,"4) Rs 200-499","5) Rs 500+"))))</f>
        <v>1) Under Rs 50</v>
      </c>
      <c r="O657" s="0" t="n">
        <f aca="false">G657*E657/1000</f>
        <v>0.3</v>
      </c>
    </row>
    <row r="658" customFormat="false" ht="15" hidden="false" customHeight="false" outlineLevel="0" collapsed="false">
      <c r="A658" s="0" t="s">
        <v>117</v>
      </c>
      <c r="B658" s="0" t="s">
        <v>277</v>
      </c>
      <c r="C658" s="0" t="n">
        <v>18</v>
      </c>
      <c r="D658" s="0" t="n">
        <v>0</v>
      </c>
      <c r="E658" s="0" t="n">
        <v>6</v>
      </c>
      <c r="F658" s="0" t="n">
        <v>18</v>
      </c>
      <c r="G658" s="0" t="n">
        <v>100</v>
      </c>
      <c r="H658" s="0" t="s">
        <v>145</v>
      </c>
      <c r="I658" s="0" t="n">
        <v>100</v>
      </c>
      <c r="J658" s="0" t="n">
        <f aca="false">F658*E658</f>
        <v>108</v>
      </c>
      <c r="K658" s="0" t="str">
        <f aca="false">IF(G658&lt;1000,"1-Low",IF(G658&lt;5000,"2-Medium","3-Bulk"))</f>
        <v>1-Low</v>
      </c>
      <c r="L658" s="0" t="str">
        <f aca="false">IF(H658="TRUE","Out of stock","In stock")</f>
        <v>In stock</v>
      </c>
      <c r="M658" s="0" t="str">
        <f aca="false">IF(D658&lt;5,"1) Under 5%",IF(D658&lt;10,"2) 5-9%",IF(D658&lt;15,"3) 10-14%",IF(D658&lt;25,"4) 15-24%","5) 25%+"))))</f>
        <v>1) Under 5%</v>
      </c>
      <c r="N658" s="0" t="str">
        <f aca="false">IF(F658&lt;50,"1) Under Rs 50",IF(F658&lt;100,"2) Rs 50-99",IF(F658&lt;200,"3) Rs 100-199",IF(F658&lt;500,"4) Rs 200-499","5) Rs 500+"))))</f>
        <v>1) Under Rs 50</v>
      </c>
      <c r="O658" s="0" t="n">
        <f aca="false">G658*E658/1000</f>
        <v>0.6</v>
      </c>
    </row>
    <row r="659" customFormat="false" ht="15" hidden="false" customHeight="false" outlineLevel="0" collapsed="false">
      <c r="A659" s="0" t="s">
        <v>117</v>
      </c>
      <c r="B659" s="0" t="s">
        <v>278</v>
      </c>
      <c r="C659" s="0" t="n">
        <v>56</v>
      </c>
      <c r="D659" s="0" t="n">
        <v>3</v>
      </c>
      <c r="E659" s="0" t="n">
        <v>4</v>
      </c>
      <c r="F659" s="0" t="n">
        <v>54</v>
      </c>
      <c r="G659" s="0" t="n">
        <v>200</v>
      </c>
      <c r="H659" s="0" t="s">
        <v>145</v>
      </c>
      <c r="I659" s="0" t="n">
        <v>200</v>
      </c>
      <c r="J659" s="0" t="n">
        <f aca="false">F659*E659</f>
        <v>216</v>
      </c>
      <c r="K659" s="0" t="str">
        <f aca="false">IF(G659&lt;1000,"1-Low",IF(G659&lt;5000,"2-Medium","3-Bulk"))</f>
        <v>1-Low</v>
      </c>
      <c r="L659" s="0" t="str">
        <f aca="false">IF(H659="TRUE","Out of stock","In stock")</f>
        <v>In stock</v>
      </c>
      <c r="M659" s="0" t="str">
        <f aca="false">IF(D659&lt;5,"1) Under 5%",IF(D659&lt;10,"2) 5-9%",IF(D659&lt;15,"3) 10-14%",IF(D659&lt;25,"4) 15-24%","5) 25%+"))))</f>
        <v>1) Under 5%</v>
      </c>
      <c r="N659" s="0" t="str">
        <f aca="false">IF(F659&lt;50,"1) Under Rs 50",IF(F659&lt;100,"2) Rs 50-99",IF(F659&lt;200,"3) Rs 100-199",IF(F659&lt;500,"4) Rs 200-499","5) Rs 500+"))))</f>
        <v>2) Rs 50-99</v>
      </c>
      <c r="O659" s="0" t="n">
        <f aca="false">G659*E659/1000</f>
        <v>0.8</v>
      </c>
    </row>
    <row r="660" customFormat="false" ht="15" hidden="false" customHeight="false" outlineLevel="0" collapsed="false">
      <c r="A660" s="0" t="s">
        <v>117</v>
      </c>
      <c r="B660" s="0" t="s">
        <v>97</v>
      </c>
      <c r="C660" s="0" t="n">
        <v>1240</v>
      </c>
      <c r="D660" s="0" t="n">
        <v>0</v>
      </c>
      <c r="E660" s="0" t="n">
        <v>6</v>
      </c>
      <c r="F660" s="0" t="n">
        <v>1240</v>
      </c>
      <c r="G660" s="0" t="n">
        <v>5000</v>
      </c>
      <c r="H660" s="0" t="s">
        <v>145</v>
      </c>
      <c r="I660" s="0" t="n">
        <v>5</v>
      </c>
      <c r="J660" s="0" t="n">
        <f aca="false">F660*E660</f>
        <v>7440</v>
      </c>
      <c r="K660" s="0" t="str">
        <f aca="false">IF(G660&lt;1000,"1-Low",IF(G660&lt;5000,"2-Medium","3-Bulk"))</f>
        <v>3-Bulk</v>
      </c>
      <c r="L660" s="0" t="str">
        <f aca="false">IF(H660="TRUE","Out of stock","In stock")</f>
        <v>In stock</v>
      </c>
      <c r="M660" s="0" t="str">
        <f aca="false">IF(D660&lt;5,"1) Under 5%",IF(D660&lt;10,"2) 5-9%",IF(D660&lt;15,"3) 10-14%",IF(D660&lt;25,"4) 15-24%","5) 25%+"))))</f>
        <v>1) Under 5%</v>
      </c>
      <c r="N660" s="0" t="str">
        <f aca="false">IF(F660&lt;50,"1) Under Rs 50",IF(F660&lt;100,"2) Rs 50-99",IF(F660&lt;200,"3) Rs 100-199",IF(F660&lt;500,"4) Rs 200-499","5) Rs 500+"))))</f>
        <v>5) Rs 500+</v>
      </c>
      <c r="O660" s="0" t="n">
        <f aca="false">G660*E660/1000</f>
        <v>30</v>
      </c>
    </row>
    <row r="661" customFormat="false" ht="15" hidden="false" customHeight="false" outlineLevel="0" collapsed="false">
      <c r="A661" s="0" t="s">
        <v>117</v>
      </c>
      <c r="B661" s="0" t="s">
        <v>279</v>
      </c>
      <c r="C661" s="0" t="n">
        <v>120</v>
      </c>
      <c r="D661" s="0" t="n">
        <v>1</v>
      </c>
      <c r="E661" s="0" t="n">
        <v>3</v>
      </c>
      <c r="F661" s="0" t="n">
        <v>118</v>
      </c>
      <c r="G661" s="0" t="n">
        <v>240</v>
      </c>
      <c r="H661" s="0" t="s">
        <v>145</v>
      </c>
      <c r="I661" s="0" t="n">
        <v>240</v>
      </c>
      <c r="J661" s="0" t="n">
        <f aca="false">F661*E661</f>
        <v>354</v>
      </c>
      <c r="K661" s="0" t="str">
        <f aca="false">IF(G661&lt;1000,"1-Low",IF(G661&lt;5000,"2-Medium","3-Bulk"))</f>
        <v>1-Low</v>
      </c>
      <c r="L661" s="0" t="str">
        <f aca="false">IF(H661="TRUE","Out of stock","In stock")</f>
        <v>In stock</v>
      </c>
      <c r="M661" s="0" t="str">
        <f aca="false">IF(D661&lt;5,"1) Under 5%",IF(D661&lt;10,"2) 5-9%",IF(D661&lt;15,"3) 10-14%",IF(D661&lt;25,"4) 15-24%","5) 25%+"))))</f>
        <v>1) Under 5%</v>
      </c>
      <c r="N661" s="0" t="str">
        <f aca="false">IF(F661&lt;50,"1) Under Rs 50",IF(F661&lt;100,"2) Rs 50-99",IF(F661&lt;200,"3) Rs 100-199",IF(F661&lt;500,"4) Rs 200-499","5) Rs 500+"))))</f>
        <v>3) Rs 100-199</v>
      </c>
      <c r="O661" s="0" t="n">
        <f aca="false">G661*E661/1000</f>
        <v>0.72</v>
      </c>
    </row>
    <row r="662" customFormat="false" ht="15" hidden="false" customHeight="false" outlineLevel="0" collapsed="false">
      <c r="A662" s="0" t="s">
        <v>117</v>
      </c>
      <c r="B662" s="0" t="s">
        <v>107</v>
      </c>
      <c r="C662" s="0" t="n">
        <v>1050</v>
      </c>
      <c r="D662" s="0" t="n">
        <v>1</v>
      </c>
      <c r="E662" s="0" t="n">
        <v>6</v>
      </c>
      <c r="F662" s="0" t="n">
        <v>1039</v>
      </c>
      <c r="G662" s="0" t="n">
        <v>5000</v>
      </c>
      <c r="H662" s="0" t="s">
        <v>145</v>
      </c>
      <c r="I662" s="0" t="n">
        <v>5</v>
      </c>
      <c r="J662" s="0" t="n">
        <f aca="false">F662*E662</f>
        <v>6234</v>
      </c>
      <c r="K662" s="0" t="str">
        <f aca="false">IF(G662&lt;1000,"1-Low",IF(G662&lt;5000,"2-Medium","3-Bulk"))</f>
        <v>3-Bulk</v>
      </c>
      <c r="L662" s="0" t="str">
        <f aca="false">IF(H662="TRUE","Out of stock","In stock")</f>
        <v>In stock</v>
      </c>
      <c r="M662" s="0" t="str">
        <f aca="false">IF(D662&lt;5,"1) Under 5%",IF(D662&lt;10,"2) 5-9%",IF(D662&lt;15,"3) 10-14%",IF(D662&lt;25,"4) 15-24%","5) 25%+"))))</f>
        <v>1) Under 5%</v>
      </c>
      <c r="N662" s="0" t="str">
        <f aca="false">IF(F662&lt;50,"1) Under Rs 50",IF(F662&lt;100,"2) Rs 50-99",IF(F662&lt;200,"3) Rs 100-199",IF(F662&lt;500,"4) Rs 200-499","5) Rs 500+"))))</f>
        <v>5) Rs 500+</v>
      </c>
      <c r="O662" s="0" t="n">
        <f aca="false">G662*E662/1000</f>
        <v>30</v>
      </c>
    </row>
    <row r="663" customFormat="false" ht="15" hidden="false" customHeight="false" outlineLevel="0" collapsed="false">
      <c r="A663" s="0" t="s">
        <v>117</v>
      </c>
      <c r="B663" s="0" t="s">
        <v>280</v>
      </c>
      <c r="C663" s="0" t="n">
        <v>110</v>
      </c>
      <c r="D663" s="0" t="n">
        <v>13</v>
      </c>
      <c r="E663" s="0" t="n">
        <v>4</v>
      </c>
      <c r="F663" s="0" t="n">
        <v>95</v>
      </c>
      <c r="G663" s="0" t="n">
        <v>348</v>
      </c>
      <c r="H663" s="0" t="s">
        <v>145</v>
      </c>
      <c r="I663" s="0" t="n">
        <v>6</v>
      </c>
      <c r="J663" s="0" t="n">
        <f aca="false">F663*E663</f>
        <v>380</v>
      </c>
      <c r="K663" s="0" t="str">
        <f aca="false">IF(G663&lt;1000,"1-Low",IF(G663&lt;5000,"2-Medium","3-Bulk"))</f>
        <v>1-Low</v>
      </c>
      <c r="L663" s="0" t="str">
        <f aca="false">IF(H663="TRUE","Out of stock","In stock")</f>
        <v>In stock</v>
      </c>
      <c r="M663" s="0" t="str">
        <f aca="false">IF(D663&lt;5,"1) Under 5%",IF(D663&lt;10,"2) 5-9%",IF(D663&lt;15,"3) 10-14%",IF(D663&lt;25,"4) 15-24%","5) 25%+"))))</f>
        <v>3) 10-14%</v>
      </c>
      <c r="N663" s="0" t="str">
        <f aca="false">IF(F663&lt;50,"1) Under Rs 50",IF(F663&lt;100,"2) Rs 50-99",IF(F663&lt;200,"3) Rs 100-199",IF(F663&lt;500,"4) Rs 200-499","5) Rs 500+"))))</f>
        <v>2) Rs 50-99</v>
      </c>
      <c r="O663" s="0" t="n">
        <f aca="false">G663*E663/1000</f>
        <v>1.392</v>
      </c>
    </row>
    <row r="664" customFormat="false" ht="15" hidden="false" customHeight="false" outlineLevel="0" collapsed="false">
      <c r="A664" s="0" t="s">
        <v>117</v>
      </c>
      <c r="B664" s="0" t="s">
        <v>281</v>
      </c>
      <c r="C664" s="0" t="n">
        <v>585</v>
      </c>
      <c r="D664" s="0" t="n">
        <v>21</v>
      </c>
      <c r="E664" s="0" t="n">
        <v>6</v>
      </c>
      <c r="F664" s="0" t="n">
        <v>462</v>
      </c>
      <c r="G664" s="0" t="n">
        <v>5000</v>
      </c>
      <c r="H664" s="0" t="s">
        <v>145</v>
      </c>
      <c r="I664" s="0" t="n">
        <v>5</v>
      </c>
      <c r="J664" s="0" t="n">
        <f aca="false">F664*E664</f>
        <v>2772</v>
      </c>
      <c r="K664" s="0" t="str">
        <f aca="false">IF(G664&lt;1000,"1-Low",IF(G664&lt;5000,"2-Medium","3-Bulk"))</f>
        <v>3-Bulk</v>
      </c>
      <c r="L664" s="0" t="str">
        <f aca="false">IF(H664="TRUE","Out of stock","In stock")</f>
        <v>In stock</v>
      </c>
      <c r="M664" s="0" t="str">
        <f aca="false">IF(D664&lt;5,"1) Under 5%",IF(D664&lt;10,"2) 5-9%",IF(D664&lt;15,"3) 10-14%",IF(D664&lt;25,"4) 15-24%","5) 25%+"))))</f>
        <v>4) 15-24%</v>
      </c>
      <c r="N664" s="0" t="str">
        <f aca="false">IF(F664&lt;50,"1) Under Rs 50",IF(F664&lt;100,"2) Rs 50-99",IF(F664&lt;200,"3) Rs 100-199",IF(F664&lt;500,"4) Rs 200-499","5) Rs 500+"))))</f>
        <v>4) Rs 200-499</v>
      </c>
      <c r="O664" s="0" t="n">
        <f aca="false">G664*E664/1000</f>
        <v>30</v>
      </c>
    </row>
    <row r="665" customFormat="false" ht="15" hidden="false" customHeight="false" outlineLevel="0" collapsed="false">
      <c r="A665" s="0" t="s">
        <v>117</v>
      </c>
      <c r="B665" s="0" t="s">
        <v>282</v>
      </c>
      <c r="C665" s="0" t="n">
        <v>175</v>
      </c>
      <c r="D665" s="0" t="n">
        <v>0</v>
      </c>
      <c r="E665" s="0" t="n">
        <v>5</v>
      </c>
      <c r="F665" s="0" t="n">
        <v>175</v>
      </c>
      <c r="G665" s="0" t="n">
        <v>1000</v>
      </c>
      <c r="H665" s="0" t="s">
        <v>145</v>
      </c>
      <c r="I665" s="0" t="n">
        <v>1</v>
      </c>
      <c r="J665" s="0" t="n">
        <f aca="false">F665*E665</f>
        <v>875</v>
      </c>
      <c r="K665" s="0" t="str">
        <f aca="false">IF(G665&lt;1000,"1-Low",IF(G665&lt;5000,"2-Medium","3-Bulk"))</f>
        <v>2-Medium</v>
      </c>
      <c r="L665" s="0" t="str">
        <f aca="false">IF(H665="TRUE","Out of stock","In stock")</f>
        <v>In stock</v>
      </c>
      <c r="M665" s="0" t="str">
        <f aca="false">IF(D665&lt;5,"1) Under 5%",IF(D665&lt;10,"2) 5-9%",IF(D665&lt;15,"3) 10-14%",IF(D665&lt;25,"4) 15-24%","5) 25%+"))))</f>
        <v>1) Under 5%</v>
      </c>
      <c r="N665" s="0" t="str">
        <f aca="false">IF(F665&lt;50,"1) Under Rs 50",IF(F665&lt;100,"2) Rs 50-99",IF(F665&lt;200,"3) Rs 100-199",IF(F665&lt;500,"4) Rs 200-499","5) Rs 500+"))))</f>
        <v>3) Rs 100-199</v>
      </c>
      <c r="O665" s="0" t="n">
        <f aca="false">G665*E665/1000</f>
        <v>5</v>
      </c>
    </row>
    <row r="666" customFormat="false" ht="15" hidden="false" customHeight="false" outlineLevel="0" collapsed="false">
      <c r="A666" s="0" t="s">
        <v>117</v>
      </c>
      <c r="B666" s="0" t="s">
        <v>283</v>
      </c>
      <c r="C666" s="0" t="n">
        <v>78</v>
      </c>
      <c r="D666" s="0" t="n">
        <v>7</v>
      </c>
      <c r="E666" s="0" t="n">
        <v>5</v>
      </c>
      <c r="F666" s="0" t="n">
        <v>72</v>
      </c>
      <c r="G666" s="0" t="n">
        <v>100</v>
      </c>
      <c r="H666" s="0" t="s">
        <v>145</v>
      </c>
      <c r="I666" s="0" t="n">
        <v>100</v>
      </c>
      <c r="J666" s="0" t="n">
        <f aca="false">F666*E666</f>
        <v>360</v>
      </c>
      <c r="K666" s="0" t="str">
        <f aca="false">IF(G666&lt;1000,"1-Low",IF(G666&lt;5000,"2-Medium","3-Bulk"))</f>
        <v>1-Low</v>
      </c>
      <c r="L666" s="0" t="str">
        <f aca="false">IF(H666="TRUE","Out of stock","In stock")</f>
        <v>In stock</v>
      </c>
      <c r="M666" s="0" t="str">
        <f aca="false">IF(D666&lt;5,"1) Under 5%",IF(D666&lt;10,"2) 5-9%",IF(D666&lt;15,"3) 10-14%",IF(D666&lt;25,"4) 15-24%","5) 25%+"))))</f>
        <v>2) 5-9%</v>
      </c>
      <c r="N666" s="0" t="str">
        <f aca="false">IF(F666&lt;50,"1) Under Rs 50",IF(F666&lt;100,"2) Rs 50-99",IF(F666&lt;200,"3) Rs 100-199",IF(F666&lt;500,"4) Rs 200-499","5) Rs 500+"))))</f>
        <v>2) Rs 50-99</v>
      </c>
      <c r="O666" s="0" t="n">
        <f aca="false">G666*E666/1000</f>
        <v>0.5</v>
      </c>
    </row>
    <row r="667" customFormat="false" ht="15" hidden="false" customHeight="false" outlineLevel="0" collapsed="false">
      <c r="A667" s="0" t="s">
        <v>117</v>
      </c>
      <c r="B667" s="0" t="s">
        <v>284</v>
      </c>
      <c r="C667" s="0" t="n">
        <v>90</v>
      </c>
      <c r="D667" s="0" t="n">
        <v>16</v>
      </c>
      <c r="E667" s="0" t="n">
        <v>6</v>
      </c>
      <c r="F667" s="0" t="n">
        <v>75</v>
      </c>
      <c r="G667" s="0" t="n">
        <v>100</v>
      </c>
      <c r="H667" s="0" t="s">
        <v>145</v>
      </c>
      <c r="I667" s="0" t="n">
        <v>100</v>
      </c>
      <c r="J667" s="0" t="n">
        <f aca="false">F667*E667</f>
        <v>450</v>
      </c>
      <c r="K667" s="0" t="str">
        <f aca="false">IF(G667&lt;1000,"1-Low",IF(G667&lt;5000,"2-Medium","3-Bulk"))</f>
        <v>1-Low</v>
      </c>
      <c r="L667" s="0" t="str">
        <f aca="false">IF(H667="TRUE","Out of stock","In stock")</f>
        <v>In stock</v>
      </c>
      <c r="M667" s="0" t="str">
        <f aca="false">IF(D667&lt;5,"1) Under 5%",IF(D667&lt;10,"2) 5-9%",IF(D667&lt;15,"3) 10-14%",IF(D667&lt;25,"4) 15-24%","5) 25%+"))))</f>
        <v>4) 15-24%</v>
      </c>
      <c r="N667" s="0" t="str">
        <f aca="false">IF(F667&lt;50,"1) Under Rs 50",IF(F667&lt;100,"2) Rs 50-99",IF(F667&lt;200,"3) Rs 100-199",IF(F667&lt;500,"4) Rs 200-499","5) Rs 500+"))))</f>
        <v>2) Rs 50-99</v>
      </c>
      <c r="O667" s="0" t="n">
        <f aca="false">G667*E667/1000</f>
        <v>0.6</v>
      </c>
    </row>
    <row r="668" customFormat="false" ht="15" hidden="false" customHeight="false" outlineLevel="0" collapsed="false">
      <c r="A668" s="0" t="s">
        <v>117</v>
      </c>
      <c r="B668" s="0" t="s">
        <v>285</v>
      </c>
      <c r="C668" s="0" t="n">
        <v>210</v>
      </c>
      <c r="D668" s="0" t="n">
        <v>1</v>
      </c>
      <c r="E668" s="0" t="n">
        <v>2</v>
      </c>
      <c r="F668" s="0" t="n">
        <v>206</v>
      </c>
      <c r="G668" s="0" t="n">
        <v>1000</v>
      </c>
      <c r="H668" s="0" t="s">
        <v>145</v>
      </c>
      <c r="I668" s="0" t="n">
        <v>1</v>
      </c>
      <c r="J668" s="0" t="n">
        <f aca="false">F668*E668</f>
        <v>412</v>
      </c>
      <c r="K668" s="0" t="str">
        <f aca="false">IF(G668&lt;1000,"1-Low",IF(G668&lt;5000,"2-Medium","3-Bulk"))</f>
        <v>2-Medium</v>
      </c>
      <c r="L668" s="0" t="str">
        <f aca="false">IF(H668="TRUE","Out of stock","In stock")</f>
        <v>In stock</v>
      </c>
      <c r="M668" s="0" t="str">
        <f aca="false">IF(D668&lt;5,"1) Under 5%",IF(D668&lt;10,"2) 5-9%",IF(D668&lt;15,"3) 10-14%",IF(D668&lt;25,"4) 15-24%","5) 25%+"))))</f>
        <v>1) Under 5%</v>
      </c>
      <c r="N668" s="0" t="str">
        <f aca="false">IF(F668&lt;50,"1) Under Rs 50",IF(F668&lt;100,"2) Rs 50-99",IF(F668&lt;200,"3) Rs 100-199",IF(F668&lt;500,"4) Rs 200-499","5) Rs 500+"))))</f>
        <v>4) Rs 200-499</v>
      </c>
      <c r="O668" s="0" t="n">
        <f aca="false">G668*E668/1000</f>
        <v>2</v>
      </c>
    </row>
    <row r="669" customFormat="false" ht="15" hidden="false" customHeight="false" outlineLevel="0" collapsed="false">
      <c r="A669" s="0" t="s">
        <v>117</v>
      </c>
      <c r="B669" s="0" t="s">
        <v>286</v>
      </c>
      <c r="C669" s="0" t="n">
        <v>295</v>
      </c>
      <c r="D669" s="0" t="n">
        <v>4</v>
      </c>
      <c r="E669" s="0" t="n">
        <v>6</v>
      </c>
      <c r="F669" s="0" t="n">
        <v>281</v>
      </c>
      <c r="G669" s="0" t="n">
        <v>500</v>
      </c>
      <c r="H669" s="0" t="s">
        <v>145</v>
      </c>
      <c r="I669" s="0" t="n">
        <v>500</v>
      </c>
      <c r="J669" s="0" t="n">
        <f aca="false">F669*E669</f>
        <v>1686</v>
      </c>
      <c r="K669" s="0" t="str">
        <f aca="false">IF(G669&lt;1000,"1-Low",IF(G669&lt;5000,"2-Medium","3-Bulk"))</f>
        <v>1-Low</v>
      </c>
      <c r="L669" s="0" t="str">
        <f aca="false">IF(H669="TRUE","Out of stock","In stock")</f>
        <v>In stock</v>
      </c>
      <c r="M669" s="0" t="str">
        <f aca="false">IF(D669&lt;5,"1) Under 5%",IF(D669&lt;10,"2) 5-9%",IF(D669&lt;15,"3) 10-14%",IF(D669&lt;25,"4) 15-24%","5) 25%+"))))</f>
        <v>1) Under 5%</v>
      </c>
      <c r="N669" s="0" t="str">
        <f aca="false">IF(F669&lt;50,"1) Under Rs 50",IF(F669&lt;100,"2) Rs 50-99",IF(F669&lt;200,"3) Rs 100-199",IF(F669&lt;500,"4) Rs 200-499","5) Rs 500+"))))</f>
        <v>4) Rs 200-499</v>
      </c>
      <c r="O669" s="0" t="n">
        <f aca="false">G669*E669/1000</f>
        <v>3</v>
      </c>
    </row>
    <row r="670" customFormat="false" ht="15" hidden="false" customHeight="false" outlineLevel="0" collapsed="false">
      <c r="A670" s="0" t="s">
        <v>117</v>
      </c>
      <c r="B670" s="0" t="s">
        <v>287</v>
      </c>
      <c r="C670" s="0" t="n">
        <v>40</v>
      </c>
      <c r="D670" s="0" t="n">
        <v>5</v>
      </c>
      <c r="E670" s="0" t="n">
        <v>3</v>
      </c>
      <c r="F670" s="0" t="n">
        <v>38</v>
      </c>
      <c r="G670" s="0" t="n">
        <v>100</v>
      </c>
      <c r="H670" s="0" t="s">
        <v>145</v>
      </c>
      <c r="I670" s="0" t="n">
        <v>100</v>
      </c>
      <c r="J670" s="0" t="n">
        <f aca="false">F670*E670</f>
        <v>114</v>
      </c>
      <c r="K670" s="0" t="str">
        <f aca="false">IF(G670&lt;1000,"1-Low",IF(G670&lt;5000,"2-Medium","3-Bulk"))</f>
        <v>1-Low</v>
      </c>
      <c r="L670" s="0" t="str">
        <f aca="false">IF(H670="TRUE","Out of stock","In stock")</f>
        <v>In stock</v>
      </c>
      <c r="M670" s="0" t="str">
        <f aca="false">IF(D670&lt;5,"1) Under 5%",IF(D670&lt;10,"2) 5-9%",IF(D670&lt;15,"3) 10-14%",IF(D670&lt;25,"4) 15-24%","5) 25%+"))))</f>
        <v>2) 5-9%</v>
      </c>
      <c r="N670" s="0" t="str">
        <f aca="false">IF(F670&lt;50,"1) Under Rs 50",IF(F670&lt;100,"2) Rs 50-99",IF(F670&lt;200,"3) Rs 100-199",IF(F670&lt;500,"4) Rs 200-499","5) Rs 500+"))))</f>
        <v>1) Under Rs 50</v>
      </c>
      <c r="O670" s="0" t="n">
        <f aca="false">G670*E670/1000</f>
        <v>0.3</v>
      </c>
    </row>
    <row r="671" customFormat="false" ht="15" hidden="false" customHeight="false" outlineLevel="0" collapsed="false">
      <c r="A671" s="0" t="s">
        <v>117</v>
      </c>
      <c r="B671" s="0" t="s">
        <v>288</v>
      </c>
      <c r="C671" s="0" t="n">
        <v>30</v>
      </c>
      <c r="D671" s="0" t="n">
        <v>3</v>
      </c>
      <c r="E671" s="0" t="n">
        <v>6</v>
      </c>
      <c r="F671" s="0" t="n">
        <v>29</v>
      </c>
      <c r="G671" s="0" t="n">
        <v>100</v>
      </c>
      <c r="H671" s="0" t="s">
        <v>145</v>
      </c>
      <c r="I671" s="0" t="n">
        <v>100</v>
      </c>
      <c r="J671" s="0" t="n">
        <f aca="false">F671*E671</f>
        <v>174</v>
      </c>
      <c r="K671" s="0" t="str">
        <f aca="false">IF(G671&lt;1000,"1-Low",IF(G671&lt;5000,"2-Medium","3-Bulk"))</f>
        <v>1-Low</v>
      </c>
      <c r="L671" s="0" t="str">
        <f aca="false">IF(H671="TRUE","Out of stock","In stock")</f>
        <v>In stock</v>
      </c>
      <c r="M671" s="0" t="str">
        <f aca="false">IF(D671&lt;5,"1) Under 5%",IF(D671&lt;10,"2) 5-9%",IF(D671&lt;15,"3) 10-14%",IF(D671&lt;25,"4) 15-24%","5) 25%+"))))</f>
        <v>1) Under 5%</v>
      </c>
      <c r="N671" s="0" t="str">
        <f aca="false">IF(F671&lt;50,"1) Under Rs 50",IF(F671&lt;100,"2) Rs 50-99",IF(F671&lt;200,"3) Rs 100-199",IF(F671&lt;500,"4) Rs 200-499","5) Rs 500+"))))</f>
        <v>1) Under Rs 50</v>
      </c>
      <c r="O671" s="0" t="n">
        <f aca="false">G671*E671/1000</f>
        <v>0.6</v>
      </c>
    </row>
    <row r="672" customFormat="false" ht="15" hidden="false" customHeight="false" outlineLevel="0" collapsed="false">
      <c r="A672" s="0" t="s">
        <v>117</v>
      </c>
      <c r="B672" s="0" t="s">
        <v>289</v>
      </c>
      <c r="C672" s="0" t="n">
        <v>37</v>
      </c>
      <c r="D672" s="0" t="n">
        <v>10</v>
      </c>
      <c r="E672" s="0" t="n">
        <v>4</v>
      </c>
      <c r="F672" s="0" t="n">
        <v>33</v>
      </c>
      <c r="G672" s="0" t="n">
        <v>50</v>
      </c>
      <c r="H672" s="0" t="s">
        <v>145</v>
      </c>
      <c r="I672" s="0" t="n">
        <v>50</v>
      </c>
      <c r="J672" s="0" t="n">
        <f aca="false">F672*E672</f>
        <v>132</v>
      </c>
      <c r="K672" s="0" t="str">
        <f aca="false">IF(G672&lt;1000,"1-Low",IF(G672&lt;5000,"2-Medium","3-Bulk"))</f>
        <v>1-Low</v>
      </c>
      <c r="L672" s="0" t="str">
        <f aca="false">IF(H672="TRUE","Out of stock","In stock")</f>
        <v>In stock</v>
      </c>
      <c r="M672" s="0" t="str">
        <f aca="false">IF(D672&lt;5,"1) Under 5%",IF(D672&lt;10,"2) 5-9%",IF(D672&lt;15,"3) 10-14%",IF(D672&lt;25,"4) 15-24%","5) 25%+"))))</f>
        <v>3) 10-14%</v>
      </c>
      <c r="N672" s="0" t="str">
        <f aca="false">IF(F672&lt;50,"1) Under Rs 50",IF(F672&lt;100,"2) Rs 50-99",IF(F672&lt;200,"3) Rs 100-199",IF(F672&lt;500,"4) Rs 200-499","5) Rs 500+"))))</f>
        <v>1) Under Rs 50</v>
      </c>
      <c r="O672" s="0" t="n">
        <f aca="false">G672*E672/1000</f>
        <v>0.2</v>
      </c>
    </row>
    <row r="673" customFormat="false" ht="15" hidden="false" customHeight="false" outlineLevel="0" collapsed="false">
      <c r="A673" s="0" t="s">
        <v>117</v>
      </c>
      <c r="B673" s="0" t="s">
        <v>290</v>
      </c>
      <c r="C673" s="0" t="n">
        <v>95</v>
      </c>
      <c r="D673" s="0" t="n">
        <v>6</v>
      </c>
      <c r="E673" s="0" t="n">
        <v>2</v>
      </c>
      <c r="F673" s="0" t="n">
        <v>89</v>
      </c>
      <c r="G673" s="0" t="n">
        <v>1000</v>
      </c>
      <c r="H673" s="0" t="s">
        <v>145</v>
      </c>
      <c r="I673" s="0" t="n">
        <v>500</v>
      </c>
      <c r="J673" s="0" t="n">
        <f aca="false">F673*E673</f>
        <v>178</v>
      </c>
      <c r="K673" s="0" t="str">
        <f aca="false">IF(G673&lt;1000,"1-Low",IF(G673&lt;5000,"2-Medium","3-Bulk"))</f>
        <v>2-Medium</v>
      </c>
      <c r="L673" s="0" t="str">
        <f aca="false">IF(H673="TRUE","Out of stock","In stock")</f>
        <v>In stock</v>
      </c>
      <c r="M673" s="0" t="str">
        <f aca="false">IF(D673&lt;5,"1) Under 5%",IF(D673&lt;10,"2) 5-9%",IF(D673&lt;15,"3) 10-14%",IF(D673&lt;25,"4) 15-24%","5) 25%+"))))</f>
        <v>2) 5-9%</v>
      </c>
      <c r="N673" s="0" t="str">
        <f aca="false">IF(F673&lt;50,"1) Under Rs 50",IF(F673&lt;100,"2) Rs 50-99",IF(F673&lt;200,"3) Rs 100-199",IF(F673&lt;500,"4) Rs 200-499","5) Rs 500+"))))</f>
        <v>2) Rs 50-99</v>
      </c>
      <c r="O673" s="0" t="n">
        <f aca="false">G673*E673/1000</f>
        <v>2</v>
      </c>
    </row>
    <row r="674" customFormat="false" ht="15" hidden="false" customHeight="false" outlineLevel="0" collapsed="false">
      <c r="A674" s="0" t="s">
        <v>117</v>
      </c>
      <c r="B674" s="0" t="s">
        <v>291</v>
      </c>
      <c r="C674" s="0" t="n">
        <v>112</v>
      </c>
      <c r="D674" s="0" t="n">
        <v>2</v>
      </c>
      <c r="E674" s="0" t="n">
        <v>6</v>
      </c>
      <c r="F674" s="0" t="n">
        <v>109</v>
      </c>
      <c r="G674" s="0" t="n">
        <v>400</v>
      </c>
      <c r="H674" s="0" t="s">
        <v>145</v>
      </c>
      <c r="I674" s="0" t="n">
        <v>400</v>
      </c>
      <c r="J674" s="0" t="n">
        <f aca="false">F674*E674</f>
        <v>654</v>
      </c>
      <c r="K674" s="0" t="str">
        <f aca="false">IF(G674&lt;1000,"1-Low",IF(G674&lt;5000,"2-Medium","3-Bulk"))</f>
        <v>1-Low</v>
      </c>
      <c r="L674" s="0" t="str">
        <f aca="false">IF(H674="TRUE","Out of stock","In stock")</f>
        <v>In stock</v>
      </c>
      <c r="M674" s="0" t="str">
        <f aca="false">IF(D674&lt;5,"1) Under 5%",IF(D674&lt;10,"2) 5-9%",IF(D674&lt;15,"3) 10-14%",IF(D674&lt;25,"4) 15-24%","5) 25%+"))))</f>
        <v>1) Under 5%</v>
      </c>
      <c r="N674" s="0" t="str">
        <f aca="false">IF(F674&lt;50,"1) Under Rs 50",IF(F674&lt;100,"2) Rs 50-99",IF(F674&lt;200,"3) Rs 100-199",IF(F674&lt;500,"4) Rs 200-499","5) Rs 500+"))))</f>
        <v>3) Rs 100-199</v>
      </c>
      <c r="O674" s="0" t="n">
        <f aca="false">G674*E674/1000</f>
        <v>2.4</v>
      </c>
    </row>
    <row r="675" customFormat="false" ht="15" hidden="false" customHeight="false" outlineLevel="0" collapsed="false">
      <c r="A675" s="0" t="s">
        <v>117</v>
      </c>
      <c r="B675" s="0" t="s">
        <v>292</v>
      </c>
      <c r="C675" s="0" t="n">
        <v>450</v>
      </c>
      <c r="D675" s="0" t="n">
        <v>16</v>
      </c>
      <c r="E675" s="0" t="n">
        <v>6</v>
      </c>
      <c r="F675" s="0" t="n">
        <v>375</v>
      </c>
      <c r="G675" s="0" t="n">
        <v>10000</v>
      </c>
      <c r="H675" s="0" t="s">
        <v>145</v>
      </c>
      <c r="I675" s="0" t="n">
        <v>10</v>
      </c>
      <c r="J675" s="0" t="n">
        <f aca="false">F675*E675</f>
        <v>2250</v>
      </c>
      <c r="K675" s="0" t="str">
        <f aca="false">IF(G675&lt;1000,"1-Low",IF(G675&lt;5000,"2-Medium","3-Bulk"))</f>
        <v>3-Bulk</v>
      </c>
      <c r="L675" s="0" t="str">
        <f aca="false">IF(H675="TRUE","Out of stock","In stock")</f>
        <v>In stock</v>
      </c>
      <c r="M675" s="0" t="str">
        <f aca="false">IF(D675&lt;5,"1) Under 5%",IF(D675&lt;10,"2) 5-9%",IF(D675&lt;15,"3) 10-14%",IF(D675&lt;25,"4) 15-24%","5) 25%+"))))</f>
        <v>4) 15-24%</v>
      </c>
      <c r="N675" s="0" t="str">
        <f aca="false">IF(F675&lt;50,"1) Under Rs 50",IF(F675&lt;100,"2) Rs 50-99",IF(F675&lt;200,"3) Rs 100-199",IF(F675&lt;500,"4) Rs 200-499","5) Rs 500+"))))</f>
        <v>4) Rs 200-499</v>
      </c>
      <c r="O675" s="0" t="n">
        <f aca="false">G675*E675/1000</f>
        <v>60</v>
      </c>
    </row>
    <row r="676" customFormat="false" ht="15" hidden="false" customHeight="false" outlineLevel="0" collapsed="false">
      <c r="A676" s="0" t="s">
        <v>117</v>
      </c>
      <c r="B676" s="0" t="s">
        <v>293</v>
      </c>
      <c r="C676" s="0" t="n">
        <v>39</v>
      </c>
      <c r="D676" s="0" t="n">
        <v>2</v>
      </c>
      <c r="E676" s="0" t="n">
        <v>1</v>
      </c>
      <c r="F676" s="0" t="n">
        <v>38</v>
      </c>
      <c r="G676" s="0" t="n">
        <v>50</v>
      </c>
      <c r="H676" s="0" t="s">
        <v>145</v>
      </c>
      <c r="I676" s="0" t="n">
        <v>50</v>
      </c>
      <c r="J676" s="0" t="n">
        <f aca="false">F676*E676</f>
        <v>38</v>
      </c>
      <c r="K676" s="0" t="str">
        <f aca="false">IF(G676&lt;1000,"1-Low",IF(G676&lt;5000,"2-Medium","3-Bulk"))</f>
        <v>1-Low</v>
      </c>
      <c r="L676" s="0" t="str">
        <f aca="false">IF(H676="TRUE","Out of stock","In stock")</f>
        <v>In stock</v>
      </c>
      <c r="M676" s="0" t="str">
        <f aca="false">IF(D676&lt;5,"1) Under 5%",IF(D676&lt;10,"2) 5-9%",IF(D676&lt;15,"3) 10-14%",IF(D676&lt;25,"4) 15-24%","5) 25%+"))))</f>
        <v>1) Under 5%</v>
      </c>
      <c r="N676" s="0" t="str">
        <f aca="false">IF(F676&lt;50,"1) Under Rs 50",IF(F676&lt;100,"2) Rs 50-99",IF(F676&lt;200,"3) Rs 100-199",IF(F676&lt;500,"4) Rs 200-499","5) Rs 500+"))))</f>
        <v>1) Under Rs 50</v>
      </c>
      <c r="O676" s="0" t="n">
        <f aca="false">G676*E676/1000</f>
        <v>0.05</v>
      </c>
    </row>
    <row r="677" customFormat="false" ht="15" hidden="false" customHeight="false" outlineLevel="0" collapsed="false">
      <c r="A677" s="0" t="s">
        <v>117</v>
      </c>
      <c r="B677" s="0" t="s">
        <v>294</v>
      </c>
      <c r="C677" s="0" t="n">
        <v>205</v>
      </c>
      <c r="D677" s="0" t="n">
        <v>7</v>
      </c>
      <c r="E677" s="0" t="n">
        <v>6</v>
      </c>
      <c r="F677" s="0" t="n">
        <v>190</v>
      </c>
      <c r="G677" s="0" t="n">
        <v>1000</v>
      </c>
      <c r="H677" s="0" t="s">
        <v>145</v>
      </c>
      <c r="I677" s="0" t="n">
        <v>1</v>
      </c>
      <c r="J677" s="0" t="n">
        <f aca="false">F677*E677</f>
        <v>1140</v>
      </c>
      <c r="K677" s="0" t="str">
        <f aca="false">IF(G677&lt;1000,"1-Low",IF(G677&lt;5000,"2-Medium","3-Bulk"))</f>
        <v>2-Medium</v>
      </c>
      <c r="L677" s="0" t="str">
        <f aca="false">IF(H677="TRUE","Out of stock","In stock")</f>
        <v>In stock</v>
      </c>
      <c r="M677" s="0" t="str">
        <f aca="false">IF(D677&lt;5,"1) Under 5%",IF(D677&lt;10,"2) 5-9%",IF(D677&lt;15,"3) 10-14%",IF(D677&lt;25,"4) 15-24%","5) 25%+"))))</f>
        <v>2) 5-9%</v>
      </c>
      <c r="N677" s="0" t="str">
        <f aca="false">IF(F677&lt;50,"1) Under Rs 50",IF(F677&lt;100,"2) Rs 50-99",IF(F677&lt;200,"3) Rs 100-199",IF(F677&lt;500,"4) Rs 200-499","5) Rs 500+"))))</f>
        <v>3) Rs 100-199</v>
      </c>
      <c r="O677" s="0" t="n">
        <f aca="false">G677*E677/1000</f>
        <v>6</v>
      </c>
    </row>
    <row r="678" customFormat="false" ht="15" hidden="false" customHeight="false" outlineLevel="0" collapsed="false">
      <c r="A678" s="0" t="s">
        <v>117</v>
      </c>
      <c r="B678" s="0" t="s">
        <v>295</v>
      </c>
      <c r="C678" s="0" t="n">
        <v>400</v>
      </c>
      <c r="D678" s="0" t="n">
        <v>25</v>
      </c>
      <c r="E678" s="0" t="n">
        <v>1</v>
      </c>
      <c r="F678" s="0" t="n">
        <v>299</v>
      </c>
      <c r="G678" s="0" t="n">
        <v>250</v>
      </c>
      <c r="H678" s="0" t="s">
        <v>145</v>
      </c>
      <c r="I678" s="0" t="n">
        <v>250</v>
      </c>
      <c r="J678" s="0" t="n">
        <f aca="false">F678*E678</f>
        <v>299</v>
      </c>
      <c r="K678" s="0" t="str">
        <f aca="false">IF(G678&lt;1000,"1-Low",IF(G678&lt;5000,"2-Medium","3-Bulk"))</f>
        <v>1-Low</v>
      </c>
      <c r="L678" s="0" t="str">
        <f aca="false">IF(H678="TRUE","Out of stock","In stock")</f>
        <v>In stock</v>
      </c>
      <c r="M678" s="0" t="str">
        <f aca="false">IF(D678&lt;5,"1) Under 5%",IF(D678&lt;10,"2) 5-9%",IF(D678&lt;15,"3) 10-14%",IF(D678&lt;25,"4) 15-24%","5) 25%+"))))</f>
        <v>5) 25%+</v>
      </c>
      <c r="N678" s="0" t="str">
        <f aca="false">IF(F678&lt;50,"1) Under Rs 50",IF(F678&lt;100,"2) Rs 50-99",IF(F678&lt;200,"3) Rs 100-199",IF(F678&lt;500,"4) Rs 200-499","5) Rs 500+"))))</f>
        <v>4) Rs 200-499</v>
      </c>
      <c r="O678" s="0" t="n">
        <f aca="false">G678*E678/1000</f>
        <v>0.25</v>
      </c>
    </row>
    <row r="679" customFormat="false" ht="15" hidden="false" customHeight="false" outlineLevel="0" collapsed="false">
      <c r="A679" s="0" t="s">
        <v>117</v>
      </c>
      <c r="B679" s="0" t="s">
        <v>296</v>
      </c>
      <c r="C679" s="0" t="n">
        <v>70</v>
      </c>
      <c r="D679" s="0" t="n">
        <v>14</v>
      </c>
      <c r="E679" s="0" t="n">
        <v>6</v>
      </c>
      <c r="F679" s="0" t="n">
        <v>60</v>
      </c>
      <c r="G679" s="0" t="n">
        <v>50</v>
      </c>
      <c r="H679" s="0" t="s">
        <v>145</v>
      </c>
      <c r="I679" s="0" t="n">
        <v>50</v>
      </c>
      <c r="J679" s="0" t="n">
        <f aca="false">F679*E679</f>
        <v>360</v>
      </c>
      <c r="K679" s="0" t="str">
        <f aca="false">IF(G679&lt;1000,"1-Low",IF(G679&lt;5000,"2-Medium","3-Bulk"))</f>
        <v>1-Low</v>
      </c>
      <c r="L679" s="0" t="str">
        <f aca="false">IF(H679="TRUE","Out of stock","In stock")</f>
        <v>In stock</v>
      </c>
      <c r="M679" s="0" t="str">
        <f aca="false">IF(D679&lt;5,"1) Under 5%",IF(D679&lt;10,"2) 5-9%",IF(D679&lt;15,"3) 10-14%",IF(D679&lt;25,"4) 15-24%","5) 25%+"))))</f>
        <v>3) 10-14%</v>
      </c>
      <c r="N679" s="0" t="str">
        <f aca="false">IF(F679&lt;50,"1) Under Rs 50",IF(F679&lt;100,"2) Rs 50-99",IF(F679&lt;200,"3) Rs 100-199",IF(F679&lt;500,"4) Rs 200-499","5) Rs 500+"))))</f>
        <v>2) Rs 50-99</v>
      </c>
      <c r="O679" s="0" t="n">
        <f aca="false">G679*E679/1000</f>
        <v>0.3</v>
      </c>
    </row>
    <row r="680" customFormat="false" ht="15" hidden="false" customHeight="false" outlineLevel="0" collapsed="false">
      <c r="A680" s="0" t="s">
        <v>117</v>
      </c>
      <c r="B680" s="0" t="s">
        <v>126</v>
      </c>
      <c r="C680" s="0" t="n">
        <v>350</v>
      </c>
      <c r="D680" s="0" t="n">
        <v>28</v>
      </c>
      <c r="E680" s="0" t="n">
        <v>6</v>
      </c>
      <c r="F680" s="0" t="n">
        <v>251</v>
      </c>
      <c r="G680" s="0" t="n">
        <v>250</v>
      </c>
      <c r="H680" s="0" t="s">
        <v>145</v>
      </c>
      <c r="I680" s="0" t="n">
        <v>250</v>
      </c>
      <c r="J680" s="0" t="n">
        <f aca="false">F680*E680</f>
        <v>1506</v>
      </c>
      <c r="K680" s="0" t="str">
        <f aca="false">IF(G680&lt;1000,"1-Low",IF(G680&lt;5000,"2-Medium","3-Bulk"))</f>
        <v>1-Low</v>
      </c>
      <c r="L680" s="0" t="str">
        <f aca="false">IF(H680="TRUE","Out of stock","In stock")</f>
        <v>In stock</v>
      </c>
      <c r="M680" s="0" t="str">
        <f aca="false">IF(D680&lt;5,"1) Under 5%",IF(D680&lt;10,"2) 5-9%",IF(D680&lt;15,"3) 10-14%",IF(D680&lt;25,"4) 15-24%","5) 25%+"))))</f>
        <v>5) 25%+</v>
      </c>
      <c r="N680" s="0" t="str">
        <f aca="false">IF(F680&lt;50,"1) Under Rs 50",IF(F680&lt;100,"2) Rs 50-99",IF(F680&lt;200,"3) Rs 100-199",IF(F680&lt;500,"4) Rs 200-499","5) Rs 500+"))))</f>
        <v>4) Rs 200-499</v>
      </c>
      <c r="O680" s="0" t="n">
        <f aca="false">G680*E680/1000</f>
        <v>1.5</v>
      </c>
    </row>
    <row r="681" customFormat="false" ht="15" hidden="false" customHeight="false" outlineLevel="0" collapsed="false">
      <c r="A681" s="0" t="s">
        <v>117</v>
      </c>
      <c r="B681" s="0" t="s">
        <v>297</v>
      </c>
      <c r="C681" s="0" t="n">
        <v>25</v>
      </c>
      <c r="D681" s="0" t="n">
        <v>0</v>
      </c>
      <c r="E681" s="0" t="n">
        <v>4</v>
      </c>
      <c r="F681" s="0" t="n">
        <v>25</v>
      </c>
      <c r="G681" s="0" t="n">
        <v>50</v>
      </c>
      <c r="H681" s="0" t="s">
        <v>145</v>
      </c>
      <c r="I681" s="0" t="n">
        <v>50</v>
      </c>
      <c r="J681" s="0" t="n">
        <f aca="false">F681*E681</f>
        <v>100</v>
      </c>
      <c r="K681" s="0" t="str">
        <f aca="false">IF(G681&lt;1000,"1-Low",IF(G681&lt;5000,"2-Medium","3-Bulk"))</f>
        <v>1-Low</v>
      </c>
      <c r="L681" s="0" t="str">
        <f aca="false">IF(H681="TRUE","Out of stock","In stock")</f>
        <v>In stock</v>
      </c>
      <c r="M681" s="0" t="str">
        <f aca="false">IF(D681&lt;5,"1) Under 5%",IF(D681&lt;10,"2) 5-9%",IF(D681&lt;15,"3) 10-14%",IF(D681&lt;25,"4) 15-24%","5) 25%+"))))</f>
        <v>1) Under 5%</v>
      </c>
      <c r="N681" s="0" t="str">
        <f aca="false">IF(F681&lt;50,"1) Under Rs 50",IF(F681&lt;100,"2) Rs 50-99",IF(F681&lt;200,"3) Rs 100-199",IF(F681&lt;500,"4) Rs 200-499","5) Rs 500+"))))</f>
        <v>1) Under Rs 50</v>
      </c>
      <c r="O681" s="0" t="n">
        <f aca="false">G681*E681/1000</f>
        <v>0.2</v>
      </c>
    </row>
    <row r="682" customFormat="false" ht="15" hidden="false" customHeight="false" outlineLevel="0" collapsed="false">
      <c r="A682" s="0" t="s">
        <v>117</v>
      </c>
      <c r="B682" s="0" t="s">
        <v>298</v>
      </c>
      <c r="C682" s="0" t="n">
        <v>235</v>
      </c>
      <c r="D682" s="0" t="n">
        <v>9</v>
      </c>
      <c r="E682" s="0" t="n">
        <v>6</v>
      </c>
      <c r="F682" s="0" t="n">
        <v>212</v>
      </c>
      <c r="G682" s="0" t="n">
        <v>500</v>
      </c>
      <c r="H682" s="0" t="s">
        <v>145</v>
      </c>
      <c r="I682" s="0" t="n">
        <v>500</v>
      </c>
      <c r="J682" s="0" t="n">
        <f aca="false">F682*E682</f>
        <v>1272</v>
      </c>
      <c r="K682" s="0" t="str">
        <f aca="false">IF(G682&lt;1000,"1-Low",IF(G682&lt;5000,"2-Medium","3-Bulk"))</f>
        <v>1-Low</v>
      </c>
      <c r="L682" s="0" t="str">
        <f aca="false">IF(H682="TRUE","Out of stock","In stock")</f>
        <v>In stock</v>
      </c>
      <c r="M682" s="0" t="str">
        <f aca="false">IF(D682&lt;5,"1) Under 5%",IF(D682&lt;10,"2) 5-9%",IF(D682&lt;15,"3) 10-14%",IF(D682&lt;25,"4) 15-24%","5) 25%+"))))</f>
        <v>2) 5-9%</v>
      </c>
      <c r="N682" s="0" t="str">
        <f aca="false">IF(F682&lt;50,"1) Under Rs 50",IF(F682&lt;100,"2) Rs 50-99",IF(F682&lt;200,"3) Rs 100-199",IF(F682&lt;500,"4) Rs 200-499","5) Rs 500+"))))</f>
        <v>4) Rs 200-499</v>
      </c>
      <c r="O682" s="0" t="n">
        <f aca="false">G682*E682/1000</f>
        <v>3</v>
      </c>
    </row>
    <row r="683" customFormat="false" ht="15" hidden="false" customHeight="false" outlineLevel="0" collapsed="false">
      <c r="A683" s="0" t="s">
        <v>117</v>
      </c>
      <c r="B683" s="0" t="s">
        <v>299</v>
      </c>
      <c r="C683" s="0" t="n">
        <v>85</v>
      </c>
      <c r="D683" s="0" t="n">
        <v>9</v>
      </c>
      <c r="E683" s="0" t="n">
        <v>6</v>
      </c>
      <c r="F683" s="0" t="n">
        <v>77</v>
      </c>
      <c r="G683" s="0" t="n">
        <v>500</v>
      </c>
      <c r="H683" s="0" t="s">
        <v>145</v>
      </c>
      <c r="I683" s="0" t="n">
        <v>500</v>
      </c>
      <c r="J683" s="0" t="n">
        <f aca="false">F683*E683</f>
        <v>462</v>
      </c>
      <c r="K683" s="0" t="str">
        <f aca="false">IF(G683&lt;1000,"1-Low",IF(G683&lt;5000,"2-Medium","3-Bulk"))</f>
        <v>1-Low</v>
      </c>
      <c r="L683" s="0" t="str">
        <f aca="false">IF(H683="TRUE","Out of stock","In stock")</f>
        <v>In stock</v>
      </c>
      <c r="M683" s="0" t="str">
        <f aca="false">IF(D683&lt;5,"1) Under 5%",IF(D683&lt;10,"2) 5-9%",IF(D683&lt;15,"3) 10-14%",IF(D683&lt;25,"4) 15-24%","5) 25%+"))))</f>
        <v>2) 5-9%</v>
      </c>
      <c r="N683" s="0" t="str">
        <f aca="false">IF(F683&lt;50,"1) Under Rs 50",IF(F683&lt;100,"2) Rs 50-99",IF(F683&lt;200,"3) Rs 100-199",IF(F683&lt;500,"4) Rs 200-499","5) Rs 500+"))))</f>
        <v>2) Rs 50-99</v>
      </c>
      <c r="O683" s="0" t="n">
        <f aca="false">G683*E683/1000</f>
        <v>3</v>
      </c>
    </row>
    <row r="684" customFormat="false" ht="15" hidden="false" customHeight="false" outlineLevel="0" collapsed="false">
      <c r="A684" s="0" t="s">
        <v>117</v>
      </c>
      <c r="B684" s="0" t="s">
        <v>292</v>
      </c>
      <c r="C684" s="0" t="n">
        <v>52</v>
      </c>
      <c r="D684" s="0" t="n">
        <v>0</v>
      </c>
      <c r="E684" s="0" t="n">
        <v>4</v>
      </c>
      <c r="F684" s="0" t="n">
        <v>52</v>
      </c>
      <c r="G684" s="0" t="n">
        <v>1000</v>
      </c>
      <c r="H684" s="0" t="s">
        <v>145</v>
      </c>
      <c r="I684" s="0" t="n">
        <v>1</v>
      </c>
      <c r="J684" s="0" t="n">
        <f aca="false">F684*E684</f>
        <v>208</v>
      </c>
      <c r="K684" s="0" t="str">
        <f aca="false">IF(G684&lt;1000,"1-Low",IF(G684&lt;5000,"2-Medium","3-Bulk"))</f>
        <v>2-Medium</v>
      </c>
      <c r="L684" s="0" t="str">
        <f aca="false">IF(H684="TRUE","Out of stock","In stock")</f>
        <v>In stock</v>
      </c>
      <c r="M684" s="0" t="str">
        <f aca="false">IF(D684&lt;5,"1) Under 5%",IF(D684&lt;10,"2) 5-9%",IF(D684&lt;15,"3) 10-14%",IF(D684&lt;25,"4) 15-24%","5) 25%+"))))</f>
        <v>1) Under 5%</v>
      </c>
      <c r="N684" s="0" t="str">
        <f aca="false">IF(F684&lt;50,"1) Under Rs 50",IF(F684&lt;100,"2) Rs 50-99",IF(F684&lt;200,"3) Rs 100-199",IF(F684&lt;500,"4) Rs 200-499","5) Rs 500+"))))</f>
        <v>2) Rs 50-99</v>
      </c>
      <c r="O684" s="0" t="n">
        <f aca="false">G684*E684/1000</f>
        <v>4</v>
      </c>
    </row>
    <row r="685" customFormat="false" ht="15" hidden="false" customHeight="false" outlineLevel="0" collapsed="false">
      <c r="A685" s="0" t="s">
        <v>117</v>
      </c>
      <c r="B685" s="0" t="s">
        <v>300</v>
      </c>
      <c r="C685" s="0" t="n">
        <v>45</v>
      </c>
      <c r="D685" s="0" t="n">
        <v>2</v>
      </c>
      <c r="E685" s="0" t="n">
        <v>6</v>
      </c>
      <c r="F685" s="0" t="n">
        <v>44</v>
      </c>
      <c r="G685" s="0" t="n">
        <v>100</v>
      </c>
      <c r="H685" s="0" t="s">
        <v>145</v>
      </c>
      <c r="I685" s="0" t="n">
        <v>100</v>
      </c>
      <c r="J685" s="0" t="n">
        <f aca="false">F685*E685</f>
        <v>264</v>
      </c>
      <c r="K685" s="0" t="str">
        <f aca="false">IF(G685&lt;1000,"1-Low",IF(G685&lt;5000,"2-Medium","3-Bulk"))</f>
        <v>1-Low</v>
      </c>
      <c r="L685" s="0" t="str">
        <f aca="false">IF(H685="TRUE","Out of stock","In stock")</f>
        <v>In stock</v>
      </c>
      <c r="M685" s="0" t="str">
        <f aca="false">IF(D685&lt;5,"1) Under 5%",IF(D685&lt;10,"2) 5-9%",IF(D685&lt;15,"3) 10-14%",IF(D685&lt;25,"4) 15-24%","5) 25%+"))))</f>
        <v>1) Under 5%</v>
      </c>
      <c r="N685" s="0" t="str">
        <f aca="false">IF(F685&lt;50,"1) Under Rs 50",IF(F685&lt;100,"2) Rs 50-99",IF(F685&lt;200,"3) Rs 100-199",IF(F685&lt;500,"4) Rs 200-499","5) Rs 500+"))))</f>
        <v>1) Under Rs 50</v>
      </c>
      <c r="O685" s="0" t="n">
        <f aca="false">G685*E685/1000</f>
        <v>0.6</v>
      </c>
    </row>
    <row r="686" customFormat="false" ht="15" hidden="false" customHeight="false" outlineLevel="0" collapsed="false">
      <c r="A686" s="0" t="s">
        <v>117</v>
      </c>
      <c r="B686" s="0" t="s">
        <v>301</v>
      </c>
      <c r="C686" s="0" t="n">
        <v>35</v>
      </c>
      <c r="D686" s="0" t="n">
        <v>2</v>
      </c>
      <c r="E686" s="0" t="n">
        <v>3</v>
      </c>
      <c r="F686" s="0" t="n">
        <v>34</v>
      </c>
      <c r="G686" s="0" t="n">
        <v>500</v>
      </c>
      <c r="H686" s="0" t="s">
        <v>145</v>
      </c>
      <c r="I686" s="0" t="n">
        <v>500</v>
      </c>
      <c r="J686" s="0" t="n">
        <f aca="false">F686*E686</f>
        <v>102</v>
      </c>
      <c r="K686" s="0" t="str">
        <f aca="false">IF(G686&lt;1000,"1-Low",IF(G686&lt;5000,"2-Medium","3-Bulk"))</f>
        <v>1-Low</v>
      </c>
      <c r="L686" s="0" t="str">
        <f aca="false">IF(H686="TRUE","Out of stock","In stock")</f>
        <v>In stock</v>
      </c>
      <c r="M686" s="0" t="str">
        <f aca="false">IF(D686&lt;5,"1) Under 5%",IF(D686&lt;10,"2) 5-9%",IF(D686&lt;15,"3) 10-14%",IF(D686&lt;25,"4) 15-24%","5) 25%+"))))</f>
        <v>1) Under 5%</v>
      </c>
      <c r="N686" s="0" t="str">
        <f aca="false">IF(F686&lt;50,"1) Under Rs 50",IF(F686&lt;100,"2) Rs 50-99",IF(F686&lt;200,"3) Rs 100-199",IF(F686&lt;500,"4) Rs 200-499","5) Rs 500+"))))</f>
        <v>1) Under Rs 50</v>
      </c>
      <c r="O686" s="0" t="n">
        <f aca="false">G686*E686/1000</f>
        <v>1.5</v>
      </c>
    </row>
    <row r="687" customFormat="false" ht="15" hidden="false" customHeight="false" outlineLevel="0" collapsed="false">
      <c r="A687" s="0" t="s">
        <v>117</v>
      </c>
      <c r="B687" s="0" t="s">
        <v>302</v>
      </c>
      <c r="C687" s="0" t="n">
        <v>245</v>
      </c>
      <c r="D687" s="0" t="n">
        <v>29</v>
      </c>
      <c r="E687" s="0" t="n">
        <v>6</v>
      </c>
      <c r="F687" s="0" t="n">
        <v>172</v>
      </c>
      <c r="G687" s="0" t="n">
        <v>200</v>
      </c>
      <c r="H687" s="0" t="s">
        <v>145</v>
      </c>
      <c r="I687" s="0" t="n">
        <v>200</v>
      </c>
      <c r="J687" s="0" t="n">
        <f aca="false">F687*E687</f>
        <v>1032</v>
      </c>
      <c r="K687" s="0" t="str">
        <f aca="false">IF(G687&lt;1000,"1-Low",IF(G687&lt;5000,"2-Medium","3-Bulk"))</f>
        <v>1-Low</v>
      </c>
      <c r="L687" s="0" t="str">
        <f aca="false">IF(H687="TRUE","Out of stock","In stock")</f>
        <v>In stock</v>
      </c>
      <c r="M687" s="0" t="str">
        <f aca="false">IF(D687&lt;5,"1) Under 5%",IF(D687&lt;10,"2) 5-9%",IF(D687&lt;15,"3) 10-14%",IF(D687&lt;25,"4) 15-24%","5) 25%+"))))</f>
        <v>5) 25%+</v>
      </c>
      <c r="N687" s="0" t="str">
        <f aca="false">IF(F687&lt;50,"1) Under Rs 50",IF(F687&lt;100,"2) Rs 50-99",IF(F687&lt;200,"3) Rs 100-199",IF(F687&lt;500,"4) Rs 200-499","5) Rs 500+"))))</f>
        <v>3) Rs 100-199</v>
      </c>
      <c r="O687" s="0" t="n">
        <f aca="false">G687*E687/1000</f>
        <v>1.2</v>
      </c>
    </row>
    <row r="688" customFormat="false" ht="15" hidden="false" customHeight="false" outlineLevel="0" collapsed="false">
      <c r="A688" s="0" t="s">
        <v>117</v>
      </c>
      <c r="B688" s="0" t="s">
        <v>303</v>
      </c>
      <c r="C688" s="0" t="n">
        <v>101</v>
      </c>
      <c r="D688" s="0" t="n">
        <v>6</v>
      </c>
      <c r="E688" s="0" t="n">
        <v>4</v>
      </c>
      <c r="F688" s="0" t="n">
        <v>94</v>
      </c>
      <c r="G688" s="0" t="n">
        <v>500</v>
      </c>
      <c r="H688" s="0" t="s">
        <v>145</v>
      </c>
      <c r="I688" s="0" t="n">
        <v>500</v>
      </c>
      <c r="J688" s="0" t="n">
        <f aca="false">F688*E688</f>
        <v>376</v>
      </c>
      <c r="K688" s="0" t="str">
        <f aca="false">IF(G688&lt;1000,"1-Low",IF(G688&lt;5000,"2-Medium","3-Bulk"))</f>
        <v>1-Low</v>
      </c>
      <c r="L688" s="0" t="str">
        <f aca="false">IF(H688="TRUE","Out of stock","In stock")</f>
        <v>In stock</v>
      </c>
      <c r="M688" s="0" t="str">
        <f aca="false">IF(D688&lt;5,"1) Under 5%",IF(D688&lt;10,"2) 5-9%",IF(D688&lt;15,"3) 10-14%",IF(D688&lt;25,"4) 15-24%","5) 25%+"))))</f>
        <v>2) 5-9%</v>
      </c>
      <c r="N688" s="0" t="str">
        <f aca="false">IF(F688&lt;50,"1) Under Rs 50",IF(F688&lt;100,"2) Rs 50-99",IF(F688&lt;200,"3) Rs 100-199",IF(F688&lt;500,"4) Rs 200-499","5) Rs 500+"))))</f>
        <v>2) Rs 50-99</v>
      </c>
      <c r="O688" s="0" t="n">
        <f aca="false">G688*E688/1000</f>
        <v>2</v>
      </c>
    </row>
    <row r="689" customFormat="false" ht="15" hidden="false" customHeight="false" outlineLevel="0" collapsed="false">
      <c r="A689" s="0" t="s">
        <v>117</v>
      </c>
      <c r="B689" s="0" t="s">
        <v>304</v>
      </c>
      <c r="C689" s="0" t="n">
        <v>325</v>
      </c>
      <c r="D689" s="0" t="n">
        <v>12</v>
      </c>
      <c r="E689" s="0" t="n">
        <v>6</v>
      </c>
      <c r="F689" s="0" t="n">
        <v>283</v>
      </c>
      <c r="G689" s="0" t="n">
        <v>250</v>
      </c>
      <c r="H689" s="0" t="s">
        <v>145</v>
      </c>
      <c r="I689" s="0" t="n">
        <v>250</v>
      </c>
      <c r="J689" s="0" t="n">
        <f aca="false">F689*E689</f>
        <v>1698</v>
      </c>
      <c r="K689" s="0" t="str">
        <f aca="false">IF(G689&lt;1000,"1-Low",IF(G689&lt;5000,"2-Medium","3-Bulk"))</f>
        <v>1-Low</v>
      </c>
      <c r="L689" s="0" t="str">
        <f aca="false">IF(H689="TRUE","Out of stock","In stock")</f>
        <v>In stock</v>
      </c>
      <c r="M689" s="0" t="str">
        <f aca="false">IF(D689&lt;5,"1) Under 5%",IF(D689&lt;10,"2) 5-9%",IF(D689&lt;15,"3) 10-14%",IF(D689&lt;25,"4) 15-24%","5) 25%+"))))</f>
        <v>3) 10-14%</v>
      </c>
      <c r="N689" s="0" t="str">
        <f aca="false">IF(F689&lt;50,"1) Under Rs 50",IF(F689&lt;100,"2) Rs 50-99",IF(F689&lt;200,"3) Rs 100-199",IF(F689&lt;500,"4) Rs 200-499","5) Rs 500+"))))</f>
        <v>4) Rs 200-499</v>
      </c>
      <c r="O689" s="0" t="n">
        <f aca="false">G689*E689/1000</f>
        <v>1.5</v>
      </c>
    </row>
    <row r="690" customFormat="false" ht="15" hidden="false" customHeight="false" outlineLevel="0" collapsed="false">
      <c r="A690" s="0" t="s">
        <v>117</v>
      </c>
      <c r="B690" s="0" t="s">
        <v>305</v>
      </c>
      <c r="C690" s="0" t="n">
        <v>60</v>
      </c>
      <c r="D690" s="0" t="n">
        <v>10</v>
      </c>
      <c r="E690" s="0" t="n">
        <v>6</v>
      </c>
      <c r="F690" s="0" t="n">
        <v>54</v>
      </c>
      <c r="G690" s="0" t="n">
        <v>500</v>
      </c>
      <c r="H690" s="0" t="s">
        <v>145</v>
      </c>
      <c r="I690" s="0" t="n">
        <v>500</v>
      </c>
      <c r="J690" s="0" t="n">
        <f aca="false">F690*E690</f>
        <v>324</v>
      </c>
      <c r="K690" s="0" t="str">
        <f aca="false">IF(G690&lt;1000,"1-Low",IF(G690&lt;5000,"2-Medium","3-Bulk"))</f>
        <v>1-Low</v>
      </c>
      <c r="L690" s="0" t="str">
        <f aca="false">IF(H690="TRUE","Out of stock","In stock")</f>
        <v>In stock</v>
      </c>
      <c r="M690" s="0" t="str">
        <f aca="false">IF(D690&lt;5,"1) Under 5%",IF(D690&lt;10,"2) 5-9%",IF(D690&lt;15,"3) 10-14%",IF(D690&lt;25,"4) 15-24%","5) 25%+"))))</f>
        <v>3) 10-14%</v>
      </c>
      <c r="N690" s="0" t="str">
        <f aca="false">IF(F690&lt;50,"1) Under Rs 50",IF(F690&lt;100,"2) Rs 50-99",IF(F690&lt;200,"3) Rs 100-199",IF(F690&lt;500,"4) Rs 200-499","5) Rs 500+"))))</f>
        <v>2) Rs 50-99</v>
      </c>
      <c r="O690" s="0" t="n">
        <f aca="false">G690*E690/1000</f>
        <v>3</v>
      </c>
    </row>
    <row r="691" customFormat="false" ht="15" hidden="false" customHeight="false" outlineLevel="0" collapsed="false">
      <c r="A691" s="0" t="s">
        <v>117</v>
      </c>
      <c r="B691" s="0" t="s">
        <v>306</v>
      </c>
      <c r="C691" s="0" t="n">
        <v>134</v>
      </c>
      <c r="D691" s="0" t="n">
        <v>6</v>
      </c>
      <c r="E691" s="0" t="n">
        <v>6</v>
      </c>
      <c r="F691" s="0" t="n">
        <v>125</v>
      </c>
      <c r="G691" s="0" t="n">
        <v>500</v>
      </c>
      <c r="H691" s="0" t="s">
        <v>145</v>
      </c>
      <c r="I691" s="0" t="n">
        <v>500</v>
      </c>
      <c r="J691" s="0" t="n">
        <f aca="false">F691*E691</f>
        <v>750</v>
      </c>
      <c r="K691" s="0" t="str">
        <f aca="false">IF(G691&lt;1000,"1-Low",IF(G691&lt;5000,"2-Medium","3-Bulk"))</f>
        <v>1-Low</v>
      </c>
      <c r="L691" s="0" t="str">
        <f aca="false">IF(H691="TRUE","Out of stock","In stock")</f>
        <v>In stock</v>
      </c>
      <c r="M691" s="0" t="str">
        <f aca="false">IF(D691&lt;5,"1) Under 5%",IF(D691&lt;10,"2) 5-9%",IF(D691&lt;15,"3) 10-14%",IF(D691&lt;25,"4) 15-24%","5) 25%+"))))</f>
        <v>2) 5-9%</v>
      </c>
      <c r="N691" s="0" t="str">
        <f aca="false">IF(F691&lt;50,"1) Under Rs 50",IF(F691&lt;100,"2) Rs 50-99",IF(F691&lt;200,"3) Rs 100-199",IF(F691&lt;500,"4) Rs 200-499","5) Rs 500+"))))</f>
        <v>3) Rs 100-199</v>
      </c>
      <c r="O691" s="0" t="n">
        <f aca="false">G691*E691/1000</f>
        <v>3</v>
      </c>
    </row>
    <row r="692" customFormat="false" ht="15" hidden="false" customHeight="false" outlineLevel="0" collapsed="false">
      <c r="A692" s="0" t="s">
        <v>117</v>
      </c>
      <c r="B692" s="0" t="s">
        <v>283</v>
      </c>
      <c r="C692" s="0" t="n">
        <v>42</v>
      </c>
      <c r="D692" s="0" t="n">
        <v>2</v>
      </c>
      <c r="E692" s="0" t="n">
        <v>2</v>
      </c>
      <c r="F692" s="0" t="n">
        <v>41</v>
      </c>
      <c r="G692" s="0" t="n">
        <v>50</v>
      </c>
      <c r="H692" s="0" t="s">
        <v>145</v>
      </c>
      <c r="I692" s="0" t="n">
        <v>50</v>
      </c>
      <c r="J692" s="0" t="n">
        <f aca="false">F692*E692</f>
        <v>82</v>
      </c>
      <c r="K692" s="0" t="str">
        <f aca="false">IF(G692&lt;1000,"1-Low",IF(G692&lt;5000,"2-Medium","3-Bulk"))</f>
        <v>1-Low</v>
      </c>
      <c r="L692" s="0" t="str">
        <f aca="false">IF(H692="TRUE","Out of stock","In stock")</f>
        <v>In stock</v>
      </c>
      <c r="M692" s="0" t="str">
        <f aca="false">IF(D692&lt;5,"1) Under 5%",IF(D692&lt;10,"2) 5-9%",IF(D692&lt;15,"3) 10-14%",IF(D692&lt;25,"4) 15-24%","5) 25%+"))))</f>
        <v>1) Under 5%</v>
      </c>
      <c r="N692" s="0" t="str">
        <f aca="false">IF(F692&lt;50,"1) Under Rs 50",IF(F692&lt;100,"2) Rs 50-99",IF(F692&lt;200,"3) Rs 100-199",IF(F692&lt;500,"4) Rs 200-499","5) Rs 500+"))))</f>
        <v>1) Under Rs 50</v>
      </c>
      <c r="O692" s="0" t="n">
        <f aca="false">G692*E692/1000</f>
        <v>0.1</v>
      </c>
    </row>
    <row r="693" customFormat="false" ht="15" hidden="false" customHeight="false" outlineLevel="0" collapsed="false">
      <c r="A693" s="0" t="s">
        <v>117</v>
      </c>
      <c r="B693" s="0" t="s">
        <v>307</v>
      </c>
      <c r="C693" s="0" t="n">
        <v>70</v>
      </c>
      <c r="D693" s="0" t="n">
        <v>14</v>
      </c>
      <c r="E693" s="0" t="n">
        <v>2</v>
      </c>
      <c r="F693" s="0" t="n">
        <v>60</v>
      </c>
      <c r="G693" s="0" t="n">
        <v>100</v>
      </c>
      <c r="H693" s="0" t="s">
        <v>145</v>
      </c>
      <c r="I693" s="0" t="n">
        <v>100</v>
      </c>
      <c r="J693" s="0" t="n">
        <f aca="false">F693*E693</f>
        <v>120</v>
      </c>
      <c r="K693" s="0" t="str">
        <f aca="false">IF(G693&lt;1000,"1-Low",IF(G693&lt;5000,"2-Medium","3-Bulk"))</f>
        <v>1-Low</v>
      </c>
      <c r="L693" s="0" t="str">
        <f aca="false">IF(H693="TRUE","Out of stock","In stock")</f>
        <v>In stock</v>
      </c>
      <c r="M693" s="0" t="str">
        <f aca="false">IF(D693&lt;5,"1) Under 5%",IF(D693&lt;10,"2) 5-9%",IF(D693&lt;15,"3) 10-14%",IF(D693&lt;25,"4) 15-24%","5) 25%+"))))</f>
        <v>3) 10-14%</v>
      </c>
      <c r="N693" s="0" t="str">
        <f aca="false">IF(F693&lt;50,"1) Under Rs 50",IF(F693&lt;100,"2) Rs 50-99",IF(F693&lt;200,"3) Rs 100-199",IF(F693&lt;500,"4) Rs 200-499","5) Rs 500+"))))</f>
        <v>2) Rs 50-99</v>
      </c>
      <c r="O693" s="0" t="n">
        <f aca="false">G693*E693/1000</f>
        <v>0.2</v>
      </c>
    </row>
    <row r="694" customFormat="false" ht="15" hidden="false" customHeight="false" outlineLevel="0" collapsed="false">
      <c r="A694" s="0" t="s">
        <v>117</v>
      </c>
      <c r="B694" s="0" t="s">
        <v>308</v>
      </c>
      <c r="C694" s="0" t="n">
        <v>70</v>
      </c>
      <c r="D694" s="0" t="n">
        <v>7</v>
      </c>
      <c r="E694" s="0" t="n">
        <v>2</v>
      </c>
      <c r="F694" s="0" t="n">
        <v>65</v>
      </c>
      <c r="G694" s="0" t="n">
        <v>100</v>
      </c>
      <c r="H694" s="0" t="s">
        <v>145</v>
      </c>
      <c r="I694" s="0" t="n">
        <v>100</v>
      </c>
      <c r="J694" s="0" t="n">
        <f aca="false">F694*E694</f>
        <v>130</v>
      </c>
      <c r="K694" s="0" t="str">
        <f aca="false">IF(G694&lt;1000,"1-Low",IF(G694&lt;5000,"2-Medium","3-Bulk"))</f>
        <v>1-Low</v>
      </c>
      <c r="L694" s="0" t="str">
        <f aca="false">IF(H694="TRUE","Out of stock","In stock")</f>
        <v>In stock</v>
      </c>
      <c r="M694" s="0" t="str">
        <f aca="false">IF(D694&lt;5,"1) Under 5%",IF(D694&lt;10,"2) 5-9%",IF(D694&lt;15,"3) 10-14%",IF(D694&lt;25,"4) 15-24%","5) 25%+"))))</f>
        <v>2) 5-9%</v>
      </c>
      <c r="N694" s="0" t="str">
        <f aca="false">IF(F694&lt;50,"1) Under Rs 50",IF(F694&lt;100,"2) Rs 50-99",IF(F694&lt;200,"3) Rs 100-199",IF(F694&lt;500,"4) Rs 200-499","5) Rs 500+"))))</f>
        <v>2) Rs 50-99</v>
      </c>
      <c r="O694" s="0" t="n">
        <f aca="false">G694*E694/1000</f>
        <v>0.2</v>
      </c>
    </row>
    <row r="695" customFormat="false" ht="15" hidden="false" customHeight="false" outlineLevel="0" collapsed="false">
      <c r="A695" s="0" t="s">
        <v>117</v>
      </c>
      <c r="B695" s="0" t="s">
        <v>309</v>
      </c>
      <c r="C695" s="0" t="n">
        <v>132</v>
      </c>
      <c r="D695" s="0" t="n">
        <v>3</v>
      </c>
      <c r="E695" s="0" t="n">
        <v>6</v>
      </c>
      <c r="F695" s="0" t="n">
        <v>128</v>
      </c>
      <c r="G695" s="0" t="n">
        <v>400</v>
      </c>
      <c r="H695" s="0" t="s">
        <v>145</v>
      </c>
      <c r="I695" s="0" t="n">
        <v>400</v>
      </c>
      <c r="J695" s="0" t="n">
        <f aca="false">F695*E695</f>
        <v>768</v>
      </c>
      <c r="K695" s="0" t="str">
        <f aca="false">IF(G695&lt;1000,"1-Low",IF(G695&lt;5000,"2-Medium","3-Bulk"))</f>
        <v>1-Low</v>
      </c>
      <c r="L695" s="0" t="str">
        <f aca="false">IF(H695="TRUE","Out of stock","In stock")</f>
        <v>In stock</v>
      </c>
      <c r="M695" s="0" t="str">
        <f aca="false">IF(D695&lt;5,"1) Under 5%",IF(D695&lt;10,"2) 5-9%",IF(D695&lt;15,"3) 10-14%",IF(D695&lt;25,"4) 15-24%","5) 25%+"))))</f>
        <v>1) Under 5%</v>
      </c>
      <c r="N695" s="0" t="str">
        <f aca="false">IF(F695&lt;50,"1) Under Rs 50",IF(F695&lt;100,"2) Rs 50-99",IF(F695&lt;200,"3) Rs 100-199",IF(F695&lt;500,"4) Rs 200-499","5) Rs 500+"))))</f>
        <v>3) Rs 100-199</v>
      </c>
      <c r="O695" s="0" t="n">
        <f aca="false">G695*E695/1000</f>
        <v>2.4</v>
      </c>
    </row>
    <row r="696" customFormat="false" ht="15" hidden="false" customHeight="false" outlineLevel="0" collapsed="false">
      <c r="A696" s="0" t="s">
        <v>117</v>
      </c>
      <c r="B696" s="0" t="s">
        <v>310</v>
      </c>
      <c r="C696" s="0" t="n">
        <v>65</v>
      </c>
      <c r="D696" s="0" t="n">
        <v>9</v>
      </c>
      <c r="E696" s="0" t="n">
        <v>6</v>
      </c>
      <c r="F696" s="0" t="n">
        <v>59</v>
      </c>
      <c r="G696" s="0" t="n">
        <v>1000</v>
      </c>
      <c r="H696" s="0" t="s">
        <v>145</v>
      </c>
      <c r="I696" s="0" t="n">
        <v>1</v>
      </c>
      <c r="J696" s="0" t="n">
        <f aca="false">F696*E696</f>
        <v>354</v>
      </c>
      <c r="K696" s="0" t="str">
        <f aca="false">IF(G696&lt;1000,"1-Low",IF(G696&lt;5000,"2-Medium","3-Bulk"))</f>
        <v>2-Medium</v>
      </c>
      <c r="L696" s="0" t="str">
        <f aca="false">IF(H696="TRUE","Out of stock","In stock")</f>
        <v>In stock</v>
      </c>
      <c r="M696" s="0" t="str">
        <f aca="false">IF(D696&lt;5,"1) Under 5%",IF(D696&lt;10,"2) 5-9%",IF(D696&lt;15,"3) 10-14%",IF(D696&lt;25,"4) 15-24%","5) 25%+"))))</f>
        <v>2) 5-9%</v>
      </c>
      <c r="N696" s="0" t="str">
        <f aca="false">IF(F696&lt;50,"1) Under Rs 50",IF(F696&lt;100,"2) Rs 50-99",IF(F696&lt;200,"3) Rs 100-199",IF(F696&lt;500,"4) Rs 200-499","5) Rs 500+"))))</f>
        <v>2) Rs 50-99</v>
      </c>
      <c r="O696" s="0" t="n">
        <f aca="false">G696*E696/1000</f>
        <v>6</v>
      </c>
    </row>
    <row r="697" customFormat="false" ht="15" hidden="false" customHeight="false" outlineLevel="0" collapsed="false">
      <c r="A697" s="0" t="s">
        <v>117</v>
      </c>
      <c r="B697" s="0" t="s">
        <v>311</v>
      </c>
      <c r="C697" s="0" t="n">
        <v>260</v>
      </c>
      <c r="D697" s="0" t="n">
        <v>20</v>
      </c>
      <c r="E697" s="0" t="n">
        <v>6</v>
      </c>
      <c r="F697" s="0" t="n">
        <v>208</v>
      </c>
      <c r="G697" s="0" t="n">
        <v>1000</v>
      </c>
      <c r="H697" s="0" t="s">
        <v>145</v>
      </c>
      <c r="I697" s="0" t="n">
        <v>1</v>
      </c>
      <c r="J697" s="0" t="n">
        <f aca="false">F697*E697</f>
        <v>1248</v>
      </c>
      <c r="K697" s="0" t="str">
        <f aca="false">IF(G697&lt;1000,"1-Low",IF(G697&lt;5000,"2-Medium","3-Bulk"))</f>
        <v>2-Medium</v>
      </c>
      <c r="L697" s="0" t="str">
        <f aca="false">IF(H697="TRUE","Out of stock","In stock")</f>
        <v>In stock</v>
      </c>
      <c r="M697" s="0" t="str">
        <f aca="false">IF(D697&lt;5,"1) Under 5%",IF(D697&lt;10,"2) 5-9%",IF(D697&lt;15,"3) 10-14%",IF(D697&lt;25,"4) 15-24%","5) 25%+"))))</f>
        <v>4) 15-24%</v>
      </c>
      <c r="N697" s="0" t="str">
        <f aca="false">IF(F697&lt;50,"1) Under Rs 50",IF(F697&lt;100,"2) Rs 50-99",IF(F697&lt;200,"3) Rs 100-199",IF(F697&lt;500,"4) Rs 200-499","5) Rs 500+"))))</f>
        <v>4) Rs 200-499</v>
      </c>
      <c r="O697" s="0" t="n">
        <f aca="false">G697*E697/1000</f>
        <v>6</v>
      </c>
    </row>
    <row r="698" customFormat="false" ht="15" hidden="false" customHeight="false" outlineLevel="0" collapsed="false">
      <c r="A698" s="0" t="s">
        <v>117</v>
      </c>
      <c r="B698" s="0" t="s">
        <v>312</v>
      </c>
      <c r="C698" s="0" t="n">
        <v>99</v>
      </c>
      <c r="D698" s="0" t="n">
        <v>10</v>
      </c>
      <c r="E698" s="0" t="n">
        <v>6</v>
      </c>
      <c r="F698" s="0" t="n">
        <v>89</v>
      </c>
      <c r="G698" s="0" t="n">
        <v>200</v>
      </c>
      <c r="H698" s="0" t="s">
        <v>145</v>
      </c>
      <c r="I698" s="0" t="n">
        <v>200</v>
      </c>
      <c r="J698" s="0" t="n">
        <f aca="false">F698*E698</f>
        <v>534</v>
      </c>
      <c r="K698" s="0" t="str">
        <f aca="false">IF(G698&lt;1000,"1-Low",IF(G698&lt;5000,"2-Medium","3-Bulk"))</f>
        <v>1-Low</v>
      </c>
      <c r="L698" s="0" t="str">
        <f aca="false">IF(H698="TRUE","Out of stock","In stock")</f>
        <v>In stock</v>
      </c>
      <c r="M698" s="0" t="str">
        <f aca="false">IF(D698&lt;5,"1) Under 5%",IF(D698&lt;10,"2) 5-9%",IF(D698&lt;15,"3) 10-14%",IF(D698&lt;25,"4) 15-24%","5) 25%+"))))</f>
        <v>3) 10-14%</v>
      </c>
      <c r="N698" s="0" t="str">
        <f aca="false">IF(F698&lt;50,"1) Under Rs 50",IF(F698&lt;100,"2) Rs 50-99",IF(F698&lt;200,"3) Rs 100-199",IF(F698&lt;500,"4) Rs 200-499","5) Rs 500+"))))</f>
        <v>2) Rs 50-99</v>
      </c>
      <c r="O698" s="0" t="n">
        <f aca="false">G698*E698/1000</f>
        <v>1.2</v>
      </c>
    </row>
    <row r="699" customFormat="false" ht="15" hidden="false" customHeight="false" outlineLevel="0" collapsed="false">
      <c r="A699" s="0" t="s">
        <v>117</v>
      </c>
      <c r="B699" s="0" t="s">
        <v>313</v>
      </c>
      <c r="C699" s="0" t="n">
        <v>65</v>
      </c>
      <c r="D699" s="0" t="n">
        <v>10</v>
      </c>
      <c r="E699" s="0" t="n">
        <v>3</v>
      </c>
      <c r="F699" s="0" t="n">
        <v>58</v>
      </c>
      <c r="G699" s="0" t="n">
        <v>500</v>
      </c>
      <c r="H699" s="0" t="s">
        <v>145</v>
      </c>
      <c r="I699" s="0" t="n">
        <v>500</v>
      </c>
      <c r="J699" s="0" t="n">
        <f aca="false">F699*E699</f>
        <v>174</v>
      </c>
      <c r="K699" s="0" t="str">
        <f aca="false">IF(G699&lt;1000,"1-Low",IF(G699&lt;5000,"2-Medium","3-Bulk"))</f>
        <v>1-Low</v>
      </c>
      <c r="L699" s="0" t="str">
        <f aca="false">IF(H699="TRUE","Out of stock","In stock")</f>
        <v>In stock</v>
      </c>
      <c r="M699" s="0" t="str">
        <f aca="false">IF(D699&lt;5,"1) Under 5%",IF(D699&lt;10,"2) 5-9%",IF(D699&lt;15,"3) 10-14%",IF(D699&lt;25,"4) 15-24%","5) 25%+"))))</f>
        <v>3) 10-14%</v>
      </c>
      <c r="N699" s="0" t="str">
        <f aca="false">IF(F699&lt;50,"1) Under Rs 50",IF(F699&lt;100,"2) Rs 50-99",IF(F699&lt;200,"3) Rs 100-199",IF(F699&lt;500,"4) Rs 200-499","5) Rs 500+"))))</f>
        <v>2) Rs 50-99</v>
      </c>
      <c r="O699" s="0" t="n">
        <f aca="false">G699*E699/1000</f>
        <v>1.5</v>
      </c>
    </row>
    <row r="700" customFormat="false" ht="15" hidden="false" customHeight="false" outlineLevel="0" collapsed="false">
      <c r="A700" s="0" t="s">
        <v>117</v>
      </c>
      <c r="B700" s="0" t="s">
        <v>314</v>
      </c>
      <c r="C700" s="0" t="n">
        <v>135</v>
      </c>
      <c r="D700" s="0" t="n">
        <v>7</v>
      </c>
      <c r="E700" s="0" t="n">
        <v>1</v>
      </c>
      <c r="F700" s="0" t="n">
        <v>125</v>
      </c>
      <c r="G700" s="0" t="n">
        <v>500</v>
      </c>
      <c r="H700" s="0" t="s">
        <v>145</v>
      </c>
      <c r="I700" s="0" t="n">
        <v>500</v>
      </c>
      <c r="J700" s="0" t="n">
        <f aca="false">F700*E700</f>
        <v>125</v>
      </c>
      <c r="K700" s="0" t="str">
        <f aca="false">IF(G700&lt;1000,"1-Low",IF(G700&lt;5000,"2-Medium","3-Bulk"))</f>
        <v>1-Low</v>
      </c>
      <c r="L700" s="0" t="str">
        <f aca="false">IF(H700="TRUE","Out of stock","In stock")</f>
        <v>In stock</v>
      </c>
      <c r="M700" s="0" t="str">
        <f aca="false">IF(D700&lt;5,"1) Under 5%",IF(D700&lt;10,"2) 5-9%",IF(D700&lt;15,"3) 10-14%",IF(D700&lt;25,"4) 15-24%","5) 25%+"))))</f>
        <v>2) 5-9%</v>
      </c>
      <c r="N700" s="0" t="str">
        <f aca="false">IF(F700&lt;50,"1) Under Rs 50",IF(F700&lt;100,"2) Rs 50-99",IF(F700&lt;200,"3) Rs 100-199",IF(F700&lt;500,"4) Rs 200-499","5) Rs 500+"))))</f>
        <v>3) Rs 100-199</v>
      </c>
      <c r="O700" s="0" t="n">
        <f aca="false">G700*E700/1000</f>
        <v>0.5</v>
      </c>
    </row>
    <row r="701" customFormat="false" ht="15" hidden="false" customHeight="false" outlineLevel="0" collapsed="false">
      <c r="A701" s="0" t="s">
        <v>117</v>
      </c>
      <c r="B701" s="0" t="s">
        <v>315</v>
      </c>
      <c r="C701" s="0" t="n">
        <v>90</v>
      </c>
      <c r="D701" s="0" t="n">
        <v>10</v>
      </c>
      <c r="E701" s="0" t="n">
        <v>2</v>
      </c>
      <c r="F701" s="0" t="n">
        <v>81</v>
      </c>
      <c r="G701" s="0" t="n">
        <v>50</v>
      </c>
      <c r="H701" s="0" t="s">
        <v>145</v>
      </c>
      <c r="I701" s="0" t="n">
        <v>50</v>
      </c>
      <c r="J701" s="0" t="n">
        <f aca="false">F701*E701</f>
        <v>162</v>
      </c>
      <c r="K701" s="0" t="str">
        <f aca="false">IF(G701&lt;1000,"1-Low",IF(G701&lt;5000,"2-Medium","3-Bulk"))</f>
        <v>1-Low</v>
      </c>
      <c r="L701" s="0" t="str">
        <f aca="false">IF(H701="TRUE","Out of stock","In stock")</f>
        <v>In stock</v>
      </c>
      <c r="M701" s="0" t="str">
        <f aca="false">IF(D701&lt;5,"1) Under 5%",IF(D701&lt;10,"2) 5-9%",IF(D701&lt;15,"3) 10-14%",IF(D701&lt;25,"4) 15-24%","5) 25%+"))))</f>
        <v>3) 10-14%</v>
      </c>
      <c r="N701" s="0" t="str">
        <f aca="false">IF(F701&lt;50,"1) Under Rs 50",IF(F701&lt;100,"2) Rs 50-99",IF(F701&lt;200,"3) Rs 100-199",IF(F701&lt;500,"4) Rs 200-499","5) Rs 500+"))))</f>
        <v>2) Rs 50-99</v>
      </c>
      <c r="O701" s="0" t="n">
        <f aca="false">G701*E701/1000</f>
        <v>0.1</v>
      </c>
    </row>
    <row r="702" customFormat="false" ht="15" hidden="false" customHeight="false" outlineLevel="0" collapsed="false">
      <c r="A702" s="0" t="s">
        <v>117</v>
      </c>
      <c r="B702" s="0" t="s">
        <v>316</v>
      </c>
      <c r="C702" s="0" t="n">
        <v>135</v>
      </c>
      <c r="D702" s="0" t="n">
        <v>14</v>
      </c>
      <c r="E702" s="0" t="n">
        <v>6</v>
      </c>
      <c r="F702" s="0" t="n">
        <v>115</v>
      </c>
      <c r="G702" s="0" t="n">
        <v>100</v>
      </c>
      <c r="H702" s="0" t="s">
        <v>145</v>
      </c>
      <c r="I702" s="0" t="n">
        <v>100</v>
      </c>
      <c r="J702" s="0" t="n">
        <f aca="false">F702*E702</f>
        <v>690</v>
      </c>
      <c r="K702" s="0" t="str">
        <f aca="false">IF(G702&lt;1000,"1-Low",IF(G702&lt;5000,"2-Medium","3-Bulk"))</f>
        <v>1-Low</v>
      </c>
      <c r="L702" s="0" t="str">
        <f aca="false">IF(H702="TRUE","Out of stock","In stock")</f>
        <v>In stock</v>
      </c>
      <c r="M702" s="0" t="str">
        <f aca="false">IF(D702&lt;5,"1) Under 5%",IF(D702&lt;10,"2) 5-9%",IF(D702&lt;15,"3) 10-14%",IF(D702&lt;25,"4) 15-24%","5) 25%+"))))</f>
        <v>3) 10-14%</v>
      </c>
      <c r="N702" s="0" t="str">
        <f aca="false">IF(F702&lt;50,"1) Under Rs 50",IF(F702&lt;100,"2) Rs 50-99",IF(F702&lt;200,"3) Rs 100-199",IF(F702&lt;500,"4) Rs 200-499","5) Rs 500+"))))</f>
        <v>3) Rs 100-199</v>
      </c>
      <c r="O702" s="0" t="n">
        <f aca="false">G702*E702/1000</f>
        <v>0.6</v>
      </c>
    </row>
    <row r="703" customFormat="false" ht="15" hidden="false" customHeight="false" outlineLevel="0" collapsed="false">
      <c r="A703" s="0" t="s">
        <v>117</v>
      </c>
      <c r="B703" s="0" t="s">
        <v>317</v>
      </c>
      <c r="C703" s="0" t="n">
        <v>150</v>
      </c>
      <c r="D703" s="0" t="n">
        <v>10</v>
      </c>
      <c r="E703" s="0" t="n">
        <v>4</v>
      </c>
      <c r="F703" s="0" t="n">
        <v>134</v>
      </c>
      <c r="G703" s="0" t="n">
        <v>1000</v>
      </c>
      <c r="H703" s="0" t="s">
        <v>145</v>
      </c>
      <c r="I703" s="0" t="n">
        <v>1</v>
      </c>
      <c r="J703" s="0" t="n">
        <f aca="false">F703*E703</f>
        <v>536</v>
      </c>
      <c r="K703" s="0" t="str">
        <f aca="false">IF(G703&lt;1000,"1-Low",IF(G703&lt;5000,"2-Medium","3-Bulk"))</f>
        <v>2-Medium</v>
      </c>
      <c r="L703" s="0" t="str">
        <f aca="false">IF(H703="TRUE","Out of stock","In stock")</f>
        <v>In stock</v>
      </c>
      <c r="M703" s="0" t="str">
        <f aca="false">IF(D703&lt;5,"1) Under 5%",IF(D703&lt;10,"2) 5-9%",IF(D703&lt;15,"3) 10-14%",IF(D703&lt;25,"4) 15-24%","5) 25%+"))))</f>
        <v>3) 10-14%</v>
      </c>
      <c r="N703" s="0" t="str">
        <f aca="false">IF(F703&lt;50,"1) Under Rs 50",IF(F703&lt;100,"2) Rs 50-99",IF(F703&lt;200,"3) Rs 100-199",IF(F703&lt;500,"4) Rs 200-499","5) Rs 500+"))))</f>
        <v>3) Rs 100-199</v>
      </c>
      <c r="O703" s="0" t="n">
        <f aca="false">G703*E703/1000</f>
        <v>4</v>
      </c>
    </row>
    <row r="704" customFormat="false" ht="15" hidden="false" customHeight="false" outlineLevel="0" collapsed="false">
      <c r="A704" s="0" t="s">
        <v>117</v>
      </c>
      <c r="B704" s="0" t="s">
        <v>318</v>
      </c>
      <c r="C704" s="0" t="n">
        <v>95</v>
      </c>
      <c r="D704" s="0" t="n">
        <v>7</v>
      </c>
      <c r="E704" s="0" t="n">
        <v>5</v>
      </c>
      <c r="F704" s="0" t="n">
        <v>88</v>
      </c>
      <c r="G704" s="0" t="n">
        <v>500</v>
      </c>
      <c r="H704" s="0" t="s">
        <v>145</v>
      </c>
      <c r="I704" s="0" t="n">
        <v>500</v>
      </c>
      <c r="J704" s="0" t="n">
        <f aca="false">F704*E704</f>
        <v>440</v>
      </c>
      <c r="K704" s="0" t="str">
        <f aca="false">IF(G704&lt;1000,"1-Low",IF(G704&lt;5000,"2-Medium","3-Bulk"))</f>
        <v>1-Low</v>
      </c>
      <c r="L704" s="0" t="str">
        <f aca="false">IF(H704="TRUE","Out of stock","In stock")</f>
        <v>In stock</v>
      </c>
      <c r="M704" s="0" t="str">
        <f aca="false">IF(D704&lt;5,"1) Under 5%",IF(D704&lt;10,"2) 5-9%",IF(D704&lt;15,"3) 10-14%",IF(D704&lt;25,"4) 15-24%","5) 25%+"))))</f>
        <v>2) 5-9%</v>
      </c>
      <c r="N704" s="0" t="str">
        <f aca="false">IF(F704&lt;50,"1) Under Rs 50",IF(F704&lt;100,"2) Rs 50-99",IF(F704&lt;200,"3) Rs 100-199",IF(F704&lt;500,"4) Rs 200-499","5) Rs 500+"))))</f>
        <v>2) Rs 50-99</v>
      </c>
      <c r="O704" s="0" t="n">
        <f aca="false">G704*E704/1000</f>
        <v>2.5</v>
      </c>
    </row>
    <row r="705" customFormat="false" ht="15" hidden="false" customHeight="false" outlineLevel="0" collapsed="false">
      <c r="A705" s="0" t="s">
        <v>117</v>
      </c>
      <c r="B705" s="0" t="s">
        <v>272</v>
      </c>
      <c r="C705" s="0" t="n">
        <v>199</v>
      </c>
      <c r="D705" s="0" t="n">
        <v>7</v>
      </c>
      <c r="E705" s="0" t="n">
        <v>6</v>
      </c>
      <c r="F705" s="0" t="n">
        <v>184</v>
      </c>
      <c r="G705" s="0" t="n">
        <v>1000</v>
      </c>
      <c r="H705" s="0" t="s">
        <v>145</v>
      </c>
      <c r="I705" s="0" t="n">
        <v>1</v>
      </c>
      <c r="J705" s="0" t="n">
        <f aca="false">F705*E705</f>
        <v>1104</v>
      </c>
      <c r="K705" s="0" t="str">
        <f aca="false">IF(G705&lt;1000,"1-Low",IF(G705&lt;5000,"2-Medium","3-Bulk"))</f>
        <v>2-Medium</v>
      </c>
      <c r="L705" s="0" t="str">
        <f aca="false">IF(H705="TRUE","Out of stock","In stock")</f>
        <v>In stock</v>
      </c>
      <c r="M705" s="0" t="str">
        <f aca="false">IF(D705&lt;5,"1) Under 5%",IF(D705&lt;10,"2) 5-9%",IF(D705&lt;15,"3) 10-14%",IF(D705&lt;25,"4) 15-24%","5) 25%+"))))</f>
        <v>2) 5-9%</v>
      </c>
      <c r="N705" s="0" t="str">
        <f aca="false">IF(F705&lt;50,"1) Under Rs 50",IF(F705&lt;100,"2) Rs 50-99",IF(F705&lt;200,"3) Rs 100-199",IF(F705&lt;500,"4) Rs 200-499","5) Rs 500+"))))</f>
        <v>3) Rs 100-199</v>
      </c>
      <c r="O705" s="0" t="n">
        <f aca="false">G705*E705/1000</f>
        <v>6</v>
      </c>
    </row>
    <row r="706" customFormat="false" ht="15" hidden="false" customHeight="false" outlineLevel="0" collapsed="false">
      <c r="A706" s="0" t="s">
        <v>117</v>
      </c>
      <c r="B706" s="0" t="s">
        <v>319</v>
      </c>
      <c r="C706" s="0" t="n">
        <v>485</v>
      </c>
      <c r="D706" s="0" t="n">
        <v>7</v>
      </c>
      <c r="E706" s="0" t="n">
        <v>6</v>
      </c>
      <c r="F706" s="0" t="n">
        <v>449</v>
      </c>
      <c r="G706" s="0" t="n">
        <v>2000</v>
      </c>
      <c r="H706" s="0" t="s">
        <v>145</v>
      </c>
      <c r="I706" s="0" t="n">
        <v>2</v>
      </c>
      <c r="J706" s="0" t="n">
        <f aca="false">F706*E706</f>
        <v>2694</v>
      </c>
      <c r="K706" s="0" t="str">
        <f aca="false">IF(G706&lt;1000,"1-Low",IF(G706&lt;5000,"2-Medium","3-Bulk"))</f>
        <v>2-Medium</v>
      </c>
      <c r="L706" s="0" t="str">
        <f aca="false">IF(H706="TRUE","Out of stock","In stock")</f>
        <v>In stock</v>
      </c>
      <c r="M706" s="0" t="str">
        <f aca="false">IF(D706&lt;5,"1) Under 5%",IF(D706&lt;10,"2) 5-9%",IF(D706&lt;15,"3) 10-14%",IF(D706&lt;25,"4) 15-24%","5) 25%+"))))</f>
        <v>2) 5-9%</v>
      </c>
      <c r="N706" s="0" t="str">
        <f aca="false">IF(F706&lt;50,"1) Under Rs 50",IF(F706&lt;100,"2) Rs 50-99",IF(F706&lt;200,"3) Rs 100-199",IF(F706&lt;500,"4) Rs 200-499","5) Rs 500+"))))</f>
        <v>4) Rs 200-499</v>
      </c>
      <c r="O706" s="0" t="n">
        <f aca="false">G706*E706/1000</f>
        <v>12</v>
      </c>
    </row>
    <row r="707" customFormat="false" ht="15" hidden="false" customHeight="false" outlineLevel="0" collapsed="false">
      <c r="A707" s="0" t="s">
        <v>117</v>
      </c>
      <c r="B707" s="0" t="s">
        <v>320</v>
      </c>
      <c r="C707" s="0" t="n">
        <v>210</v>
      </c>
      <c r="D707" s="0" t="n">
        <v>0</v>
      </c>
      <c r="E707" s="0" t="n">
        <v>4</v>
      </c>
      <c r="F707" s="0" t="n">
        <v>210</v>
      </c>
      <c r="G707" s="0" t="n">
        <v>400</v>
      </c>
      <c r="H707" s="0" t="s">
        <v>145</v>
      </c>
      <c r="I707" s="0" t="n">
        <v>400</v>
      </c>
      <c r="J707" s="0" t="n">
        <f aca="false">F707*E707</f>
        <v>840</v>
      </c>
      <c r="K707" s="0" t="str">
        <f aca="false">IF(G707&lt;1000,"1-Low",IF(G707&lt;5000,"2-Medium","3-Bulk"))</f>
        <v>1-Low</v>
      </c>
      <c r="L707" s="0" t="str">
        <f aca="false">IF(H707="TRUE","Out of stock","In stock")</f>
        <v>In stock</v>
      </c>
      <c r="M707" s="0" t="str">
        <f aca="false">IF(D707&lt;5,"1) Under 5%",IF(D707&lt;10,"2) 5-9%",IF(D707&lt;15,"3) 10-14%",IF(D707&lt;25,"4) 15-24%","5) 25%+"))))</f>
        <v>1) Under 5%</v>
      </c>
      <c r="N707" s="0" t="str">
        <f aca="false">IF(F707&lt;50,"1) Under Rs 50",IF(F707&lt;100,"2) Rs 50-99",IF(F707&lt;200,"3) Rs 100-199",IF(F707&lt;500,"4) Rs 200-499","5) Rs 500+"))))</f>
        <v>4) Rs 200-499</v>
      </c>
      <c r="O707" s="0" t="n">
        <f aca="false">G707*E707/1000</f>
        <v>1.6</v>
      </c>
    </row>
    <row r="708" customFormat="false" ht="15" hidden="false" customHeight="false" outlineLevel="0" collapsed="false">
      <c r="A708" s="0" t="s">
        <v>117</v>
      </c>
      <c r="B708" s="0" t="s">
        <v>321</v>
      </c>
      <c r="C708" s="0" t="n">
        <v>75</v>
      </c>
      <c r="D708" s="0" t="n">
        <v>8</v>
      </c>
      <c r="E708" s="0" t="n">
        <v>1</v>
      </c>
      <c r="F708" s="0" t="n">
        <v>69</v>
      </c>
      <c r="G708" s="0" t="n">
        <v>500</v>
      </c>
      <c r="H708" s="0" t="s">
        <v>145</v>
      </c>
      <c r="I708" s="0" t="n">
        <v>500</v>
      </c>
      <c r="J708" s="0" t="n">
        <f aca="false">F708*E708</f>
        <v>69</v>
      </c>
      <c r="K708" s="0" t="str">
        <f aca="false">IF(G708&lt;1000,"1-Low",IF(G708&lt;5000,"2-Medium","3-Bulk"))</f>
        <v>1-Low</v>
      </c>
      <c r="L708" s="0" t="str">
        <f aca="false">IF(H708="TRUE","Out of stock","In stock")</f>
        <v>In stock</v>
      </c>
      <c r="M708" s="0" t="str">
        <f aca="false">IF(D708&lt;5,"1) Under 5%",IF(D708&lt;10,"2) 5-9%",IF(D708&lt;15,"3) 10-14%",IF(D708&lt;25,"4) 15-24%","5) 25%+"))))</f>
        <v>2) 5-9%</v>
      </c>
      <c r="N708" s="0" t="str">
        <f aca="false">IF(F708&lt;50,"1) Under Rs 50",IF(F708&lt;100,"2) Rs 50-99",IF(F708&lt;200,"3) Rs 100-199",IF(F708&lt;500,"4) Rs 200-499","5) Rs 500+"))))</f>
        <v>2) Rs 50-99</v>
      </c>
      <c r="O708" s="0" t="n">
        <f aca="false">G708*E708/1000</f>
        <v>0.5</v>
      </c>
    </row>
    <row r="709" customFormat="false" ht="15" hidden="false" customHeight="false" outlineLevel="0" collapsed="false">
      <c r="A709" s="0" t="s">
        <v>117</v>
      </c>
      <c r="B709" s="0" t="s">
        <v>322</v>
      </c>
      <c r="C709" s="0" t="n">
        <v>98</v>
      </c>
      <c r="D709" s="0" t="n">
        <v>9</v>
      </c>
      <c r="E709" s="0" t="n">
        <v>5</v>
      </c>
      <c r="F709" s="0" t="n">
        <v>89</v>
      </c>
      <c r="G709" s="0" t="n">
        <v>100</v>
      </c>
      <c r="H709" s="0" t="s">
        <v>145</v>
      </c>
      <c r="I709" s="0" t="n">
        <v>100</v>
      </c>
      <c r="J709" s="0" t="n">
        <f aca="false">F709*E709</f>
        <v>445</v>
      </c>
      <c r="K709" s="0" t="str">
        <f aca="false">IF(G709&lt;1000,"1-Low",IF(G709&lt;5000,"2-Medium","3-Bulk"))</f>
        <v>1-Low</v>
      </c>
      <c r="L709" s="0" t="str">
        <f aca="false">IF(H709="TRUE","Out of stock","In stock")</f>
        <v>In stock</v>
      </c>
      <c r="M709" s="0" t="str">
        <f aca="false">IF(D709&lt;5,"1) Under 5%",IF(D709&lt;10,"2) 5-9%",IF(D709&lt;15,"3) 10-14%",IF(D709&lt;25,"4) 15-24%","5) 25%+"))))</f>
        <v>2) 5-9%</v>
      </c>
      <c r="N709" s="0" t="str">
        <f aca="false">IF(F709&lt;50,"1) Under Rs 50",IF(F709&lt;100,"2) Rs 50-99",IF(F709&lt;200,"3) Rs 100-199",IF(F709&lt;500,"4) Rs 200-499","5) Rs 500+"))))</f>
        <v>2) Rs 50-99</v>
      </c>
      <c r="O709" s="0" t="n">
        <f aca="false">G709*E709/1000</f>
        <v>0.5</v>
      </c>
    </row>
    <row r="710" customFormat="false" ht="15" hidden="false" customHeight="false" outlineLevel="0" collapsed="false">
      <c r="A710" s="0" t="s">
        <v>117</v>
      </c>
      <c r="B710" s="0" t="s">
        <v>323</v>
      </c>
      <c r="C710" s="0" t="n">
        <v>94</v>
      </c>
      <c r="D710" s="0" t="n">
        <v>4</v>
      </c>
      <c r="E710" s="0" t="n">
        <v>6</v>
      </c>
      <c r="F710" s="0" t="n">
        <v>90</v>
      </c>
      <c r="G710" s="0" t="n">
        <v>500</v>
      </c>
      <c r="H710" s="0" t="s">
        <v>145</v>
      </c>
      <c r="I710" s="0" t="n">
        <v>500</v>
      </c>
      <c r="J710" s="0" t="n">
        <f aca="false">F710*E710</f>
        <v>540</v>
      </c>
      <c r="K710" s="0" t="str">
        <f aca="false">IF(G710&lt;1000,"1-Low",IF(G710&lt;5000,"2-Medium","3-Bulk"))</f>
        <v>1-Low</v>
      </c>
      <c r="L710" s="0" t="str">
        <f aca="false">IF(H710="TRUE","Out of stock","In stock")</f>
        <v>In stock</v>
      </c>
      <c r="M710" s="0" t="str">
        <f aca="false">IF(D710&lt;5,"1) Under 5%",IF(D710&lt;10,"2) 5-9%",IF(D710&lt;15,"3) 10-14%",IF(D710&lt;25,"4) 15-24%","5) 25%+"))))</f>
        <v>1) Under 5%</v>
      </c>
      <c r="N710" s="0" t="str">
        <f aca="false">IF(F710&lt;50,"1) Under Rs 50",IF(F710&lt;100,"2) Rs 50-99",IF(F710&lt;200,"3) Rs 100-199",IF(F710&lt;500,"4) Rs 200-499","5) Rs 500+"))))</f>
        <v>2) Rs 50-99</v>
      </c>
      <c r="O710" s="0" t="n">
        <f aca="false">G710*E710/1000</f>
        <v>3</v>
      </c>
    </row>
    <row r="711" customFormat="false" ht="15" hidden="false" customHeight="false" outlineLevel="0" collapsed="false">
      <c r="A711" s="0" t="s">
        <v>117</v>
      </c>
      <c r="B711" s="0" t="s">
        <v>324</v>
      </c>
      <c r="C711" s="0" t="n">
        <v>30</v>
      </c>
      <c r="D711" s="0" t="n">
        <v>6</v>
      </c>
      <c r="E711" s="0" t="n">
        <v>6</v>
      </c>
      <c r="F711" s="0" t="n">
        <v>28</v>
      </c>
      <c r="G711" s="0" t="n">
        <v>500</v>
      </c>
      <c r="H711" s="0" t="s">
        <v>145</v>
      </c>
      <c r="I711" s="0" t="n">
        <v>500</v>
      </c>
      <c r="J711" s="0" t="n">
        <f aca="false">F711*E711</f>
        <v>168</v>
      </c>
      <c r="K711" s="0" t="str">
        <f aca="false">IF(G711&lt;1000,"1-Low",IF(G711&lt;5000,"2-Medium","3-Bulk"))</f>
        <v>1-Low</v>
      </c>
      <c r="L711" s="0" t="str">
        <f aca="false">IF(H711="TRUE","Out of stock","In stock")</f>
        <v>In stock</v>
      </c>
      <c r="M711" s="0" t="str">
        <f aca="false">IF(D711&lt;5,"1) Under 5%",IF(D711&lt;10,"2) 5-9%",IF(D711&lt;15,"3) 10-14%",IF(D711&lt;25,"4) 15-24%","5) 25%+"))))</f>
        <v>2) 5-9%</v>
      </c>
      <c r="N711" s="0" t="str">
        <f aca="false">IF(F711&lt;50,"1) Under Rs 50",IF(F711&lt;100,"2) Rs 50-99",IF(F711&lt;200,"3) Rs 100-199",IF(F711&lt;500,"4) Rs 200-499","5) Rs 500+"))))</f>
        <v>1) Under Rs 50</v>
      </c>
      <c r="O711" s="0" t="n">
        <f aca="false">G711*E711/1000</f>
        <v>3</v>
      </c>
    </row>
    <row r="712" customFormat="false" ht="15" hidden="false" customHeight="false" outlineLevel="0" collapsed="false">
      <c r="A712" s="0" t="s">
        <v>117</v>
      </c>
      <c r="B712" s="0" t="s">
        <v>325</v>
      </c>
      <c r="C712" s="0" t="n">
        <v>95</v>
      </c>
      <c r="D712" s="0" t="n">
        <v>9</v>
      </c>
      <c r="E712" s="0" t="n">
        <v>6</v>
      </c>
      <c r="F712" s="0" t="n">
        <v>86</v>
      </c>
      <c r="G712" s="0" t="n">
        <v>200</v>
      </c>
      <c r="H712" s="0" t="s">
        <v>145</v>
      </c>
      <c r="I712" s="0" t="n">
        <v>200</v>
      </c>
      <c r="J712" s="0" t="n">
        <f aca="false">F712*E712</f>
        <v>516</v>
      </c>
      <c r="K712" s="0" t="str">
        <f aca="false">IF(G712&lt;1000,"1-Low",IF(G712&lt;5000,"2-Medium","3-Bulk"))</f>
        <v>1-Low</v>
      </c>
      <c r="L712" s="0" t="str">
        <f aca="false">IF(H712="TRUE","Out of stock","In stock")</f>
        <v>In stock</v>
      </c>
      <c r="M712" s="0" t="str">
        <f aca="false">IF(D712&lt;5,"1) Under 5%",IF(D712&lt;10,"2) 5-9%",IF(D712&lt;15,"3) 10-14%",IF(D712&lt;25,"4) 15-24%","5) 25%+"))))</f>
        <v>2) 5-9%</v>
      </c>
      <c r="N712" s="0" t="str">
        <f aca="false">IF(F712&lt;50,"1) Under Rs 50",IF(F712&lt;100,"2) Rs 50-99",IF(F712&lt;200,"3) Rs 100-199",IF(F712&lt;500,"4) Rs 200-499","5) Rs 500+"))))</f>
        <v>2) Rs 50-99</v>
      </c>
      <c r="O712" s="0" t="n">
        <f aca="false">G712*E712/1000</f>
        <v>1.2</v>
      </c>
    </row>
    <row r="713" customFormat="false" ht="15" hidden="false" customHeight="false" outlineLevel="0" collapsed="false">
      <c r="A713" s="0" t="s">
        <v>117</v>
      </c>
      <c r="B713" s="0" t="s">
        <v>326</v>
      </c>
      <c r="C713" s="0" t="n">
        <v>60</v>
      </c>
      <c r="D713" s="0" t="n">
        <v>28</v>
      </c>
      <c r="E713" s="0" t="n">
        <v>3</v>
      </c>
      <c r="F713" s="0" t="n">
        <v>43</v>
      </c>
      <c r="G713" s="0" t="n">
        <v>260</v>
      </c>
      <c r="H713" s="0" t="s">
        <v>145</v>
      </c>
      <c r="I713" s="0" t="n">
        <v>260</v>
      </c>
      <c r="J713" s="0" t="n">
        <f aca="false">F713*E713</f>
        <v>129</v>
      </c>
      <c r="K713" s="0" t="str">
        <f aca="false">IF(G713&lt;1000,"1-Low",IF(G713&lt;5000,"2-Medium","3-Bulk"))</f>
        <v>1-Low</v>
      </c>
      <c r="L713" s="0" t="str">
        <f aca="false">IF(H713="TRUE","Out of stock","In stock")</f>
        <v>In stock</v>
      </c>
      <c r="M713" s="0" t="str">
        <f aca="false">IF(D713&lt;5,"1) Under 5%",IF(D713&lt;10,"2) 5-9%",IF(D713&lt;15,"3) 10-14%",IF(D713&lt;25,"4) 15-24%","5) 25%+"))))</f>
        <v>5) 25%+</v>
      </c>
      <c r="N713" s="0" t="str">
        <f aca="false">IF(F713&lt;50,"1) Under Rs 50",IF(F713&lt;100,"2) Rs 50-99",IF(F713&lt;200,"3) Rs 100-199",IF(F713&lt;500,"4) Rs 200-499","5) Rs 500+"))))</f>
        <v>1) Under Rs 50</v>
      </c>
      <c r="O713" s="0" t="n">
        <f aca="false">G713*E713/1000</f>
        <v>0.78</v>
      </c>
    </row>
    <row r="714" customFormat="false" ht="15" hidden="false" customHeight="false" outlineLevel="0" collapsed="false">
      <c r="A714" s="0" t="s">
        <v>117</v>
      </c>
      <c r="B714" s="0" t="s">
        <v>327</v>
      </c>
      <c r="C714" s="0" t="n">
        <v>160</v>
      </c>
      <c r="D714" s="0" t="n">
        <v>50</v>
      </c>
      <c r="E714" s="0" t="n">
        <v>6</v>
      </c>
      <c r="F714" s="0" t="n">
        <v>80</v>
      </c>
      <c r="G714" s="0" t="n">
        <v>500</v>
      </c>
      <c r="H714" s="0" t="s">
        <v>145</v>
      </c>
      <c r="I714" s="0" t="n">
        <v>500</v>
      </c>
      <c r="J714" s="0" t="n">
        <f aca="false">F714*E714</f>
        <v>480</v>
      </c>
      <c r="K714" s="0" t="str">
        <f aca="false">IF(G714&lt;1000,"1-Low",IF(G714&lt;5000,"2-Medium","3-Bulk"))</f>
        <v>1-Low</v>
      </c>
      <c r="L714" s="0" t="str">
        <f aca="false">IF(H714="TRUE","Out of stock","In stock")</f>
        <v>In stock</v>
      </c>
      <c r="M714" s="0" t="str">
        <f aca="false">IF(D714&lt;5,"1) Under 5%",IF(D714&lt;10,"2) 5-9%",IF(D714&lt;15,"3) 10-14%",IF(D714&lt;25,"4) 15-24%","5) 25%+"))))</f>
        <v>5) 25%+</v>
      </c>
      <c r="N714" s="0" t="str">
        <f aca="false">IF(F714&lt;50,"1) Under Rs 50",IF(F714&lt;100,"2) Rs 50-99",IF(F714&lt;200,"3) Rs 100-199",IF(F714&lt;500,"4) Rs 200-499","5) Rs 500+"))))</f>
        <v>2) Rs 50-99</v>
      </c>
      <c r="O714" s="0" t="n">
        <f aca="false">G714*E714/1000</f>
        <v>3</v>
      </c>
    </row>
    <row r="715" customFormat="false" ht="15" hidden="false" customHeight="false" outlineLevel="0" collapsed="false">
      <c r="A715" s="0" t="s">
        <v>117</v>
      </c>
      <c r="B715" s="0" t="s">
        <v>328</v>
      </c>
      <c r="C715" s="0" t="n">
        <v>25</v>
      </c>
      <c r="D715" s="0" t="n">
        <v>20</v>
      </c>
      <c r="E715" s="0" t="n">
        <v>6</v>
      </c>
      <c r="F715" s="0" t="n">
        <v>20</v>
      </c>
      <c r="G715" s="0" t="n">
        <v>60</v>
      </c>
      <c r="H715" s="0" t="s">
        <v>145</v>
      </c>
      <c r="I715" s="0" t="n">
        <v>60</v>
      </c>
      <c r="J715" s="0" t="n">
        <f aca="false">F715*E715</f>
        <v>120</v>
      </c>
      <c r="K715" s="0" t="str">
        <f aca="false">IF(G715&lt;1000,"1-Low",IF(G715&lt;5000,"2-Medium","3-Bulk"))</f>
        <v>1-Low</v>
      </c>
      <c r="L715" s="0" t="str">
        <f aca="false">IF(H715="TRUE","Out of stock","In stock")</f>
        <v>In stock</v>
      </c>
      <c r="M715" s="0" t="str">
        <f aca="false">IF(D715&lt;5,"1) Under 5%",IF(D715&lt;10,"2) 5-9%",IF(D715&lt;15,"3) 10-14%",IF(D715&lt;25,"4) 15-24%","5) 25%+"))))</f>
        <v>4) 15-24%</v>
      </c>
      <c r="N715" s="0" t="str">
        <f aca="false">IF(F715&lt;50,"1) Under Rs 50",IF(F715&lt;100,"2) Rs 50-99",IF(F715&lt;200,"3) Rs 100-199",IF(F715&lt;500,"4) Rs 200-499","5) Rs 500+"))))</f>
        <v>1) Under Rs 50</v>
      </c>
      <c r="O715" s="0" t="n">
        <f aca="false">G715*E715/1000</f>
        <v>0.36</v>
      </c>
    </row>
    <row r="716" customFormat="false" ht="15" hidden="false" customHeight="false" outlineLevel="0" collapsed="false">
      <c r="A716" s="0" t="s">
        <v>117</v>
      </c>
      <c r="B716" s="0" t="s">
        <v>329</v>
      </c>
      <c r="C716" s="0" t="n">
        <v>113</v>
      </c>
      <c r="D716" s="0" t="n">
        <v>10</v>
      </c>
      <c r="E716" s="0" t="n">
        <v>5</v>
      </c>
      <c r="F716" s="0" t="n">
        <v>101</v>
      </c>
      <c r="G716" s="0" t="n">
        <v>200</v>
      </c>
      <c r="H716" s="0" t="s">
        <v>145</v>
      </c>
      <c r="I716" s="0" t="n">
        <v>200</v>
      </c>
      <c r="J716" s="0" t="n">
        <f aca="false">F716*E716</f>
        <v>505</v>
      </c>
      <c r="K716" s="0" t="str">
        <f aca="false">IF(G716&lt;1000,"1-Low",IF(G716&lt;5000,"2-Medium","3-Bulk"))</f>
        <v>1-Low</v>
      </c>
      <c r="L716" s="0" t="str">
        <f aca="false">IF(H716="TRUE","Out of stock","In stock")</f>
        <v>In stock</v>
      </c>
      <c r="M716" s="0" t="str">
        <f aca="false">IF(D716&lt;5,"1) Under 5%",IF(D716&lt;10,"2) 5-9%",IF(D716&lt;15,"3) 10-14%",IF(D716&lt;25,"4) 15-24%","5) 25%+"))))</f>
        <v>3) 10-14%</v>
      </c>
      <c r="N716" s="0" t="str">
        <f aca="false">IF(F716&lt;50,"1) Under Rs 50",IF(F716&lt;100,"2) Rs 50-99",IF(F716&lt;200,"3) Rs 100-199",IF(F716&lt;500,"4) Rs 200-499","5) Rs 500+"))))</f>
        <v>3) Rs 100-199</v>
      </c>
      <c r="O716" s="0" t="n">
        <f aca="false">G716*E716/1000</f>
        <v>1</v>
      </c>
    </row>
    <row r="717" customFormat="false" ht="15" hidden="false" customHeight="false" outlineLevel="0" collapsed="false">
      <c r="A717" s="0" t="s">
        <v>117</v>
      </c>
      <c r="B717" s="0" t="s">
        <v>330</v>
      </c>
      <c r="C717" s="0" t="n">
        <v>110</v>
      </c>
      <c r="D717" s="0" t="n">
        <v>4</v>
      </c>
      <c r="E717" s="0" t="n">
        <v>6</v>
      </c>
      <c r="F717" s="0" t="n">
        <v>105</v>
      </c>
      <c r="G717" s="0" t="n">
        <v>250</v>
      </c>
      <c r="H717" s="0" t="s">
        <v>145</v>
      </c>
      <c r="I717" s="0" t="n">
        <v>500</v>
      </c>
      <c r="J717" s="0" t="n">
        <f aca="false">F717*E717</f>
        <v>630</v>
      </c>
      <c r="K717" s="0" t="str">
        <f aca="false">IF(G717&lt;1000,"1-Low",IF(G717&lt;5000,"2-Medium","3-Bulk"))</f>
        <v>1-Low</v>
      </c>
      <c r="L717" s="0" t="str">
        <f aca="false">IF(H717="TRUE","Out of stock","In stock")</f>
        <v>In stock</v>
      </c>
      <c r="M717" s="0" t="str">
        <f aca="false">IF(D717&lt;5,"1) Under 5%",IF(D717&lt;10,"2) 5-9%",IF(D717&lt;15,"3) 10-14%",IF(D717&lt;25,"4) 15-24%","5) 25%+"))))</f>
        <v>1) Under 5%</v>
      </c>
      <c r="N717" s="0" t="str">
        <f aca="false">IF(F717&lt;50,"1) Under Rs 50",IF(F717&lt;100,"2) Rs 50-99",IF(F717&lt;200,"3) Rs 100-199",IF(F717&lt;500,"4) Rs 200-499","5) Rs 500+"))))</f>
        <v>3) Rs 100-199</v>
      </c>
      <c r="O717" s="0" t="n">
        <f aca="false">G717*E717/1000</f>
        <v>1.5</v>
      </c>
    </row>
    <row r="718" customFormat="false" ht="15" hidden="false" customHeight="false" outlineLevel="0" collapsed="false">
      <c r="A718" s="0" t="s">
        <v>117</v>
      </c>
      <c r="B718" s="0" t="s">
        <v>331</v>
      </c>
      <c r="C718" s="0" t="n">
        <v>250</v>
      </c>
      <c r="D718" s="0" t="n">
        <v>0</v>
      </c>
      <c r="E718" s="0" t="n">
        <v>3</v>
      </c>
      <c r="F718" s="0" t="n">
        <v>250</v>
      </c>
      <c r="G718" s="0" t="n">
        <v>500</v>
      </c>
      <c r="H718" s="0" t="s">
        <v>145</v>
      </c>
      <c r="I718" s="0" t="n">
        <v>500</v>
      </c>
      <c r="J718" s="0" t="n">
        <f aca="false">F718*E718</f>
        <v>750</v>
      </c>
      <c r="K718" s="0" t="str">
        <f aca="false">IF(G718&lt;1000,"1-Low",IF(G718&lt;5000,"2-Medium","3-Bulk"))</f>
        <v>1-Low</v>
      </c>
      <c r="L718" s="0" t="str">
        <f aca="false">IF(H718="TRUE","Out of stock","In stock")</f>
        <v>In stock</v>
      </c>
      <c r="M718" s="0" t="str">
        <f aca="false">IF(D718&lt;5,"1) Under 5%",IF(D718&lt;10,"2) 5-9%",IF(D718&lt;15,"3) 10-14%",IF(D718&lt;25,"4) 15-24%","5) 25%+"))))</f>
        <v>1) Under 5%</v>
      </c>
      <c r="N718" s="0" t="str">
        <f aca="false">IF(F718&lt;50,"1) Under Rs 50",IF(F718&lt;100,"2) Rs 50-99",IF(F718&lt;200,"3) Rs 100-199",IF(F718&lt;500,"4) Rs 200-499","5) Rs 500+"))))</f>
        <v>4) Rs 200-499</v>
      </c>
      <c r="O718" s="0" t="n">
        <f aca="false">G718*E718/1000</f>
        <v>1.5</v>
      </c>
    </row>
    <row r="719" customFormat="false" ht="15" hidden="false" customHeight="false" outlineLevel="0" collapsed="false">
      <c r="A719" s="0" t="s">
        <v>117</v>
      </c>
      <c r="B719" s="0" t="s">
        <v>332</v>
      </c>
      <c r="C719" s="0" t="n">
        <v>135</v>
      </c>
      <c r="D719" s="0" t="n">
        <v>0</v>
      </c>
      <c r="E719" s="0" t="n">
        <v>2</v>
      </c>
      <c r="F719" s="0" t="n">
        <v>135</v>
      </c>
      <c r="G719" s="0" t="n">
        <v>500</v>
      </c>
      <c r="H719" s="0" t="s">
        <v>145</v>
      </c>
      <c r="I719" s="0" t="n">
        <v>500</v>
      </c>
      <c r="J719" s="0" t="n">
        <f aca="false">F719*E719</f>
        <v>270</v>
      </c>
      <c r="K719" s="0" t="str">
        <f aca="false">IF(G719&lt;1000,"1-Low",IF(G719&lt;5000,"2-Medium","3-Bulk"))</f>
        <v>1-Low</v>
      </c>
      <c r="L719" s="0" t="str">
        <f aca="false">IF(H719="TRUE","Out of stock","In stock")</f>
        <v>In stock</v>
      </c>
      <c r="M719" s="0" t="str">
        <f aca="false">IF(D719&lt;5,"1) Under 5%",IF(D719&lt;10,"2) 5-9%",IF(D719&lt;15,"3) 10-14%",IF(D719&lt;25,"4) 15-24%","5) 25%+"))))</f>
        <v>1) Under 5%</v>
      </c>
      <c r="N719" s="0" t="str">
        <f aca="false">IF(F719&lt;50,"1) Under Rs 50",IF(F719&lt;100,"2) Rs 50-99",IF(F719&lt;200,"3) Rs 100-199",IF(F719&lt;500,"4) Rs 200-499","5) Rs 500+"))))</f>
        <v>3) Rs 100-199</v>
      </c>
      <c r="O719" s="0" t="n">
        <f aca="false">G719*E719/1000</f>
        <v>1</v>
      </c>
    </row>
    <row r="720" customFormat="false" ht="15" hidden="false" customHeight="false" outlineLevel="0" collapsed="false">
      <c r="A720" s="0" t="s">
        <v>117</v>
      </c>
      <c r="B720" s="0" t="s">
        <v>333</v>
      </c>
      <c r="C720" s="0" t="n">
        <v>37</v>
      </c>
      <c r="D720" s="0" t="n">
        <v>0</v>
      </c>
      <c r="E720" s="0" t="n">
        <v>6</v>
      </c>
      <c r="F720" s="0" t="n">
        <v>37</v>
      </c>
      <c r="G720" s="0" t="n">
        <v>100</v>
      </c>
      <c r="H720" s="0" t="s">
        <v>145</v>
      </c>
      <c r="I720" s="0" t="n">
        <v>100</v>
      </c>
      <c r="J720" s="0" t="n">
        <f aca="false">F720*E720</f>
        <v>222</v>
      </c>
      <c r="K720" s="0" t="str">
        <f aca="false">IF(G720&lt;1000,"1-Low",IF(G720&lt;5000,"2-Medium","3-Bulk"))</f>
        <v>1-Low</v>
      </c>
      <c r="L720" s="0" t="str">
        <f aca="false">IF(H720="TRUE","Out of stock","In stock")</f>
        <v>In stock</v>
      </c>
      <c r="M720" s="0" t="str">
        <f aca="false">IF(D720&lt;5,"1) Under 5%",IF(D720&lt;10,"2) 5-9%",IF(D720&lt;15,"3) 10-14%",IF(D720&lt;25,"4) 15-24%","5) 25%+"))))</f>
        <v>1) Under 5%</v>
      </c>
      <c r="N720" s="0" t="str">
        <f aca="false">IF(F720&lt;50,"1) Under Rs 50",IF(F720&lt;100,"2) Rs 50-99",IF(F720&lt;200,"3) Rs 100-199",IF(F720&lt;500,"4) Rs 200-499","5) Rs 500+"))))</f>
        <v>1) Under Rs 50</v>
      </c>
      <c r="O720" s="0" t="n">
        <f aca="false">G720*E720/1000</f>
        <v>0.6</v>
      </c>
    </row>
    <row r="721" customFormat="false" ht="15" hidden="false" customHeight="false" outlineLevel="0" collapsed="false">
      <c r="A721" s="0" t="s">
        <v>117</v>
      </c>
      <c r="B721" s="0" t="s">
        <v>334</v>
      </c>
      <c r="C721" s="0" t="n">
        <v>180</v>
      </c>
      <c r="D721" s="0" t="n">
        <v>1</v>
      </c>
      <c r="E721" s="0" t="n">
        <v>5</v>
      </c>
      <c r="F721" s="0" t="n">
        <v>178</v>
      </c>
      <c r="G721" s="0" t="n">
        <v>1000</v>
      </c>
      <c r="H721" s="0" t="s">
        <v>145</v>
      </c>
      <c r="I721" s="0" t="n">
        <v>200</v>
      </c>
      <c r="J721" s="0" t="n">
        <f aca="false">F721*E721</f>
        <v>890</v>
      </c>
      <c r="K721" s="0" t="str">
        <f aca="false">IF(G721&lt;1000,"1-Low",IF(G721&lt;5000,"2-Medium","3-Bulk"))</f>
        <v>2-Medium</v>
      </c>
      <c r="L721" s="0" t="str">
        <f aca="false">IF(H721="TRUE","Out of stock","In stock")</f>
        <v>In stock</v>
      </c>
      <c r="M721" s="0" t="str">
        <f aca="false">IF(D721&lt;5,"1) Under 5%",IF(D721&lt;10,"2) 5-9%",IF(D721&lt;15,"3) 10-14%",IF(D721&lt;25,"4) 15-24%","5) 25%+"))))</f>
        <v>1) Under 5%</v>
      </c>
      <c r="N721" s="0" t="str">
        <f aca="false">IF(F721&lt;50,"1) Under Rs 50",IF(F721&lt;100,"2) Rs 50-99",IF(F721&lt;200,"3) Rs 100-199",IF(F721&lt;500,"4) Rs 200-499","5) Rs 500+"))))</f>
        <v>3) Rs 100-199</v>
      </c>
      <c r="O721" s="0" t="n">
        <f aca="false">G721*E721/1000</f>
        <v>5</v>
      </c>
    </row>
    <row r="722" customFormat="false" ht="15" hidden="false" customHeight="false" outlineLevel="0" collapsed="false">
      <c r="A722" s="0" t="s">
        <v>117</v>
      </c>
      <c r="B722" s="0" t="s">
        <v>335</v>
      </c>
      <c r="C722" s="0" t="n">
        <v>64</v>
      </c>
      <c r="D722" s="0" t="n">
        <v>0</v>
      </c>
      <c r="E722" s="0" t="n">
        <v>5</v>
      </c>
      <c r="F722" s="0" t="n">
        <v>64</v>
      </c>
      <c r="G722" s="0" t="n">
        <v>500</v>
      </c>
      <c r="H722" s="0" t="s">
        <v>145</v>
      </c>
      <c r="I722" s="0" t="n">
        <v>500</v>
      </c>
      <c r="J722" s="0" t="n">
        <f aca="false">F722*E722</f>
        <v>320</v>
      </c>
      <c r="K722" s="0" t="str">
        <f aca="false">IF(G722&lt;1000,"1-Low",IF(G722&lt;5000,"2-Medium","3-Bulk"))</f>
        <v>1-Low</v>
      </c>
      <c r="L722" s="0" t="str">
        <f aca="false">IF(H722="TRUE","Out of stock","In stock")</f>
        <v>In stock</v>
      </c>
      <c r="M722" s="0" t="str">
        <f aca="false">IF(D722&lt;5,"1) Under 5%",IF(D722&lt;10,"2) 5-9%",IF(D722&lt;15,"3) 10-14%",IF(D722&lt;25,"4) 15-24%","5) 25%+"))))</f>
        <v>1) Under 5%</v>
      </c>
      <c r="N722" s="0" t="str">
        <f aca="false">IF(F722&lt;50,"1) Under Rs 50",IF(F722&lt;100,"2) Rs 50-99",IF(F722&lt;200,"3) Rs 100-199",IF(F722&lt;500,"4) Rs 200-499","5) Rs 500+"))))</f>
        <v>2) Rs 50-99</v>
      </c>
      <c r="O722" s="0" t="n">
        <f aca="false">G722*E722/1000</f>
        <v>2.5</v>
      </c>
    </row>
    <row r="723" customFormat="false" ht="15" hidden="false" customHeight="false" outlineLevel="0" collapsed="false">
      <c r="A723" s="0" t="s">
        <v>117</v>
      </c>
      <c r="B723" s="0" t="s">
        <v>336</v>
      </c>
      <c r="C723" s="0" t="n">
        <v>50</v>
      </c>
      <c r="D723" s="0" t="n">
        <v>0</v>
      </c>
      <c r="E723" s="0" t="n">
        <v>2</v>
      </c>
      <c r="F723" s="0" t="n">
        <v>50</v>
      </c>
      <c r="G723" s="0" t="n">
        <v>200</v>
      </c>
      <c r="H723" s="0" t="s">
        <v>145</v>
      </c>
      <c r="I723" s="0" t="n">
        <v>200</v>
      </c>
      <c r="J723" s="0" t="n">
        <f aca="false">F723*E723</f>
        <v>100</v>
      </c>
      <c r="K723" s="0" t="str">
        <f aca="false">IF(G723&lt;1000,"1-Low",IF(G723&lt;5000,"2-Medium","3-Bulk"))</f>
        <v>1-Low</v>
      </c>
      <c r="L723" s="0" t="str">
        <f aca="false">IF(H723="TRUE","Out of stock","In stock")</f>
        <v>In stock</v>
      </c>
      <c r="M723" s="0" t="str">
        <f aca="false">IF(D723&lt;5,"1) Under 5%",IF(D723&lt;10,"2) 5-9%",IF(D723&lt;15,"3) 10-14%",IF(D723&lt;25,"4) 15-24%","5) 25%+"))))</f>
        <v>1) Under 5%</v>
      </c>
      <c r="N723" s="0" t="str">
        <f aca="false">IF(F723&lt;50,"1) Under Rs 50",IF(F723&lt;100,"2) Rs 50-99",IF(F723&lt;200,"3) Rs 100-199",IF(F723&lt;500,"4) Rs 200-499","5) Rs 500+"))))</f>
        <v>2) Rs 50-99</v>
      </c>
      <c r="O723" s="0" t="n">
        <f aca="false">G723*E723/1000</f>
        <v>0.4</v>
      </c>
    </row>
    <row r="724" customFormat="false" ht="15" hidden="false" customHeight="false" outlineLevel="0" collapsed="false">
      <c r="A724" s="0" t="s">
        <v>117</v>
      </c>
      <c r="B724" s="0" t="s">
        <v>337</v>
      </c>
      <c r="C724" s="0" t="n">
        <v>80</v>
      </c>
      <c r="D724" s="0" t="n">
        <v>10</v>
      </c>
      <c r="E724" s="0" t="n">
        <v>6</v>
      </c>
      <c r="F724" s="0" t="n">
        <v>72</v>
      </c>
      <c r="G724" s="0" t="n">
        <v>500</v>
      </c>
      <c r="H724" s="0" t="s">
        <v>145</v>
      </c>
      <c r="I724" s="0" t="n">
        <v>500</v>
      </c>
      <c r="J724" s="0" t="n">
        <f aca="false">F724*E724</f>
        <v>432</v>
      </c>
      <c r="K724" s="0" t="str">
        <f aca="false">IF(G724&lt;1000,"1-Low",IF(G724&lt;5000,"2-Medium","3-Bulk"))</f>
        <v>1-Low</v>
      </c>
      <c r="L724" s="0" t="str">
        <f aca="false">IF(H724="TRUE","Out of stock","In stock")</f>
        <v>In stock</v>
      </c>
      <c r="M724" s="0" t="str">
        <f aca="false">IF(D724&lt;5,"1) Under 5%",IF(D724&lt;10,"2) 5-9%",IF(D724&lt;15,"3) 10-14%",IF(D724&lt;25,"4) 15-24%","5) 25%+"))))</f>
        <v>3) 10-14%</v>
      </c>
      <c r="N724" s="0" t="str">
        <f aca="false">IF(F724&lt;50,"1) Under Rs 50",IF(F724&lt;100,"2) Rs 50-99",IF(F724&lt;200,"3) Rs 100-199",IF(F724&lt;500,"4) Rs 200-499","5) Rs 500+"))))</f>
        <v>2) Rs 50-99</v>
      </c>
      <c r="O724" s="0" t="n">
        <f aca="false">G724*E724/1000</f>
        <v>3</v>
      </c>
    </row>
    <row r="725" customFormat="false" ht="15" hidden="false" customHeight="false" outlineLevel="0" collapsed="false">
      <c r="A725" s="0" t="s">
        <v>117</v>
      </c>
      <c r="B725" s="0" t="s">
        <v>338</v>
      </c>
      <c r="C725" s="0" t="n">
        <v>200</v>
      </c>
      <c r="D725" s="0" t="n">
        <v>1</v>
      </c>
      <c r="E725" s="0" t="n">
        <v>6</v>
      </c>
      <c r="F725" s="0" t="n">
        <v>198</v>
      </c>
      <c r="G725" s="0" t="n">
        <v>50</v>
      </c>
      <c r="H725" s="0" t="s">
        <v>145</v>
      </c>
      <c r="I725" s="0" t="n">
        <v>50</v>
      </c>
      <c r="J725" s="0" t="n">
        <f aca="false">F725*E725</f>
        <v>1188</v>
      </c>
      <c r="K725" s="0" t="str">
        <f aca="false">IF(G725&lt;1000,"1-Low",IF(G725&lt;5000,"2-Medium","3-Bulk"))</f>
        <v>1-Low</v>
      </c>
      <c r="L725" s="0" t="str">
        <f aca="false">IF(H725="TRUE","Out of stock","In stock")</f>
        <v>In stock</v>
      </c>
      <c r="M725" s="0" t="str">
        <f aca="false">IF(D725&lt;5,"1) Under 5%",IF(D725&lt;10,"2) 5-9%",IF(D725&lt;15,"3) 10-14%",IF(D725&lt;25,"4) 15-24%","5) 25%+"))))</f>
        <v>1) Under 5%</v>
      </c>
      <c r="N725" s="0" t="str">
        <f aca="false">IF(F725&lt;50,"1) Under Rs 50",IF(F725&lt;100,"2) Rs 50-99",IF(F725&lt;200,"3) Rs 100-199",IF(F725&lt;500,"4) Rs 200-499","5) Rs 500+"))))</f>
        <v>3) Rs 100-199</v>
      </c>
      <c r="O725" s="0" t="n">
        <f aca="false">G725*E725/1000</f>
        <v>0.3</v>
      </c>
    </row>
    <row r="726" customFormat="false" ht="15" hidden="false" customHeight="false" outlineLevel="0" collapsed="false">
      <c r="A726" s="0" t="s">
        <v>117</v>
      </c>
      <c r="B726" s="0" t="s">
        <v>339</v>
      </c>
      <c r="C726" s="0" t="n">
        <v>95</v>
      </c>
      <c r="D726" s="0" t="n">
        <v>0</v>
      </c>
      <c r="E726" s="0" t="n">
        <v>1</v>
      </c>
      <c r="F726" s="0" t="n">
        <v>95</v>
      </c>
      <c r="G726" s="0" t="n">
        <v>200</v>
      </c>
      <c r="H726" s="0" t="s">
        <v>145</v>
      </c>
      <c r="I726" s="0" t="n">
        <v>200</v>
      </c>
      <c r="J726" s="0" t="n">
        <f aca="false">F726*E726</f>
        <v>95</v>
      </c>
      <c r="K726" s="0" t="str">
        <f aca="false">IF(G726&lt;1000,"1-Low",IF(G726&lt;5000,"2-Medium","3-Bulk"))</f>
        <v>1-Low</v>
      </c>
      <c r="L726" s="0" t="str">
        <f aca="false">IF(H726="TRUE","Out of stock","In stock")</f>
        <v>In stock</v>
      </c>
      <c r="M726" s="0" t="str">
        <f aca="false">IF(D726&lt;5,"1) Under 5%",IF(D726&lt;10,"2) 5-9%",IF(D726&lt;15,"3) 10-14%",IF(D726&lt;25,"4) 15-24%","5) 25%+"))))</f>
        <v>1) Under 5%</v>
      </c>
      <c r="N726" s="0" t="str">
        <f aca="false">IF(F726&lt;50,"1) Under Rs 50",IF(F726&lt;100,"2) Rs 50-99",IF(F726&lt;200,"3) Rs 100-199",IF(F726&lt;500,"4) Rs 200-499","5) Rs 500+"))))</f>
        <v>2) Rs 50-99</v>
      </c>
      <c r="O726" s="0" t="n">
        <f aca="false">G726*E726/1000</f>
        <v>0.2</v>
      </c>
    </row>
    <row r="727" customFormat="false" ht="15" hidden="false" customHeight="false" outlineLevel="0" collapsed="false">
      <c r="A727" s="0" t="s">
        <v>117</v>
      </c>
      <c r="B727" s="0" t="s">
        <v>340</v>
      </c>
      <c r="C727" s="0" t="n">
        <v>190</v>
      </c>
      <c r="D727" s="0" t="n">
        <v>11</v>
      </c>
      <c r="E727" s="0" t="n">
        <v>4</v>
      </c>
      <c r="F727" s="0" t="n">
        <v>169</v>
      </c>
      <c r="G727" s="0" t="n">
        <v>100</v>
      </c>
      <c r="H727" s="0" t="s">
        <v>145</v>
      </c>
      <c r="I727" s="0" t="n">
        <v>100</v>
      </c>
      <c r="J727" s="0" t="n">
        <f aca="false">F727*E727</f>
        <v>676</v>
      </c>
      <c r="K727" s="0" t="str">
        <f aca="false">IF(G727&lt;1000,"1-Low",IF(G727&lt;5000,"2-Medium","3-Bulk"))</f>
        <v>1-Low</v>
      </c>
      <c r="L727" s="0" t="str">
        <f aca="false">IF(H727="TRUE","Out of stock","In stock")</f>
        <v>In stock</v>
      </c>
      <c r="M727" s="0" t="str">
        <f aca="false">IF(D727&lt;5,"1) Under 5%",IF(D727&lt;10,"2) 5-9%",IF(D727&lt;15,"3) 10-14%",IF(D727&lt;25,"4) 15-24%","5) 25%+"))))</f>
        <v>3) 10-14%</v>
      </c>
      <c r="N727" s="0" t="str">
        <f aca="false">IF(F727&lt;50,"1) Under Rs 50",IF(F727&lt;100,"2) Rs 50-99",IF(F727&lt;200,"3) Rs 100-199",IF(F727&lt;500,"4) Rs 200-499","5) Rs 500+"))))</f>
        <v>3) Rs 100-199</v>
      </c>
      <c r="O727" s="0" t="n">
        <f aca="false">G727*E727/1000</f>
        <v>0.4</v>
      </c>
    </row>
    <row r="728" customFormat="false" ht="15" hidden="false" customHeight="false" outlineLevel="0" collapsed="false">
      <c r="A728" s="0" t="s">
        <v>117</v>
      </c>
      <c r="B728" s="0" t="s">
        <v>341</v>
      </c>
      <c r="C728" s="0" t="n">
        <v>20</v>
      </c>
      <c r="D728" s="0" t="n">
        <v>0</v>
      </c>
      <c r="E728" s="0" t="n">
        <v>2</v>
      </c>
      <c r="F728" s="0" t="n">
        <v>20</v>
      </c>
      <c r="G728" s="0" t="n">
        <v>100</v>
      </c>
      <c r="H728" s="0" t="s">
        <v>145</v>
      </c>
      <c r="I728" s="0" t="n">
        <v>100</v>
      </c>
      <c r="J728" s="0" t="n">
        <f aca="false">F728*E728</f>
        <v>40</v>
      </c>
      <c r="K728" s="0" t="str">
        <f aca="false">IF(G728&lt;1000,"1-Low",IF(G728&lt;5000,"2-Medium","3-Bulk"))</f>
        <v>1-Low</v>
      </c>
      <c r="L728" s="0" t="str">
        <f aca="false">IF(H728="TRUE","Out of stock","In stock")</f>
        <v>In stock</v>
      </c>
      <c r="M728" s="0" t="str">
        <f aca="false">IF(D728&lt;5,"1) Under 5%",IF(D728&lt;10,"2) 5-9%",IF(D728&lt;15,"3) 10-14%",IF(D728&lt;25,"4) 15-24%","5) 25%+"))))</f>
        <v>1) Under 5%</v>
      </c>
      <c r="N728" s="0" t="str">
        <f aca="false">IF(F728&lt;50,"1) Under Rs 50",IF(F728&lt;100,"2) Rs 50-99",IF(F728&lt;200,"3) Rs 100-199",IF(F728&lt;500,"4) Rs 200-499","5) Rs 500+"))))</f>
        <v>1) Under Rs 50</v>
      </c>
      <c r="O728" s="0" t="n">
        <f aca="false">G728*E728/1000</f>
        <v>0.2</v>
      </c>
    </row>
    <row r="729" customFormat="false" ht="15" hidden="false" customHeight="false" outlineLevel="0" collapsed="false">
      <c r="A729" s="0" t="s">
        <v>117</v>
      </c>
      <c r="B729" s="0" t="s">
        <v>342</v>
      </c>
      <c r="C729" s="0" t="n">
        <v>33</v>
      </c>
      <c r="D729" s="0" t="n">
        <v>3</v>
      </c>
      <c r="E729" s="0" t="n">
        <v>6</v>
      </c>
      <c r="F729" s="0" t="n">
        <v>32</v>
      </c>
      <c r="G729" s="0" t="n">
        <v>100</v>
      </c>
      <c r="H729" s="0" t="s">
        <v>145</v>
      </c>
      <c r="I729" s="0" t="n">
        <v>100</v>
      </c>
      <c r="J729" s="0" t="n">
        <f aca="false">F729*E729</f>
        <v>192</v>
      </c>
      <c r="K729" s="0" t="str">
        <f aca="false">IF(G729&lt;1000,"1-Low",IF(G729&lt;5000,"2-Medium","3-Bulk"))</f>
        <v>1-Low</v>
      </c>
      <c r="L729" s="0" t="str">
        <f aca="false">IF(H729="TRUE","Out of stock","In stock")</f>
        <v>In stock</v>
      </c>
      <c r="M729" s="0" t="str">
        <f aca="false">IF(D729&lt;5,"1) Under 5%",IF(D729&lt;10,"2) 5-9%",IF(D729&lt;15,"3) 10-14%",IF(D729&lt;25,"4) 15-24%","5) 25%+"))))</f>
        <v>1) Under 5%</v>
      </c>
      <c r="N729" s="0" t="str">
        <f aca="false">IF(F729&lt;50,"1) Under Rs 50",IF(F729&lt;100,"2) Rs 50-99",IF(F729&lt;200,"3) Rs 100-199",IF(F729&lt;500,"4) Rs 200-499","5) Rs 500+"))))</f>
        <v>1) Under Rs 50</v>
      </c>
      <c r="O729" s="0" t="n">
        <f aca="false">G729*E729/1000</f>
        <v>0.6</v>
      </c>
    </row>
    <row r="730" customFormat="false" ht="15" hidden="false" customHeight="false" outlineLevel="0" collapsed="false">
      <c r="A730" s="0" t="s">
        <v>117</v>
      </c>
      <c r="B730" s="0" t="s">
        <v>343</v>
      </c>
      <c r="C730" s="0" t="n">
        <v>185</v>
      </c>
      <c r="D730" s="0" t="n">
        <v>9</v>
      </c>
      <c r="E730" s="0" t="n">
        <v>6</v>
      </c>
      <c r="F730" s="0" t="n">
        <v>167</v>
      </c>
      <c r="G730" s="0" t="n">
        <v>225</v>
      </c>
      <c r="H730" s="0" t="s">
        <v>145</v>
      </c>
      <c r="I730" s="0" t="n">
        <v>225</v>
      </c>
      <c r="J730" s="0" t="n">
        <f aca="false">F730*E730</f>
        <v>1002</v>
      </c>
      <c r="K730" s="0" t="str">
        <f aca="false">IF(G730&lt;1000,"1-Low",IF(G730&lt;5000,"2-Medium","3-Bulk"))</f>
        <v>1-Low</v>
      </c>
      <c r="L730" s="0" t="str">
        <f aca="false">IF(H730="TRUE","Out of stock","In stock")</f>
        <v>In stock</v>
      </c>
      <c r="M730" s="0" t="str">
        <f aca="false">IF(D730&lt;5,"1) Under 5%",IF(D730&lt;10,"2) 5-9%",IF(D730&lt;15,"3) 10-14%",IF(D730&lt;25,"4) 15-24%","5) 25%+"))))</f>
        <v>2) 5-9%</v>
      </c>
      <c r="N730" s="0" t="str">
        <f aca="false">IF(F730&lt;50,"1) Under Rs 50",IF(F730&lt;100,"2) Rs 50-99",IF(F730&lt;200,"3) Rs 100-199",IF(F730&lt;500,"4) Rs 200-499","5) Rs 500+"))))</f>
        <v>3) Rs 100-199</v>
      </c>
      <c r="O730" s="0" t="n">
        <f aca="false">G730*E730/1000</f>
        <v>1.35</v>
      </c>
    </row>
    <row r="731" customFormat="false" ht="15" hidden="false" customHeight="false" outlineLevel="0" collapsed="false">
      <c r="A731" s="0" t="s">
        <v>117</v>
      </c>
      <c r="B731" s="0" t="s">
        <v>344</v>
      </c>
      <c r="C731" s="0" t="n">
        <v>91</v>
      </c>
      <c r="D731" s="0" t="n">
        <v>14</v>
      </c>
      <c r="E731" s="0" t="n">
        <v>6</v>
      </c>
      <c r="F731" s="0" t="n">
        <v>78</v>
      </c>
      <c r="G731" s="0" t="n">
        <v>500</v>
      </c>
      <c r="H731" s="0" t="s">
        <v>145</v>
      </c>
      <c r="I731" s="0" t="n">
        <v>500</v>
      </c>
      <c r="J731" s="0" t="n">
        <f aca="false">F731*E731</f>
        <v>468</v>
      </c>
      <c r="K731" s="0" t="str">
        <f aca="false">IF(G731&lt;1000,"1-Low",IF(G731&lt;5000,"2-Medium","3-Bulk"))</f>
        <v>1-Low</v>
      </c>
      <c r="L731" s="0" t="str">
        <f aca="false">IF(H731="TRUE","Out of stock","In stock")</f>
        <v>In stock</v>
      </c>
      <c r="M731" s="0" t="str">
        <f aca="false">IF(D731&lt;5,"1) Under 5%",IF(D731&lt;10,"2) 5-9%",IF(D731&lt;15,"3) 10-14%",IF(D731&lt;25,"4) 15-24%","5) 25%+"))))</f>
        <v>3) 10-14%</v>
      </c>
      <c r="N731" s="0" t="str">
        <f aca="false">IF(F731&lt;50,"1) Under Rs 50",IF(F731&lt;100,"2) Rs 50-99",IF(F731&lt;200,"3) Rs 100-199",IF(F731&lt;500,"4) Rs 200-499","5) Rs 500+"))))</f>
        <v>2) Rs 50-99</v>
      </c>
      <c r="O731" s="0" t="n">
        <f aca="false">G731*E731/1000</f>
        <v>3</v>
      </c>
    </row>
    <row r="732" customFormat="false" ht="15" hidden="false" customHeight="false" outlineLevel="0" collapsed="false">
      <c r="A732" s="0" t="s">
        <v>117</v>
      </c>
      <c r="B732" s="0" t="s">
        <v>307</v>
      </c>
      <c r="C732" s="0" t="n">
        <v>37</v>
      </c>
      <c r="D732" s="0" t="n">
        <v>2</v>
      </c>
      <c r="E732" s="0" t="n">
        <v>6</v>
      </c>
      <c r="F732" s="0" t="n">
        <v>36</v>
      </c>
      <c r="G732" s="0" t="n">
        <v>50</v>
      </c>
      <c r="H732" s="0" t="s">
        <v>145</v>
      </c>
      <c r="I732" s="0" t="n">
        <v>50</v>
      </c>
      <c r="J732" s="0" t="n">
        <f aca="false">F732*E732</f>
        <v>216</v>
      </c>
      <c r="K732" s="0" t="str">
        <f aca="false">IF(G732&lt;1000,"1-Low",IF(G732&lt;5000,"2-Medium","3-Bulk"))</f>
        <v>1-Low</v>
      </c>
      <c r="L732" s="0" t="str">
        <f aca="false">IF(H732="TRUE","Out of stock","In stock")</f>
        <v>In stock</v>
      </c>
      <c r="M732" s="0" t="str">
        <f aca="false">IF(D732&lt;5,"1) Under 5%",IF(D732&lt;10,"2) 5-9%",IF(D732&lt;15,"3) 10-14%",IF(D732&lt;25,"4) 15-24%","5) 25%+"))))</f>
        <v>1) Under 5%</v>
      </c>
      <c r="N732" s="0" t="str">
        <f aca="false">IF(F732&lt;50,"1) Under Rs 50",IF(F732&lt;100,"2) Rs 50-99",IF(F732&lt;200,"3) Rs 100-199",IF(F732&lt;500,"4) Rs 200-499","5) Rs 500+"))))</f>
        <v>1) Under Rs 50</v>
      </c>
      <c r="O732" s="0" t="n">
        <f aca="false">G732*E732/1000</f>
        <v>0.3</v>
      </c>
    </row>
    <row r="733" customFormat="false" ht="15" hidden="false" customHeight="false" outlineLevel="0" collapsed="false">
      <c r="A733" s="0" t="s">
        <v>117</v>
      </c>
      <c r="B733" s="0" t="s">
        <v>345</v>
      </c>
      <c r="C733" s="0" t="n">
        <v>160</v>
      </c>
      <c r="D733" s="0" t="n">
        <v>50</v>
      </c>
      <c r="E733" s="0" t="n">
        <v>6</v>
      </c>
      <c r="F733" s="0" t="n">
        <v>80</v>
      </c>
      <c r="G733" s="0" t="n">
        <v>500</v>
      </c>
      <c r="H733" s="0" t="s">
        <v>145</v>
      </c>
      <c r="I733" s="0" t="n">
        <v>500</v>
      </c>
      <c r="J733" s="0" t="n">
        <f aca="false">F733*E733</f>
        <v>480</v>
      </c>
      <c r="K733" s="0" t="str">
        <f aca="false">IF(G733&lt;1000,"1-Low",IF(G733&lt;5000,"2-Medium","3-Bulk"))</f>
        <v>1-Low</v>
      </c>
      <c r="L733" s="0" t="str">
        <f aca="false">IF(H733="TRUE","Out of stock","In stock")</f>
        <v>In stock</v>
      </c>
      <c r="M733" s="0" t="str">
        <f aca="false">IF(D733&lt;5,"1) Under 5%",IF(D733&lt;10,"2) 5-9%",IF(D733&lt;15,"3) 10-14%",IF(D733&lt;25,"4) 15-24%","5) 25%+"))))</f>
        <v>5) 25%+</v>
      </c>
      <c r="N733" s="0" t="str">
        <f aca="false">IF(F733&lt;50,"1) Under Rs 50",IF(F733&lt;100,"2) Rs 50-99",IF(F733&lt;200,"3) Rs 100-199",IF(F733&lt;500,"4) Rs 200-499","5) Rs 500+"))))</f>
        <v>2) Rs 50-99</v>
      </c>
      <c r="O733" s="0" t="n">
        <f aca="false">G733*E733/1000</f>
        <v>3</v>
      </c>
    </row>
    <row r="734" customFormat="false" ht="15" hidden="false" customHeight="false" outlineLevel="0" collapsed="false">
      <c r="A734" s="0" t="s">
        <v>117</v>
      </c>
      <c r="B734" s="0" t="s">
        <v>346</v>
      </c>
      <c r="C734" s="0" t="n">
        <v>180</v>
      </c>
      <c r="D734" s="0" t="n">
        <v>10</v>
      </c>
      <c r="E734" s="0" t="n">
        <v>2</v>
      </c>
      <c r="F734" s="0" t="n">
        <v>162</v>
      </c>
      <c r="G734" s="0" t="n">
        <v>500</v>
      </c>
      <c r="H734" s="0" t="s">
        <v>145</v>
      </c>
      <c r="I734" s="0" t="n">
        <v>500</v>
      </c>
      <c r="J734" s="0" t="n">
        <f aca="false">F734*E734</f>
        <v>324</v>
      </c>
      <c r="K734" s="0" t="str">
        <f aca="false">IF(G734&lt;1000,"1-Low",IF(G734&lt;5000,"2-Medium","3-Bulk"))</f>
        <v>1-Low</v>
      </c>
      <c r="L734" s="0" t="str">
        <f aca="false">IF(H734="TRUE","Out of stock","In stock")</f>
        <v>In stock</v>
      </c>
      <c r="M734" s="0" t="str">
        <f aca="false">IF(D734&lt;5,"1) Under 5%",IF(D734&lt;10,"2) 5-9%",IF(D734&lt;15,"3) 10-14%",IF(D734&lt;25,"4) 15-24%","5) 25%+"))))</f>
        <v>3) 10-14%</v>
      </c>
      <c r="N734" s="0" t="str">
        <f aca="false">IF(F734&lt;50,"1) Under Rs 50",IF(F734&lt;100,"2) Rs 50-99",IF(F734&lt;200,"3) Rs 100-199",IF(F734&lt;500,"4) Rs 200-499","5) Rs 500+"))))</f>
        <v>3) Rs 100-199</v>
      </c>
      <c r="O734" s="0" t="n">
        <f aca="false">G734*E734/1000</f>
        <v>1</v>
      </c>
    </row>
    <row r="735" customFormat="false" ht="15" hidden="false" customHeight="false" outlineLevel="0" collapsed="false">
      <c r="A735" s="0" t="s">
        <v>117</v>
      </c>
      <c r="B735" s="0" t="s">
        <v>347</v>
      </c>
      <c r="C735" s="0" t="n">
        <v>60</v>
      </c>
      <c r="D735" s="0" t="n">
        <v>10</v>
      </c>
      <c r="E735" s="0" t="n">
        <v>1</v>
      </c>
      <c r="F735" s="0" t="n">
        <v>54</v>
      </c>
      <c r="G735" s="0" t="n">
        <v>280</v>
      </c>
      <c r="H735" s="0" t="s">
        <v>145</v>
      </c>
      <c r="I735" s="0" t="n">
        <v>280</v>
      </c>
      <c r="J735" s="0" t="n">
        <f aca="false">F735*E735</f>
        <v>54</v>
      </c>
      <c r="K735" s="0" t="str">
        <f aca="false">IF(G735&lt;1000,"1-Low",IF(G735&lt;5000,"2-Medium","3-Bulk"))</f>
        <v>1-Low</v>
      </c>
      <c r="L735" s="0" t="str">
        <f aca="false">IF(H735="TRUE","Out of stock","In stock")</f>
        <v>In stock</v>
      </c>
      <c r="M735" s="0" t="str">
        <f aca="false">IF(D735&lt;5,"1) Under 5%",IF(D735&lt;10,"2) 5-9%",IF(D735&lt;15,"3) 10-14%",IF(D735&lt;25,"4) 15-24%","5) 25%+"))))</f>
        <v>3) 10-14%</v>
      </c>
      <c r="N735" s="0" t="str">
        <f aca="false">IF(F735&lt;50,"1) Under Rs 50",IF(F735&lt;100,"2) Rs 50-99",IF(F735&lt;200,"3) Rs 100-199",IF(F735&lt;500,"4) Rs 200-499","5) Rs 500+"))))</f>
        <v>2) Rs 50-99</v>
      </c>
      <c r="O735" s="0" t="n">
        <f aca="false">G735*E735/1000</f>
        <v>0.28</v>
      </c>
    </row>
    <row r="736" customFormat="false" ht="15" hidden="false" customHeight="false" outlineLevel="0" collapsed="false">
      <c r="A736" s="0" t="s">
        <v>117</v>
      </c>
      <c r="B736" s="0" t="s">
        <v>348</v>
      </c>
      <c r="C736" s="0" t="n">
        <v>35</v>
      </c>
      <c r="D736" s="0" t="n">
        <v>2</v>
      </c>
      <c r="E736" s="0" t="n">
        <v>1</v>
      </c>
      <c r="F736" s="0" t="n">
        <v>34</v>
      </c>
      <c r="G736" s="0" t="n">
        <v>50</v>
      </c>
      <c r="H736" s="0" t="s">
        <v>145</v>
      </c>
      <c r="I736" s="0" t="n">
        <v>50</v>
      </c>
      <c r="J736" s="0" t="n">
        <f aca="false">F736*E736</f>
        <v>34</v>
      </c>
      <c r="K736" s="0" t="str">
        <f aca="false">IF(G736&lt;1000,"1-Low",IF(G736&lt;5000,"2-Medium","3-Bulk"))</f>
        <v>1-Low</v>
      </c>
      <c r="L736" s="0" t="str">
        <f aca="false">IF(H736="TRUE","Out of stock","In stock")</f>
        <v>In stock</v>
      </c>
      <c r="M736" s="0" t="str">
        <f aca="false">IF(D736&lt;5,"1) Under 5%",IF(D736&lt;10,"2) 5-9%",IF(D736&lt;15,"3) 10-14%",IF(D736&lt;25,"4) 15-24%","5) 25%+"))))</f>
        <v>1) Under 5%</v>
      </c>
      <c r="N736" s="0" t="str">
        <f aca="false">IF(F736&lt;50,"1) Under Rs 50",IF(F736&lt;100,"2) Rs 50-99",IF(F736&lt;200,"3) Rs 100-199",IF(F736&lt;500,"4) Rs 200-499","5) Rs 500+"))))</f>
        <v>1) Under Rs 50</v>
      </c>
      <c r="O736" s="0" t="n">
        <f aca="false">G736*E736/1000</f>
        <v>0.05</v>
      </c>
    </row>
    <row r="737" customFormat="false" ht="15" hidden="false" customHeight="false" outlineLevel="0" collapsed="false">
      <c r="A737" s="0" t="s">
        <v>117</v>
      </c>
      <c r="B737" s="0" t="s">
        <v>349</v>
      </c>
      <c r="C737" s="0" t="n">
        <v>89</v>
      </c>
      <c r="D737" s="0" t="n">
        <v>10</v>
      </c>
      <c r="E737" s="0" t="n">
        <v>2</v>
      </c>
      <c r="F737" s="0" t="n">
        <v>80</v>
      </c>
      <c r="G737" s="0" t="n">
        <v>40</v>
      </c>
      <c r="H737" s="0" t="s">
        <v>145</v>
      </c>
      <c r="I737" s="0" t="n">
        <v>40</v>
      </c>
      <c r="J737" s="0" t="n">
        <f aca="false">F737*E737</f>
        <v>160</v>
      </c>
      <c r="K737" s="0" t="str">
        <f aca="false">IF(G737&lt;1000,"1-Low",IF(G737&lt;5000,"2-Medium","3-Bulk"))</f>
        <v>1-Low</v>
      </c>
      <c r="L737" s="0" t="str">
        <f aca="false">IF(H737="TRUE","Out of stock","In stock")</f>
        <v>In stock</v>
      </c>
      <c r="M737" s="0" t="str">
        <f aca="false">IF(D737&lt;5,"1) Under 5%",IF(D737&lt;10,"2) 5-9%",IF(D737&lt;15,"3) 10-14%",IF(D737&lt;25,"4) 15-24%","5) 25%+"))))</f>
        <v>3) 10-14%</v>
      </c>
      <c r="N737" s="0" t="str">
        <f aca="false">IF(F737&lt;50,"1) Under Rs 50",IF(F737&lt;100,"2) Rs 50-99",IF(F737&lt;200,"3) Rs 100-199",IF(F737&lt;500,"4) Rs 200-499","5) Rs 500+"))))</f>
        <v>2) Rs 50-99</v>
      </c>
      <c r="O737" s="0" t="n">
        <f aca="false">G737*E737/1000</f>
        <v>0.08</v>
      </c>
    </row>
    <row r="738" customFormat="false" ht="15" hidden="false" customHeight="false" outlineLevel="0" collapsed="false">
      <c r="A738" s="0" t="s">
        <v>117</v>
      </c>
      <c r="B738" s="0" t="s">
        <v>350</v>
      </c>
      <c r="C738" s="0" t="n">
        <v>80</v>
      </c>
      <c r="D738" s="0" t="n">
        <v>10</v>
      </c>
      <c r="E738" s="0" t="n">
        <v>5</v>
      </c>
      <c r="F738" s="0" t="n">
        <v>72</v>
      </c>
      <c r="G738" s="0" t="n">
        <v>500</v>
      </c>
      <c r="H738" s="0" t="s">
        <v>145</v>
      </c>
      <c r="I738" s="0" t="n">
        <v>500</v>
      </c>
      <c r="J738" s="0" t="n">
        <f aca="false">F738*E738</f>
        <v>360</v>
      </c>
      <c r="K738" s="0" t="str">
        <f aca="false">IF(G738&lt;1000,"1-Low",IF(G738&lt;5000,"2-Medium","3-Bulk"))</f>
        <v>1-Low</v>
      </c>
      <c r="L738" s="0" t="str">
        <f aca="false">IF(H738="TRUE","Out of stock","In stock")</f>
        <v>In stock</v>
      </c>
      <c r="M738" s="0" t="str">
        <f aca="false">IF(D738&lt;5,"1) Under 5%",IF(D738&lt;10,"2) 5-9%",IF(D738&lt;15,"3) 10-14%",IF(D738&lt;25,"4) 15-24%","5) 25%+"))))</f>
        <v>3) 10-14%</v>
      </c>
      <c r="N738" s="0" t="str">
        <f aca="false">IF(F738&lt;50,"1) Under Rs 50",IF(F738&lt;100,"2) Rs 50-99",IF(F738&lt;200,"3) Rs 100-199",IF(F738&lt;500,"4) Rs 200-499","5) Rs 500+"))))</f>
        <v>2) Rs 50-99</v>
      </c>
      <c r="O738" s="0" t="n">
        <f aca="false">G738*E738/1000</f>
        <v>2.5</v>
      </c>
    </row>
    <row r="739" customFormat="false" ht="15" hidden="false" customHeight="false" outlineLevel="0" collapsed="false">
      <c r="A739" s="0" t="s">
        <v>117</v>
      </c>
      <c r="B739" s="0" t="s">
        <v>351</v>
      </c>
      <c r="C739" s="0" t="n">
        <v>44</v>
      </c>
      <c r="D739" s="0" t="n">
        <v>0</v>
      </c>
      <c r="E739" s="0" t="n">
        <v>2</v>
      </c>
      <c r="F739" s="0" t="n">
        <v>44</v>
      </c>
      <c r="G739" s="0" t="n">
        <v>60</v>
      </c>
      <c r="H739" s="0" t="s">
        <v>145</v>
      </c>
      <c r="I739" s="0" t="n">
        <v>60</v>
      </c>
      <c r="J739" s="0" t="n">
        <f aca="false">F739*E739</f>
        <v>88</v>
      </c>
      <c r="K739" s="0" t="str">
        <f aca="false">IF(G739&lt;1000,"1-Low",IF(G739&lt;5000,"2-Medium","3-Bulk"))</f>
        <v>1-Low</v>
      </c>
      <c r="L739" s="0" t="str">
        <f aca="false">IF(H739="TRUE","Out of stock","In stock")</f>
        <v>In stock</v>
      </c>
      <c r="M739" s="0" t="str">
        <f aca="false">IF(D739&lt;5,"1) Under 5%",IF(D739&lt;10,"2) 5-9%",IF(D739&lt;15,"3) 10-14%",IF(D739&lt;25,"4) 15-24%","5) 25%+"))))</f>
        <v>1) Under 5%</v>
      </c>
      <c r="N739" s="0" t="str">
        <f aca="false">IF(F739&lt;50,"1) Under Rs 50",IF(F739&lt;100,"2) Rs 50-99",IF(F739&lt;200,"3) Rs 100-199",IF(F739&lt;500,"4) Rs 200-499","5) Rs 500+"))))</f>
        <v>1) Under Rs 50</v>
      </c>
      <c r="O739" s="0" t="n">
        <f aca="false">G739*E739/1000</f>
        <v>0.12</v>
      </c>
    </row>
    <row r="740" customFormat="false" ht="15" hidden="false" customHeight="false" outlineLevel="0" collapsed="false">
      <c r="A740" s="0" t="s">
        <v>117</v>
      </c>
      <c r="B740" s="0" t="s">
        <v>83</v>
      </c>
      <c r="C740" s="0" t="n">
        <v>1050</v>
      </c>
      <c r="D740" s="0" t="n">
        <v>1</v>
      </c>
      <c r="E740" s="0" t="n">
        <v>6</v>
      </c>
      <c r="F740" s="0" t="n">
        <v>1035</v>
      </c>
      <c r="G740" s="0" t="n">
        <v>5000</v>
      </c>
      <c r="H740" s="0" t="s">
        <v>145</v>
      </c>
      <c r="I740" s="0" t="n">
        <v>5</v>
      </c>
      <c r="J740" s="0" t="n">
        <f aca="false">F740*E740</f>
        <v>6210</v>
      </c>
      <c r="K740" s="0" t="str">
        <f aca="false">IF(G740&lt;1000,"1-Low",IF(G740&lt;5000,"2-Medium","3-Bulk"))</f>
        <v>3-Bulk</v>
      </c>
      <c r="L740" s="0" t="str">
        <f aca="false">IF(H740="TRUE","Out of stock","In stock")</f>
        <v>In stock</v>
      </c>
      <c r="M740" s="0" t="str">
        <f aca="false">IF(D740&lt;5,"1) Under 5%",IF(D740&lt;10,"2) 5-9%",IF(D740&lt;15,"3) 10-14%",IF(D740&lt;25,"4) 15-24%","5) 25%+"))))</f>
        <v>1) Under 5%</v>
      </c>
      <c r="N740" s="0" t="str">
        <f aca="false">IF(F740&lt;50,"1) Under Rs 50",IF(F740&lt;100,"2) Rs 50-99",IF(F740&lt;200,"3) Rs 100-199",IF(F740&lt;500,"4) Rs 200-499","5) Rs 500+"))))</f>
        <v>5) Rs 500+</v>
      </c>
      <c r="O740" s="0" t="n">
        <f aca="false">G740*E740/1000</f>
        <v>30</v>
      </c>
    </row>
    <row r="741" customFormat="false" ht="15" hidden="false" customHeight="false" outlineLevel="0" collapsed="false">
      <c r="A741" s="0" t="s">
        <v>117</v>
      </c>
      <c r="B741" s="0" t="s">
        <v>352</v>
      </c>
      <c r="C741" s="0" t="n">
        <v>99</v>
      </c>
      <c r="D741" s="0" t="n">
        <v>5</v>
      </c>
      <c r="E741" s="0" t="n">
        <v>6</v>
      </c>
      <c r="F741" s="0" t="n">
        <v>94</v>
      </c>
      <c r="G741" s="0" t="n">
        <v>165</v>
      </c>
      <c r="H741" s="0" t="s">
        <v>145</v>
      </c>
      <c r="I741" s="0" t="n">
        <v>165</v>
      </c>
      <c r="J741" s="0" t="n">
        <f aca="false">F741*E741</f>
        <v>564</v>
      </c>
      <c r="K741" s="0" t="str">
        <f aca="false">IF(G741&lt;1000,"1-Low",IF(G741&lt;5000,"2-Medium","3-Bulk"))</f>
        <v>1-Low</v>
      </c>
      <c r="L741" s="0" t="str">
        <f aca="false">IF(H741="TRUE","Out of stock","In stock")</f>
        <v>In stock</v>
      </c>
      <c r="M741" s="0" t="str">
        <f aca="false">IF(D741&lt;5,"1) Under 5%",IF(D741&lt;10,"2) 5-9%",IF(D741&lt;15,"3) 10-14%",IF(D741&lt;25,"4) 15-24%","5) 25%+"))))</f>
        <v>2) 5-9%</v>
      </c>
      <c r="N741" s="0" t="str">
        <f aca="false">IF(F741&lt;50,"1) Under Rs 50",IF(F741&lt;100,"2) Rs 50-99",IF(F741&lt;200,"3) Rs 100-199",IF(F741&lt;500,"4) Rs 200-499","5) Rs 500+"))))</f>
        <v>2) Rs 50-99</v>
      </c>
      <c r="O741" s="0" t="n">
        <f aca="false">G741*E741/1000</f>
        <v>0.99</v>
      </c>
    </row>
    <row r="742" customFormat="false" ht="15" hidden="false" customHeight="false" outlineLevel="0" collapsed="false">
      <c r="A742" s="0" t="s">
        <v>117</v>
      </c>
      <c r="B742" s="0" t="s">
        <v>353</v>
      </c>
      <c r="C742" s="0" t="n">
        <v>230</v>
      </c>
      <c r="D742" s="0" t="n">
        <v>0</v>
      </c>
      <c r="E742" s="0" t="n">
        <v>1</v>
      </c>
      <c r="F742" s="0" t="n">
        <v>230</v>
      </c>
      <c r="G742" s="0" t="n">
        <v>623</v>
      </c>
      <c r="H742" s="0" t="s">
        <v>145</v>
      </c>
      <c r="I742" s="0" t="n">
        <v>623</v>
      </c>
      <c r="J742" s="0" t="n">
        <f aca="false">F742*E742</f>
        <v>230</v>
      </c>
      <c r="K742" s="0" t="str">
        <f aca="false">IF(G742&lt;1000,"1-Low",IF(G742&lt;5000,"2-Medium","3-Bulk"))</f>
        <v>1-Low</v>
      </c>
      <c r="L742" s="0" t="str">
        <f aca="false">IF(H742="TRUE","Out of stock","In stock")</f>
        <v>In stock</v>
      </c>
      <c r="M742" s="0" t="str">
        <f aca="false">IF(D742&lt;5,"1) Under 5%",IF(D742&lt;10,"2) 5-9%",IF(D742&lt;15,"3) 10-14%",IF(D742&lt;25,"4) 15-24%","5) 25%+"))))</f>
        <v>1) Under 5%</v>
      </c>
      <c r="N742" s="0" t="str">
        <f aca="false">IF(F742&lt;50,"1) Under Rs 50",IF(F742&lt;100,"2) Rs 50-99",IF(F742&lt;200,"3) Rs 100-199",IF(F742&lt;500,"4) Rs 200-499","5) Rs 500+"))))</f>
        <v>4) Rs 200-499</v>
      </c>
      <c r="O742" s="0" t="n">
        <f aca="false">G742*E742/1000</f>
        <v>0.623</v>
      </c>
    </row>
    <row r="743" customFormat="false" ht="15" hidden="false" customHeight="false" outlineLevel="0" collapsed="false">
      <c r="A743" s="0" t="s">
        <v>117</v>
      </c>
      <c r="B743" s="0" t="s">
        <v>354</v>
      </c>
      <c r="C743" s="0" t="n">
        <v>60</v>
      </c>
      <c r="D743" s="0" t="n">
        <v>6</v>
      </c>
      <c r="E743" s="0" t="n">
        <v>3</v>
      </c>
      <c r="F743" s="0" t="n">
        <v>56</v>
      </c>
      <c r="G743" s="0" t="n">
        <v>1000</v>
      </c>
      <c r="H743" s="0" t="s">
        <v>145</v>
      </c>
      <c r="I743" s="0" t="n">
        <v>1</v>
      </c>
      <c r="J743" s="0" t="n">
        <f aca="false">F743*E743</f>
        <v>168</v>
      </c>
      <c r="K743" s="0" t="str">
        <f aca="false">IF(G743&lt;1000,"1-Low",IF(G743&lt;5000,"2-Medium","3-Bulk"))</f>
        <v>2-Medium</v>
      </c>
      <c r="L743" s="0" t="str">
        <f aca="false">IF(H743="TRUE","Out of stock","In stock")</f>
        <v>In stock</v>
      </c>
      <c r="M743" s="0" t="str">
        <f aca="false">IF(D743&lt;5,"1) Under 5%",IF(D743&lt;10,"2) 5-9%",IF(D743&lt;15,"3) 10-14%",IF(D743&lt;25,"4) 15-24%","5) 25%+"))))</f>
        <v>2) 5-9%</v>
      </c>
      <c r="N743" s="0" t="str">
        <f aca="false">IF(F743&lt;50,"1) Under Rs 50",IF(F743&lt;100,"2) Rs 50-99",IF(F743&lt;200,"3) Rs 100-199",IF(F743&lt;500,"4) Rs 200-499","5) Rs 500+"))))</f>
        <v>2) Rs 50-99</v>
      </c>
      <c r="O743" s="0" t="n">
        <f aca="false">G743*E743/1000</f>
        <v>3</v>
      </c>
    </row>
    <row r="744" customFormat="false" ht="15" hidden="false" customHeight="false" outlineLevel="0" collapsed="false">
      <c r="A744" s="0" t="s">
        <v>117</v>
      </c>
      <c r="B744" s="0" t="s">
        <v>355</v>
      </c>
      <c r="C744" s="0" t="n">
        <v>120</v>
      </c>
      <c r="D744" s="0" t="n">
        <v>1</v>
      </c>
      <c r="E744" s="0" t="n">
        <v>2</v>
      </c>
      <c r="F744" s="0" t="n">
        <v>118</v>
      </c>
      <c r="G744" s="0" t="n">
        <v>240</v>
      </c>
      <c r="H744" s="0" t="s">
        <v>145</v>
      </c>
      <c r="I744" s="0" t="n">
        <v>240</v>
      </c>
      <c r="J744" s="0" t="n">
        <f aca="false">F744*E744</f>
        <v>236</v>
      </c>
      <c r="K744" s="0" t="str">
        <f aca="false">IF(G744&lt;1000,"1-Low",IF(G744&lt;5000,"2-Medium","3-Bulk"))</f>
        <v>1-Low</v>
      </c>
      <c r="L744" s="0" t="str">
        <f aca="false">IF(H744="TRUE","Out of stock","In stock")</f>
        <v>In stock</v>
      </c>
      <c r="M744" s="0" t="str">
        <f aca="false">IF(D744&lt;5,"1) Under 5%",IF(D744&lt;10,"2) 5-9%",IF(D744&lt;15,"3) 10-14%",IF(D744&lt;25,"4) 15-24%","5) 25%+"))))</f>
        <v>1) Under 5%</v>
      </c>
      <c r="N744" s="0" t="str">
        <f aca="false">IF(F744&lt;50,"1) Under Rs 50",IF(F744&lt;100,"2) Rs 50-99",IF(F744&lt;200,"3) Rs 100-199",IF(F744&lt;500,"4) Rs 200-499","5) Rs 500+"))))</f>
        <v>3) Rs 100-199</v>
      </c>
      <c r="O744" s="0" t="n">
        <f aca="false">G744*E744/1000</f>
        <v>0.48</v>
      </c>
    </row>
    <row r="745" customFormat="false" ht="15" hidden="false" customHeight="false" outlineLevel="0" collapsed="false">
      <c r="A745" s="0" t="s">
        <v>117</v>
      </c>
      <c r="B745" s="0" t="s">
        <v>356</v>
      </c>
      <c r="C745" s="0" t="n">
        <v>43</v>
      </c>
      <c r="D745" s="0" t="n">
        <v>0</v>
      </c>
      <c r="E745" s="0" t="n">
        <v>6</v>
      </c>
      <c r="F745" s="0" t="n">
        <v>43</v>
      </c>
      <c r="G745" s="0" t="n">
        <v>200</v>
      </c>
      <c r="H745" s="0" t="s">
        <v>145</v>
      </c>
      <c r="I745" s="0" t="n">
        <v>200</v>
      </c>
      <c r="J745" s="0" t="n">
        <f aca="false">F745*E745</f>
        <v>258</v>
      </c>
      <c r="K745" s="0" t="str">
        <f aca="false">IF(G745&lt;1000,"1-Low",IF(G745&lt;5000,"2-Medium","3-Bulk"))</f>
        <v>1-Low</v>
      </c>
      <c r="L745" s="0" t="str">
        <f aca="false">IF(H745="TRUE","Out of stock","In stock")</f>
        <v>In stock</v>
      </c>
      <c r="M745" s="0" t="str">
        <f aca="false">IF(D745&lt;5,"1) Under 5%",IF(D745&lt;10,"2) 5-9%",IF(D745&lt;15,"3) 10-14%",IF(D745&lt;25,"4) 15-24%","5) 25%+"))))</f>
        <v>1) Under 5%</v>
      </c>
      <c r="N745" s="0" t="str">
        <f aca="false">IF(F745&lt;50,"1) Under Rs 50",IF(F745&lt;100,"2) Rs 50-99",IF(F745&lt;200,"3) Rs 100-199",IF(F745&lt;500,"4) Rs 200-499","5) Rs 500+"))))</f>
        <v>1) Under Rs 50</v>
      </c>
      <c r="O745" s="0" t="n">
        <f aca="false">G745*E745/1000</f>
        <v>1.2</v>
      </c>
    </row>
    <row r="746" customFormat="false" ht="15" hidden="false" customHeight="false" outlineLevel="0" collapsed="false">
      <c r="A746" s="0" t="s">
        <v>117</v>
      </c>
      <c r="B746" s="0" t="s">
        <v>357</v>
      </c>
      <c r="C746" s="0" t="n">
        <v>25</v>
      </c>
      <c r="D746" s="0" t="n">
        <v>0</v>
      </c>
      <c r="E746" s="0" t="n">
        <v>6</v>
      </c>
      <c r="F746" s="0" t="n">
        <v>25</v>
      </c>
      <c r="G746" s="0" t="n">
        <v>60</v>
      </c>
      <c r="H746" s="0" t="s">
        <v>145</v>
      </c>
      <c r="I746" s="0" t="n">
        <v>60</v>
      </c>
      <c r="J746" s="0" t="n">
        <f aca="false">F746*E746</f>
        <v>150</v>
      </c>
      <c r="K746" s="0" t="str">
        <f aca="false">IF(G746&lt;1000,"1-Low",IF(G746&lt;5000,"2-Medium","3-Bulk"))</f>
        <v>1-Low</v>
      </c>
      <c r="L746" s="0" t="str">
        <f aca="false">IF(H746="TRUE","Out of stock","In stock")</f>
        <v>In stock</v>
      </c>
      <c r="M746" s="0" t="str">
        <f aca="false">IF(D746&lt;5,"1) Under 5%",IF(D746&lt;10,"2) 5-9%",IF(D746&lt;15,"3) 10-14%",IF(D746&lt;25,"4) 15-24%","5) 25%+"))))</f>
        <v>1) Under 5%</v>
      </c>
      <c r="N746" s="0" t="str">
        <f aca="false">IF(F746&lt;50,"1) Under Rs 50",IF(F746&lt;100,"2) Rs 50-99",IF(F746&lt;200,"3) Rs 100-199",IF(F746&lt;500,"4) Rs 200-499","5) Rs 500+"))))</f>
        <v>1) Under Rs 50</v>
      </c>
      <c r="O746" s="0" t="n">
        <f aca="false">G746*E746/1000</f>
        <v>0.36</v>
      </c>
    </row>
    <row r="747" customFormat="false" ht="15" hidden="false" customHeight="false" outlineLevel="0" collapsed="false">
      <c r="A747" s="0" t="s">
        <v>117</v>
      </c>
      <c r="B747" s="0" t="s">
        <v>358</v>
      </c>
      <c r="C747" s="0" t="n">
        <v>15</v>
      </c>
      <c r="D747" s="0" t="n">
        <v>0</v>
      </c>
      <c r="E747" s="0" t="n">
        <v>5</v>
      </c>
      <c r="F747" s="0" t="n">
        <v>15</v>
      </c>
      <c r="G747" s="0" t="n">
        <v>60</v>
      </c>
      <c r="H747" s="0" t="s">
        <v>145</v>
      </c>
      <c r="I747" s="0" t="n">
        <v>60</v>
      </c>
      <c r="J747" s="0" t="n">
        <f aca="false">F747*E747</f>
        <v>75</v>
      </c>
      <c r="K747" s="0" t="str">
        <f aca="false">IF(G747&lt;1000,"1-Low",IF(G747&lt;5000,"2-Medium","3-Bulk"))</f>
        <v>1-Low</v>
      </c>
      <c r="L747" s="0" t="str">
        <f aca="false">IF(H747="TRUE","Out of stock","In stock")</f>
        <v>In stock</v>
      </c>
      <c r="M747" s="0" t="str">
        <f aca="false">IF(D747&lt;5,"1) Under 5%",IF(D747&lt;10,"2) 5-9%",IF(D747&lt;15,"3) 10-14%",IF(D747&lt;25,"4) 15-24%","5) 25%+"))))</f>
        <v>1) Under 5%</v>
      </c>
      <c r="N747" s="0" t="str">
        <f aca="false">IF(F747&lt;50,"1) Under Rs 50",IF(F747&lt;100,"2) Rs 50-99",IF(F747&lt;200,"3) Rs 100-199",IF(F747&lt;500,"4) Rs 200-499","5) Rs 500+"))))</f>
        <v>1) Under Rs 50</v>
      </c>
      <c r="O747" s="0" t="n">
        <f aca="false">G747*E747/1000</f>
        <v>0.3</v>
      </c>
    </row>
    <row r="748" customFormat="false" ht="15" hidden="false" customHeight="false" outlineLevel="0" collapsed="false">
      <c r="A748" s="0" t="s">
        <v>117</v>
      </c>
      <c r="B748" s="0" t="s">
        <v>289</v>
      </c>
      <c r="C748" s="0" t="n">
        <v>70</v>
      </c>
      <c r="D748" s="0" t="n">
        <v>0</v>
      </c>
      <c r="E748" s="0" t="n">
        <v>2</v>
      </c>
      <c r="F748" s="0" t="n">
        <v>70</v>
      </c>
      <c r="G748" s="0" t="n">
        <v>100</v>
      </c>
      <c r="H748" s="0" t="s">
        <v>145</v>
      </c>
      <c r="I748" s="0" t="n">
        <v>100</v>
      </c>
      <c r="J748" s="0" t="n">
        <f aca="false">F748*E748</f>
        <v>140</v>
      </c>
      <c r="K748" s="0" t="str">
        <f aca="false">IF(G748&lt;1000,"1-Low",IF(G748&lt;5000,"2-Medium","3-Bulk"))</f>
        <v>1-Low</v>
      </c>
      <c r="L748" s="0" t="str">
        <f aca="false">IF(H748="TRUE","Out of stock","In stock")</f>
        <v>In stock</v>
      </c>
      <c r="M748" s="0" t="str">
        <f aca="false">IF(D748&lt;5,"1) Under 5%",IF(D748&lt;10,"2) 5-9%",IF(D748&lt;15,"3) 10-14%",IF(D748&lt;25,"4) 15-24%","5) 25%+"))))</f>
        <v>1) Under 5%</v>
      </c>
      <c r="N748" s="0" t="str">
        <f aca="false">IF(F748&lt;50,"1) Under Rs 50",IF(F748&lt;100,"2) Rs 50-99",IF(F748&lt;200,"3) Rs 100-199",IF(F748&lt;500,"4) Rs 200-499","5) Rs 500+"))))</f>
        <v>2) Rs 50-99</v>
      </c>
      <c r="O748" s="0" t="n">
        <f aca="false">G748*E748/1000</f>
        <v>0.2</v>
      </c>
    </row>
    <row r="749" customFormat="false" ht="15" hidden="false" customHeight="false" outlineLevel="0" collapsed="false">
      <c r="A749" s="0" t="s">
        <v>117</v>
      </c>
      <c r="B749" s="0" t="s">
        <v>359</v>
      </c>
      <c r="C749" s="0" t="n">
        <v>220</v>
      </c>
      <c r="D749" s="0" t="n">
        <v>6</v>
      </c>
      <c r="E749" s="0" t="n">
        <v>6</v>
      </c>
      <c r="F749" s="0" t="n">
        <v>205</v>
      </c>
      <c r="G749" s="0" t="n">
        <v>623</v>
      </c>
      <c r="H749" s="0" t="s">
        <v>145</v>
      </c>
      <c r="I749" s="0" t="n">
        <v>680</v>
      </c>
      <c r="J749" s="0" t="n">
        <f aca="false">F749*E749</f>
        <v>1230</v>
      </c>
      <c r="K749" s="0" t="str">
        <f aca="false">IF(G749&lt;1000,"1-Low",IF(G749&lt;5000,"2-Medium","3-Bulk"))</f>
        <v>1-Low</v>
      </c>
      <c r="L749" s="0" t="str">
        <f aca="false">IF(H749="TRUE","Out of stock","In stock")</f>
        <v>In stock</v>
      </c>
      <c r="M749" s="0" t="str">
        <f aca="false">IF(D749&lt;5,"1) Under 5%",IF(D749&lt;10,"2) 5-9%",IF(D749&lt;15,"3) 10-14%",IF(D749&lt;25,"4) 15-24%","5) 25%+"))))</f>
        <v>2) 5-9%</v>
      </c>
      <c r="N749" s="0" t="str">
        <f aca="false">IF(F749&lt;50,"1) Under Rs 50",IF(F749&lt;100,"2) Rs 50-99",IF(F749&lt;200,"3) Rs 100-199",IF(F749&lt;500,"4) Rs 200-499","5) Rs 500+"))))</f>
        <v>4) Rs 200-499</v>
      </c>
      <c r="O749" s="0" t="n">
        <f aca="false">G749*E749/1000</f>
        <v>3.738</v>
      </c>
    </row>
    <row r="750" customFormat="false" ht="15" hidden="false" customHeight="false" outlineLevel="0" collapsed="false">
      <c r="A750" s="0" t="s">
        <v>117</v>
      </c>
      <c r="B750" s="0" t="s">
        <v>360</v>
      </c>
      <c r="C750" s="0" t="n">
        <v>55</v>
      </c>
      <c r="D750" s="0" t="n">
        <v>16</v>
      </c>
      <c r="E750" s="0" t="n">
        <v>4</v>
      </c>
      <c r="F750" s="0" t="n">
        <v>46</v>
      </c>
      <c r="G750" s="0" t="n">
        <v>200</v>
      </c>
      <c r="H750" s="0" t="s">
        <v>145</v>
      </c>
      <c r="I750" s="0" t="n">
        <v>200</v>
      </c>
      <c r="J750" s="0" t="n">
        <f aca="false">F750*E750</f>
        <v>184</v>
      </c>
      <c r="K750" s="0" t="str">
        <f aca="false">IF(G750&lt;1000,"1-Low",IF(G750&lt;5000,"2-Medium","3-Bulk"))</f>
        <v>1-Low</v>
      </c>
      <c r="L750" s="0" t="str">
        <f aca="false">IF(H750="TRUE","Out of stock","In stock")</f>
        <v>In stock</v>
      </c>
      <c r="M750" s="0" t="str">
        <f aca="false">IF(D750&lt;5,"1) Under 5%",IF(D750&lt;10,"2) 5-9%",IF(D750&lt;15,"3) 10-14%",IF(D750&lt;25,"4) 15-24%","5) 25%+"))))</f>
        <v>4) 15-24%</v>
      </c>
      <c r="N750" s="0" t="str">
        <f aca="false">IF(F750&lt;50,"1) Under Rs 50",IF(F750&lt;100,"2) Rs 50-99",IF(F750&lt;200,"3) Rs 100-199",IF(F750&lt;500,"4) Rs 200-499","5) Rs 500+"))))</f>
        <v>1) Under Rs 50</v>
      </c>
      <c r="O750" s="0" t="n">
        <f aca="false">G750*E750/1000</f>
        <v>0.8</v>
      </c>
    </row>
    <row r="751" customFormat="false" ht="15" hidden="false" customHeight="false" outlineLevel="0" collapsed="false">
      <c r="A751" s="0" t="s">
        <v>117</v>
      </c>
      <c r="B751" s="0" t="s">
        <v>361</v>
      </c>
      <c r="C751" s="0" t="n">
        <v>70</v>
      </c>
      <c r="D751" s="0" t="n">
        <v>7</v>
      </c>
      <c r="E751" s="0" t="n">
        <v>1</v>
      </c>
      <c r="F751" s="0" t="n">
        <v>65</v>
      </c>
      <c r="G751" s="0" t="n">
        <v>100</v>
      </c>
      <c r="H751" s="0" t="s">
        <v>145</v>
      </c>
      <c r="I751" s="0" t="n">
        <v>100</v>
      </c>
      <c r="J751" s="0" t="n">
        <f aca="false">F751*E751</f>
        <v>65</v>
      </c>
      <c r="K751" s="0" t="str">
        <f aca="false">IF(G751&lt;1000,"1-Low",IF(G751&lt;5000,"2-Medium","3-Bulk"))</f>
        <v>1-Low</v>
      </c>
      <c r="L751" s="0" t="str">
        <f aca="false">IF(H751="TRUE","Out of stock","In stock")</f>
        <v>In stock</v>
      </c>
      <c r="M751" s="0" t="str">
        <f aca="false">IF(D751&lt;5,"1) Under 5%",IF(D751&lt;10,"2) 5-9%",IF(D751&lt;15,"3) 10-14%",IF(D751&lt;25,"4) 15-24%","5) 25%+"))))</f>
        <v>2) 5-9%</v>
      </c>
      <c r="N751" s="0" t="str">
        <f aca="false">IF(F751&lt;50,"1) Under Rs 50",IF(F751&lt;100,"2) Rs 50-99",IF(F751&lt;200,"3) Rs 100-199",IF(F751&lt;500,"4) Rs 200-499","5) Rs 500+"))))</f>
        <v>2) Rs 50-99</v>
      </c>
      <c r="O751" s="0" t="n">
        <f aca="false">G751*E751/1000</f>
        <v>0.1</v>
      </c>
    </row>
    <row r="752" customFormat="false" ht="15" hidden="false" customHeight="false" outlineLevel="0" collapsed="false">
      <c r="A752" s="0" t="s">
        <v>117</v>
      </c>
      <c r="B752" s="0" t="s">
        <v>362</v>
      </c>
      <c r="C752" s="0" t="n">
        <v>120</v>
      </c>
      <c r="D752" s="0" t="n">
        <v>0</v>
      </c>
      <c r="E752" s="0" t="n">
        <v>6</v>
      </c>
      <c r="F752" s="0" t="n">
        <v>120</v>
      </c>
      <c r="G752" s="0" t="n">
        <v>250</v>
      </c>
      <c r="H752" s="0" t="s">
        <v>145</v>
      </c>
      <c r="I752" s="0" t="n">
        <v>250</v>
      </c>
      <c r="J752" s="0" t="n">
        <f aca="false">F752*E752</f>
        <v>720</v>
      </c>
      <c r="K752" s="0" t="str">
        <f aca="false">IF(G752&lt;1000,"1-Low",IF(G752&lt;5000,"2-Medium","3-Bulk"))</f>
        <v>1-Low</v>
      </c>
      <c r="L752" s="0" t="str">
        <f aca="false">IF(H752="TRUE","Out of stock","In stock")</f>
        <v>In stock</v>
      </c>
      <c r="M752" s="0" t="str">
        <f aca="false">IF(D752&lt;5,"1) Under 5%",IF(D752&lt;10,"2) 5-9%",IF(D752&lt;15,"3) 10-14%",IF(D752&lt;25,"4) 15-24%","5) 25%+"))))</f>
        <v>1) Under 5%</v>
      </c>
      <c r="N752" s="0" t="str">
        <f aca="false">IF(F752&lt;50,"1) Under Rs 50",IF(F752&lt;100,"2) Rs 50-99",IF(F752&lt;200,"3) Rs 100-199",IF(F752&lt;500,"4) Rs 200-499","5) Rs 500+"))))</f>
        <v>3) Rs 100-199</v>
      </c>
      <c r="O752" s="0" t="n">
        <f aca="false">G752*E752/1000</f>
        <v>1.5</v>
      </c>
    </row>
    <row r="753" customFormat="false" ht="15" hidden="false" customHeight="false" outlineLevel="0" collapsed="false">
      <c r="A753" s="0" t="s">
        <v>117</v>
      </c>
      <c r="B753" s="0" t="s">
        <v>363</v>
      </c>
      <c r="C753" s="0" t="n">
        <v>40</v>
      </c>
      <c r="D753" s="0" t="n">
        <v>2</v>
      </c>
      <c r="E753" s="0" t="n">
        <v>6</v>
      </c>
      <c r="F753" s="0" t="n">
        <v>39</v>
      </c>
      <c r="G753" s="0" t="n">
        <v>200</v>
      </c>
      <c r="H753" s="0" t="s">
        <v>145</v>
      </c>
      <c r="I753" s="0" t="n">
        <v>200</v>
      </c>
      <c r="J753" s="0" t="n">
        <f aca="false">F753*E753</f>
        <v>234</v>
      </c>
      <c r="K753" s="0" t="str">
        <f aca="false">IF(G753&lt;1000,"1-Low",IF(G753&lt;5000,"2-Medium","3-Bulk"))</f>
        <v>1-Low</v>
      </c>
      <c r="L753" s="0" t="str">
        <f aca="false">IF(H753="TRUE","Out of stock","In stock")</f>
        <v>In stock</v>
      </c>
      <c r="M753" s="0" t="str">
        <f aca="false">IF(D753&lt;5,"1) Under 5%",IF(D753&lt;10,"2) 5-9%",IF(D753&lt;15,"3) 10-14%",IF(D753&lt;25,"4) 15-24%","5) 25%+"))))</f>
        <v>1) Under 5%</v>
      </c>
      <c r="N753" s="0" t="str">
        <f aca="false">IF(F753&lt;50,"1) Under Rs 50",IF(F753&lt;100,"2) Rs 50-99",IF(F753&lt;200,"3) Rs 100-199",IF(F753&lt;500,"4) Rs 200-499","5) Rs 500+"))))</f>
        <v>1) Under Rs 50</v>
      </c>
      <c r="O753" s="0" t="n">
        <f aca="false">G753*E753/1000</f>
        <v>1.2</v>
      </c>
    </row>
    <row r="754" customFormat="false" ht="15" hidden="false" customHeight="false" outlineLevel="0" collapsed="false">
      <c r="A754" s="0" t="s">
        <v>117</v>
      </c>
      <c r="B754" s="0" t="s">
        <v>364</v>
      </c>
      <c r="C754" s="0" t="n">
        <v>48</v>
      </c>
      <c r="D754" s="0" t="n">
        <v>2</v>
      </c>
      <c r="E754" s="0" t="n">
        <v>2</v>
      </c>
      <c r="F754" s="0" t="n">
        <v>47</v>
      </c>
      <c r="G754" s="0" t="n">
        <v>500</v>
      </c>
      <c r="H754" s="0" t="s">
        <v>145</v>
      </c>
      <c r="I754" s="0" t="n">
        <v>500</v>
      </c>
      <c r="J754" s="0" t="n">
        <f aca="false">F754*E754</f>
        <v>94</v>
      </c>
      <c r="K754" s="0" t="str">
        <f aca="false">IF(G754&lt;1000,"1-Low",IF(G754&lt;5000,"2-Medium","3-Bulk"))</f>
        <v>1-Low</v>
      </c>
      <c r="L754" s="0" t="str">
        <f aca="false">IF(H754="TRUE","Out of stock","In stock")</f>
        <v>In stock</v>
      </c>
      <c r="M754" s="0" t="str">
        <f aca="false">IF(D754&lt;5,"1) Under 5%",IF(D754&lt;10,"2) 5-9%",IF(D754&lt;15,"3) 10-14%",IF(D754&lt;25,"4) 15-24%","5) 25%+"))))</f>
        <v>1) Under 5%</v>
      </c>
      <c r="N754" s="0" t="str">
        <f aca="false">IF(F754&lt;50,"1) Under Rs 50",IF(F754&lt;100,"2) Rs 50-99",IF(F754&lt;200,"3) Rs 100-199",IF(F754&lt;500,"4) Rs 200-499","5) Rs 500+"))))</f>
        <v>1) Under Rs 50</v>
      </c>
      <c r="O754" s="0" t="n">
        <f aca="false">G754*E754/1000</f>
        <v>1</v>
      </c>
    </row>
    <row r="755" customFormat="false" ht="15" hidden="false" customHeight="false" outlineLevel="0" collapsed="false">
      <c r="A755" s="0" t="s">
        <v>117</v>
      </c>
      <c r="B755" s="0" t="s">
        <v>365</v>
      </c>
      <c r="C755" s="0" t="n">
        <v>65</v>
      </c>
      <c r="D755" s="0" t="n">
        <v>20</v>
      </c>
      <c r="E755" s="0" t="n">
        <v>4</v>
      </c>
      <c r="F755" s="0" t="n">
        <v>52</v>
      </c>
      <c r="G755" s="0" t="n">
        <v>500</v>
      </c>
      <c r="H755" s="0" t="s">
        <v>145</v>
      </c>
      <c r="I755" s="0" t="n">
        <v>500</v>
      </c>
      <c r="J755" s="0" t="n">
        <f aca="false">F755*E755</f>
        <v>208</v>
      </c>
      <c r="K755" s="0" t="str">
        <f aca="false">IF(G755&lt;1000,"1-Low",IF(G755&lt;5000,"2-Medium","3-Bulk"))</f>
        <v>1-Low</v>
      </c>
      <c r="L755" s="0" t="str">
        <f aca="false">IF(H755="TRUE","Out of stock","In stock")</f>
        <v>In stock</v>
      </c>
      <c r="M755" s="0" t="str">
        <f aca="false">IF(D755&lt;5,"1) Under 5%",IF(D755&lt;10,"2) 5-9%",IF(D755&lt;15,"3) 10-14%",IF(D755&lt;25,"4) 15-24%","5) 25%+"))))</f>
        <v>4) 15-24%</v>
      </c>
      <c r="N755" s="0" t="str">
        <f aca="false">IF(F755&lt;50,"1) Under Rs 50",IF(F755&lt;100,"2) Rs 50-99",IF(F755&lt;200,"3) Rs 100-199",IF(F755&lt;500,"4) Rs 200-499","5) Rs 500+"))))</f>
        <v>2) Rs 50-99</v>
      </c>
      <c r="O755" s="0" t="n">
        <f aca="false">G755*E755/1000</f>
        <v>2</v>
      </c>
    </row>
    <row r="756" customFormat="false" ht="15" hidden="false" customHeight="false" outlineLevel="0" collapsed="false">
      <c r="A756" s="0" t="s">
        <v>117</v>
      </c>
      <c r="B756" s="0" t="s">
        <v>366</v>
      </c>
      <c r="C756" s="0" t="n">
        <v>35</v>
      </c>
      <c r="D756" s="0" t="n">
        <v>5</v>
      </c>
      <c r="E756" s="0" t="n">
        <v>6</v>
      </c>
      <c r="F756" s="0" t="n">
        <v>33</v>
      </c>
      <c r="G756" s="0" t="n">
        <v>25</v>
      </c>
      <c r="H756" s="0" t="s">
        <v>145</v>
      </c>
      <c r="I756" s="0" t="n">
        <v>25</v>
      </c>
      <c r="J756" s="0" t="n">
        <f aca="false">F756*E756</f>
        <v>198</v>
      </c>
      <c r="K756" s="0" t="str">
        <f aca="false">IF(G756&lt;1000,"1-Low",IF(G756&lt;5000,"2-Medium","3-Bulk"))</f>
        <v>1-Low</v>
      </c>
      <c r="L756" s="0" t="str">
        <f aca="false">IF(H756="TRUE","Out of stock","In stock")</f>
        <v>In stock</v>
      </c>
      <c r="M756" s="0" t="str">
        <f aca="false">IF(D756&lt;5,"1) Under 5%",IF(D756&lt;10,"2) 5-9%",IF(D756&lt;15,"3) 10-14%",IF(D756&lt;25,"4) 15-24%","5) 25%+"))))</f>
        <v>2) 5-9%</v>
      </c>
      <c r="N756" s="0" t="str">
        <f aca="false">IF(F756&lt;50,"1) Under Rs 50",IF(F756&lt;100,"2) Rs 50-99",IF(F756&lt;200,"3) Rs 100-199",IF(F756&lt;500,"4) Rs 200-499","5) Rs 500+"))))</f>
        <v>1) Under Rs 50</v>
      </c>
      <c r="O756" s="0" t="n">
        <f aca="false">G756*E756/1000</f>
        <v>0.15</v>
      </c>
    </row>
    <row r="757" customFormat="false" ht="15" hidden="false" customHeight="false" outlineLevel="0" collapsed="false">
      <c r="A757" s="0" t="s">
        <v>117</v>
      </c>
      <c r="B757" s="0" t="s">
        <v>367</v>
      </c>
      <c r="C757" s="0" t="n">
        <v>215</v>
      </c>
      <c r="D757" s="0" t="n">
        <v>0</v>
      </c>
      <c r="E757" s="0" t="n">
        <v>4</v>
      </c>
      <c r="F757" s="0" t="n">
        <v>215</v>
      </c>
      <c r="G757" s="0" t="n">
        <v>1000</v>
      </c>
      <c r="H757" s="0" t="s">
        <v>145</v>
      </c>
      <c r="I757" s="0" t="n">
        <v>1</v>
      </c>
      <c r="J757" s="0" t="n">
        <f aca="false">F757*E757</f>
        <v>860</v>
      </c>
      <c r="K757" s="0" t="str">
        <f aca="false">IF(G757&lt;1000,"1-Low",IF(G757&lt;5000,"2-Medium","3-Bulk"))</f>
        <v>2-Medium</v>
      </c>
      <c r="L757" s="0" t="str">
        <f aca="false">IF(H757="TRUE","Out of stock","In stock")</f>
        <v>In stock</v>
      </c>
      <c r="M757" s="0" t="str">
        <f aca="false">IF(D757&lt;5,"1) Under 5%",IF(D757&lt;10,"2) 5-9%",IF(D757&lt;15,"3) 10-14%",IF(D757&lt;25,"4) 15-24%","5) 25%+"))))</f>
        <v>1) Under 5%</v>
      </c>
      <c r="N757" s="0" t="str">
        <f aca="false">IF(F757&lt;50,"1) Under Rs 50",IF(F757&lt;100,"2) Rs 50-99",IF(F757&lt;200,"3) Rs 100-199",IF(F757&lt;500,"4) Rs 200-499","5) Rs 500+"))))</f>
        <v>4) Rs 200-499</v>
      </c>
      <c r="O757" s="0" t="n">
        <f aca="false">G757*E757/1000</f>
        <v>4</v>
      </c>
    </row>
    <row r="758" customFormat="false" ht="15" hidden="false" customHeight="false" outlineLevel="0" collapsed="false">
      <c r="A758" s="0" t="s">
        <v>117</v>
      </c>
      <c r="B758" s="0" t="s">
        <v>368</v>
      </c>
      <c r="C758" s="0" t="n">
        <v>102</v>
      </c>
      <c r="D758" s="0" t="n">
        <v>7</v>
      </c>
      <c r="E758" s="0" t="n">
        <v>4</v>
      </c>
      <c r="F758" s="0" t="n">
        <v>94</v>
      </c>
      <c r="G758" s="0" t="n">
        <v>2000</v>
      </c>
      <c r="H758" s="0" t="s">
        <v>145</v>
      </c>
      <c r="I758" s="0" t="n">
        <v>2</v>
      </c>
      <c r="J758" s="0" t="n">
        <f aca="false">F758*E758</f>
        <v>376</v>
      </c>
      <c r="K758" s="0" t="str">
        <f aca="false">IF(G758&lt;1000,"1-Low",IF(G758&lt;5000,"2-Medium","3-Bulk"))</f>
        <v>2-Medium</v>
      </c>
      <c r="L758" s="0" t="str">
        <f aca="false">IF(H758="TRUE","Out of stock","In stock")</f>
        <v>In stock</v>
      </c>
      <c r="M758" s="0" t="str">
        <f aca="false">IF(D758&lt;5,"1) Under 5%",IF(D758&lt;10,"2) 5-9%",IF(D758&lt;15,"3) 10-14%",IF(D758&lt;25,"4) 15-24%","5) 25%+"))))</f>
        <v>2) 5-9%</v>
      </c>
      <c r="N758" s="0" t="str">
        <f aca="false">IF(F758&lt;50,"1) Under Rs 50",IF(F758&lt;100,"2) Rs 50-99",IF(F758&lt;200,"3) Rs 100-199",IF(F758&lt;500,"4) Rs 200-499","5) Rs 500+"))))</f>
        <v>2) Rs 50-99</v>
      </c>
      <c r="O758" s="0" t="n">
        <f aca="false">G758*E758/1000</f>
        <v>8</v>
      </c>
    </row>
    <row r="759" customFormat="false" ht="15" hidden="false" customHeight="false" outlineLevel="0" collapsed="false">
      <c r="A759" s="0" t="s">
        <v>117</v>
      </c>
      <c r="B759" s="0" t="s">
        <v>369</v>
      </c>
      <c r="C759" s="0" t="n">
        <v>85</v>
      </c>
      <c r="D759" s="0" t="n">
        <v>7</v>
      </c>
      <c r="E759" s="0" t="n">
        <v>5</v>
      </c>
      <c r="F759" s="0" t="n">
        <v>79</v>
      </c>
      <c r="G759" s="0" t="n">
        <v>500</v>
      </c>
      <c r="H759" s="0" t="s">
        <v>145</v>
      </c>
      <c r="I759" s="0" t="n">
        <v>500</v>
      </c>
      <c r="J759" s="0" t="n">
        <f aca="false">F759*E759</f>
        <v>395</v>
      </c>
      <c r="K759" s="0" t="str">
        <f aca="false">IF(G759&lt;1000,"1-Low",IF(G759&lt;5000,"2-Medium","3-Bulk"))</f>
        <v>1-Low</v>
      </c>
      <c r="L759" s="0" t="str">
        <f aca="false">IF(H759="TRUE","Out of stock","In stock")</f>
        <v>In stock</v>
      </c>
      <c r="M759" s="0" t="str">
        <f aca="false">IF(D759&lt;5,"1) Under 5%",IF(D759&lt;10,"2) 5-9%",IF(D759&lt;15,"3) 10-14%",IF(D759&lt;25,"4) 15-24%","5) 25%+"))))</f>
        <v>2) 5-9%</v>
      </c>
      <c r="N759" s="0" t="str">
        <f aca="false">IF(F759&lt;50,"1) Under Rs 50",IF(F759&lt;100,"2) Rs 50-99",IF(F759&lt;200,"3) Rs 100-199",IF(F759&lt;500,"4) Rs 200-499","5) Rs 500+"))))</f>
        <v>2) Rs 50-99</v>
      </c>
      <c r="O759" s="0" t="n">
        <f aca="false">G759*E759/1000</f>
        <v>2.5</v>
      </c>
    </row>
    <row r="760" customFormat="false" ht="15" hidden="false" customHeight="false" outlineLevel="0" collapsed="false">
      <c r="A760" s="0" t="s">
        <v>117</v>
      </c>
      <c r="B760" s="0" t="s">
        <v>370</v>
      </c>
      <c r="C760" s="0" t="n">
        <v>75</v>
      </c>
      <c r="D760" s="0" t="n">
        <v>0</v>
      </c>
      <c r="E760" s="0" t="n">
        <v>3</v>
      </c>
      <c r="F760" s="0" t="n">
        <v>75</v>
      </c>
      <c r="G760" s="0" t="n">
        <v>1000</v>
      </c>
      <c r="H760" s="0" t="s">
        <v>145</v>
      </c>
      <c r="I760" s="0" t="n">
        <v>1</v>
      </c>
      <c r="J760" s="0" t="n">
        <f aca="false">F760*E760</f>
        <v>225</v>
      </c>
      <c r="K760" s="0" t="str">
        <f aca="false">IF(G760&lt;1000,"1-Low",IF(G760&lt;5000,"2-Medium","3-Bulk"))</f>
        <v>2-Medium</v>
      </c>
      <c r="L760" s="0" t="str">
        <f aca="false">IF(H760="TRUE","Out of stock","In stock")</f>
        <v>In stock</v>
      </c>
      <c r="M760" s="0" t="str">
        <f aca="false">IF(D760&lt;5,"1) Under 5%",IF(D760&lt;10,"2) 5-9%",IF(D760&lt;15,"3) 10-14%",IF(D760&lt;25,"4) 15-24%","5) 25%+"))))</f>
        <v>1) Under 5%</v>
      </c>
      <c r="N760" s="0" t="str">
        <f aca="false">IF(F760&lt;50,"1) Under Rs 50",IF(F760&lt;100,"2) Rs 50-99",IF(F760&lt;200,"3) Rs 100-199",IF(F760&lt;500,"4) Rs 200-499","5) Rs 500+"))))</f>
        <v>2) Rs 50-99</v>
      </c>
      <c r="O760" s="0" t="n">
        <f aca="false">G760*E760/1000</f>
        <v>3</v>
      </c>
    </row>
    <row r="761" customFormat="false" ht="15" hidden="false" customHeight="false" outlineLevel="0" collapsed="false">
      <c r="A761" s="0" t="s">
        <v>117</v>
      </c>
      <c r="B761" s="0" t="s">
        <v>371</v>
      </c>
      <c r="C761" s="0" t="n">
        <v>80</v>
      </c>
      <c r="D761" s="0" t="n">
        <v>10</v>
      </c>
      <c r="E761" s="0" t="n">
        <v>4</v>
      </c>
      <c r="F761" s="0" t="n">
        <v>72</v>
      </c>
      <c r="G761" s="0" t="n">
        <v>500</v>
      </c>
      <c r="H761" s="0" t="s">
        <v>145</v>
      </c>
      <c r="I761" s="0" t="n">
        <v>500</v>
      </c>
      <c r="J761" s="0" t="n">
        <f aca="false">F761*E761</f>
        <v>288</v>
      </c>
      <c r="K761" s="0" t="str">
        <f aca="false">IF(G761&lt;1000,"1-Low",IF(G761&lt;5000,"2-Medium","3-Bulk"))</f>
        <v>1-Low</v>
      </c>
      <c r="L761" s="0" t="str">
        <f aca="false">IF(H761="TRUE","Out of stock","In stock")</f>
        <v>In stock</v>
      </c>
      <c r="M761" s="0" t="str">
        <f aca="false">IF(D761&lt;5,"1) Under 5%",IF(D761&lt;10,"2) 5-9%",IF(D761&lt;15,"3) 10-14%",IF(D761&lt;25,"4) 15-24%","5) 25%+"))))</f>
        <v>3) 10-14%</v>
      </c>
      <c r="N761" s="0" t="str">
        <f aca="false">IF(F761&lt;50,"1) Under Rs 50",IF(F761&lt;100,"2) Rs 50-99",IF(F761&lt;200,"3) Rs 100-199",IF(F761&lt;500,"4) Rs 200-499","5) Rs 500+"))))</f>
        <v>2) Rs 50-99</v>
      </c>
      <c r="O761" s="0" t="n">
        <f aca="false">G761*E761/1000</f>
        <v>2</v>
      </c>
    </row>
    <row r="762" customFormat="false" ht="15" hidden="false" customHeight="false" outlineLevel="0" collapsed="false">
      <c r="A762" s="0" t="s">
        <v>117</v>
      </c>
      <c r="B762" s="0" t="s">
        <v>372</v>
      </c>
      <c r="C762" s="0" t="n">
        <v>109</v>
      </c>
      <c r="D762" s="0" t="n">
        <v>10</v>
      </c>
      <c r="E762" s="0" t="n">
        <v>5</v>
      </c>
      <c r="F762" s="0" t="n">
        <v>98</v>
      </c>
      <c r="G762" s="0" t="n">
        <v>9</v>
      </c>
      <c r="H762" s="0" t="s">
        <v>145</v>
      </c>
      <c r="I762" s="0" t="n">
        <v>9</v>
      </c>
      <c r="J762" s="0" t="n">
        <f aca="false">F762*E762</f>
        <v>490</v>
      </c>
      <c r="K762" s="0" t="str">
        <f aca="false">IF(G762&lt;1000,"1-Low",IF(G762&lt;5000,"2-Medium","3-Bulk"))</f>
        <v>1-Low</v>
      </c>
      <c r="L762" s="0" t="str">
        <f aca="false">IF(H762="TRUE","Out of stock","In stock")</f>
        <v>In stock</v>
      </c>
      <c r="M762" s="0" t="str">
        <f aca="false">IF(D762&lt;5,"1) Under 5%",IF(D762&lt;10,"2) 5-9%",IF(D762&lt;15,"3) 10-14%",IF(D762&lt;25,"4) 15-24%","5) 25%+"))))</f>
        <v>3) 10-14%</v>
      </c>
      <c r="N762" s="0" t="str">
        <f aca="false">IF(F762&lt;50,"1) Under Rs 50",IF(F762&lt;100,"2) Rs 50-99",IF(F762&lt;200,"3) Rs 100-199",IF(F762&lt;500,"4) Rs 200-499","5) Rs 500+"))))</f>
        <v>2) Rs 50-99</v>
      </c>
      <c r="O762" s="0" t="n">
        <f aca="false">G762*E762/1000</f>
        <v>0.045</v>
      </c>
    </row>
    <row r="763" customFormat="false" ht="15" hidden="false" customHeight="false" outlineLevel="0" collapsed="false">
      <c r="A763" s="0" t="s">
        <v>117</v>
      </c>
      <c r="B763" s="0" t="s">
        <v>373</v>
      </c>
      <c r="C763" s="0" t="n">
        <v>100</v>
      </c>
      <c r="D763" s="0" t="n">
        <v>10</v>
      </c>
      <c r="E763" s="0" t="n">
        <v>6</v>
      </c>
      <c r="F763" s="0" t="n">
        <v>90</v>
      </c>
      <c r="G763" s="0" t="n">
        <v>500</v>
      </c>
      <c r="H763" s="0" t="s">
        <v>145</v>
      </c>
      <c r="I763" s="0" t="n">
        <v>500</v>
      </c>
      <c r="J763" s="0" t="n">
        <f aca="false">F763*E763</f>
        <v>540</v>
      </c>
      <c r="K763" s="0" t="str">
        <f aca="false">IF(G763&lt;1000,"1-Low",IF(G763&lt;5000,"2-Medium","3-Bulk"))</f>
        <v>1-Low</v>
      </c>
      <c r="L763" s="0" t="str">
        <f aca="false">IF(H763="TRUE","Out of stock","In stock")</f>
        <v>In stock</v>
      </c>
      <c r="M763" s="0" t="str">
        <f aca="false">IF(D763&lt;5,"1) Under 5%",IF(D763&lt;10,"2) 5-9%",IF(D763&lt;15,"3) 10-14%",IF(D763&lt;25,"4) 15-24%","5) 25%+"))))</f>
        <v>3) 10-14%</v>
      </c>
      <c r="N763" s="0" t="str">
        <f aca="false">IF(F763&lt;50,"1) Under Rs 50",IF(F763&lt;100,"2) Rs 50-99",IF(F763&lt;200,"3) Rs 100-199",IF(F763&lt;500,"4) Rs 200-499","5) Rs 500+"))))</f>
        <v>2) Rs 50-99</v>
      </c>
      <c r="O763" s="0" t="n">
        <f aca="false">G763*E763/1000</f>
        <v>3</v>
      </c>
    </row>
    <row r="764" customFormat="false" ht="15" hidden="false" customHeight="false" outlineLevel="0" collapsed="false">
      <c r="A764" s="0" t="s">
        <v>117</v>
      </c>
      <c r="B764" s="0" t="s">
        <v>293</v>
      </c>
      <c r="C764" s="0" t="n">
        <v>74</v>
      </c>
      <c r="D764" s="0" t="n">
        <v>2</v>
      </c>
      <c r="E764" s="0" t="n">
        <v>6</v>
      </c>
      <c r="F764" s="0" t="n">
        <v>72</v>
      </c>
      <c r="G764" s="0" t="n">
        <v>100</v>
      </c>
      <c r="H764" s="0" t="s">
        <v>145</v>
      </c>
      <c r="I764" s="0" t="n">
        <v>100</v>
      </c>
      <c r="J764" s="0" t="n">
        <f aca="false">F764*E764</f>
        <v>432</v>
      </c>
      <c r="K764" s="0" t="str">
        <f aca="false">IF(G764&lt;1000,"1-Low",IF(G764&lt;5000,"2-Medium","3-Bulk"))</f>
        <v>1-Low</v>
      </c>
      <c r="L764" s="0" t="str">
        <f aca="false">IF(H764="TRUE","Out of stock","In stock")</f>
        <v>In stock</v>
      </c>
      <c r="M764" s="0" t="str">
        <f aca="false">IF(D764&lt;5,"1) Under 5%",IF(D764&lt;10,"2) 5-9%",IF(D764&lt;15,"3) 10-14%",IF(D764&lt;25,"4) 15-24%","5) 25%+"))))</f>
        <v>1) Under 5%</v>
      </c>
      <c r="N764" s="0" t="str">
        <f aca="false">IF(F764&lt;50,"1) Under Rs 50",IF(F764&lt;100,"2) Rs 50-99",IF(F764&lt;200,"3) Rs 100-199",IF(F764&lt;500,"4) Rs 200-499","5) Rs 500+"))))</f>
        <v>2) Rs 50-99</v>
      </c>
      <c r="O764" s="0" t="n">
        <f aca="false">G764*E764/1000</f>
        <v>0.6</v>
      </c>
    </row>
    <row r="765" customFormat="false" ht="15" hidden="false" customHeight="false" outlineLevel="0" collapsed="false">
      <c r="A765" s="0" t="s">
        <v>117</v>
      </c>
      <c r="B765" s="0" t="s">
        <v>370</v>
      </c>
      <c r="C765" s="0" t="n">
        <v>370</v>
      </c>
      <c r="D765" s="0" t="n">
        <v>10</v>
      </c>
      <c r="E765" s="0" t="n">
        <v>6</v>
      </c>
      <c r="F765" s="0" t="n">
        <v>333</v>
      </c>
      <c r="G765" s="0" t="n">
        <v>5000</v>
      </c>
      <c r="H765" s="0" t="s">
        <v>145</v>
      </c>
      <c r="I765" s="0" t="n">
        <v>5</v>
      </c>
      <c r="J765" s="0" t="n">
        <f aca="false">F765*E765</f>
        <v>1998</v>
      </c>
      <c r="K765" s="0" t="str">
        <f aca="false">IF(G765&lt;1000,"1-Low",IF(G765&lt;5000,"2-Medium","3-Bulk"))</f>
        <v>3-Bulk</v>
      </c>
      <c r="L765" s="0" t="str">
        <f aca="false">IF(H765="TRUE","Out of stock","In stock")</f>
        <v>In stock</v>
      </c>
      <c r="M765" s="0" t="str">
        <f aca="false">IF(D765&lt;5,"1) Under 5%",IF(D765&lt;10,"2) 5-9%",IF(D765&lt;15,"3) 10-14%",IF(D765&lt;25,"4) 15-24%","5) 25%+"))))</f>
        <v>3) 10-14%</v>
      </c>
      <c r="N765" s="0" t="str">
        <f aca="false">IF(F765&lt;50,"1) Under Rs 50",IF(F765&lt;100,"2) Rs 50-99",IF(F765&lt;200,"3) Rs 100-199",IF(F765&lt;500,"4) Rs 200-499","5) Rs 500+"))))</f>
        <v>4) Rs 200-499</v>
      </c>
      <c r="O765" s="0" t="n">
        <f aca="false">G765*E765/1000</f>
        <v>30</v>
      </c>
    </row>
    <row r="766" customFormat="false" ht="15" hidden="false" customHeight="false" outlineLevel="0" collapsed="false">
      <c r="A766" s="0" t="s">
        <v>117</v>
      </c>
      <c r="B766" s="0" t="s">
        <v>374</v>
      </c>
      <c r="C766" s="0" t="n">
        <v>42</v>
      </c>
      <c r="D766" s="0" t="n">
        <v>4</v>
      </c>
      <c r="E766" s="0" t="n">
        <v>5</v>
      </c>
      <c r="F766" s="0" t="n">
        <v>40</v>
      </c>
      <c r="G766" s="0" t="n">
        <v>50</v>
      </c>
      <c r="H766" s="0" t="s">
        <v>145</v>
      </c>
      <c r="I766" s="0" t="n">
        <v>50</v>
      </c>
      <c r="J766" s="0" t="n">
        <f aca="false">F766*E766</f>
        <v>200</v>
      </c>
      <c r="K766" s="0" t="str">
        <f aca="false">IF(G766&lt;1000,"1-Low",IF(G766&lt;5000,"2-Medium","3-Bulk"))</f>
        <v>1-Low</v>
      </c>
      <c r="L766" s="0" t="str">
        <f aca="false">IF(H766="TRUE","Out of stock","In stock")</f>
        <v>In stock</v>
      </c>
      <c r="M766" s="0" t="str">
        <f aca="false">IF(D766&lt;5,"1) Under 5%",IF(D766&lt;10,"2) 5-9%",IF(D766&lt;15,"3) 10-14%",IF(D766&lt;25,"4) 15-24%","5) 25%+"))))</f>
        <v>1) Under 5%</v>
      </c>
      <c r="N766" s="0" t="str">
        <f aca="false">IF(F766&lt;50,"1) Under Rs 50",IF(F766&lt;100,"2) Rs 50-99",IF(F766&lt;200,"3) Rs 100-199",IF(F766&lt;500,"4) Rs 200-499","5) Rs 500+"))))</f>
        <v>1) Under Rs 50</v>
      </c>
      <c r="O766" s="0" t="n">
        <f aca="false">G766*E766/1000</f>
        <v>0.25</v>
      </c>
    </row>
    <row r="767" customFormat="false" ht="15" hidden="false" customHeight="false" outlineLevel="0" collapsed="false">
      <c r="A767" s="0" t="s">
        <v>117</v>
      </c>
      <c r="B767" s="0" t="s">
        <v>375</v>
      </c>
      <c r="C767" s="0" t="n">
        <v>325</v>
      </c>
      <c r="D767" s="0" t="n">
        <v>9</v>
      </c>
      <c r="E767" s="0" t="n">
        <v>1</v>
      </c>
      <c r="F767" s="0" t="n">
        <v>293</v>
      </c>
      <c r="G767" s="0" t="n">
        <v>500</v>
      </c>
      <c r="H767" s="0" t="s">
        <v>145</v>
      </c>
      <c r="I767" s="0" t="n">
        <v>500</v>
      </c>
      <c r="J767" s="0" t="n">
        <f aca="false">F767*E767</f>
        <v>293</v>
      </c>
      <c r="K767" s="0" t="str">
        <f aca="false">IF(G767&lt;1000,"1-Low",IF(G767&lt;5000,"2-Medium","3-Bulk"))</f>
        <v>1-Low</v>
      </c>
      <c r="L767" s="0" t="str">
        <f aca="false">IF(H767="TRUE","Out of stock","In stock")</f>
        <v>In stock</v>
      </c>
      <c r="M767" s="0" t="str">
        <f aca="false">IF(D767&lt;5,"1) Under 5%",IF(D767&lt;10,"2) 5-9%",IF(D767&lt;15,"3) 10-14%",IF(D767&lt;25,"4) 15-24%","5) 25%+"))))</f>
        <v>2) 5-9%</v>
      </c>
      <c r="N767" s="0" t="str">
        <f aca="false">IF(F767&lt;50,"1) Under Rs 50",IF(F767&lt;100,"2) Rs 50-99",IF(F767&lt;200,"3) Rs 100-199",IF(F767&lt;500,"4) Rs 200-499","5) Rs 500+"))))</f>
        <v>4) Rs 200-499</v>
      </c>
      <c r="O767" s="0" t="n">
        <f aca="false">G767*E767/1000</f>
        <v>0.5</v>
      </c>
    </row>
    <row r="768" customFormat="false" ht="15" hidden="false" customHeight="false" outlineLevel="0" collapsed="false">
      <c r="A768" s="0" t="s">
        <v>117</v>
      </c>
      <c r="B768" s="0" t="s">
        <v>376</v>
      </c>
      <c r="C768" s="0" t="n">
        <v>35</v>
      </c>
      <c r="D768" s="0" t="n">
        <v>2</v>
      </c>
      <c r="E768" s="0" t="n">
        <v>6</v>
      </c>
      <c r="F768" s="0" t="n">
        <v>34</v>
      </c>
      <c r="G768" s="0" t="n">
        <v>20</v>
      </c>
      <c r="H768" s="0" t="s">
        <v>145</v>
      </c>
      <c r="I768" s="0" t="n">
        <v>20</v>
      </c>
      <c r="J768" s="0" t="n">
        <f aca="false">F768*E768</f>
        <v>204</v>
      </c>
      <c r="K768" s="0" t="str">
        <f aca="false">IF(G768&lt;1000,"1-Low",IF(G768&lt;5000,"2-Medium","3-Bulk"))</f>
        <v>1-Low</v>
      </c>
      <c r="L768" s="0" t="str">
        <f aca="false">IF(H768="TRUE","Out of stock","In stock")</f>
        <v>In stock</v>
      </c>
      <c r="M768" s="0" t="str">
        <f aca="false">IF(D768&lt;5,"1) Under 5%",IF(D768&lt;10,"2) 5-9%",IF(D768&lt;15,"3) 10-14%",IF(D768&lt;25,"4) 15-24%","5) 25%+"))))</f>
        <v>1) Under 5%</v>
      </c>
      <c r="N768" s="0" t="str">
        <f aca="false">IF(F768&lt;50,"1) Under Rs 50",IF(F768&lt;100,"2) Rs 50-99",IF(F768&lt;200,"3) Rs 100-199",IF(F768&lt;500,"4) Rs 200-499","5) Rs 500+"))))</f>
        <v>1) Under Rs 50</v>
      </c>
      <c r="O768" s="0" t="n">
        <f aca="false">G768*E768/1000</f>
        <v>0.12</v>
      </c>
    </row>
    <row r="769" customFormat="false" ht="15" hidden="false" customHeight="false" outlineLevel="0" collapsed="false">
      <c r="A769" s="0" t="s">
        <v>117</v>
      </c>
      <c r="B769" s="0" t="s">
        <v>377</v>
      </c>
      <c r="C769" s="0" t="n">
        <v>30</v>
      </c>
      <c r="D769" s="0" t="n">
        <v>3</v>
      </c>
      <c r="E769" s="0" t="n">
        <v>6</v>
      </c>
      <c r="F769" s="0" t="n">
        <v>29</v>
      </c>
      <c r="G769" s="0" t="n">
        <v>50</v>
      </c>
      <c r="H769" s="0" t="s">
        <v>145</v>
      </c>
      <c r="I769" s="0" t="n">
        <v>50</v>
      </c>
      <c r="J769" s="0" t="n">
        <f aca="false">F769*E769</f>
        <v>174</v>
      </c>
      <c r="K769" s="0" t="str">
        <f aca="false">IF(G769&lt;1000,"1-Low",IF(G769&lt;5000,"2-Medium","3-Bulk"))</f>
        <v>1-Low</v>
      </c>
      <c r="L769" s="0" t="str">
        <f aca="false">IF(H769="TRUE","Out of stock","In stock")</f>
        <v>In stock</v>
      </c>
      <c r="M769" s="0" t="str">
        <f aca="false">IF(D769&lt;5,"1) Under 5%",IF(D769&lt;10,"2) 5-9%",IF(D769&lt;15,"3) 10-14%",IF(D769&lt;25,"4) 15-24%","5) 25%+"))))</f>
        <v>1) Under 5%</v>
      </c>
      <c r="N769" s="0" t="str">
        <f aca="false">IF(F769&lt;50,"1) Under Rs 50",IF(F769&lt;100,"2) Rs 50-99",IF(F769&lt;200,"3) Rs 100-199",IF(F769&lt;500,"4) Rs 200-499","5) Rs 500+"))))</f>
        <v>1) Under Rs 50</v>
      </c>
      <c r="O769" s="0" t="n">
        <f aca="false">G769*E769/1000</f>
        <v>0.3</v>
      </c>
    </row>
    <row r="770" customFormat="false" ht="15" hidden="false" customHeight="false" outlineLevel="0" collapsed="false">
      <c r="A770" s="0" t="s">
        <v>117</v>
      </c>
      <c r="B770" s="0" t="s">
        <v>126</v>
      </c>
      <c r="C770" s="0" t="n">
        <v>695</v>
      </c>
      <c r="D770" s="0" t="n">
        <v>32</v>
      </c>
      <c r="E770" s="0" t="n">
        <v>6</v>
      </c>
      <c r="F770" s="0" t="n">
        <v>470</v>
      </c>
      <c r="G770" s="0" t="n">
        <v>500</v>
      </c>
      <c r="H770" s="0" t="s">
        <v>145</v>
      </c>
      <c r="I770" s="0" t="n">
        <v>500</v>
      </c>
      <c r="J770" s="0" t="n">
        <f aca="false">F770*E770</f>
        <v>2820</v>
      </c>
      <c r="K770" s="0" t="str">
        <f aca="false">IF(G770&lt;1000,"1-Low",IF(G770&lt;5000,"2-Medium","3-Bulk"))</f>
        <v>1-Low</v>
      </c>
      <c r="L770" s="0" t="str">
        <f aca="false">IF(H770="TRUE","Out of stock","In stock")</f>
        <v>In stock</v>
      </c>
      <c r="M770" s="0" t="str">
        <f aca="false">IF(D770&lt;5,"1) Under 5%",IF(D770&lt;10,"2) 5-9%",IF(D770&lt;15,"3) 10-14%",IF(D770&lt;25,"4) 15-24%","5) 25%+"))))</f>
        <v>5) 25%+</v>
      </c>
      <c r="N770" s="0" t="str">
        <f aca="false">IF(F770&lt;50,"1) Under Rs 50",IF(F770&lt;100,"2) Rs 50-99",IF(F770&lt;200,"3) Rs 100-199",IF(F770&lt;500,"4) Rs 200-499","5) Rs 500+"))))</f>
        <v>4) Rs 200-499</v>
      </c>
      <c r="O770" s="0" t="n">
        <f aca="false">G770*E770/1000</f>
        <v>3</v>
      </c>
    </row>
    <row r="771" customFormat="false" ht="15" hidden="false" customHeight="false" outlineLevel="0" collapsed="false">
      <c r="A771" s="0" t="s">
        <v>117</v>
      </c>
      <c r="B771" s="0" t="s">
        <v>378</v>
      </c>
      <c r="C771" s="0" t="n">
        <v>110</v>
      </c>
      <c r="D771" s="0" t="n">
        <v>20</v>
      </c>
      <c r="E771" s="0" t="n">
        <v>6</v>
      </c>
      <c r="F771" s="0" t="n">
        <v>88</v>
      </c>
      <c r="G771" s="0" t="n">
        <v>80</v>
      </c>
      <c r="H771" s="0" t="s">
        <v>145</v>
      </c>
      <c r="I771" s="0" t="n">
        <v>80</v>
      </c>
      <c r="J771" s="0" t="n">
        <f aca="false">F771*E771</f>
        <v>528</v>
      </c>
      <c r="K771" s="0" t="str">
        <f aca="false">IF(G771&lt;1000,"1-Low",IF(G771&lt;5000,"2-Medium","3-Bulk"))</f>
        <v>1-Low</v>
      </c>
      <c r="L771" s="0" t="str">
        <f aca="false">IF(H771="TRUE","Out of stock","In stock")</f>
        <v>In stock</v>
      </c>
      <c r="M771" s="0" t="str">
        <f aca="false">IF(D771&lt;5,"1) Under 5%",IF(D771&lt;10,"2) 5-9%",IF(D771&lt;15,"3) 10-14%",IF(D771&lt;25,"4) 15-24%","5) 25%+"))))</f>
        <v>4) 15-24%</v>
      </c>
      <c r="N771" s="0" t="str">
        <f aca="false">IF(F771&lt;50,"1) Under Rs 50",IF(F771&lt;100,"2) Rs 50-99",IF(F771&lt;200,"3) Rs 100-199",IF(F771&lt;500,"4) Rs 200-499","5) Rs 500+"))))</f>
        <v>2) Rs 50-99</v>
      </c>
      <c r="O771" s="0" t="n">
        <f aca="false">G771*E771/1000</f>
        <v>0.48</v>
      </c>
    </row>
    <row r="772" customFormat="false" ht="15" hidden="false" customHeight="false" outlineLevel="0" collapsed="false">
      <c r="A772" s="0" t="s">
        <v>117</v>
      </c>
      <c r="B772" s="0" t="s">
        <v>379</v>
      </c>
      <c r="C772" s="0" t="n">
        <v>33</v>
      </c>
      <c r="D772" s="0" t="n">
        <v>3</v>
      </c>
      <c r="E772" s="0" t="n">
        <v>5</v>
      </c>
      <c r="F772" s="0" t="n">
        <v>32</v>
      </c>
      <c r="G772" s="0" t="n">
        <v>50</v>
      </c>
      <c r="H772" s="0" t="s">
        <v>145</v>
      </c>
      <c r="I772" s="0" t="n">
        <v>50</v>
      </c>
      <c r="J772" s="0" t="n">
        <f aca="false">F772*E772</f>
        <v>160</v>
      </c>
      <c r="K772" s="0" t="str">
        <f aca="false">IF(G772&lt;1000,"1-Low",IF(G772&lt;5000,"2-Medium","3-Bulk"))</f>
        <v>1-Low</v>
      </c>
      <c r="L772" s="0" t="str">
        <f aca="false">IF(H772="TRUE","Out of stock","In stock")</f>
        <v>In stock</v>
      </c>
      <c r="M772" s="0" t="str">
        <f aca="false">IF(D772&lt;5,"1) Under 5%",IF(D772&lt;10,"2) 5-9%",IF(D772&lt;15,"3) 10-14%",IF(D772&lt;25,"4) 15-24%","5) 25%+"))))</f>
        <v>1) Under 5%</v>
      </c>
      <c r="N772" s="0" t="str">
        <f aca="false">IF(F772&lt;50,"1) Under Rs 50",IF(F772&lt;100,"2) Rs 50-99",IF(F772&lt;200,"3) Rs 100-199",IF(F772&lt;500,"4) Rs 200-499","5) Rs 500+"))))</f>
        <v>1) Under Rs 50</v>
      </c>
      <c r="O772" s="0" t="n">
        <f aca="false">G772*E772/1000</f>
        <v>0.25</v>
      </c>
    </row>
    <row r="773" customFormat="false" ht="15" hidden="false" customHeight="false" outlineLevel="0" collapsed="false">
      <c r="A773" s="0" t="s">
        <v>117</v>
      </c>
      <c r="B773" s="0" t="s">
        <v>380</v>
      </c>
      <c r="C773" s="0" t="n">
        <v>40</v>
      </c>
      <c r="D773" s="0" t="n">
        <v>5</v>
      </c>
      <c r="E773" s="0" t="n">
        <v>1</v>
      </c>
      <c r="F773" s="0" t="n">
        <v>38</v>
      </c>
      <c r="G773" s="0" t="n">
        <v>100</v>
      </c>
      <c r="H773" s="0" t="s">
        <v>145</v>
      </c>
      <c r="I773" s="0" t="n">
        <v>100</v>
      </c>
      <c r="J773" s="0" t="n">
        <f aca="false">F773*E773</f>
        <v>38</v>
      </c>
      <c r="K773" s="0" t="str">
        <f aca="false">IF(G773&lt;1000,"1-Low",IF(G773&lt;5000,"2-Medium","3-Bulk"))</f>
        <v>1-Low</v>
      </c>
      <c r="L773" s="0" t="str">
        <f aca="false">IF(H773="TRUE","Out of stock","In stock")</f>
        <v>In stock</v>
      </c>
      <c r="M773" s="0" t="str">
        <f aca="false">IF(D773&lt;5,"1) Under 5%",IF(D773&lt;10,"2) 5-9%",IF(D773&lt;15,"3) 10-14%",IF(D773&lt;25,"4) 15-24%","5) 25%+"))))</f>
        <v>2) 5-9%</v>
      </c>
      <c r="N773" s="0" t="str">
        <f aca="false">IF(F773&lt;50,"1) Under Rs 50",IF(F773&lt;100,"2) Rs 50-99",IF(F773&lt;200,"3) Rs 100-199",IF(F773&lt;500,"4) Rs 200-499","5) Rs 500+"))))</f>
        <v>1) Under Rs 50</v>
      </c>
      <c r="O773" s="0" t="n">
        <f aca="false">G773*E773/1000</f>
        <v>0.1</v>
      </c>
    </row>
    <row r="774" customFormat="false" ht="15" hidden="false" customHeight="false" outlineLevel="0" collapsed="false">
      <c r="A774" s="0" t="s">
        <v>117</v>
      </c>
      <c r="B774" s="0" t="s">
        <v>381</v>
      </c>
      <c r="C774" s="0" t="n">
        <v>125</v>
      </c>
      <c r="D774" s="0" t="n">
        <v>2</v>
      </c>
      <c r="E774" s="0" t="n">
        <v>6</v>
      </c>
      <c r="F774" s="0" t="n">
        <v>122</v>
      </c>
      <c r="G774" s="0" t="n">
        <v>500</v>
      </c>
      <c r="H774" s="0" t="s">
        <v>145</v>
      </c>
      <c r="I774" s="0" t="n">
        <v>500</v>
      </c>
      <c r="J774" s="0" t="n">
        <f aca="false">F774*E774</f>
        <v>732</v>
      </c>
      <c r="K774" s="0" t="str">
        <f aca="false">IF(G774&lt;1000,"1-Low",IF(G774&lt;5000,"2-Medium","3-Bulk"))</f>
        <v>1-Low</v>
      </c>
      <c r="L774" s="0" t="str">
        <f aca="false">IF(H774="TRUE","Out of stock","In stock")</f>
        <v>In stock</v>
      </c>
      <c r="M774" s="0" t="str">
        <f aca="false">IF(D774&lt;5,"1) Under 5%",IF(D774&lt;10,"2) 5-9%",IF(D774&lt;15,"3) 10-14%",IF(D774&lt;25,"4) 15-24%","5) 25%+"))))</f>
        <v>1) Under 5%</v>
      </c>
      <c r="N774" s="0" t="str">
        <f aca="false">IF(F774&lt;50,"1) Under Rs 50",IF(F774&lt;100,"2) Rs 50-99",IF(F774&lt;200,"3) Rs 100-199",IF(F774&lt;500,"4) Rs 200-499","5) Rs 500+"))))</f>
        <v>3) Rs 100-199</v>
      </c>
      <c r="O774" s="0" t="n">
        <f aca="false">G774*E774/1000</f>
        <v>3</v>
      </c>
    </row>
    <row r="775" customFormat="false" ht="15" hidden="false" customHeight="false" outlineLevel="0" collapsed="false">
      <c r="A775" s="0" t="s">
        <v>117</v>
      </c>
      <c r="B775" s="0" t="s">
        <v>382</v>
      </c>
      <c r="C775" s="0" t="n">
        <v>79</v>
      </c>
      <c r="D775" s="0" t="n">
        <v>10</v>
      </c>
      <c r="E775" s="0" t="n">
        <v>6</v>
      </c>
      <c r="F775" s="0" t="n">
        <v>71</v>
      </c>
      <c r="G775" s="0" t="n">
        <v>200</v>
      </c>
      <c r="H775" s="0" t="s">
        <v>145</v>
      </c>
      <c r="I775" s="0" t="n">
        <v>200</v>
      </c>
      <c r="J775" s="0" t="n">
        <f aca="false">F775*E775</f>
        <v>426</v>
      </c>
      <c r="K775" s="0" t="str">
        <f aca="false">IF(G775&lt;1000,"1-Low",IF(G775&lt;5000,"2-Medium","3-Bulk"))</f>
        <v>1-Low</v>
      </c>
      <c r="L775" s="0" t="str">
        <f aca="false">IF(H775="TRUE","Out of stock","In stock")</f>
        <v>In stock</v>
      </c>
      <c r="M775" s="0" t="str">
        <f aca="false">IF(D775&lt;5,"1) Under 5%",IF(D775&lt;10,"2) 5-9%",IF(D775&lt;15,"3) 10-14%",IF(D775&lt;25,"4) 15-24%","5) 25%+"))))</f>
        <v>3) 10-14%</v>
      </c>
      <c r="N775" s="0" t="str">
        <f aca="false">IF(F775&lt;50,"1) Under Rs 50",IF(F775&lt;100,"2) Rs 50-99",IF(F775&lt;200,"3) Rs 100-199",IF(F775&lt;500,"4) Rs 200-499","5) Rs 500+"))))</f>
        <v>2) Rs 50-99</v>
      </c>
      <c r="O775" s="0" t="n">
        <f aca="false">G775*E775/1000</f>
        <v>1.2</v>
      </c>
    </row>
    <row r="776" customFormat="false" ht="15" hidden="false" customHeight="false" outlineLevel="0" collapsed="false">
      <c r="A776" s="0" t="s">
        <v>117</v>
      </c>
      <c r="B776" s="0" t="s">
        <v>383</v>
      </c>
      <c r="C776" s="0" t="n">
        <v>60</v>
      </c>
      <c r="D776" s="0" t="n">
        <v>0</v>
      </c>
      <c r="E776" s="0" t="n">
        <v>1</v>
      </c>
      <c r="F776" s="0" t="n">
        <v>60</v>
      </c>
      <c r="G776" s="0" t="n">
        <v>240</v>
      </c>
      <c r="H776" s="0" t="s">
        <v>145</v>
      </c>
      <c r="I776" s="0" t="n">
        <v>240</v>
      </c>
      <c r="J776" s="0" t="n">
        <f aca="false">F776*E776</f>
        <v>60</v>
      </c>
      <c r="K776" s="0" t="str">
        <f aca="false">IF(G776&lt;1000,"1-Low",IF(G776&lt;5000,"2-Medium","3-Bulk"))</f>
        <v>1-Low</v>
      </c>
      <c r="L776" s="0" t="str">
        <f aca="false">IF(H776="TRUE","Out of stock","In stock")</f>
        <v>In stock</v>
      </c>
      <c r="M776" s="0" t="str">
        <f aca="false">IF(D776&lt;5,"1) Under 5%",IF(D776&lt;10,"2) 5-9%",IF(D776&lt;15,"3) 10-14%",IF(D776&lt;25,"4) 15-24%","5) 25%+"))))</f>
        <v>1) Under 5%</v>
      </c>
      <c r="N776" s="0" t="str">
        <f aca="false">IF(F776&lt;50,"1) Under Rs 50",IF(F776&lt;100,"2) Rs 50-99",IF(F776&lt;200,"3) Rs 100-199",IF(F776&lt;500,"4) Rs 200-499","5) Rs 500+"))))</f>
        <v>2) Rs 50-99</v>
      </c>
      <c r="O776" s="0" t="n">
        <f aca="false">G776*E776/1000</f>
        <v>0.24</v>
      </c>
    </row>
    <row r="777" customFormat="false" ht="15" hidden="false" customHeight="false" outlineLevel="0" collapsed="false">
      <c r="A777" s="0" t="s">
        <v>117</v>
      </c>
      <c r="B777" s="0" t="s">
        <v>384</v>
      </c>
      <c r="C777" s="0" t="n">
        <v>110</v>
      </c>
      <c r="D777" s="0" t="n">
        <v>2</v>
      </c>
      <c r="E777" s="0" t="n">
        <v>6</v>
      </c>
      <c r="F777" s="0" t="n">
        <v>107</v>
      </c>
      <c r="G777" s="0" t="n">
        <v>500</v>
      </c>
      <c r="H777" s="0" t="s">
        <v>145</v>
      </c>
      <c r="I777" s="0" t="n">
        <v>500</v>
      </c>
      <c r="J777" s="0" t="n">
        <f aca="false">F777*E777</f>
        <v>642</v>
      </c>
      <c r="K777" s="0" t="str">
        <f aca="false">IF(G777&lt;1000,"1-Low",IF(G777&lt;5000,"2-Medium","3-Bulk"))</f>
        <v>1-Low</v>
      </c>
      <c r="L777" s="0" t="str">
        <f aca="false">IF(H777="TRUE","Out of stock","In stock")</f>
        <v>In stock</v>
      </c>
      <c r="M777" s="0" t="str">
        <f aca="false">IF(D777&lt;5,"1) Under 5%",IF(D777&lt;10,"2) 5-9%",IF(D777&lt;15,"3) 10-14%",IF(D777&lt;25,"4) 15-24%","5) 25%+"))))</f>
        <v>1) Under 5%</v>
      </c>
      <c r="N777" s="0" t="str">
        <f aca="false">IF(F777&lt;50,"1) Under Rs 50",IF(F777&lt;100,"2) Rs 50-99",IF(F777&lt;200,"3) Rs 100-199",IF(F777&lt;500,"4) Rs 200-499","5) Rs 500+"))))</f>
        <v>3) Rs 100-199</v>
      </c>
      <c r="O777" s="0" t="n">
        <f aca="false">G777*E777/1000</f>
        <v>3</v>
      </c>
    </row>
    <row r="778" customFormat="false" ht="15" hidden="false" customHeight="false" outlineLevel="0" collapsed="false">
      <c r="A778" s="0" t="s">
        <v>117</v>
      </c>
      <c r="B778" s="0" t="s">
        <v>385</v>
      </c>
      <c r="C778" s="0" t="n">
        <v>70</v>
      </c>
      <c r="D778" s="0" t="n">
        <v>7</v>
      </c>
      <c r="E778" s="0" t="n">
        <v>3</v>
      </c>
      <c r="F778" s="0" t="n">
        <v>65</v>
      </c>
      <c r="G778" s="0" t="n">
        <v>100</v>
      </c>
      <c r="H778" s="0" t="s">
        <v>145</v>
      </c>
      <c r="I778" s="0" t="n">
        <v>100</v>
      </c>
      <c r="J778" s="0" t="n">
        <f aca="false">F778*E778</f>
        <v>195</v>
      </c>
      <c r="K778" s="0" t="str">
        <f aca="false">IF(G778&lt;1000,"1-Low",IF(G778&lt;5000,"2-Medium","3-Bulk"))</f>
        <v>1-Low</v>
      </c>
      <c r="L778" s="0" t="str">
        <f aca="false">IF(H778="TRUE","Out of stock","In stock")</f>
        <v>In stock</v>
      </c>
      <c r="M778" s="0" t="str">
        <f aca="false">IF(D778&lt;5,"1) Under 5%",IF(D778&lt;10,"2) 5-9%",IF(D778&lt;15,"3) 10-14%",IF(D778&lt;25,"4) 15-24%","5) 25%+"))))</f>
        <v>2) 5-9%</v>
      </c>
      <c r="N778" s="0" t="str">
        <f aca="false">IF(F778&lt;50,"1) Under Rs 50",IF(F778&lt;100,"2) Rs 50-99",IF(F778&lt;200,"3) Rs 100-199",IF(F778&lt;500,"4) Rs 200-499","5) Rs 500+"))))</f>
        <v>2) Rs 50-99</v>
      </c>
      <c r="O778" s="0" t="n">
        <f aca="false">G778*E778/1000</f>
        <v>0.3</v>
      </c>
    </row>
    <row r="779" customFormat="false" ht="15" hidden="false" customHeight="false" outlineLevel="0" collapsed="false">
      <c r="A779" s="0" t="s">
        <v>117</v>
      </c>
      <c r="B779" s="0" t="s">
        <v>386</v>
      </c>
      <c r="C779" s="0" t="n">
        <v>25</v>
      </c>
      <c r="D779" s="0" t="n">
        <v>0</v>
      </c>
      <c r="E779" s="0" t="n">
        <v>5</v>
      </c>
      <c r="F779" s="0" t="n">
        <v>25</v>
      </c>
      <c r="G779" s="0" t="n">
        <v>100</v>
      </c>
      <c r="H779" s="0" t="s">
        <v>145</v>
      </c>
      <c r="I779" s="0" t="n">
        <v>100</v>
      </c>
      <c r="J779" s="0" t="n">
        <f aca="false">F779*E779</f>
        <v>125</v>
      </c>
      <c r="K779" s="0" t="str">
        <f aca="false">IF(G779&lt;1000,"1-Low",IF(G779&lt;5000,"2-Medium","3-Bulk"))</f>
        <v>1-Low</v>
      </c>
      <c r="L779" s="0" t="str">
        <f aca="false">IF(H779="TRUE","Out of stock","In stock")</f>
        <v>In stock</v>
      </c>
      <c r="M779" s="0" t="str">
        <f aca="false">IF(D779&lt;5,"1) Under 5%",IF(D779&lt;10,"2) 5-9%",IF(D779&lt;15,"3) 10-14%",IF(D779&lt;25,"4) 15-24%","5) 25%+"))))</f>
        <v>1) Under 5%</v>
      </c>
      <c r="N779" s="0" t="str">
        <f aca="false">IF(F779&lt;50,"1) Under Rs 50",IF(F779&lt;100,"2) Rs 50-99",IF(F779&lt;200,"3) Rs 100-199",IF(F779&lt;500,"4) Rs 200-499","5) Rs 500+"))))</f>
        <v>1) Under Rs 50</v>
      </c>
      <c r="O779" s="0" t="n">
        <f aca="false">G779*E779/1000</f>
        <v>0.5</v>
      </c>
    </row>
    <row r="780" customFormat="false" ht="15" hidden="false" customHeight="false" outlineLevel="0" collapsed="false">
      <c r="A780" s="0" t="s">
        <v>117</v>
      </c>
      <c r="B780" s="0" t="s">
        <v>387</v>
      </c>
      <c r="C780" s="0" t="n">
        <v>20</v>
      </c>
      <c r="D780" s="0" t="n">
        <v>0</v>
      </c>
      <c r="E780" s="0" t="n">
        <v>2</v>
      </c>
      <c r="F780" s="0" t="n">
        <v>20</v>
      </c>
      <c r="G780" s="0" t="n">
        <v>46</v>
      </c>
      <c r="H780" s="0" t="s">
        <v>145</v>
      </c>
      <c r="I780" s="0" t="n">
        <v>46</v>
      </c>
      <c r="J780" s="0" t="n">
        <f aca="false">F780*E780</f>
        <v>40</v>
      </c>
      <c r="K780" s="0" t="str">
        <f aca="false">IF(G780&lt;1000,"1-Low",IF(G780&lt;5000,"2-Medium","3-Bulk"))</f>
        <v>1-Low</v>
      </c>
      <c r="L780" s="0" t="str">
        <f aca="false">IF(H780="TRUE","Out of stock","In stock")</f>
        <v>In stock</v>
      </c>
      <c r="M780" s="0" t="str">
        <f aca="false">IF(D780&lt;5,"1) Under 5%",IF(D780&lt;10,"2) 5-9%",IF(D780&lt;15,"3) 10-14%",IF(D780&lt;25,"4) 15-24%","5) 25%+"))))</f>
        <v>1) Under 5%</v>
      </c>
      <c r="N780" s="0" t="str">
        <f aca="false">IF(F780&lt;50,"1) Under Rs 50",IF(F780&lt;100,"2) Rs 50-99",IF(F780&lt;200,"3) Rs 100-199",IF(F780&lt;500,"4) Rs 200-499","5) Rs 500+"))))</f>
        <v>1) Under Rs 50</v>
      </c>
      <c r="O780" s="0" t="n">
        <f aca="false">G780*E780/1000</f>
        <v>0.092</v>
      </c>
    </row>
    <row r="781" customFormat="false" ht="15" hidden="false" customHeight="false" outlineLevel="0" collapsed="false">
      <c r="A781" s="0" t="s">
        <v>117</v>
      </c>
      <c r="B781" s="0" t="s">
        <v>388</v>
      </c>
      <c r="C781" s="0" t="n">
        <v>175</v>
      </c>
      <c r="D781" s="0" t="n">
        <v>5</v>
      </c>
      <c r="E781" s="0" t="n">
        <v>6</v>
      </c>
      <c r="F781" s="0" t="n">
        <v>166</v>
      </c>
      <c r="G781" s="0" t="n">
        <v>200</v>
      </c>
      <c r="H781" s="0" t="s">
        <v>145</v>
      </c>
      <c r="I781" s="0" t="n">
        <v>200</v>
      </c>
      <c r="J781" s="0" t="n">
        <f aca="false">F781*E781</f>
        <v>996</v>
      </c>
      <c r="K781" s="0" t="str">
        <f aca="false">IF(G781&lt;1000,"1-Low",IF(G781&lt;5000,"2-Medium","3-Bulk"))</f>
        <v>1-Low</v>
      </c>
      <c r="L781" s="0" t="str">
        <f aca="false">IF(H781="TRUE","Out of stock","In stock")</f>
        <v>In stock</v>
      </c>
      <c r="M781" s="0" t="str">
        <f aca="false">IF(D781&lt;5,"1) Under 5%",IF(D781&lt;10,"2) 5-9%",IF(D781&lt;15,"3) 10-14%",IF(D781&lt;25,"4) 15-24%","5) 25%+"))))</f>
        <v>2) 5-9%</v>
      </c>
      <c r="N781" s="0" t="str">
        <f aca="false">IF(F781&lt;50,"1) Under Rs 50",IF(F781&lt;100,"2) Rs 50-99",IF(F781&lt;200,"3) Rs 100-199",IF(F781&lt;500,"4) Rs 200-499","5) Rs 500+"))))</f>
        <v>3) Rs 100-199</v>
      </c>
      <c r="O781" s="0" t="n">
        <f aca="false">G781*E781/1000</f>
        <v>1.2</v>
      </c>
    </row>
    <row r="782" customFormat="false" ht="15" hidden="false" customHeight="false" outlineLevel="0" collapsed="false">
      <c r="A782" s="0" t="s">
        <v>117</v>
      </c>
      <c r="B782" s="0" t="s">
        <v>389</v>
      </c>
      <c r="C782" s="0" t="n">
        <v>10</v>
      </c>
      <c r="D782" s="0" t="n">
        <v>0</v>
      </c>
      <c r="E782" s="0" t="n">
        <v>6</v>
      </c>
      <c r="F782" s="0" t="n">
        <v>10</v>
      </c>
      <c r="G782" s="0" t="n">
        <v>20</v>
      </c>
      <c r="H782" s="0" t="s">
        <v>145</v>
      </c>
      <c r="I782" s="0" t="n">
        <v>20</v>
      </c>
      <c r="J782" s="0" t="n">
        <f aca="false">F782*E782</f>
        <v>60</v>
      </c>
      <c r="K782" s="0" t="str">
        <f aca="false">IF(G782&lt;1000,"1-Low",IF(G782&lt;5000,"2-Medium","3-Bulk"))</f>
        <v>1-Low</v>
      </c>
      <c r="L782" s="0" t="str">
        <f aca="false">IF(H782="TRUE","Out of stock","In stock")</f>
        <v>In stock</v>
      </c>
      <c r="M782" s="0" t="str">
        <f aca="false">IF(D782&lt;5,"1) Under 5%",IF(D782&lt;10,"2) 5-9%",IF(D782&lt;15,"3) 10-14%",IF(D782&lt;25,"4) 15-24%","5) 25%+"))))</f>
        <v>1) Under 5%</v>
      </c>
      <c r="N782" s="0" t="str">
        <f aca="false">IF(F782&lt;50,"1) Under Rs 50",IF(F782&lt;100,"2) Rs 50-99",IF(F782&lt;200,"3) Rs 100-199",IF(F782&lt;500,"4) Rs 200-499","5) Rs 500+"))))</f>
        <v>1) Under Rs 50</v>
      </c>
      <c r="O782" s="0" t="n">
        <f aca="false">G782*E782/1000</f>
        <v>0.12</v>
      </c>
    </row>
    <row r="783" customFormat="false" ht="15" hidden="false" customHeight="false" outlineLevel="0" collapsed="false">
      <c r="A783" s="0" t="s">
        <v>117</v>
      </c>
      <c r="B783" s="0" t="s">
        <v>390</v>
      </c>
      <c r="C783" s="0" t="n">
        <v>62</v>
      </c>
      <c r="D783" s="0" t="n">
        <v>6</v>
      </c>
      <c r="E783" s="0" t="n">
        <v>6</v>
      </c>
      <c r="F783" s="0" t="n">
        <v>58</v>
      </c>
      <c r="G783" s="0" t="n">
        <v>250</v>
      </c>
      <c r="H783" s="0" t="s">
        <v>145</v>
      </c>
      <c r="I783" s="0" t="n">
        <v>250</v>
      </c>
      <c r="J783" s="0" t="n">
        <f aca="false">F783*E783</f>
        <v>348</v>
      </c>
      <c r="K783" s="0" t="str">
        <f aca="false">IF(G783&lt;1000,"1-Low",IF(G783&lt;5000,"2-Medium","3-Bulk"))</f>
        <v>1-Low</v>
      </c>
      <c r="L783" s="0" t="str">
        <f aca="false">IF(H783="TRUE","Out of stock","In stock")</f>
        <v>In stock</v>
      </c>
      <c r="M783" s="0" t="str">
        <f aca="false">IF(D783&lt;5,"1) Under 5%",IF(D783&lt;10,"2) 5-9%",IF(D783&lt;15,"3) 10-14%",IF(D783&lt;25,"4) 15-24%","5) 25%+"))))</f>
        <v>2) 5-9%</v>
      </c>
      <c r="N783" s="0" t="str">
        <f aca="false">IF(F783&lt;50,"1) Under Rs 50",IF(F783&lt;100,"2) Rs 50-99",IF(F783&lt;200,"3) Rs 100-199",IF(F783&lt;500,"4) Rs 200-499","5) Rs 500+"))))</f>
        <v>2) Rs 50-99</v>
      </c>
      <c r="O783" s="0" t="n">
        <f aca="false">G783*E783/1000</f>
        <v>1.5</v>
      </c>
    </row>
    <row r="784" customFormat="false" ht="15" hidden="false" customHeight="false" outlineLevel="0" collapsed="false">
      <c r="A784" s="0" t="s">
        <v>117</v>
      </c>
      <c r="B784" s="0" t="s">
        <v>391</v>
      </c>
      <c r="C784" s="0" t="n">
        <v>100</v>
      </c>
      <c r="D784" s="0" t="n">
        <v>10</v>
      </c>
      <c r="E784" s="0" t="n">
        <v>6</v>
      </c>
      <c r="F784" s="0" t="n">
        <v>90</v>
      </c>
      <c r="G784" s="0" t="n">
        <v>50</v>
      </c>
      <c r="H784" s="0" t="s">
        <v>145</v>
      </c>
      <c r="I784" s="0" t="n">
        <v>50</v>
      </c>
      <c r="J784" s="0" t="n">
        <f aca="false">F784*E784</f>
        <v>540</v>
      </c>
      <c r="K784" s="0" t="str">
        <f aca="false">IF(G784&lt;1000,"1-Low",IF(G784&lt;5000,"2-Medium","3-Bulk"))</f>
        <v>1-Low</v>
      </c>
      <c r="L784" s="0" t="str">
        <f aca="false">IF(H784="TRUE","Out of stock","In stock")</f>
        <v>In stock</v>
      </c>
      <c r="M784" s="0" t="str">
        <f aca="false">IF(D784&lt;5,"1) Under 5%",IF(D784&lt;10,"2) 5-9%",IF(D784&lt;15,"3) 10-14%",IF(D784&lt;25,"4) 15-24%","5) 25%+"))))</f>
        <v>3) 10-14%</v>
      </c>
      <c r="N784" s="0" t="str">
        <f aca="false">IF(F784&lt;50,"1) Under Rs 50",IF(F784&lt;100,"2) Rs 50-99",IF(F784&lt;200,"3) Rs 100-199",IF(F784&lt;500,"4) Rs 200-499","5) Rs 500+"))))</f>
        <v>2) Rs 50-99</v>
      </c>
      <c r="O784" s="0" t="n">
        <f aca="false">G784*E784/1000</f>
        <v>0.3</v>
      </c>
    </row>
    <row r="785" customFormat="false" ht="15" hidden="false" customHeight="false" outlineLevel="0" collapsed="false">
      <c r="A785" s="0" t="s">
        <v>117</v>
      </c>
      <c r="B785" s="0" t="s">
        <v>392</v>
      </c>
      <c r="C785" s="0" t="n">
        <v>60</v>
      </c>
      <c r="D785" s="0" t="n">
        <v>10</v>
      </c>
      <c r="E785" s="0" t="n">
        <v>4</v>
      </c>
      <c r="F785" s="0" t="n">
        <v>54</v>
      </c>
      <c r="G785" s="0" t="n">
        <v>1000</v>
      </c>
      <c r="H785" s="0" t="s">
        <v>145</v>
      </c>
      <c r="I785" s="0" t="n">
        <v>1</v>
      </c>
      <c r="J785" s="0" t="n">
        <f aca="false">F785*E785</f>
        <v>216</v>
      </c>
      <c r="K785" s="0" t="str">
        <f aca="false">IF(G785&lt;1000,"1-Low",IF(G785&lt;5000,"2-Medium","3-Bulk"))</f>
        <v>2-Medium</v>
      </c>
      <c r="L785" s="0" t="str">
        <f aca="false">IF(H785="TRUE","Out of stock","In stock")</f>
        <v>In stock</v>
      </c>
      <c r="M785" s="0" t="str">
        <f aca="false">IF(D785&lt;5,"1) Under 5%",IF(D785&lt;10,"2) 5-9%",IF(D785&lt;15,"3) 10-14%",IF(D785&lt;25,"4) 15-24%","5) 25%+"))))</f>
        <v>3) 10-14%</v>
      </c>
      <c r="N785" s="0" t="str">
        <f aca="false">IF(F785&lt;50,"1) Under Rs 50",IF(F785&lt;100,"2) Rs 50-99",IF(F785&lt;200,"3) Rs 100-199",IF(F785&lt;500,"4) Rs 200-499","5) Rs 500+"))))</f>
        <v>2) Rs 50-99</v>
      </c>
      <c r="O785" s="0" t="n">
        <f aca="false">G785*E785/1000</f>
        <v>4</v>
      </c>
    </row>
    <row r="786" customFormat="false" ht="15" hidden="false" customHeight="false" outlineLevel="0" collapsed="false">
      <c r="A786" s="0" t="s">
        <v>117</v>
      </c>
      <c r="B786" s="0" t="s">
        <v>393</v>
      </c>
      <c r="C786" s="0" t="n">
        <v>33</v>
      </c>
      <c r="D786" s="0" t="n">
        <v>3</v>
      </c>
      <c r="E786" s="0" t="n">
        <v>1</v>
      </c>
      <c r="F786" s="0" t="n">
        <v>32</v>
      </c>
      <c r="G786" s="0" t="n">
        <v>50</v>
      </c>
      <c r="H786" s="0" t="s">
        <v>145</v>
      </c>
      <c r="I786" s="0" t="n">
        <v>50</v>
      </c>
      <c r="J786" s="0" t="n">
        <f aca="false">F786*E786</f>
        <v>32</v>
      </c>
      <c r="K786" s="0" t="str">
        <f aca="false">IF(G786&lt;1000,"1-Low",IF(G786&lt;5000,"2-Medium","3-Bulk"))</f>
        <v>1-Low</v>
      </c>
      <c r="L786" s="0" t="str">
        <f aca="false">IF(H786="TRUE","Out of stock","In stock")</f>
        <v>In stock</v>
      </c>
      <c r="M786" s="0" t="str">
        <f aca="false">IF(D786&lt;5,"1) Under 5%",IF(D786&lt;10,"2) 5-9%",IF(D786&lt;15,"3) 10-14%",IF(D786&lt;25,"4) 15-24%","5) 25%+"))))</f>
        <v>1) Under 5%</v>
      </c>
      <c r="N786" s="0" t="str">
        <f aca="false">IF(F786&lt;50,"1) Under Rs 50",IF(F786&lt;100,"2) Rs 50-99",IF(F786&lt;200,"3) Rs 100-199",IF(F786&lt;500,"4) Rs 200-499","5) Rs 500+"))))</f>
        <v>1) Under Rs 50</v>
      </c>
      <c r="O786" s="0" t="n">
        <f aca="false">G786*E786/1000</f>
        <v>0.05</v>
      </c>
    </row>
    <row r="787" customFormat="false" ht="15" hidden="false" customHeight="false" outlineLevel="0" collapsed="false">
      <c r="A787" s="0" t="s">
        <v>117</v>
      </c>
      <c r="B787" s="0" t="s">
        <v>394</v>
      </c>
      <c r="C787" s="0" t="n">
        <v>48</v>
      </c>
      <c r="D787" s="0" t="n">
        <v>6</v>
      </c>
      <c r="E787" s="0" t="n">
        <v>6</v>
      </c>
      <c r="F787" s="0" t="n">
        <v>45</v>
      </c>
      <c r="G787" s="0" t="n">
        <v>200</v>
      </c>
      <c r="H787" s="0" t="s">
        <v>145</v>
      </c>
      <c r="I787" s="0" t="n">
        <v>200</v>
      </c>
      <c r="J787" s="0" t="n">
        <f aca="false">F787*E787</f>
        <v>270</v>
      </c>
      <c r="K787" s="0" t="str">
        <f aca="false">IF(G787&lt;1000,"1-Low",IF(G787&lt;5000,"2-Medium","3-Bulk"))</f>
        <v>1-Low</v>
      </c>
      <c r="L787" s="0" t="str">
        <f aca="false">IF(H787="TRUE","Out of stock","In stock")</f>
        <v>In stock</v>
      </c>
      <c r="M787" s="0" t="str">
        <f aca="false">IF(D787&lt;5,"1) Under 5%",IF(D787&lt;10,"2) 5-9%",IF(D787&lt;15,"3) 10-14%",IF(D787&lt;25,"4) 15-24%","5) 25%+"))))</f>
        <v>2) 5-9%</v>
      </c>
      <c r="N787" s="0" t="str">
        <f aca="false">IF(F787&lt;50,"1) Under Rs 50",IF(F787&lt;100,"2) Rs 50-99",IF(F787&lt;200,"3) Rs 100-199",IF(F787&lt;500,"4) Rs 200-499","5) Rs 500+"))))</f>
        <v>1) Under Rs 50</v>
      </c>
      <c r="O787" s="0" t="n">
        <f aca="false">G787*E787/1000</f>
        <v>1.2</v>
      </c>
    </row>
    <row r="788" customFormat="false" ht="15" hidden="false" customHeight="false" outlineLevel="0" collapsed="false">
      <c r="A788" s="0" t="s">
        <v>117</v>
      </c>
      <c r="B788" s="0" t="s">
        <v>395</v>
      </c>
      <c r="C788" s="0" t="n">
        <v>35</v>
      </c>
      <c r="D788" s="0" t="n">
        <v>2</v>
      </c>
      <c r="E788" s="0" t="n">
        <v>6</v>
      </c>
      <c r="F788" s="0" t="n">
        <v>34</v>
      </c>
      <c r="G788" s="0" t="n">
        <v>48</v>
      </c>
      <c r="H788" s="0" t="s">
        <v>145</v>
      </c>
      <c r="I788" s="0" t="n">
        <v>48</v>
      </c>
      <c r="J788" s="0" t="n">
        <f aca="false">F788*E788</f>
        <v>204</v>
      </c>
      <c r="K788" s="0" t="str">
        <f aca="false">IF(G788&lt;1000,"1-Low",IF(G788&lt;5000,"2-Medium","3-Bulk"))</f>
        <v>1-Low</v>
      </c>
      <c r="L788" s="0" t="str">
        <f aca="false">IF(H788="TRUE","Out of stock","In stock")</f>
        <v>In stock</v>
      </c>
      <c r="M788" s="0" t="str">
        <f aca="false">IF(D788&lt;5,"1) Under 5%",IF(D788&lt;10,"2) 5-9%",IF(D788&lt;15,"3) 10-14%",IF(D788&lt;25,"4) 15-24%","5) 25%+"))))</f>
        <v>1) Under 5%</v>
      </c>
      <c r="N788" s="0" t="str">
        <f aca="false">IF(F788&lt;50,"1) Under Rs 50",IF(F788&lt;100,"2) Rs 50-99",IF(F788&lt;200,"3) Rs 100-199",IF(F788&lt;500,"4) Rs 200-499","5) Rs 500+"))))</f>
        <v>1) Under Rs 50</v>
      </c>
      <c r="O788" s="0" t="n">
        <f aca="false">G788*E788/1000</f>
        <v>0.288</v>
      </c>
    </row>
    <row r="789" customFormat="false" ht="15" hidden="false" customHeight="false" outlineLevel="0" collapsed="false">
      <c r="A789" s="0" t="s">
        <v>117</v>
      </c>
      <c r="B789" s="0" t="s">
        <v>396</v>
      </c>
      <c r="C789" s="0" t="n">
        <v>30</v>
      </c>
      <c r="D789" s="0" t="n">
        <v>10</v>
      </c>
      <c r="E789" s="0" t="n">
        <v>6</v>
      </c>
      <c r="F789" s="0" t="n">
        <v>27</v>
      </c>
      <c r="G789" s="0" t="n">
        <v>200</v>
      </c>
      <c r="H789" s="0" t="s">
        <v>145</v>
      </c>
      <c r="I789" s="0" t="n">
        <v>200</v>
      </c>
      <c r="J789" s="0" t="n">
        <f aca="false">F789*E789</f>
        <v>162</v>
      </c>
      <c r="K789" s="0" t="str">
        <f aca="false">IF(G789&lt;1000,"1-Low",IF(G789&lt;5000,"2-Medium","3-Bulk"))</f>
        <v>1-Low</v>
      </c>
      <c r="L789" s="0" t="str">
        <f aca="false">IF(H789="TRUE","Out of stock","In stock")</f>
        <v>In stock</v>
      </c>
      <c r="M789" s="0" t="str">
        <f aca="false">IF(D789&lt;5,"1) Under 5%",IF(D789&lt;10,"2) 5-9%",IF(D789&lt;15,"3) 10-14%",IF(D789&lt;25,"4) 15-24%","5) 25%+"))))</f>
        <v>3) 10-14%</v>
      </c>
      <c r="N789" s="0" t="str">
        <f aca="false">IF(F789&lt;50,"1) Under Rs 50",IF(F789&lt;100,"2) Rs 50-99",IF(F789&lt;200,"3) Rs 100-199",IF(F789&lt;500,"4) Rs 200-499","5) Rs 500+"))))</f>
        <v>1) Under Rs 50</v>
      </c>
      <c r="O789" s="0" t="n">
        <f aca="false">G789*E789/1000</f>
        <v>1.2</v>
      </c>
    </row>
    <row r="790" customFormat="false" ht="15" hidden="false" customHeight="false" outlineLevel="0" collapsed="false">
      <c r="A790" s="0" t="s">
        <v>117</v>
      </c>
      <c r="B790" s="0" t="s">
        <v>397</v>
      </c>
      <c r="C790" s="0" t="n">
        <v>255</v>
      </c>
      <c r="D790" s="0" t="n">
        <v>6</v>
      </c>
      <c r="E790" s="0" t="n">
        <v>2</v>
      </c>
      <c r="F790" s="0" t="n">
        <v>239</v>
      </c>
      <c r="G790" s="0" t="n">
        <v>1000</v>
      </c>
      <c r="H790" s="0" t="s">
        <v>145</v>
      </c>
      <c r="I790" s="0" t="n">
        <v>1</v>
      </c>
      <c r="J790" s="0" t="n">
        <f aca="false">F790*E790</f>
        <v>478</v>
      </c>
      <c r="K790" s="0" t="str">
        <f aca="false">IF(G790&lt;1000,"1-Low",IF(G790&lt;5000,"2-Medium","3-Bulk"))</f>
        <v>2-Medium</v>
      </c>
      <c r="L790" s="0" t="str">
        <f aca="false">IF(H790="TRUE","Out of stock","In stock")</f>
        <v>In stock</v>
      </c>
      <c r="M790" s="0" t="str">
        <f aca="false">IF(D790&lt;5,"1) Under 5%",IF(D790&lt;10,"2) 5-9%",IF(D790&lt;15,"3) 10-14%",IF(D790&lt;25,"4) 15-24%","5) 25%+"))))</f>
        <v>2) 5-9%</v>
      </c>
      <c r="N790" s="0" t="str">
        <f aca="false">IF(F790&lt;50,"1) Under Rs 50",IF(F790&lt;100,"2) Rs 50-99",IF(F790&lt;200,"3) Rs 100-199",IF(F790&lt;500,"4) Rs 200-499","5) Rs 500+"))))</f>
        <v>4) Rs 200-499</v>
      </c>
      <c r="O790" s="0" t="n">
        <f aca="false">G790*E790/1000</f>
        <v>2</v>
      </c>
    </row>
    <row r="791" customFormat="false" ht="15" hidden="false" customHeight="false" outlineLevel="0" collapsed="false">
      <c r="A791" s="0" t="s">
        <v>117</v>
      </c>
      <c r="B791" s="0" t="s">
        <v>398</v>
      </c>
      <c r="C791" s="0" t="n">
        <v>31</v>
      </c>
      <c r="D791" s="0" t="n">
        <v>3</v>
      </c>
      <c r="E791" s="0" t="n">
        <v>6</v>
      </c>
      <c r="F791" s="0" t="n">
        <v>30</v>
      </c>
      <c r="G791" s="0" t="n">
        <v>50</v>
      </c>
      <c r="H791" s="0" t="s">
        <v>145</v>
      </c>
      <c r="I791" s="0" t="n">
        <v>50</v>
      </c>
      <c r="J791" s="0" t="n">
        <f aca="false">F791*E791</f>
        <v>180</v>
      </c>
      <c r="K791" s="0" t="str">
        <f aca="false">IF(G791&lt;1000,"1-Low",IF(G791&lt;5000,"2-Medium","3-Bulk"))</f>
        <v>1-Low</v>
      </c>
      <c r="L791" s="0" t="str">
        <f aca="false">IF(H791="TRUE","Out of stock","In stock")</f>
        <v>In stock</v>
      </c>
      <c r="M791" s="0" t="str">
        <f aca="false">IF(D791&lt;5,"1) Under 5%",IF(D791&lt;10,"2) 5-9%",IF(D791&lt;15,"3) 10-14%",IF(D791&lt;25,"4) 15-24%","5) 25%+"))))</f>
        <v>1) Under 5%</v>
      </c>
      <c r="N791" s="0" t="str">
        <f aca="false">IF(F791&lt;50,"1) Under Rs 50",IF(F791&lt;100,"2) Rs 50-99",IF(F791&lt;200,"3) Rs 100-199",IF(F791&lt;500,"4) Rs 200-499","5) Rs 500+"))))</f>
        <v>1) Under Rs 50</v>
      </c>
      <c r="O791" s="0" t="n">
        <f aca="false">G791*E791/1000</f>
        <v>0.3</v>
      </c>
    </row>
    <row r="792" customFormat="false" ht="15" hidden="false" customHeight="false" outlineLevel="0" collapsed="false">
      <c r="A792" s="0" t="s">
        <v>117</v>
      </c>
      <c r="B792" s="0" t="s">
        <v>399</v>
      </c>
      <c r="C792" s="0" t="n">
        <v>50</v>
      </c>
      <c r="D792" s="0" t="n">
        <v>10</v>
      </c>
      <c r="E792" s="0" t="n">
        <v>2</v>
      </c>
      <c r="F792" s="0" t="n">
        <v>45</v>
      </c>
      <c r="G792" s="0" t="n">
        <v>70</v>
      </c>
      <c r="H792" s="0" t="s">
        <v>145</v>
      </c>
      <c r="I792" s="0" t="n">
        <v>70</v>
      </c>
      <c r="J792" s="0" t="n">
        <f aca="false">F792*E792</f>
        <v>90</v>
      </c>
      <c r="K792" s="0" t="str">
        <f aca="false">IF(G792&lt;1000,"1-Low",IF(G792&lt;5000,"2-Medium","3-Bulk"))</f>
        <v>1-Low</v>
      </c>
      <c r="L792" s="0" t="str">
        <f aca="false">IF(H792="TRUE","Out of stock","In stock")</f>
        <v>In stock</v>
      </c>
      <c r="M792" s="0" t="str">
        <f aca="false">IF(D792&lt;5,"1) Under 5%",IF(D792&lt;10,"2) 5-9%",IF(D792&lt;15,"3) 10-14%",IF(D792&lt;25,"4) 15-24%","5) 25%+"))))</f>
        <v>3) 10-14%</v>
      </c>
      <c r="N792" s="0" t="str">
        <f aca="false">IF(F792&lt;50,"1) Under Rs 50",IF(F792&lt;100,"2) Rs 50-99",IF(F792&lt;200,"3) Rs 100-199",IF(F792&lt;500,"4) Rs 200-499","5) Rs 500+"))))</f>
        <v>1) Under Rs 50</v>
      </c>
      <c r="O792" s="0" t="n">
        <f aca="false">G792*E792/1000</f>
        <v>0.14</v>
      </c>
    </row>
    <row r="793" customFormat="false" ht="15" hidden="false" customHeight="false" outlineLevel="0" collapsed="false">
      <c r="A793" s="0" t="s">
        <v>117</v>
      </c>
      <c r="B793" s="0" t="s">
        <v>400</v>
      </c>
      <c r="C793" s="0" t="n">
        <v>10</v>
      </c>
      <c r="D793" s="0" t="n">
        <v>0</v>
      </c>
      <c r="E793" s="0" t="n">
        <v>2</v>
      </c>
      <c r="F793" s="0" t="n">
        <v>10</v>
      </c>
      <c r="G793" s="0" t="n">
        <v>20</v>
      </c>
      <c r="H793" s="0" t="s">
        <v>145</v>
      </c>
      <c r="I793" s="0" t="n">
        <v>20</v>
      </c>
      <c r="J793" s="0" t="n">
        <f aca="false">F793*E793</f>
        <v>20</v>
      </c>
      <c r="K793" s="0" t="str">
        <f aca="false">IF(G793&lt;1000,"1-Low",IF(G793&lt;5000,"2-Medium","3-Bulk"))</f>
        <v>1-Low</v>
      </c>
      <c r="L793" s="0" t="str">
        <f aca="false">IF(H793="TRUE","Out of stock","In stock")</f>
        <v>In stock</v>
      </c>
      <c r="M793" s="0" t="str">
        <f aca="false">IF(D793&lt;5,"1) Under 5%",IF(D793&lt;10,"2) 5-9%",IF(D793&lt;15,"3) 10-14%",IF(D793&lt;25,"4) 15-24%","5) 25%+"))))</f>
        <v>1) Under 5%</v>
      </c>
      <c r="N793" s="0" t="str">
        <f aca="false">IF(F793&lt;50,"1) Under Rs 50",IF(F793&lt;100,"2) Rs 50-99",IF(F793&lt;200,"3) Rs 100-199",IF(F793&lt;500,"4) Rs 200-499","5) Rs 500+"))))</f>
        <v>1) Under Rs 50</v>
      </c>
      <c r="O793" s="0" t="n">
        <f aca="false">G793*E793/1000</f>
        <v>0.04</v>
      </c>
    </row>
    <row r="794" customFormat="false" ht="15" hidden="false" customHeight="false" outlineLevel="0" collapsed="false">
      <c r="A794" s="0" t="s">
        <v>117</v>
      </c>
      <c r="B794" s="0" t="s">
        <v>401</v>
      </c>
      <c r="C794" s="0" t="n">
        <v>220</v>
      </c>
      <c r="D794" s="0" t="n">
        <v>50</v>
      </c>
      <c r="E794" s="0" t="n">
        <v>6</v>
      </c>
      <c r="F794" s="0" t="n">
        <v>110</v>
      </c>
      <c r="G794" s="0" t="n">
        <v>200</v>
      </c>
      <c r="H794" s="0" t="s">
        <v>145</v>
      </c>
      <c r="I794" s="0" t="n">
        <v>200</v>
      </c>
      <c r="J794" s="0" t="n">
        <f aca="false">F794*E794</f>
        <v>660</v>
      </c>
      <c r="K794" s="0" t="str">
        <f aca="false">IF(G794&lt;1000,"1-Low",IF(G794&lt;5000,"2-Medium","3-Bulk"))</f>
        <v>1-Low</v>
      </c>
      <c r="L794" s="0" t="str">
        <f aca="false">IF(H794="TRUE","Out of stock","In stock")</f>
        <v>In stock</v>
      </c>
      <c r="M794" s="0" t="str">
        <f aca="false">IF(D794&lt;5,"1) Under 5%",IF(D794&lt;10,"2) 5-9%",IF(D794&lt;15,"3) 10-14%",IF(D794&lt;25,"4) 15-24%","5) 25%+"))))</f>
        <v>5) 25%+</v>
      </c>
      <c r="N794" s="0" t="str">
        <f aca="false">IF(F794&lt;50,"1) Under Rs 50",IF(F794&lt;100,"2) Rs 50-99",IF(F794&lt;200,"3) Rs 100-199",IF(F794&lt;500,"4) Rs 200-499","5) Rs 500+"))))</f>
        <v>3) Rs 100-199</v>
      </c>
      <c r="O794" s="0" t="n">
        <f aca="false">G794*E794/1000</f>
        <v>1.2</v>
      </c>
    </row>
    <row r="795" customFormat="false" ht="15" hidden="false" customHeight="false" outlineLevel="0" collapsed="false">
      <c r="A795" s="0" t="s">
        <v>117</v>
      </c>
      <c r="B795" s="0" t="s">
        <v>283</v>
      </c>
      <c r="C795" s="0" t="n">
        <v>158</v>
      </c>
      <c r="D795" s="0" t="n">
        <v>10</v>
      </c>
      <c r="E795" s="0" t="n">
        <v>6</v>
      </c>
      <c r="F795" s="0" t="n">
        <v>142</v>
      </c>
      <c r="G795" s="0" t="n">
        <v>200</v>
      </c>
      <c r="H795" s="0" t="s">
        <v>145</v>
      </c>
      <c r="I795" s="0" t="n">
        <v>200</v>
      </c>
      <c r="J795" s="0" t="n">
        <f aca="false">F795*E795</f>
        <v>852</v>
      </c>
      <c r="K795" s="0" t="str">
        <f aca="false">IF(G795&lt;1000,"1-Low",IF(G795&lt;5000,"2-Medium","3-Bulk"))</f>
        <v>1-Low</v>
      </c>
      <c r="L795" s="0" t="str">
        <f aca="false">IF(H795="TRUE","Out of stock","In stock")</f>
        <v>In stock</v>
      </c>
      <c r="M795" s="0" t="str">
        <f aca="false">IF(D795&lt;5,"1) Under 5%",IF(D795&lt;10,"2) 5-9%",IF(D795&lt;15,"3) 10-14%",IF(D795&lt;25,"4) 15-24%","5) 25%+"))))</f>
        <v>3) 10-14%</v>
      </c>
      <c r="N795" s="0" t="str">
        <f aca="false">IF(F795&lt;50,"1) Under Rs 50",IF(F795&lt;100,"2) Rs 50-99",IF(F795&lt;200,"3) Rs 100-199",IF(F795&lt;500,"4) Rs 200-499","5) Rs 500+"))))</f>
        <v>3) Rs 100-199</v>
      </c>
      <c r="O795" s="0" t="n">
        <f aca="false">G795*E795/1000</f>
        <v>1.2</v>
      </c>
    </row>
    <row r="796" customFormat="false" ht="15" hidden="false" customHeight="false" outlineLevel="0" collapsed="false">
      <c r="A796" s="0" t="s">
        <v>117</v>
      </c>
      <c r="B796" s="0" t="s">
        <v>402</v>
      </c>
      <c r="C796" s="0" t="n">
        <v>70</v>
      </c>
      <c r="D796" s="0" t="n">
        <v>7</v>
      </c>
      <c r="E796" s="0" t="n">
        <v>6</v>
      </c>
      <c r="F796" s="0" t="n">
        <v>65</v>
      </c>
      <c r="G796" s="0" t="n">
        <v>500</v>
      </c>
      <c r="H796" s="0" t="s">
        <v>145</v>
      </c>
      <c r="I796" s="0" t="n">
        <v>500</v>
      </c>
      <c r="J796" s="0" t="n">
        <f aca="false">F796*E796</f>
        <v>390</v>
      </c>
      <c r="K796" s="0" t="str">
        <f aca="false">IF(G796&lt;1000,"1-Low",IF(G796&lt;5000,"2-Medium","3-Bulk"))</f>
        <v>1-Low</v>
      </c>
      <c r="L796" s="0" t="str">
        <f aca="false">IF(H796="TRUE","Out of stock","In stock")</f>
        <v>In stock</v>
      </c>
      <c r="M796" s="0" t="str">
        <f aca="false">IF(D796&lt;5,"1) Under 5%",IF(D796&lt;10,"2) 5-9%",IF(D796&lt;15,"3) 10-14%",IF(D796&lt;25,"4) 15-24%","5) 25%+"))))</f>
        <v>2) 5-9%</v>
      </c>
      <c r="N796" s="0" t="str">
        <f aca="false">IF(F796&lt;50,"1) Under Rs 50",IF(F796&lt;100,"2) Rs 50-99",IF(F796&lt;200,"3) Rs 100-199",IF(F796&lt;500,"4) Rs 200-499","5) Rs 500+"))))</f>
        <v>2) Rs 50-99</v>
      </c>
      <c r="O796" s="0" t="n">
        <f aca="false">G796*E796/1000</f>
        <v>3</v>
      </c>
    </row>
    <row r="797" customFormat="false" ht="15" hidden="false" customHeight="false" outlineLevel="0" collapsed="false">
      <c r="A797" s="0" t="s">
        <v>117</v>
      </c>
      <c r="B797" s="0" t="s">
        <v>403</v>
      </c>
      <c r="C797" s="0" t="n">
        <v>100</v>
      </c>
      <c r="D797" s="0" t="n">
        <v>0</v>
      </c>
      <c r="E797" s="0" t="n">
        <v>6</v>
      </c>
      <c r="F797" s="0" t="n">
        <v>100</v>
      </c>
      <c r="G797" s="0" t="n">
        <v>100</v>
      </c>
      <c r="H797" s="0" t="s">
        <v>145</v>
      </c>
      <c r="I797" s="0" t="n">
        <v>100</v>
      </c>
      <c r="J797" s="0" t="n">
        <f aca="false">F797*E797</f>
        <v>600</v>
      </c>
      <c r="K797" s="0" t="str">
        <f aca="false">IF(G797&lt;1000,"1-Low",IF(G797&lt;5000,"2-Medium","3-Bulk"))</f>
        <v>1-Low</v>
      </c>
      <c r="L797" s="0" t="str">
        <f aca="false">IF(H797="TRUE","Out of stock","In stock")</f>
        <v>In stock</v>
      </c>
      <c r="M797" s="0" t="str">
        <f aca="false">IF(D797&lt;5,"1) Under 5%",IF(D797&lt;10,"2) 5-9%",IF(D797&lt;15,"3) 10-14%",IF(D797&lt;25,"4) 15-24%","5) 25%+"))))</f>
        <v>1) Under 5%</v>
      </c>
      <c r="N797" s="0" t="str">
        <f aca="false">IF(F797&lt;50,"1) Under Rs 50",IF(F797&lt;100,"2) Rs 50-99",IF(F797&lt;200,"3) Rs 100-199",IF(F797&lt;500,"4) Rs 200-499","5) Rs 500+"))))</f>
        <v>3) Rs 100-199</v>
      </c>
      <c r="O797" s="0" t="n">
        <f aca="false">G797*E797/1000</f>
        <v>0.6</v>
      </c>
    </row>
    <row r="798" customFormat="false" ht="15" hidden="false" customHeight="false" outlineLevel="0" collapsed="false">
      <c r="A798" s="0" t="s">
        <v>117</v>
      </c>
      <c r="B798" s="0" t="s">
        <v>404</v>
      </c>
      <c r="C798" s="0" t="n">
        <v>159</v>
      </c>
      <c r="D798" s="0" t="n">
        <v>9</v>
      </c>
      <c r="E798" s="0" t="n">
        <v>1</v>
      </c>
      <c r="F798" s="0" t="n">
        <v>144</v>
      </c>
      <c r="G798" s="0" t="n">
        <v>50</v>
      </c>
      <c r="H798" s="0" t="s">
        <v>145</v>
      </c>
      <c r="I798" s="0" t="n">
        <v>50</v>
      </c>
      <c r="J798" s="0" t="n">
        <f aca="false">F798*E798</f>
        <v>144</v>
      </c>
      <c r="K798" s="0" t="str">
        <f aca="false">IF(G798&lt;1000,"1-Low",IF(G798&lt;5000,"2-Medium","3-Bulk"))</f>
        <v>1-Low</v>
      </c>
      <c r="L798" s="0" t="str">
        <f aca="false">IF(H798="TRUE","Out of stock","In stock")</f>
        <v>In stock</v>
      </c>
      <c r="M798" s="0" t="str">
        <f aca="false">IF(D798&lt;5,"1) Under 5%",IF(D798&lt;10,"2) 5-9%",IF(D798&lt;15,"3) 10-14%",IF(D798&lt;25,"4) 15-24%","5) 25%+"))))</f>
        <v>2) 5-9%</v>
      </c>
      <c r="N798" s="0" t="str">
        <f aca="false">IF(F798&lt;50,"1) Under Rs 50",IF(F798&lt;100,"2) Rs 50-99",IF(F798&lt;200,"3) Rs 100-199",IF(F798&lt;500,"4) Rs 200-499","5) Rs 500+"))))</f>
        <v>3) Rs 100-199</v>
      </c>
      <c r="O798" s="0" t="n">
        <f aca="false">G798*E798/1000</f>
        <v>0.05</v>
      </c>
    </row>
    <row r="799" customFormat="false" ht="15" hidden="false" customHeight="false" outlineLevel="0" collapsed="false">
      <c r="A799" s="0" t="s">
        <v>117</v>
      </c>
      <c r="B799" s="0" t="s">
        <v>405</v>
      </c>
      <c r="C799" s="0" t="n">
        <v>60</v>
      </c>
      <c r="D799" s="0" t="n">
        <v>0</v>
      </c>
      <c r="E799" s="0" t="n">
        <v>3</v>
      </c>
      <c r="F799" s="0" t="n">
        <v>60</v>
      </c>
      <c r="G799" s="0" t="n">
        <v>1000</v>
      </c>
      <c r="H799" s="0" t="s">
        <v>145</v>
      </c>
      <c r="I799" s="0" t="n">
        <v>1</v>
      </c>
      <c r="J799" s="0" t="n">
        <f aca="false">F799*E799</f>
        <v>180</v>
      </c>
      <c r="K799" s="0" t="str">
        <f aca="false">IF(G799&lt;1000,"1-Low",IF(G799&lt;5000,"2-Medium","3-Bulk"))</f>
        <v>2-Medium</v>
      </c>
      <c r="L799" s="0" t="str">
        <f aca="false">IF(H799="TRUE","Out of stock","In stock")</f>
        <v>In stock</v>
      </c>
      <c r="M799" s="0" t="str">
        <f aca="false">IF(D799&lt;5,"1) Under 5%",IF(D799&lt;10,"2) 5-9%",IF(D799&lt;15,"3) 10-14%",IF(D799&lt;25,"4) 15-24%","5) 25%+"))))</f>
        <v>1) Under 5%</v>
      </c>
      <c r="N799" s="0" t="str">
        <f aca="false">IF(F799&lt;50,"1) Under Rs 50",IF(F799&lt;100,"2) Rs 50-99",IF(F799&lt;200,"3) Rs 100-199",IF(F799&lt;500,"4) Rs 200-499","5) Rs 500+"))))</f>
        <v>2) Rs 50-99</v>
      </c>
      <c r="O799" s="0" t="n">
        <f aca="false">G799*E799/1000</f>
        <v>3</v>
      </c>
    </row>
    <row r="800" customFormat="false" ht="15" hidden="false" customHeight="false" outlineLevel="0" collapsed="false">
      <c r="A800" s="0" t="s">
        <v>117</v>
      </c>
      <c r="B800" s="0" t="s">
        <v>406</v>
      </c>
      <c r="C800" s="0" t="n">
        <v>28</v>
      </c>
      <c r="D800" s="0" t="n">
        <v>10</v>
      </c>
      <c r="E800" s="0" t="n">
        <v>1</v>
      </c>
      <c r="F800" s="0" t="n">
        <v>25</v>
      </c>
      <c r="G800" s="0" t="n">
        <v>65</v>
      </c>
      <c r="H800" s="0" t="s">
        <v>145</v>
      </c>
      <c r="I800" s="0" t="n">
        <v>65</v>
      </c>
      <c r="J800" s="0" t="n">
        <f aca="false">F800*E800</f>
        <v>25</v>
      </c>
      <c r="K800" s="0" t="str">
        <f aca="false">IF(G800&lt;1000,"1-Low",IF(G800&lt;5000,"2-Medium","3-Bulk"))</f>
        <v>1-Low</v>
      </c>
      <c r="L800" s="0" t="str">
        <f aca="false">IF(H800="TRUE","Out of stock","In stock")</f>
        <v>In stock</v>
      </c>
      <c r="M800" s="0" t="str">
        <f aca="false">IF(D800&lt;5,"1) Under 5%",IF(D800&lt;10,"2) 5-9%",IF(D800&lt;15,"3) 10-14%",IF(D800&lt;25,"4) 15-24%","5) 25%+"))))</f>
        <v>3) 10-14%</v>
      </c>
      <c r="N800" s="0" t="str">
        <f aca="false">IF(F800&lt;50,"1) Under Rs 50",IF(F800&lt;100,"2) Rs 50-99",IF(F800&lt;200,"3) Rs 100-199",IF(F800&lt;500,"4) Rs 200-499","5) Rs 500+"))))</f>
        <v>1) Under Rs 50</v>
      </c>
      <c r="O800" s="0" t="n">
        <f aca="false">G800*E800/1000</f>
        <v>0.065</v>
      </c>
    </row>
    <row r="801" customFormat="false" ht="15" hidden="false" customHeight="false" outlineLevel="0" collapsed="false">
      <c r="A801" s="0" t="s">
        <v>117</v>
      </c>
      <c r="B801" s="0" t="s">
        <v>407</v>
      </c>
      <c r="C801" s="0" t="n">
        <v>95</v>
      </c>
      <c r="D801" s="0" t="n">
        <v>0</v>
      </c>
      <c r="E801" s="0" t="n">
        <v>6</v>
      </c>
      <c r="F801" s="0" t="n">
        <v>95</v>
      </c>
      <c r="G801" s="0" t="n">
        <v>1000</v>
      </c>
      <c r="H801" s="0" t="s">
        <v>145</v>
      </c>
      <c r="I801" s="0" t="n">
        <v>1</v>
      </c>
      <c r="J801" s="0" t="n">
        <f aca="false">F801*E801</f>
        <v>570</v>
      </c>
      <c r="K801" s="0" t="str">
        <f aca="false">IF(G801&lt;1000,"1-Low",IF(G801&lt;5000,"2-Medium","3-Bulk"))</f>
        <v>2-Medium</v>
      </c>
      <c r="L801" s="0" t="str">
        <f aca="false">IF(H801="TRUE","Out of stock","In stock")</f>
        <v>In stock</v>
      </c>
      <c r="M801" s="0" t="str">
        <f aca="false">IF(D801&lt;5,"1) Under 5%",IF(D801&lt;10,"2) 5-9%",IF(D801&lt;15,"3) 10-14%",IF(D801&lt;25,"4) 15-24%","5) 25%+"))))</f>
        <v>1) Under 5%</v>
      </c>
      <c r="N801" s="0" t="str">
        <f aca="false">IF(F801&lt;50,"1) Under Rs 50",IF(F801&lt;100,"2) Rs 50-99",IF(F801&lt;200,"3) Rs 100-199",IF(F801&lt;500,"4) Rs 200-499","5) Rs 500+"))))</f>
        <v>2) Rs 50-99</v>
      </c>
      <c r="O801" s="0" t="n">
        <f aca="false">G801*E801/1000</f>
        <v>6</v>
      </c>
    </row>
    <row r="802" customFormat="false" ht="15" hidden="false" customHeight="false" outlineLevel="0" collapsed="false">
      <c r="A802" s="0" t="s">
        <v>117</v>
      </c>
      <c r="B802" s="0" t="s">
        <v>408</v>
      </c>
      <c r="C802" s="0" t="n">
        <v>365</v>
      </c>
      <c r="D802" s="0" t="n">
        <v>29</v>
      </c>
      <c r="E802" s="0" t="n">
        <v>2</v>
      </c>
      <c r="F802" s="0" t="n">
        <v>256</v>
      </c>
      <c r="G802" s="0" t="n">
        <v>200</v>
      </c>
      <c r="H802" s="0" t="s">
        <v>145</v>
      </c>
      <c r="I802" s="0" t="n">
        <v>200</v>
      </c>
      <c r="J802" s="0" t="n">
        <f aca="false">F802*E802</f>
        <v>512</v>
      </c>
      <c r="K802" s="0" t="str">
        <f aca="false">IF(G802&lt;1000,"1-Low",IF(G802&lt;5000,"2-Medium","3-Bulk"))</f>
        <v>1-Low</v>
      </c>
      <c r="L802" s="0" t="str">
        <f aca="false">IF(H802="TRUE","Out of stock","In stock")</f>
        <v>In stock</v>
      </c>
      <c r="M802" s="0" t="str">
        <f aca="false">IF(D802&lt;5,"1) Under 5%",IF(D802&lt;10,"2) 5-9%",IF(D802&lt;15,"3) 10-14%",IF(D802&lt;25,"4) 15-24%","5) 25%+"))))</f>
        <v>5) 25%+</v>
      </c>
      <c r="N802" s="0" t="str">
        <f aca="false">IF(F802&lt;50,"1) Under Rs 50",IF(F802&lt;100,"2) Rs 50-99",IF(F802&lt;200,"3) Rs 100-199",IF(F802&lt;500,"4) Rs 200-499","5) Rs 500+"))))</f>
        <v>4) Rs 200-499</v>
      </c>
      <c r="O802" s="0" t="n">
        <f aca="false">G802*E802/1000</f>
        <v>0.4</v>
      </c>
    </row>
    <row r="803" customFormat="false" ht="15" hidden="false" customHeight="false" outlineLevel="0" collapsed="false">
      <c r="A803" s="0" t="s">
        <v>117</v>
      </c>
      <c r="B803" s="0" t="s">
        <v>409</v>
      </c>
      <c r="C803" s="0" t="n">
        <v>35</v>
      </c>
      <c r="D803" s="0" t="n">
        <v>2</v>
      </c>
      <c r="E803" s="0" t="n">
        <v>6</v>
      </c>
      <c r="F803" s="0" t="n">
        <v>34</v>
      </c>
      <c r="G803" s="0" t="n">
        <v>500</v>
      </c>
      <c r="H803" s="0" t="s">
        <v>145</v>
      </c>
      <c r="I803" s="0" t="n">
        <v>500</v>
      </c>
      <c r="J803" s="0" t="n">
        <f aca="false">F803*E803</f>
        <v>204</v>
      </c>
      <c r="K803" s="0" t="str">
        <f aca="false">IF(G803&lt;1000,"1-Low",IF(G803&lt;5000,"2-Medium","3-Bulk"))</f>
        <v>1-Low</v>
      </c>
      <c r="L803" s="0" t="str">
        <f aca="false">IF(H803="TRUE","Out of stock","In stock")</f>
        <v>In stock</v>
      </c>
      <c r="M803" s="0" t="str">
        <f aca="false">IF(D803&lt;5,"1) Under 5%",IF(D803&lt;10,"2) 5-9%",IF(D803&lt;15,"3) 10-14%",IF(D803&lt;25,"4) 15-24%","5) 25%+"))))</f>
        <v>1) Under 5%</v>
      </c>
      <c r="N803" s="0" t="str">
        <f aca="false">IF(F803&lt;50,"1) Under Rs 50",IF(F803&lt;100,"2) Rs 50-99",IF(F803&lt;200,"3) Rs 100-199",IF(F803&lt;500,"4) Rs 200-499","5) Rs 500+"))))</f>
        <v>1) Under Rs 50</v>
      </c>
      <c r="O803" s="0" t="n">
        <f aca="false">G803*E803/1000</f>
        <v>3</v>
      </c>
    </row>
    <row r="804" customFormat="false" ht="15" hidden="false" customHeight="false" outlineLevel="0" collapsed="false">
      <c r="A804" s="0" t="s">
        <v>117</v>
      </c>
      <c r="B804" s="0" t="s">
        <v>410</v>
      </c>
      <c r="C804" s="0" t="n">
        <v>330</v>
      </c>
      <c r="D804" s="0" t="n">
        <v>10</v>
      </c>
      <c r="E804" s="0" t="n">
        <v>5</v>
      </c>
      <c r="F804" s="0" t="n">
        <v>294</v>
      </c>
      <c r="G804" s="0" t="n">
        <v>1000</v>
      </c>
      <c r="H804" s="0" t="s">
        <v>145</v>
      </c>
      <c r="I804" s="0" t="n">
        <v>1</v>
      </c>
      <c r="J804" s="0" t="n">
        <f aca="false">F804*E804</f>
        <v>1470</v>
      </c>
      <c r="K804" s="0" t="str">
        <f aca="false">IF(G804&lt;1000,"1-Low",IF(G804&lt;5000,"2-Medium","3-Bulk"))</f>
        <v>2-Medium</v>
      </c>
      <c r="L804" s="0" t="str">
        <f aca="false">IF(H804="TRUE","Out of stock","In stock")</f>
        <v>In stock</v>
      </c>
      <c r="M804" s="0" t="str">
        <f aca="false">IF(D804&lt;5,"1) Under 5%",IF(D804&lt;10,"2) 5-9%",IF(D804&lt;15,"3) 10-14%",IF(D804&lt;25,"4) 15-24%","5) 25%+"))))</f>
        <v>3) 10-14%</v>
      </c>
      <c r="N804" s="0" t="str">
        <f aca="false">IF(F804&lt;50,"1) Under Rs 50",IF(F804&lt;100,"2) Rs 50-99",IF(F804&lt;200,"3) Rs 100-199",IF(F804&lt;500,"4) Rs 200-499","5) Rs 500+"))))</f>
        <v>4) Rs 200-499</v>
      </c>
      <c r="O804" s="0" t="n">
        <f aca="false">G804*E804/1000</f>
        <v>5</v>
      </c>
    </row>
    <row r="805" customFormat="false" ht="15" hidden="false" customHeight="false" outlineLevel="0" collapsed="false">
      <c r="A805" s="0" t="s">
        <v>117</v>
      </c>
      <c r="B805" s="0" t="s">
        <v>411</v>
      </c>
      <c r="C805" s="0" t="n">
        <v>90</v>
      </c>
      <c r="D805" s="0" t="n">
        <v>10</v>
      </c>
      <c r="E805" s="0" t="n">
        <v>6</v>
      </c>
      <c r="F805" s="0" t="n">
        <v>81</v>
      </c>
      <c r="G805" s="0" t="n">
        <v>500</v>
      </c>
      <c r="H805" s="0" t="s">
        <v>145</v>
      </c>
      <c r="I805" s="0" t="n">
        <v>500</v>
      </c>
      <c r="J805" s="0" t="n">
        <f aca="false">F805*E805</f>
        <v>486</v>
      </c>
      <c r="K805" s="0" t="str">
        <f aca="false">IF(G805&lt;1000,"1-Low",IF(G805&lt;5000,"2-Medium","3-Bulk"))</f>
        <v>1-Low</v>
      </c>
      <c r="L805" s="0" t="str">
        <f aca="false">IF(H805="TRUE","Out of stock","In stock")</f>
        <v>In stock</v>
      </c>
      <c r="M805" s="0" t="str">
        <f aca="false">IF(D805&lt;5,"1) Under 5%",IF(D805&lt;10,"2) 5-9%",IF(D805&lt;15,"3) 10-14%",IF(D805&lt;25,"4) 15-24%","5) 25%+"))))</f>
        <v>3) 10-14%</v>
      </c>
      <c r="N805" s="0" t="str">
        <f aca="false">IF(F805&lt;50,"1) Under Rs 50",IF(F805&lt;100,"2) Rs 50-99",IF(F805&lt;200,"3) Rs 100-199",IF(F805&lt;500,"4) Rs 200-499","5) Rs 500+"))))</f>
        <v>2) Rs 50-99</v>
      </c>
      <c r="O805" s="0" t="n">
        <f aca="false">G805*E805/1000</f>
        <v>3</v>
      </c>
    </row>
    <row r="806" customFormat="false" ht="15" hidden="false" customHeight="false" outlineLevel="0" collapsed="false">
      <c r="A806" s="0" t="s">
        <v>117</v>
      </c>
      <c r="B806" s="0" t="s">
        <v>412</v>
      </c>
      <c r="C806" s="0" t="n">
        <v>120</v>
      </c>
      <c r="D806" s="0" t="n">
        <v>10</v>
      </c>
      <c r="E806" s="0" t="n">
        <v>6</v>
      </c>
      <c r="F806" s="0" t="n">
        <v>108</v>
      </c>
      <c r="G806" s="0" t="n">
        <v>150</v>
      </c>
      <c r="H806" s="0" t="s">
        <v>145</v>
      </c>
      <c r="I806" s="0" t="n">
        <v>150</v>
      </c>
      <c r="J806" s="0" t="n">
        <f aca="false">F806*E806</f>
        <v>648</v>
      </c>
      <c r="K806" s="0" t="str">
        <f aca="false">IF(G806&lt;1000,"1-Low",IF(G806&lt;5000,"2-Medium","3-Bulk"))</f>
        <v>1-Low</v>
      </c>
      <c r="L806" s="0" t="str">
        <f aca="false">IF(H806="TRUE","Out of stock","In stock")</f>
        <v>In stock</v>
      </c>
      <c r="M806" s="0" t="str">
        <f aca="false">IF(D806&lt;5,"1) Under 5%",IF(D806&lt;10,"2) 5-9%",IF(D806&lt;15,"3) 10-14%",IF(D806&lt;25,"4) 15-24%","5) 25%+"))))</f>
        <v>3) 10-14%</v>
      </c>
      <c r="N806" s="0" t="str">
        <f aca="false">IF(F806&lt;50,"1) Under Rs 50",IF(F806&lt;100,"2) Rs 50-99",IF(F806&lt;200,"3) Rs 100-199",IF(F806&lt;500,"4) Rs 200-499","5) Rs 500+"))))</f>
        <v>3) Rs 100-199</v>
      </c>
      <c r="O806" s="0" t="n">
        <f aca="false">G806*E806/1000</f>
        <v>0.9</v>
      </c>
    </row>
    <row r="807" customFormat="false" ht="15" hidden="false" customHeight="false" outlineLevel="0" collapsed="false">
      <c r="A807" s="0" t="s">
        <v>117</v>
      </c>
      <c r="B807" s="0" t="s">
        <v>413</v>
      </c>
      <c r="C807" s="0" t="n">
        <v>100</v>
      </c>
      <c r="D807" s="0" t="n">
        <v>10</v>
      </c>
      <c r="E807" s="0" t="n">
        <v>5</v>
      </c>
      <c r="F807" s="0" t="n">
        <v>90</v>
      </c>
      <c r="G807" s="0" t="n">
        <v>100</v>
      </c>
      <c r="H807" s="0" t="s">
        <v>145</v>
      </c>
      <c r="I807" s="0" t="n">
        <v>100</v>
      </c>
      <c r="J807" s="0" t="n">
        <f aca="false">F807*E807</f>
        <v>450</v>
      </c>
      <c r="K807" s="0" t="str">
        <f aca="false">IF(G807&lt;1000,"1-Low",IF(G807&lt;5000,"2-Medium","3-Bulk"))</f>
        <v>1-Low</v>
      </c>
      <c r="L807" s="0" t="str">
        <f aca="false">IF(H807="TRUE","Out of stock","In stock")</f>
        <v>In stock</v>
      </c>
      <c r="M807" s="0" t="str">
        <f aca="false">IF(D807&lt;5,"1) Under 5%",IF(D807&lt;10,"2) 5-9%",IF(D807&lt;15,"3) 10-14%",IF(D807&lt;25,"4) 15-24%","5) 25%+"))))</f>
        <v>3) 10-14%</v>
      </c>
      <c r="N807" s="0" t="str">
        <f aca="false">IF(F807&lt;50,"1) Under Rs 50",IF(F807&lt;100,"2) Rs 50-99",IF(F807&lt;200,"3) Rs 100-199",IF(F807&lt;500,"4) Rs 200-499","5) Rs 500+"))))</f>
        <v>2) Rs 50-99</v>
      </c>
      <c r="O807" s="0" t="n">
        <f aca="false">G807*E807/1000</f>
        <v>0.5</v>
      </c>
    </row>
    <row r="808" customFormat="false" ht="15" hidden="false" customHeight="false" outlineLevel="0" collapsed="false">
      <c r="A808" s="0" t="s">
        <v>117</v>
      </c>
      <c r="B808" s="0" t="s">
        <v>414</v>
      </c>
      <c r="C808" s="0" t="n">
        <v>130</v>
      </c>
      <c r="D808" s="0" t="n">
        <v>7</v>
      </c>
      <c r="E808" s="0" t="n">
        <v>6</v>
      </c>
      <c r="F808" s="0" t="n">
        <v>120</v>
      </c>
      <c r="G808" s="0" t="n">
        <v>500</v>
      </c>
      <c r="H808" s="0" t="s">
        <v>145</v>
      </c>
      <c r="I808" s="0" t="n">
        <v>500</v>
      </c>
      <c r="J808" s="0" t="n">
        <f aca="false">F808*E808</f>
        <v>720</v>
      </c>
      <c r="K808" s="0" t="str">
        <f aca="false">IF(G808&lt;1000,"1-Low",IF(G808&lt;5000,"2-Medium","3-Bulk"))</f>
        <v>1-Low</v>
      </c>
      <c r="L808" s="0" t="str">
        <f aca="false">IF(H808="TRUE","Out of stock","In stock")</f>
        <v>In stock</v>
      </c>
      <c r="M808" s="0" t="str">
        <f aca="false">IF(D808&lt;5,"1) Under 5%",IF(D808&lt;10,"2) 5-9%",IF(D808&lt;15,"3) 10-14%",IF(D808&lt;25,"4) 15-24%","5) 25%+"))))</f>
        <v>2) 5-9%</v>
      </c>
      <c r="N808" s="0" t="str">
        <f aca="false">IF(F808&lt;50,"1) Under Rs 50",IF(F808&lt;100,"2) Rs 50-99",IF(F808&lt;200,"3) Rs 100-199",IF(F808&lt;500,"4) Rs 200-499","5) Rs 500+"))))</f>
        <v>3) Rs 100-199</v>
      </c>
      <c r="O808" s="0" t="n">
        <f aca="false">G808*E808/1000</f>
        <v>3</v>
      </c>
    </row>
    <row r="809" customFormat="false" ht="15" hidden="false" customHeight="false" outlineLevel="0" collapsed="false">
      <c r="A809" s="0" t="s">
        <v>117</v>
      </c>
      <c r="B809" s="0" t="s">
        <v>415</v>
      </c>
      <c r="C809" s="0" t="n">
        <v>65</v>
      </c>
      <c r="D809" s="0" t="n">
        <v>6</v>
      </c>
      <c r="E809" s="0" t="n">
        <v>3</v>
      </c>
      <c r="F809" s="0" t="n">
        <v>61</v>
      </c>
      <c r="G809" s="0" t="n">
        <v>110</v>
      </c>
      <c r="H809" s="0" t="s">
        <v>145</v>
      </c>
      <c r="I809" s="0" t="n">
        <v>100</v>
      </c>
      <c r="J809" s="0" t="n">
        <f aca="false">F809*E809</f>
        <v>183</v>
      </c>
      <c r="K809" s="0" t="str">
        <f aca="false">IF(G809&lt;1000,"1-Low",IF(G809&lt;5000,"2-Medium","3-Bulk"))</f>
        <v>1-Low</v>
      </c>
      <c r="L809" s="0" t="str">
        <f aca="false">IF(H809="TRUE","Out of stock","In stock")</f>
        <v>In stock</v>
      </c>
      <c r="M809" s="0" t="str">
        <f aca="false">IF(D809&lt;5,"1) Under 5%",IF(D809&lt;10,"2) 5-9%",IF(D809&lt;15,"3) 10-14%",IF(D809&lt;25,"4) 15-24%","5) 25%+"))))</f>
        <v>2) 5-9%</v>
      </c>
      <c r="N809" s="0" t="str">
        <f aca="false">IF(F809&lt;50,"1) Under Rs 50",IF(F809&lt;100,"2) Rs 50-99",IF(F809&lt;200,"3) Rs 100-199",IF(F809&lt;500,"4) Rs 200-499","5) Rs 500+"))))</f>
        <v>2) Rs 50-99</v>
      </c>
      <c r="O809" s="0" t="n">
        <f aca="false">G809*E809/1000</f>
        <v>0.33</v>
      </c>
    </row>
    <row r="810" customFormat="false" ht="15" hidden="false" customHeight="false" outlineLevel="0" collapsed="false">
      <c r="A810" s="0" t="s">
        <v>117</v>
      </c>
      <c r="B810" s="0" t="s">
        <v>416</v>
      </c>
      <c r="C810" s="0" t="n">
        <v>10</v>
      </c>
      <c r="D810" s="0" t="n">
        <v>0</v>
      </c>
      <c r="E810" s="0" t="n">
        <v>2</v>
      </c>
      <c r="F810" s="0" t="n">
        <v>10</v>
      </c>
      <c r="G810" s="0" t="n">
        <v>20</v>
      </c>
      <c r="H810" s="0" t="s">
        <v>145</v>
      </c>
      <c r="I810" s="0" t="n">
        <v>20</v>
      </c>
      <c r="J810" s="0" t="n">
        <f aca="false">F810*E810</f>
        <v>20</v>
      </c>
      <c r="K810" s="0" t="str">
        <f aca="false">IF(G810&lt;1000,"1-Low",IF(G810&lt;5000,"2-Medium","3-Bulk"))</f>
        <v>1-Low</v>
      </c>
      <c r="L810" s="0" t="str">
        <f aca="false">IF(H810="TRUE","Out of stock","In stock")</f>
        <v>In stock</v>
      </c>
      <c r="M810" s="0" t="str">
        <f aca="false">IF(D810&lt;5,"1) Under 5%",IF(D810&lt;10,"2) 5-9%",IF(D810&lt;15,"3) 10-14%",IF(D810&lt;25,"4) 15-24%","5) 25%+"))))</f>
        <v>1) Under 5%</v>
      </c>
      <c r="N810" s="0" t="str">
        <f aca="false">IF(F810&lt;50,"1) Under Rs 50",IF(F810&lt;100,"2) Rs 50-99",IF(F810&lt;200,"3) Rs 100-199",IF(F810&lt;500,"4) Rs 200-499","5) Rs 500+"))))</f>
        <v>1) Under Rs 50</v>
      </c>
      <c r="O810" s="0" t="n">
        <f aca="false">G810*E810/1000</f>
        <v>0.04</v>
      </c>
    </row>
    <row r="811" customFormat="false" ht="15" hidden="false" customHeight="false" outlineLevel="0" collapsed="false">
      <c r="A811" s="0" t="s">
        <v>117</v>
      </c>
      <c r="B811" s="0" t="s">
        <v>417</v>
      </c>
      <c r="C811" s="0" t="n">
        <v>220</v>
      </c>
      <c r="D811" s="0" t="n">
        <v>7</v>
      </c>
      <c r="E811" s="0" t="n">
        <v>3</v>
      </c>
      <c r="F811" s="0" t="n">
        <v>204</v>
      </c>
      <c r="G811" s="0" t="n">
        <v>500</v>
      </c>
      <c r="H811" s="0" t="s">
        <v>145</v>
      </c>
      <c r="I811" s="0" t="n">
        <v>500</v>
      </c>
      <c r="J811" s="0" t="n">
        <f aca="false">F811*E811</f>
        <v>612</v>
      </c>
      <c r="K811" s="0" t="str">
        <f aca="false">IF(G811&lt;1000,"1-Low",IF(G811&lt;5000,"2-Medium","3-Bulk"))</f>
        <v>1-Low</v>
      </c>
      <c r="L811" s="0" t="str">
        <f aca="false">IF(H811="TRUE","Out of stock","In stock")</f>
        <v>In stock</v>
      </c>
      <c r="M811" s="0" t="str">
        <f aca="false">IF(D811&lt;5,"1) Under 5%",IF(D811&lt;10,"2) 5-9%",IF(D811&lt;15,"3) 10-14%",IF(D811&lt;25,"4) 15-24%","5) 25%+"))))</f>
        <v>2) 5-9%</v>
      </c>
      <c r="N811" s="0" t="str">
        <f aca="false">IF(F811&lt;50,"1) Under Rs 50",IF(F811&lt;100,"2) Rs 50-99",IF(F811&lt;200,"3) Rs 100-199",IF(F811&lt;500,"4) Rs 200-499","5) Rs 500+"))))</f>
        <v>4) Rs 200-499</v>
      </c>
      <c r="O811" s="0" t="n">
        <f aca="false">G811*E811/1000</f>
        <v>1.5</v>
      </c>
    </row>
    <row r="812" customFormat="false" ht="15" hidden="false" customHeight="false" outlineLevel="0" collapsed="false">
      <c r="A812" s="0" t="s">
        <v>117</v>
      </c>
      <c r="B812" s="0" t="s">
        <v>406</v>
      </c>
      <c r="C812" s="0" t="n">
        <v>28</v>
      </c>
      <c r="D812" s="0" t="n">
        <v>17</v>
      </c>
      <c r="E812" s="0" t="n">
        <v>3</v>
      </c>
      <c r="F812" s="0" t="n">
        <v>23</v>
      </c>
      <c r="G812" s="0" t="n">
        <v>65</v>
      </c>
      <c r="H812" s="0" t="s">
        <v>145</v>
      </c>
      <c r="I812" s="0" t="n">
        <v>65</v>
      </c>
      <c r="J812" s="0" t="n">
        <f aca="false">F812*E812</f>
        <v>69</v>
      </c>
      <c r="K812" s="0" t="str">
        <f aca="false">IF(G812&lt;1000,"1-Low",IF(G812&lt;5000,"2-Medium","3-Bulk"))</f>
        <v>1-Low</v>
      </c>
      <c r="L812" s="0" t="str">
        <f aca="false">IF(H812="TRUE","Out of stock","In stock")</f>
        <v>In stock</v>
      </c>
      <c r="M812" s="0" t="str">
        <f aca="false">IF(D812&lt;5,"1) Under 5%",IF(D812&lt;10,"2) 5-9%",IF(D812&lt;15,"3) 10-14%",IF(D812&lt;25,"4) 15-24%","5) 25%+"))))</f>
        <v>4) 15-24%</v>
      </c>
      <c r="N812" s="0" t="str">
        <f aca="false">IF(F812&lt;50,"1) Under Rs 50",IF(F812&lt;100,"2) Rs 50-99",IF(F812&lt;200,"3) Rs 100-199",IF(F812&lt;500,"4) Rs 200-499","5) Rs 500+"))))</f>
        <v>1) Under Rs 50</v>
      </c>
      <c r="O812" s="0" t="n">
        <f aca="false">G812*E812/1000</f>
        <v>0.195</v>
      </c>
    </row>
    <row r="813" customFormat="false" ht="15" hidden="false" customHeight="false" outlineLevel="0" collapsed="false">
      <c r="A813" s="0" t="s">
        <v>117</v>
      </c>
      <c r="B813" s="0" t="s">
        <v>418</v>
      </c>
      <c r="C813" s="0" t="n">
        <v>55</v>
      </c>
      <c r="D813" s="0" t="n">
        <v>9</v>
      </c>
      <c r="E813" s="0" t="n">
        <v>2</v>
      </c>
      <c r="F813" s="0" t="n">
        <v>50</v>
      </c>
      <c r="G813" s="0" t="n">
        <v>50</v>
      </c>
      <c r="H813" s="0" t="s">
        <v>145</v>
      </c>
      <c r="I813" s="0" t="n">
        <v>50</v>
      </c>
      <c r="J813" s="0" t="n">
        <f aca="false">F813*E813</f>
        <v>100</v>
      </c>
      <c r="K813" s="0" t="str">
        <f aca="false">IF(G813&lt;1000,"1-Low",IF(G813&lt;5000,"2-Medium","3-Bulk"))</f>
        <v>1-Low</v>
      </c>
      <c r="L813" s="0" t="str">
        <f aca="false">IF(H813="TRUE","Out of stock","In stock")</f>
        <v>In stock</v>
      </c>
      <c r="M813" s="0" t="str">
        <f aca="false">IF(D813&lt;5,"1) Under 5%",IF(D813&lt;10,"2) 5-9%",IF(D813&lt;15,"3) 10-14%",IF(D813&lt;25,"4) 15-24%","5) 25%+"))))</f>
        <v>2) 5-9%</v>
      </c>
      <c r="N813" s="0" t="str">
        <f aca="false">IF(F813&lt;50,"1) Under Rs 50",IF(F813&lt;100,"2) Rs 50-99",IF(F813&lt;200,"3) Rs 100-199",IF(F813&lt;500,"4) Rs 200-499","5) Rs 500+"))))</f>
        <v>2) Rs 50-99</v>
      </c>
      <c r="O813" s="0" t="n">
        <f aca="false">G813*E813/1000</f>
        <v>0.1</v>
      </c>
    </row>
    <row r="814" customFormat="false" ht="15" hidden="false" customHeight="false" outlineLevel="0" collapsed="false">
      <c r="A814" s="0" t="s">
        <v>117</v>
      </c>
      <c r="B814" s="0" t="s">
        <v>419</v>
      </c>
      <c r="C814" s="0" t="n">
        <v>44</v>
      </c>
      <c r="D814" s="0" t="n">
        <v>0</v>
      </c>
      <c r="E814" s="0" t="n">
        <v>4</v>
      </c>
      <c r="F814" s="0" t="n">
        <v>44</v>
      </c>
      <c r="G814" s="0" t="n">
        <v>60</v>
      </c>
      <c r="H814" s="0" t="s">
        <v>145</v>
      </c>
      <c r="I814" s="0" t="n">
        <v>60</v>
      </c>
      <c r="J814" s="0" t="n">
        <f aca="false">F814*E814</f>
        <v>176</v>
      </c>
      <c r="K814" s="0" t="str">
        <f aca="false">IF(G814&lt;1000,"1-Low",IF(G814&lt;5000,"2-Medium","3-Bulk"))</f>
        <v>1-Low</v>
      </c>
      <c r="L814" s="0" t="str">
        <f aca="false">IF(H814="TRUE","Out of stock","In stock")</f>
        <v>In stock</v>
      </c>
      <c r="M814" s="0" t="str">
        <f aca="false">IF(D814&lt;5,"1) Under 5%",IF(D814&lt;10,"2) 5-9%",IF(D814&lt;15,"3) 10-14%",IF(D814&lt;25,"4) 15-24%","5) 25%+"))))</f>
        <v>1) Under 5%</v>
      </c>
      <c r="N814" s="0" t="str">
        <f aca="false">IF(F814&lt;50,"1) Under Rs 50",IF(F814&lt;100,"2) Rs 50-99",IF(F814&lt;200,"3) Rs 100-199",IF(F814&lt;500,"4) Rs 200-499","5) Rs 500+"))))</f>
        <v>1) Under Rs 50</v>
      </c>
      <c r="O814" s="0" t="n">
        <f aca="false">G814*E814/1000</f>
        <v>0.24</v>
      </c>
    </row>
    <row r="815" customFormat="false" ht="15" hidden="false" customHeight="false" outlineLevel="0" collapsed="false">
      <c r="A815" s="0" t="s">
        <v>117</v>
      </c>
      <c r="B815" s="0" t="s">
        <v>420</v>
      </c>
      <c r="C815" s="0" t="n">
        <v>70</v>
      </c>
      <c r="D815" s="0" t="n">
        <v>10</v>
      </c>
      <c r="E815" s="0" t="n">
        <v>3</v>
      </c>
      <c r="F815" s="0" t="n">
        <v>63</v>
      </c>
      <c r="G815" s="0" t="n">
        <v>405</v>
      </c>
      <c r="H815" s="0" t="s">
        <v>145</v>
      </c>
      <c r="I815" s="0" t="n">
        <v>405</v>
      </c>
      <c r="J815" s="0" t="n">
        <f aca="false">F815*E815</f>
        <v>189</v>
      </c>
      <c r="K815" s="0" t="str">
        <f aca="false">IF(G815&lt;1000,"1-Low",IF(G815&lt;5000,"2-Medium","3-Bulk"))</f>
        <v>1-Low</v>
      </c>
      <c r="L815" s="0" t="str">
        <f aca="false">IF(H815="TRUE","Out of stock","In stock")</f>
        <v>In stock</v>
      </c>
      <c r="M815" s="0" t="str">
        <f aca="false">IF(D815&lt;5,"1) Under 5%",IF(D815&lt;10,"2) 5-9%",IF(D815&lt;15,"3) 10-14%",IF(D815&lt;25,"4) 15-24%","5) 25%+"))))</f>
        <v>3) 10-14%</v>
      </c>
      <c r="N815" s="0" t="str">
        <f aca="false">IF(F815&lt;50,"1) Under Rs 50",IF(F815&lt;100,"2) Rs 50-99",IF(F815&lt;200,"3) Rs 100-199",IF(F815&lt;500,"4) Rs 200-499","5) Rs 500+"))))</f>
        <v>2) Rs 50-99</v>
      </c>
      <c r="O815" s="0" t="n">
        <f aca="false">G815*E815/1000</f>
        <v>1.215</v>
      </c>
    </row>
    <row r="816" customFormat="false" ht="15" hidden="false" customHeight="false" outlineLevel="0" collapsed="false">
      <c r="A816" s="0" t="s">
        <v>117</v>
      </c>
      <c r="B816" s="0" t="s">
        <v>421</v>
      </c>
      <c r="C816" s="0" t="n">
        <v>74</v>
      </c>
      <c r="D816" s="0" t="n">
        <v>9</v>
      </c>
      <c r="E816" s="0" t="n">
        <v>3</v>
      </c>
      <c r="F816" s="0" t="n">
        <v>67</v>
      </c>
      <c r="G816" s="0" t="n">
        <v>100</v>
      </c>
      <c r="H816" s="0" t="s">
        <v>145</v>
      </c>
      <c r="I816" s="0" t="n">
        <v>100</v>
      </c>
      <c r="J816" s="0" t="n">
        <f aca="false">F816*E816</f>
        <v>201</v>
      </c>
      <c r="K816" s="0" t="str">
        <f aca="false">IF(G816&lt;1000,"1-Low",IF(G816&lt;5000,"2-Medium","3-Bulk"))</f>
        <v>1-Low</v>
      </c>
      <c r="L816" s="0" t="str">
        <f aca="false">IF(H816="TRUE","Out of stock","In stock")</f>
        <v>In stock</v>
      </c>
      <c r="M816" s="0" t="str">
        <f aca="false">IF(D816&lt;5,"1) Under 5%",IF(D816&lt;10,"2) 5-9%",IF(D816&lt;15,"3) 10-14%",IF(D816&lt;25,"4) 15-24%","5) 25%+"))))</f>
        <v>2) 5-9%</v>
      </c>
      <c r="N816" s="0" t="str">
        <f aca="false">IF(F816&lt;50,"1) Under Rs 50",IF(F816&lt;100,"2) Rs 50-99",IF(F816&lt;200,"3) Rs 100-199",IF(F816&lt;500,"4) Rs 200-499","5) Rs 500+"))))</f>
        <v>2) Rs 50-99</v>
      </c>
      <c r="O816" s="0" t="n">
        <f aca="false">G816*E816/1000</f>
        <v>0.3</v>
      </c>
    </row>
    <row r="817" customFormat="false" ht="15" hidden="false" customHeight="false" outlineLevel="0" collapsed="false">
      <c r="A817" s="0" t="s">
        <v>117</v>
      </c>
      <c r="B817" s="0" t="s">
        <v>422</v>
      </c>
      <c r="C817" s="0" t="n">
        <v>295</v>
      </c>
      <c r="D817" s="0" t="n">
        <v>16</v>
      </c>
      <c r="E817" s="0" t="n">
        <v>6</v>
      </c>
      <c r="F817" s="0" t="n">
        <v>245</v>
      </c>
      <c r="G817" s="0" t="n">
        <v>5000</v>
      </c>
      <c r="H817" s="0" t="s">
        <v>145</v>
      </c>
      <c r="I817" s="0" t="n">
        <v>5</v>
      </c>
      <c r="J817" s="0" t="n">
        <f aca="false">F817*E817</f>
        <v>1470</v>
      </c>
      <c r="K817" s="0" t="str">
        <f aca="false">IF(G817&lt;1000,"1-Low",IF(G817&lt;5000,"2-Medium","3-Bulk"))</f>
        <v>3-Bulk</v>
      </c>
      <c r="L817" s="0" t="str">
        <f aca="false">IF(H817="TRUE","Out of stock","In stock")</f>
        <v>In stock</v>
      </c>
      <c r="M817" s="0" t="str">
        <f aca="false">IF(D817&lt;5,"1) Under 5%",IF(D817&lt;10,"2) 5-9%",IF(D817&lt;15,"3) 10-14%",IF(D817&lt;25,"4) 15-24%","5) 25%+"))))</f>
        <v>4) 15-24%</v>
      </c>
      <c r="N817" s="0" t="str">
        <f aca="false">IF(F817&lt;50,"1) Under Rs 50",IF(F817&lt;100,"2) Rs 50-99",IF(F817&lt;200,"3) Rs 100-199",IF(F817&lt;500,"4) Rs 200-499","5) Rs 500+"))))</f>
        <v>4) Rs 200-499</v>
      </c>
      <c r="O817" s="0" t="n">
        <f aca="false">G817*E817/1000</f>
        <v>30</v>
      </c>
    </row>
    <row r="818" customFormat="false" ht="15" hidden="false" customHeight="false" outlineLevel="0" collapsed="false">
      <c r="A818" s="0" t="s">
        <v>117</v>
      </c>
      <c r="B818" s="0" t="s">
        <v>423</v>
      </c>
      <c r="C818" s="0" t="n">
        <v>50</v>
      </c>
      <c r="D818" s="0" t="n">
        <v>2</v>
      </c>
      <c r="E818" s="0" t="n">
        <v>6</v>
      </c>
      <c r="F818" s="0" t="n">
        <v>49</v>
      </c>
      <c r="G818" s="0" t="n">
        <v>200</v>
      </c>
      <c r="H818" s="0" t="s">
        <v>145</v>
      </c>
      <c r="I818" s="0" t="n">
        <v>200</v>
      </c>
      <c r="J818" s="0" t="n">
        <f aca="false">F818*E818</f>
        <v>294</v>
      </c>
      <c r="K818" s="0" t="str">
        <f aca="false">IF(G818&lt;1000,"1-Low",IF(G818&lt;5000,"2-Medium","3-Bulk"))</f>
        <v>1-Low</v>
      </c>
      <c r="L818" s="0" t="str">
        <f aca="false">IF(H818="TRUE","Out of stock","In stock")</f>
        <v>In stock</v>
      </c>
      <c r="M818" s="0" t="str">
        <f aca="false">IF(D818&lt;5,"1) Under 5%",IF(D818&lt;10,"2) 5-9%",IF(D818&lt;15,"3) 10-14%",IF(D818&lt;25,"4) 15-24%","5) 25%+"))))</f>
        <v>1) Under 5%</v>
      </c>
      <c r="N818" s="0" t="str">
        <f aca="false">IF(F818&lt;50,"1) Under Rs 50",IF(F818&lt;100,"2) Rs 50-99",IF(F818&lt;200,"3) Rs 100-199",IF(F818&lt;500,"4) Rs 200-499","5) Rs 500+"))))</f>
        <v>1) Under Rs 50</v>
      </c>
      <c r="O818" s="0" t="n">
        <f aca="false">G818*E818/1000</f>
        <v>1.2</v>
      </c>
    </row>
    <row r="819" customFormat="false" ht="15" hidden="false" customHeight="false" outlineLevel="0" collapsed="false">
      <c r="A819" s="0" t="s">
        <v>117</v>
      </c>
      <c r="B819" s="0" t="s">
        <v>424</v>
      </c>
      <c r="C819" s="0" t="n">
        <v>49</v>
      </c>
      <c r="D819" s="0" t="n">
        <v>8</v>
      </c>
      <c r="E819" s="0" t="n">
        <v>6</v>
      </c>
      <c r="F819" s="0" t="n">
        <v>45</v>
      </c>
      <c r="G819" s="0" t="n">
        <v>200</v>
      </c>
      <c r="H819" s="0" t="s">
        <v>145</v>
      </c>
      <c r="I819" s="0" t="n">
        <v>200</v>
      </c>
      <c r="J819" s="0" t="n">
        <f aca="false">F819*E819</f>
        <v>270</v>
      </c>
      <c r="K819" s="0" t="str">
        <f aca="false">IF(G819&lt;1000,"1-Low",IF(G819&lt;5000,"2-Medium","3-Bulk"))</f>
        <v>1-Low</v>
      </c>
      <c r="L819" s="0" t="str">
        <f aca="false">IF(H819="TRUE","Out of stock","In stock")</f>
        <v>In stock</v>
      </c>
      <c r="M819" s="0" t="str">
        <f aca="false">IF(D819&lt;5,"1) Under 5%",IF(D819&lt;10,"2) 5-9%",IF(D819&lt;15,"3) 10-14%",IF(D819&lt;25,"4) 15-24%","5) 25%+"))))</f>
        <v>2) 5-9%</v>
      </c>
      <c r="N819" s="0" t="str">
        <f aca="false">IF(F819&lt;50,"1) Under Rs 50",IF(F819&lt;100,"2) Rs 50-99",IF(F819&lt;200,"3) Rs 100-199",IF(F819&lt;500,"4) Rs 200-499","5) Rs 500+"))))</f>
        <v>1) Under Rs 50</v>
      </c>
      <c r="O819" s="0" t="n">
        <f aca="false">G819*E819/1000</f>
        <v>1.2</v>
      </c>
    </row>
    <row r="820" customFormat="false" ht="15" hidden="false" customHeight="false" outlineLevel="0" collapsed="false">
      <c r="A820" s="0" t="s">
        <v>117</v>
      </c>
      <c r="B820" s="0" t="s">
        <v>425</v>
      </c>
      <c r="C820" s="0" t="n">
        <v>75</v>
      </c>
      <c r="D820" s="0" t="n">
        <v>17</v>
      </c>
      <c r="E820" s="0" t="n">
        <v>6</v>
      </c>
      <c r="F820" s="0" t="n">
        <v>62</v>
      </c>
      <c r="G820" s="0" t="n">
        <v>50</v>
      </c>
      <c r="H820" s="0" t="s">
        <v>145</v>
      </c>
      <c r="I820" s="0" t="n">
        <v>50</v>
      </c>
      <c r="J820" s="0" t="n">
        <f aca="false">F820*E820</f>
        <v>372</v>
      </c>
      <c r="K820" s="0" t="str">
        <f aca="false">IF(G820&lt;1000,"1-Low",IF(G820&lt;5000,"2-Medium","3-Bulk"))</f>
        <v>1-Low</v>
      </c>
      <c r="L820" s="0" t="str">
        <f aca="false">IF(H820="TRUE","Out of stock","In stock")</f>
        <v>In stock</v>
      </c>
      <c r="M820" s="0" t="str">
        <f aca="false">IF(D820&lt;5,"1) Under 5%",IF(D820&lt;10,"2) 5-9%",IF(D820&lt;15,"3) 10-14%",IF(D820&lt;25,"4) 15-24%","5) 25%+"))))</f>
        <v>4) 15-24%</v>
      </c>
      <c r="N820" s="0" t="str">
        <f aca="false">IF(F820&lt;50,"1) Under Rs 50",IF(F820&lt;100,"2) Rs 50-99",IF(F820&lt;200,"3) Rs 100-199",IF(F820&lt;500,"4) Rs 200-499","5) Rs 500+"))))</f>
        <v>2) Rs 50-99</v>
      </c>
      <c r="O820" s="0" t="n">
        <f aca="false">G820*E820/1000</f>
        <v>0.3</v>
      </c>
    </row>
    <row r="821" customFormat="false" ht="15" hidden="false" customHeight="false" outlineLevel="0" collapsed="false">
      <c r="A821" s="0" t="s">
        <v>117</v>
      </c>
      <c r="B821" s="0" t="s">
        <v>426</v>
      </c>
      <c r="C821" s="0" t="n">
        <v>96</v>
      </c>
      <c r="D821" s="0" t="n">
        <v>15</v>
      </c>
      <c r="E821" s="0" t="n">
        <v>6</v>
      </c>
      <c r="F821" s="0" t="n">
        <v>81</v>
      </c>
      <c r="G821" s="0" t="n">
        <v>280</v>
      </c>
      <c r="H821" s="0" t="s">
        <v>145</v>
      </c>
      <c r="I821" s="0" t="n">
        <v>280</v>
      </c>
      <c r="J821" s="0" t="n">
        <f aca="false">F821*E821</f>
        <v>486</v>
      </c>
      <c r="K821" s="0" t="str">
        <f aca="false">IF(G821&lt;1000,"1-Low",IF(G821&lt;5000,"2-Medium","3-Bulk"))</f>
        <v>1-Low</v>
      </c>
      <c r="L821" s="0" t="str">
        <f aca="false">IF(H821="TRUE","Out of stock","In stock")</f>
        <v>In stock</v>
      </c>
      <c r="M821" s="0" t="str">
        <f aca="false">IF(D821&lt;5,"1) Under 5%",IF(D821&lt;10,"2) 5-9%",IF(D821&lt;15,"3) 10-14%",IF(D821&lt;25,"4) 15-24%","5) 25%+"))))</f>
        <v>4) 15-24%</v>
      </c>
      <c r="N821" s="0" t="str">
        <f aca="false">IF(F821&lt;50,"1) Under Rs 50",IF(F821&lt;100,"2) Rs 50-99",IF(F821&lt;200,"3) Rs 100-199",IF(F821&lt;500,"4) Rs 200-499","5) Rs 500+"))))</f>
        <v>2) Rs 50-99</v>
      </c>
      <c r="O821" s="0" t="n">
        <f aca="false">G821*E821/1000</f>
        <v>1.68</v>
      </c>
    </row>
    <row r="822" customFormat="false" ht="15" hidden="false" customHeight="false" outlineLevel="0" collapsed="false">
      <c r="A822" s="0" t="s">
        <v>117</v>
      </c>
      <c r="B822" s="0" t="s">
        <v>427</v>
      </c>
      <c r="C822" s="0" t="n">
        <v>40</v>
      </c>
      <c r="D822" s="0" t="n">
        <v>5</v>
      </c>
      <c r="E822" s="0" t="n">
        <v>6</v>
      </c>
      <c r="F822" s="0" t="n">
        <v>38</v>
      </c>
      <c r="G822" s="0" t="n">
        <v>50</v>
      </c>
      <c r="H822" s="0" t="s">
        <v>145</v>
      </c>
      <c r="I822" s="0" t="n">
        <v>50</v>
      </c>
      <c r="J822" s="0" t="n">
        <f aca="false">F822*E822</f>
        <v>228</v>
      </c>
      <c r="K822" s="0" t="str">
        <f aca="false">IF(G822&lt;1000,"1-Low",IF(G822&lt;5000,"2-Medium","3-Bulk"))</f>
        <v>1-Low</v>
      </c>
      <c r="L822" s="0" t="str">
        <f aca="false">IF(H822="TRUE","Out of stock","In stock")</f>
        <v>In stock</v>
      </c>
      <c r="M822" s="0" t="str">
        <f aca="false">IF(D822&lt;5,"1) Under 5%",IF(D822&lt;10,"2) 5-9%",IF(D822&lt;15,"3) 10-14%",IF(D822&lt;25,"4) 15-24%","5) 25%+"))))</f>
        <v>2) 5-9%</v>
      </c>
      <c r="N822" s="0" t="str">
        <f aca="false">IF(F822&lt;50,"1) Under Rs 50",IF(F822&lt;100,"2) Rs 50-99",IF(F822&lt;200,"3) Rs 100-199",IF(F822&lt;500,"4) Rs 200-499","5) Rs 500+"))))</f>
        <v>1) Under Rs 50</v>
      </c>
      <c r="O822" s="0" t="n">
        <f aca="false">G822*E822/1000</f>
        <v>0.3</v>
      </c>
    </row>
    <row r="823" customFormat="false" ht="15" hidden="false" customHeight="false" outlineLevel="0" collapsed="false">
      <c r="A823" s="0" t="s">
        <v>117</v>
      </c>
      <c r="B823" s="0" t="s">
        <v>428</v>
      </c>
      <c r="C823" s="0" t="n">
        <v>35</v>
      </c>
      <c r="D823" s="0" t="n">
        <v>2</v>
      </c>
      <c r="E823" s="0" t="n">
        <v>6</v>
      </c>
      <c r="F823" s="0" t="n">
        <v>34</v>
      </c>
      <c r="G823" s="0" t="n">
        <v>100</v>
      </c>
      <c r="H823" s="0" t="s">
        <v>145</v>
      </c>
      <c r="I823" s="0" t="n">
        <v>100</v>
      </c>
      <c r="J823" s="0" t="n">
        <f aca="false">F823*E823</f>
        <v>204</v>
      </c>
      <c r="K823" s="0" t="str">
        <f aca="false">IF(G823&lt;1000,"1-Low",IF(G823&lt;5000,"2-Medium","3-Bulk"))</f>
        <v>1-Low</v>
      </c>
      <c r="L823" s="0" t="str">
        <f aca="false">IF(H823="TRUE","Out of stock","In stock")</f>
        <v>In stock</v>
      </c>
      <c r="M823" s="0" t="str">
        <f aca="false">IF(D823&lt;5,"1) Under 5%",IF(D823&lt;10,"2) 5-9%",IF(D823&lt;15,"3) 10-14%",IF(D823&lt;25,"4) 15-24%","5) 25%+"))))</f>
        <v>1) Under 5%</v>
      </c>
      <c r="N823" s="0" t="str">
        <f aca="false">IF(F823&lt;50,"1) Under Rs 50",IF(F823&lt;100,"2) Rs 50-99",IF(F823&lt;200,"3) Rs 100-199",IF(F823&lt;500,"4) Rs 200-499","5) Rs 500+"))))</f>
        <v>1) Under Rs 50</v>
      </c>
      <c r="O823" s="0" t="n">
        <f aca="false">G823*E823/1000</f>
        <v>0.6</v>
      </c>
    </row>
    <row r="824" customFormat="false" ht="15" hidden="false" customHeight="false" outlineLevel="0" collapsed="false">
      <c r="A824" s="0" t="s">
        <v>117</v>
      </c>
      <c r="B824" s="0" t="s">
        <v>429</v>
      </c>
      <c r="C824" s="0" t="n">
        <v>190</v>
      </c>
      <c r="D824" s="0" t="n">
        <v>0</v>
      </c>
      <c r="E824" s="0" t="n">
        <v>4</v>
      </c>
      <c r="F824" s="0" t="n">
        <v>190</v>
      </c>
      <c r="G824" s="0" t="n">
        <v>500</v>
      </c>
      <c r="H824" s="0" t="s">
        <v>145</v>
      </c>
      <c r="I824" s="0" t="n">
        <v>500</v>
      </c>
      <c r="J824" s="0" t="n">
        <f aca="false">F824*E824</f>
        <v>760</v>
      </c>
      <c r="K824" s="0" t="str">
        <f aca="false">IF(G824&lt;1000,"1-Low",IF(G824&lt;5000,"2-Medium","3-Bulk"))</f>
        <v>1-Low</v>
      </c>
      <c r="L824" s="0" t="str">
        <f aca="false">IF(H824="TRUE","Out of stock","In stock")</f>
        <v>In stock</v>
      </c>
      <c r="M824" s="0" t="str">
        <f aca="false">IF(D824&lt;5,"1) Under 5%",IF(D824&lt;10,"2) 5-9%",IF(D824&lt;15,"3) 10-14%",IF(D824&lt;25,"4) 15-24%","5) 25%+"))))</f>
        <v>1) Under 5%</v>
      </c>
      <c r="N824" s="0" t="str">
        <f aca="false">IF(F824&lt;50,"1) Under Rs 50",IF(F824&lt;100,"2) Rs 50-99",IF(F824&lt;200,"3) Rs 100-199",IF(F824&lt;500,"4) Rs 200-499","5) Rs 500+"))))</f>
        <v>3) Rs 100-199</v>
      </c>
      <c r="O824" s="0" t="n">
        <f aca="false">G824*E824/1000</f>
        <v>2</v>
      </c>
    </row>
    <row r="825" customFormat="false" ht="15" hidden="false" customHeight="false" outlineLevel="0" collapsed="false">
      <c r="A825" s="0" t="s">
        <v>117</v>
      </c>
      <c r="B825" s="0" t="s">
        <v>430</v>
      </c>
      <c r="C825" s="0" t="n">
        <v>40</v>
      </c>
      <c r="D825" s="0" t="n">
        <v>2</v>
      </c>
      <c r="E825" s="0" t="n">
        <v>6</v>
      </c>
      <c r="F825" s="0" t="n">
        <v>39</v>
      </c>
      <c r="G825" s="0" t="n">
        <v>50</v>
      </c>
      <c r="H825" s="0" t="s">
        <v>145</v>
      </c>
      <c r="I825" s="0" t="n">
        <v>50</v>
      </c>
      <c r="J825" s="0" t="n">
        <f aca="false">F825*E825</f>
        <v>234</v>
      </c>
      <c r="K825" s="0" t="str">
        <f aca="false">IF(G825&lt;1000,"1-Low",IF(G825&lt;5000,"2-Medium","3-Bulk"))</f>
        <v>1-Low</v>
      </c>
      <c r="L825" s="0" t="str">
        <f aca="false">IF(H825="TRUE","Out of stock","In stock")</f>
        <v>In stock</v>
      </c>
      <c r="M825" s="0" t="str">
        <f aca="false">IF(D825&lt;5,"1) Under 5%",IF(D825&lt;10,"2) 5-9%",IF(D825&lt;15,"3) 10-14%",IF(D825&lt;25,"4) 15-24%","5) 25%+"))))</f>
        <v>1) Under 5%</v>
      </c>
      <c r="N825" s="0" t="str">
        <f aca="false">IF(F825&lt;50,"1) Under Rs 50",IF(F825&lt;100,"2) Rs 50-99",IF(F825&lt;200,"3) Rs 100-199",IF(F825&lt;500,"4) Rs 200-499","5) Rs 500+"))))</f>
        <v>1) Under Rs 50</v>
      </c>
      <c r="O825" s="0" t="n">
        <f aca="false">G825*E825/1000</f>
        <v>0.3</v>
      </c>
    </row>
    <row r="826" customFormat="false" ht="15" hidden="false" customHeight="false" outlineLevel="0" collapsed="false">
      <c r="A826" s="0" t="s">
        <v>117</v>
      </c>
      <c r="B826" s="0" t="s">
        <v>431</v>
      </c>
      <c r="C826" s="0" t="n">
        <v>60</v>
      </c>
      <c r="D826" s="0" t="n">
        <v>15</v>
      </c>
      <c r="E826" s="0" t="n">
        <v>6</v>
      </c>
      <c r="F826" s="0" t="n">
        <v>51</v>
      </c>
      <c r="G826" s="0" t="n">
        <v>50</v>
      </c>
      <c r="H826" s="0" t="s">
        <v>145</v>
      </c>
      <c r="I826" s="0" t="n">
        <v>50</v>
      </c>
      <c r="J826" s="0" t="n">
        <f aca="false">F826*E826</f>
        <v>306</v>
      </c>
      <c r="K826" s="0" t="str">
        <f aca="false">IF(G826&lt;1000,"1-Low",IF(G826&lt;5000,"2-Medium","3-Bulk"))</f>
        <v>1-Low</v>
      </c>
      <c r="L826" s="0" t="str">
        <f aca="false">IF(H826="TRUE","Out of stock","In stock")</f>
        <v>In stock</v>
      </c>
      <c r="M826" s="0" t="str">
        <f aca="false">IF(D826&lt;5,"1) Under 5%",IF(D826&lt;10,"2) 5-9%",IF(D826&lt;15,"3) 10-14%",IF(D826&lt;25,"4) 15-24%","5) 25%+"))))</f>
        <v>4) 15-24%</v>
      </c>
      <c r="N826" s="0" t="str">
        <f aca="false">IF(F826&lt;50,"1) Under Rs 50",IF(F826&lt;100,"2) Rs 50-99",IF(F826&lt;200,"3) Rs 100-199",IF(F826&lt;500,"4) Rs 200-499","5) Rs 500+"))))</f>
        <v>2) Rs 50-99</v>
      </c>
      <c r="O826" s="0" t="n">
        <f aca="false">G826*E826/1000</f>
        <v>0.3</v>
      </c>
    </row>
    <row r="827" customFormat="false" ht="15" hidden="false" customHeight="false" outlineLevel="0" collapsed="false">
      <c r="A827" s="0" t="s">
        <v>117</v>
      </c>
      <c r="B827" s="0" t="s">
        <v>432</v>
      </c>
      <c r="C827" s="0" t="n">
        <v>95</v>
      </c>
      <c r="D827" s="0" t="n">
        <v>0</v>
      </c>
      <c r="E827" s="0" t="n">
        <v>6</v>
      </c>
      <c r="F827" s="0" t="n">
        <v>95</v>
      </c>
      <c r="G827" s="0" t="n">
        <v>500</v>
      </c>
      <c r="H827" s="0" t="s">
        <v>145</v>
      </c>
      <c r="I827" s="0" t="n">
        <v>500</v>
      </c>
      <c r="J827" s="0" t="n">
        <f aca="false">F827*E827</f>
        <v>570</v>
      </c>
      <c r="K827" s="0" t="str">
        <f aca="false">IF(G827&lt;1000,"1-Low",IF(G827&lt;5000,"2-Medium","3-Bulk"))</f>
        <v>1-Low</v>
      </c>
      <c r="L827" s="0" t="str">
        <f aca="false">IF(H827="TRUE","Out of stock","In stock")</f>
        <v>In stock</v>
      </c>
      <c r="M827" s="0" t="str">
        <f aca="false">IF(D827&lt;5,"1) Under 5%",IF(D827&lt;10,"2) 5-9%",IF(D827&lt;15,"3) 10-14%",IF(D827&lt;25,"4) 15-24%","5) 25%+"))))</f>
        <v>1) Under 5%</v>
      </c>
      <c r="N827" s="0" t="str">
        <f aca="false">IF(F827&lt;50,"1) Under Rs 50",IF(F827&lt;100,"2) Rs 50-99",IF(F827&lt;200,"3) Rs 100-199",IF(F827&lt;500,"4) Rs 200-499","5) Rs 500+"))))</f>
        <v>2) Rs 50-99</v>
      </c>
      <c r="O827" s="0" t="n">
        <f aca="false">G827*E827/1000</f>
        <v>3</v>
      </c>
    </row>
    <row r="828" customFormat="false" ht="15" hidden="false" customHeight="false" outlineLevel="0" collapsed="false">
      <c r="A828" s="0" t="s">
        <v>117</v>
      </c>
      <c r="B828" s="0" t="s">
        <v>433</v>
      </c>
      <c r="C828" s="0" t="n">
        <v>46</v>
      </c>
      <c r="D828" s="0" t="n">
        <v>0</v>
      </c>
      <c r="E828" s="0" t="n">
        <v>6</v>
      </c>
      <c r="F828" s="0" t="n">
        <v>46</v>
      </c>
      <c r="G828" s="0" t="n">
        <v>54</v>
      </c>
      <c r="H828" s="0" t="s">
        <v>145</v>
      </c>
      <c r="I828" s="0" t="n">
        <v>54</v>
      </c>
      <c r="J828" s="0" t="n">
        <f aca="false">F828*E828</f>
        <v>276</v>
      </c>
      <c r="K828" s="0" t="str">
        <f aca="false">IF(G828&lt;1000,"1-Low",IF(G828&lt;5000,"2-Medium","3-Bulk"))</f>
        <v>1-Low</v>
      </c>
      <c r="L828" s="0" t="str">
        <f aca="false">IF(H828="TRUE","Out of stock","In stock")</f>
        <v>In stock</v>
      </c>
      <c r="M828" s="0" t="str">
        <f aca="false">IF(D828&lt;5,"1) Under 5%",IF(D828&lt;10,"2) 5-9%",IF(D828&lt;15,"3) 10-14%",IF(D828&lt;25,"4) 15-24%","5) 25%+"))))</f>
        <v>1) Under 5%</v>
      </c>
      <c r="N828" s="0" t="str">
        <f aca="false">IF(F828&lt;50,"1) Under Rs 50",IF(F828&lt;100,"2) Rs 50-99",IF(F828&lt;200,"3) Rs 100-199",IF(F828&lt;500,"4) Rs 200-499","5) Rs 500+"))))</f>
        <v>1) Under Rs 50</v>
      </c>
      <c r="O828" s="0" t="n">
        <f aca="false">G828*E828/1000</f>
        <v>0.324</v>
      </c>
    </row>
    <row r="829" customFormat="false" ht="15" hidden="false" customHeight="false" outlineLevel="0" collapsed="false">
      <c r="A829" s="0" t="s">
        <v>117</v>
      </c>
      <c r="B829" s="0" t="s">
        <v>434</v>
      </c>
      <c r="C829" s="0" t="n">
        <v>142</v>
      </c>
      <c r="D829" s="0" t="n">
        <v>9</v>
      </c>
      <c r="E829" s="0" t="n">
        <v>3</v>
      </c>
      <c r="F829" s="0" t="n">
        <v>128</v>
      </c>
      <c r="G829" s="0" t="n">
        <v>500</v>
      </c>
      <c r="H829" s="0" t="s">
        <v>145</v>
      </c>
      <c r="I829" s="0" t="n">
        <v>500</v>
      </c>
      <c r="J829" s="0" t="n">
        <f aca="false">F829*E829</f>
        <v>384</v>
      </c>
      <c r="K829" s="0" t="str">
        <f aca="false">IF(G829&lt;1000,"1-Low",IF(G829&lt;5000,"2-Medium","3-Bulk"))</f>
        <v>1-Low</v>
      </c>
      <c r="L829" s="0" t="str">
        <f aca="false">IF(H829="TRUE","Out of stock","In stock")</f>
        <v>In stock</v>
      </c>
      <c r="M829" s="0" t="str">
        <f aca="false">IF(D829&lt;5,"1) Under 5%",IF(D829&lt;10,"2) 5-9%",IF(D829&lt;15,"3) 10-14%",IF(D829&lt;25,"4) 15-24%","5) 25%+"))))</f>
        <v>2) 5-9%</v>
      </c>
      <c r="N829" s="0" t="str">
        <f aca="false">IF(F829&lt;50,"1) Under Rs 50",IF(F829&lt;100,"2) Rs 50-99",IF(F829&lt;200,"3) Rs 100-199",IF(F829&lt;500,"4) Rs 200-499","5) Rs 500+"))))</f>
        <v>3) Rs 100-199</v>
      </c>
      <c r="O829" s="0" t="n">
        <f aca="false">G829*E829/1000</f>
        <v>1.5</v>
      </c>
    </row>
    <row r="830" customFormat="false" ht="15" hidden="false" customHeight="false" outlineLevel="0" collapsed="false">
      <c r="A830" s="0" t="s">
        <v>117</v>
      </c>
      <c r="B830" s="0" t="s">
        <v>435</v>
      </c>
      <c r="C830" s="0" t="n">
        <v>300</v>
      </c>
      <c r="D830" s="0" t="n">
        <v>10</v>
      </c>
      <c r="E830" s="0" t="n">
        <v>3</v>
      </c>
      <c r="F830" s="0" t="n">
        <v>270</v>
      </c>
      <c r="G830" s="0" t="n">
        <v>42</v>
      </c>
      <c r="H830" s="0" t="s">
        <v>145</v>
      </c>
      <c r="I830" s="0" t="n">
        <v>42</v>
      </c>
      <c r="J830" s="0" t="n">
        <f aca="false">F830*E830</f>
        <v>810</v>
      </c>
      <c r="K830" s="0" t="str">
        <f aca="false">IF(G830&lt;1000,"1-Low",IF(G830&lt;5000,"2-Medium","3-Bulk"))</f>
        <v>1-Low</v>
      </c>
      <c r="L830" s="0" t="str">
        <f aca="false">IF(H830="TRUE","Out of stock","In stock")</f>
        <v>In stock</v>
      </c>
      <c r="M830" s="0" t="str">
        <f aca="false">IF(D830&lt;5,"1) Under 5%",IF(D830&lt;10,"2) 5-9%",IF(D830&lt;15,"3) 10-14%",IF(D830&lt;25,"4) 15-24%","5) 25%+"))))</f>
        <v>3) 10-14%</v>
      </c>
      <c r="N830" s="0" t="str">
        <f aca="false">IF(F830&lt;50,"1) Under Rs 50",IF(F830&lt;100,"2) Rs 50-99",IF(F830&lt;200,"3) Rs 100-199",IF(F830&lt;500,"4) Rs 200-499","5) Rs 500+"))))</f>
        <v>4) Rs 200-499</v>
      </c>
      <c r="O830" s="0" t="n">
        <f aca="false">G830*E830/1000</f>
        <v>0.126</v>
      </c>
    </row>
    <row r="831" customFormat="false" ht="15" hidden="false" customHeight="false" outlineLevel="0" collapsed="false">
      <c r="A831" s="0" t="s">
        <v>117</v>
      </c>
      <c r="B831" s="0" t="s">
        <v>436</v>
      </c>
      <c r="C831" s="0" t="n">
        <v>37</v>
      </c>
      <c r="D831" s="0" t="n">
        <v>2</v>
      </c>
      <c r="E831" s="0" t="n">
        <v>6</v>
      </c>
      <c r="F831" s="0" t="n">
        <v>36</v>
      </c>
      <c r="G831" s="0" t="n">
        <v>100</v>
      </c>
      <c r="H831" s="0" t="s">
        <v>145</v>
      </c>
      <c r="I831" s="0" t="n">
        <v>100</v>
      </c>
      <c r="J831" s="0" t="n">
        <f aca="false">F831*E831</f>
        <v>216</v>
      </c>
      <c r="K831" s="0" t="str">
        <f aca="false">IF(G831&lt;1000,"1-Low",IF(G831&lt;5000,"2-Medium","3-Bulk"))</f>
        <v>1-Low</v>
      </c>
      <c r="L831" s="0" t="str">
        <f aca="false">IF(H831="TRUE","Out of stock","In stock")</f>
        <v>In stock</v>
      </c>
      <c r="M831" s="0" t="str">
        <f aca="false">IF(D831&lt;5,"1) Under 5%",IF(D831&lt;10,"2) 5-9%",IF(D831&lt;15,"3) 10-14%",IF(D831&lt;25,"4) 15-24%","5) 25%+"))))</f>
        <v>1) Under 5%</v>
      </c>
      <c r="N831" s="0" t="str">
        <f aca="false">IF(F831&lt;50,"1) Under Rs 50",IF(F831&lt;100,"2) Rs 50-99",IF(F831&lt;200,"3) Rs 100-199",IF(F831&lt;500,"4) Rs 200-499","5) Rs 500+"))))</f>
        <v>1) Under Rs 50</v>
      </c>
      <c r="O831" s="0" t="n">
        <f aca="false">G831*E831/1000</f>
        <v>0.6</v>
      </c>
    </row>
    <row r="832" customFormat="false" ht="15" hidden="false" customHeight="false" outlineLevel="0" collapsed="false">
      <c r="A832" s="0" t="s">
        <v>117</v>
      </c>
      <c r="B832" s="0" t="s">
        <v>437</v>
      </c>
      <c r="C832" s="0" t="n">
        <v>145</v>
      </c>
      <c r="D832" s="0" t="n">
        <v>0</v>
      </c>
      <c r="E832" s="0" t="n">
        <v>6</v>
      </c>
      <c r="F832" s="0" t="n">
        <v>145</v>
      </c>
      <c r="G832" s="0" t="n">
        <v>500</v>
      </c>
      <c r="H832" s="0" t="s">
        <v>145</v>
      </c>
      <c r="I832" s="0" t="n">
        <v>500</v>
      </c>
      <c r="J832" s="0" t="n">
        <f aca="false">F832*E832</f>
        <v>870</v>
      </c>
      <c r="K832" s="0" t="str">
        <f aca="false">IF(G832&lt;1000,"1-Low",IF(G832&lt;5000,"2-Medium","3-Bulk"))</f>
        <v>1-Low</v>
      </c>
      <c r="L832" s="0" t="str">
        <f aca="false">IF(H832="TRUE","Out of stock","In stock")</f>
        <v>In stock</v>
      </c>
      <c r="M832" s="0" t="str">
        <f aca="false">IF(D832&lt;5,"1) Under 5%",IF(D832&lt;10,"2) 5-9%",IF(D832&lt;15,"3) 10-14%",IF(D832&lt;25,"4) 15-24%","5) 25%+"))))</f>
        <v>1) Under 5%</v>
      </c>
      <c r="N832" s="0" t="str">
        <f aca="false">IF(F832&lt;50,"1) Under Rs 50",IF(F832&lt;100,"2) Rs 50-99",IF(F832&lt;200,"3) Rs 100-199",IF(F832&lt;500,"4) Rs 200-499","5) Rs 500+"))))</f>
        <v>3) Rs 100-199</v>
      </c>
      <c r="O832" s="0" t="n">
        <f aca="false">G832*E832/1000</f>
        <v>3</v>
      </c>
    </row>
    <row r="833" customFormat="false" ht="15" hidden="false" customHeight="false" outlineLevel="0" collapsed="false">
      <c r="A833" s="0" t="s">
        <v>117</v>
      </c>
      <c r="B833" s="0" t="s">
        <v>438</v>
      </c>
      <c r="C833" s="0" t="n">
        <v>35</v>
      </c>
      <c r="D833" s="0" t="n">
        <v>2</v>
      </c>
      <c r="E833" s="0" t="n">
        <v>6</v>
      </c>
      <c r="F833" s="0" t="n">
        <v>34</v>
      </c>
      <c r="G833" s="0" t="n">
        <v>500</v>
      </c>
      <c r="H833" s="0" t="s">
        <v>145</v>
      </c>
      <c r="I833" s="0" t="n">
        <v>500</v>
      </c>
      <c r="J833" s="0" t="n">
        <f aca="false">F833*E833</f>
        <v>204</v>
      </c>
      <c r="K833" s="0" t="str">
        <f aca="false">IF(G833&lt;1000,"1-Low",IF(G833&lt;5000,"2-Medium","3-Bulk"))</f>
        <v>1-Low</v>
      </c>
      <c r="L833" s="0" t="str">
        <f aca="false">IF(H833="TRUE","Out of stock","In stock")</f>
        <v>In stock</v>
      </c>
      <c r="M833" s="0" t="str">
        <f aca="false">IF(D833&lt;5,"1) Under 5%",IF(D833&lt;10,"2) 5-9%",IF(D833&lt;15,"3) 10-14%",IF(D833&lt;25,"4) 15-24%","5) 25%+"))))</f>
        <v>1) Under 5%</v>
      </c>
      <c r="N833" s="0" t="str">
        <f aca="false">IF(F833&lt;50,"1) Under Rs 50",IF(F833&lt;100,"2) Rs 50-99",IF(F833&lt;200,"3) Rs 100-199",IF(F833&lt;500,"4) Rs 200-499","5) Rs 500+"))))</f>
        <v>1) Under Rs 50</v>
      </c>
      <c r="O833" s="0" t="n">
        <f aca="false">G833*E833/1000</f>
        <v>3</v>
      </c>
    </row>
    <row r="834" customFormat="false" ht="15" hidden="false" customHeight="false" outlineLevel="0" collapsed="false">
      <c r="A834" s="0" t="s">
        <v>117</v>
      </c>
      <c r="B834" s="0" t="s">
        <v>439</v>
      </c>
      <c r="C834" s="0" t="n">
        <v>205</v>
      </c>
      <c r="D834" s="0" t="n">
        <v>5</v>
      </c>
      <c r="E834" s="0" t="n">
        <v>1</v>
      </c>
      <c r="F834" s="0" t="n">
        <v>194</v>
      </c>
      <c r="G834" s="0" t="n">
        <v>250</v>
      </c>
      <c r="H834" s="0" t="s">
        <v>145</v>
      </c>
      <c r="I834" s="0" t="n">
        <v>250</v>
      </c>
      <c r="J834" s="0" t="n">
        <f aca="false">F834*E834</f>
        <v>194</v>
      </c>
      <c r="K834" s="0" t="str">
        <f aca="false">IF(G834&lt;1000,"1-Low",IF(G834&lt;5000,"2-Medium","3-Bulk"))</f>
        <v>1-Low</v>
      </c>
      <c r="L834" s="0" t="str">
        <f aca="false">IF(H834="TRUE","Out of stock","In stock")</f>
        <v>In stock</v>
      </c>
      <c r="M834" s="0" t="str">
        <f aca="false">IF(D834&lt;5,"1) Under 5%",IF(D834&lt;10,"2) 5-9%",IF(D834&lt;15,"3) 10-14%",IF(D834&lt;25,"4) 15-24%","5) 25%+"))))</f>
        <v>2) 5-9%</v>
      </c>
      <c r="N834" s="0" t="str">
        <f aca="false">IF(F834&lt;50,"1) Under Rs 50",IF(F834&lt;100,"2) Rs 50-99",IF(F834&lt;200,"3) Rs 100-199",IF(F834&lt;500,"4) Rs 200-499","5) Rs 500+"))))</f>
        <v>3) Rs 100-199</v>
      </c>
      <c r="O834" s="0" t="n">
        <f aca="false">G834*E834/1000</f>
        <v>0.25</v>
      </c>
    </row>
    <row r="835" customFormat="false" ht="15" hidden="false" customHeight="false" outlineLevel="0" collapsed="false">
      <c r="A835" s="0" t="s">
        <v>117</v>
      </c>
      <c r="B835" s="0" t="s">
        <v>440</v>
      </c>
      <c r="C835" s="0" t="n">
        <v>99</v>
      </c>
      <c r="D835" s="0" t="n">
        <v>0</v>
      </c>
      <c r="E835" s="0" t="n">
        <v>6</v>
      </c>
      <c r="F835" s="0" t="n">
        <v>99</v>
      </c>
      <c r="G835" s="0" t="n">
        <v>75</v>
      </c>
      <c r="H835" s="0" t="s">
        <v>145</v>
      </c>
      <c r="I835" s="0" t="n">
        <v>75</v>
      </c>
      <c r="J835" s="0" t="n">
        <f aca="false">F835*E835</f>
        <v>594</v>
      </c>
      <c r="K835" s="0" t="str">
        <f aca="false">IF(G835&lt;1000,"1-Low",IF(G835&lt;5000,"2-Medium","3-Bulk"))</f>
        <v>1-Low</v>
      </c>
      <c r="L835" s="0" t="str">
        <f aca="false">IF(H835="TRUE","Out of stock","In stock")</f>
        <v>In stock</v>
      </c>
      <c r="M835" s="0" t="str">
        <f aca="false">IF(D835&lt;5,"1) Under 5%",IF(D835&lt;10,"2) 5-9%",IF(D835&lt;15,"3) 10-14%",IF(D835&lt;25,"4) 15-24%","5) 25%+"))))</f>
        <v>1) Under 5%</v>
      </c>
      <c r="N835" s="0" t="str">
        <f aca="false">IF(F835&lt;50,"1) Under Rs 50",IF(F835&lt;100,"2) Rs 50-99",IF(F835&lt;200,"3) Rs 100-199",IF(F835&lt;500,"4) Rs 200-499","5) Rs 500+"))))</f>
        <v>2) Rs 50-99</v>
      </c>
      <c r="O835" s="0" t="n">
        <f aca="false">G835*E835/1000</f>
        <v>0.45</v>
      </c>
    </row>
    <row r="836" customFormat="false" ht="15" hidden="false" customHeight="false" outlineLevel="0" collapsed="false">
      <c r="A836" s="0" t="s">
        <v>117</v>
      </c>
      <c r="B836" s="0" t="s">
        <v>270</v>
      </c>
      <c r="C836" s="0" t="n">
        <v>195</v>
      </c>
      <c r="D836" s="0" t="n">
        <v>12</v>
      </c>
      <c r="E836" s="0" t="n">
        <v>2</v>
      </c>
      <c r="F836" s="0" t="n">
        <v>171</v>
      </c>
      <c r="G836" s="0" t="n">
        <v>500</v>
      </c>
      <c r="H836" s="0" t="s">
        <v>145</v>
      </c>
      <c r="I836" s="0" t="n">
        <v>500</v>
      </c>
      <c r="J836" s="0" t="n">
        <f aca="false">F836*E836</f>
        <v>342</v>
      </c>
      <c r="K836" s="0" t="str">
        <f aca="false">IF(G836&lt;1000,"1-Low",IF(G836&lt;5000,"2-Medium","3-Bulk"))</f>
        <v>1-Low</v>
      </c>
      <c r="L836" s="0" t="str">
        <f aca="false">IF(H836="TRUE","Out of stock","In stock")</f>
        <v>In stock</v>
      </c>
      <c r="M836" s="0" t="str">
        <f aca="false">IF(D836&lt;5,"1) Under 5%",IF(D836&lt;10,"2) 5-9%",IF(D836&lt;15,"3) 10-14%",IF(D836&lt;25,"4) 15-24%","5) 25%+"))))</f>
        <v>3) 10-14%</v>
      </c>
      <c r="N836" s="0" t="str">
        <f aca="false">IF(F836&lt;50,"1) Under Rs 50",IF(F836&lt;100,"2) Rs 50-99",IF(F836&lt;200,"3) Rs 100-199",IF(F836&lt;500,"4) Rs 200-499","5) Rs 500+"))))</f>
        <v>3) Rs 100-199</v>
      </c>
      <c r="O836" s="0" t="n">
        <f aca="false">G836*E836/1000</f>
        <v>1</v>
      </c>
    </row>
    <row r="837" customFormat="false" ht="15" hidden="false" customHeight="false" outlineLevel="0" collapsed="false">
      <c r="A837" s="0" t="s">
        <v>117</v>
      </c>
      <c r="B837" s="0" t="s">
        <v>441</v>
      </c>
      <c r="C837" s="0" t="n">
        <v>85</v>
      </c>
      <c r="D837" s="0" t="n">
        <v>9</v>
      </c>
      <c r="E837" s="0" t="n">
        <v>5</v>
      </c>
      <c r="F837" s="0" t="n">
        <v>77</v>
      </c>
      <c r="G837" s="0" t="n">
        <v>500</v>
      </c>
      <c r="H837" s="0" t="s">
        <v>145</v>
      </c>
      <c r="I837" s="0" t="n">
        <v>500</v>
      </c>
      <c r="J837" s="0" t="n">
        <f aca="false">F837*E837</f>
        <v>385</v>
      </c>
      <c r="K837" s="0" t="str">
        <f aca="false">IF(G837&lt;1000,"1-Low",IF(G837&lt;5000,"2-Medium","3-Bulk"))</f>
        <v>1-Low</v>
      </c>
      <c r="L837" s="0" t="str">
        <f aca="false">IF(H837="TRUE","Out of stock","In stock")</f>
        <v>In stock</v>
      </c>
      <c r="M837" s="0" t="str">
        <f aca="false">IF(D837&lt;5,"1) Under 5%",IF(D837&lt;10,"2) 5-9%",IF(D837&lt;15,"3) 10-14%",IF(D837&lt;25,"4) 15-24%","5) 25%+"))))</f>
        <v>2) 5-9%</v>
      </c>
      <c r="N837" s="0" t="str">
        <f aca="false">IF(F837&lt;50,"1) Under Rs 50",IF(F837&lt;100,"2) Rs 50-99",IF(F837&lt;200,"3) Rs 100-199",IF(F837&lt;500,"4) Rs 200-499","5) Rs 500+"))))</f>
        <v>2) Rs 50-99</v>
      </c>
      <c r="O837" s="0" t="n">
        <f aca="false">G837*E837/1000</f>
        <v>2.5</v>
      </c>
    </row>
    <row r="838" customFormat="false" ht="15" hidden="false" customHeight="false" outlineLevel="0" collapsed="false">
      <c r="A838" s="0" t="s">
        <v>117</v>
      </c>
      <c r="B838" s="0" t="s">
        <v>342</v>
      </c>
      <c r="C838" s="0" t="n">
        <v>22</v>
      </c>
      <c r="D838" s="0" t="n">
        <v>0</v>
      </c>
      <c r="E838" s="0" t="n">
        <v>6</v>
      </c>
      <c r="F838" s="0" t="n">
        <v>22</v>
      </c>
      <c r="G838" s="0" t="n">
        <v>50</v>
      </c>
      <c r="H838" s="0" t="s">
        <v>145</v>
      </c>
      <c r="I838" s="0" t="n">
        <v>50</v>
      </c>
      <c r="J838" s="0" t="n">
        <f aca="false">F838*E838</f>
        <v>132</v>
      </c>
      <c r="K838" s="0" t="str">
        <f aca="false">IF(G838&lt;1000,"1-Low",IF(G838&lt;5000,"2-Medium","3-Bulk"))</f>
        <v>1-Low</v>
      </c>
      <c r="L838" s="0" t="str">
        <f aca="false">IF(H838="TRUE","Out of stock","In stock")</f>
        <v>In stock</v>
      </c>
      <c r="M838" s="0" t="str">
        <f aca="false">IF(D838&lt;5,"1) Under 5%",IF(D838&lt;10,"2) 5-9%",IF(D838&lt;15,"3) 10-14%",IF(D838&lt;25,"4) 15-24%","5) 25%+"))))</f>
        <v>1) Under 5%</v>
      </c>
      <c r="N838" s="0" t="str">
        <f aca="false">IF(F838&lt;50,"1) Under Rs 50",IF(F838&lt;100,"2) Rs 50-99",IF(F838&lt;200,"3) Rs 100-199",IF(F838&lt;500,"4) Rs 200-499","5) Rs 500+"))))</f>
        <v>1) Under Rs 50</v>
      </c>
      <c r="O838" s="0" t="n">
        <f aca="false">G838*E838/1000</f>
        <v>0.3</v>
      </c>
    </row>
    <row r="839" customFormat="false" ht="15" hidden="false" customHeight="false" outlineLevel="0" collapsed="false">
      <c r="A839" s="0" t="s">
        <v>117</v>
      </c>
      <c r="B839" s="0" t="s">
        <v>442</v>
      </c>
      <c r="C839" s="0" t="n">
        <v>65</v>
      </c>
      <c r="D839" s="0" t="n">
        <v>13</v>
      </c>
      <c r="E839" s="0" t="n">
        <v>6</v>
      </c>
      <c r="F839" s="0" t="n">
        <v>56</v>
      </c>
      <c r="G839" s="0" t="n">
        <v>1000</v>
      </c>
      <c r="H839" s="0" t="s">
        <v>145</v>
      </c>
      <c r="I839" s="0" t="n">
        <v>1</v>
      </c>
      <c r="J839" s="0" t="n">
        <f aca="false">F839*E839</f>
        <v>336</v>
      </c>
      <c r="K839" s="0" t="str">
        <f aca="false">IF(G839&lt;1000,"1-Low",IF(G839&lt;5000,"2-Medium","3-Bulk"))</f>
        <v>2-Medium</v>
      </c>
      <c r="L839" s="0" t="str">
        <f aca="false">IF(H839="TRUE","Out of stock","In stock")</f>
        <v>In stock</v>
      </c>
      <c r="M839" s="0" t="str">
        <f aca="false">IF(D839&lt;5,"1) Under 5%",IF(D839&lt;10,"2) 5-9%",IF(D839&lt;15,"3) 10-14%",IF(D839&lt;25,"4) 15-24%","5) 25%+"))))</f>
        <v>3) 10-14%</v>
      </c>
      <c r="N839" s="0" t="str">
        <f aca="false">IF(F839&lt;50,"1) Under Rs 50",IF(F839&lt;100,"2) Rs 50-99",IF(F839&lt;200,"3) Rs 100-199",IF(F839&lt;500,"4) Rs 200-499","5) Rs 500+"))))</f>
        <v>2) Rs 50-99</v>
      </c>
      <c r="O839" s="0" t="n">
        <f aca="false">G839*E839/1000</f>
        <v>6</v>
      </c>
    </row>
    <row r="840" customFormat="false" ht="15" hidden="false" customHeight="false" outlineLevel="0" collapsed="false">
      <c r="A840" s="0" t="s">
        <v>117</v>
      </c>
      <c r="B840" s="0" t="s">
        <v>443</v>
      </c>
      <c r="C840" s="0" t="n">
        <v>45</v>
      </c>
      <c r="D840" s="0" t="n">
        <v>2</v>
      </c>
      <c r="E840" s="0" t="n">
        <v>6</v>
      </c>
      <c r="F840" s="0" t="n">
        <v>44</v>
      </c>
      <c r="G840" s="0" t="n">
        <v>90</v>
      </c>
      <c r="H840" s="0" t="s">
        <v>145</v>
      </c>
      <c r="I840" s="0" t="n">
        <v>90</v>
      </c>
      <c r="J840" s="0" t="n">
        <f aca="false">F840*E840</f>
        <v>264</v>
      </c>
      <c r="K840" s="0" t="str">
        <f aca="false">IF(G840&lt;1000,"1-Low",IF(G840&lt;5000,"2-Medium","3-Bulk"))</f>
        <v>1-Low</v>
      </c>
      <c r="L840" s="0" t="str">
        <f aca="false">IF(H840="TRUE","Out of stock","In stock")</f>
        <v>In stock</v>
      </c>
      <c r="M840" s="0" t="str">
        <f aca="false">IF(D840&lt;5,"1) Under 5%",IF(D840&lt;10,"2) 5-9%",IF(D840&lt;15,"3) 10-14%",IF(D840&lt;25,"4) 15-24%","5) 25%+"))))</f>
        <v>1) Under 5%</v>
      </c>
      <c r="N840" s="0" t="str">
        <f aca="false">IF(F840&lt;50,"1) Under Rs 50",IF(F840&lt;100,"2) Rs 50-99",IF(F840&lt;200,"3) Rs 100-199",IF(F840&lt;500,"4) Rs 200-499","5) Rs 500+"))))</f>
        <v>1) Under Rs 50</v>
      </c>
      <c r="O840" s="0" t="n">
        <f aca="false">G840*E840/1000</f>
        <v>0.54</v>
      </c>
    </row>
    <row r="841" customFormat="false" ht="15" hidden="false" customHeight="false" outlineLevel="0" collapsed="false">
      <c r="A841" s="0" t="s">
        <v>117</v>
      </c>
      <c r="B841" s="0" t="s">
        <v>444</v>
      </c>
      <c r="C841" s="0" t="n">
        <v>45</v>
      </c>
      <c r="D841" s="0" t="n">
        <v>2</v>
      </c>
      <c r="E841" s="0" t="n">
        <v>6</v>
      </c>
      <c r="F841" s="0" t="n">
        <v>44</v>
      </c>
      <c r="G841" s="0" t="n">
        <v>90</v>
      </c>
      <c r="H841" s="0" t="s">
        <v>145</v>
      </c>
      <c r="I841" s="0" t="n">
        <v>90</v>
      </c>
      <c r="J841" s="0" t="n">
        <f aca="false">F841*E841</f>
        <v>264</v>
      </c>
      <c r="K841" s="0" t="str">
        <f aca="false">IF(G841&lt;1000,"1-Low",IF(G841&lt;5000,"2-Medium","3-Bulk"))</f>
        <v>1-Low</v>
      </c>
      <c r="L841" s="0" t="str">
        <f aca="false">IF(H841="TRUE","Out of stock","In stock")</f>
        <v>In stock</v>
      </c>
      <c r="M841" s="0" t="str">
        <f aca="false">IF(D841&lt;5,"1) Under 5%",IF(D841&lt;10,"2) 5-9%",IF(D841&lt;15,"3) 10-14%",IF(D841&lt;25,"4) 15-24%","5) 25%+"))))</f>
        <v>1) Under 5%</v>
      </c>
      <c r="N841" s="0" t="str">
        <f aca="false">IF(F841&lt;50,"1) Under Rs 50",IF(F841&lt;100,"2) Rs 50-99",IF(F841&lt;200,"3) Rs 100-199",IF(F841&lt;500,"4) Rs 200-499","5) Rs 500+"))))</f>
        <v>1) Under Rs 50</v>
      </c>
      <c r="O841" s="0" t="n">
        <f aca="false">G841*E841/1000</f>
        <v>0.54</v>
      </c>
    </row>
    <row r="842" customFormat="false" ht="15" hidden="false" customHeight="false" outlineLevel="0" collapsed="false">
      <c r="A842" s="0" t="s">
        <v>117</v>
      </c>
      <c r="B842" s="0" t="s">
        <v>445</v>
      </c>
      <c r="C842" s="0" t="n">
        <v>70</v>
      </c>
      <c r="D842" s="0" t="n">
        <v>10</v>
      </c>
      <c r="E842" s="0" t="n">
        <v>4</v>
      </c>
      <c r="F842" s="0" t="n">
        <v>63</v>
      </c>
      <c r="G842" s="0" t="n">
        <v>500</v>
      </c>
      <c r="H842" s="0" t="s">
        <v>145</v>
      </c>
      <c r="I842" s="0" t="n">
        <v>500</v>
      </c>
      <c r="J842" s="0" t="n">
        <f aca="false">F842*E842</f>
        <v>252</v>
      </c>
      <c r="K842" s="0" t="str">
        <f aca="false">IF(G842&lt;1000,"1-Low",IF(G842&lt;5000,"2-Medium","3-Bulk"))</f>
        <v>1-Low</v>
      </c>
      <c r="L842" s="0" t="str">
        <f aca="false">IF(H842="TRUE","Out of stock","In stock")</f>
        <v>In stock</v>
      </c>
      <c r="M842" s="0" t="str">
        <f aca="false">IF(D842&lt;5,"1) Under 5%",IF(D842&lt;10,"2) 5-9%",IF(D842&lt;15,"3) 10-14%",IF(D842&lt;25,"4) 15-24%","5) 25%+"))))</f>
        <v>3) 10-14%</v>
      </c>
      <c r="N842" s="0" t="str">
        <f aca="false">IF(F842&lt;50,"1) Under Rs 50",IF(F842&lt;100,"2) Rs 50-99",IF(F842&lt;200,"3) Rs 100-199",IF(F842&lt;500,"4) Rs 200-499","5) Rs 500+"))))</f>
        <v>2) Rs 50-99</v>
      </c>
      <c r="O842" s="0" t="n">
        <f aca="false">G842*E842/1000</f>
        <v>2</v>
      </c>
    </row>
    <row r="843" customFormat="false" ht="15" hidden="false" customHeight="false" outlineLevel="0" collapsed="false">
      <c r="A843" s="0" t="s">
        <v>117</v>
      </c>
      <c r="B843" s="0" t="s">
        <v>297</v>
      </c>
      <c r="C843" s="0" t="n">
        <v>50</v>
      </c>
      <c r="D843" s="0" t="n">
        <v>12</v>
      </c>
      <c r="E843" s="0" t="n">
        <v>2</v>
      </c>
      <c r="F843" s="0" t="n">
        <v>44</v>
      </c>
      <c r="G843" s="0" t="n">
        <v>100</v>
      </c>
      <c r="H843" s="0" t="s">
        <v>145</v>
      </c>
      <c r="I843" s="0" t="n">
        <v>100</v>
      </c>
      <c r="J843" s="0" t="n">
        <f aca="false">F843*E843</f>
        <v>88</v>
      </c>
      <c r="K843" s="0" t="str">
        <f aca="false">IF(G843&lt;1000,"1-Low",IF(G843&lt;5000,"2-Medium","3-Bulk"))</f>
        <v>1-Low</v>
      </c>
      <c r="L843" s="0" t="str">
        <f aca="false">IF(H843="TRUE","Out of stock","In stock")</f>
        <v>In stock</v>
      </c>
      <c r="M843" s="0" t="str">
        <f aca="false">IF(D843&lt;5,"1) Under 5%",IF(D843&lt;10,"2) 5-9%",IF(D843&lt;15,"3) 10-14%",IF(D843&lt;25,"4) 15-24%","5) 25%+"))))</f>
        <v>3) 10-14%</v>
      </c>
      <c r="N843" s="0" t="str">
        <f aca="false">IF(F843&lt;50,"1) Under Rs 50",IF(F843&lt;100,"2) Rs 50-99",IF(F843&lt;200,"3) Rs 100-199",IF(F843&lt;500,"4) Rs 200-499","5) Rs 500+"))))</f>
        <v>1) Under Rs 50</v>
      </c>
      <c r="O843" s="0" t="n">
        <f aca="false">G843*E843/1000</f>
        <v>0.2</v>
      </c>
    </row>
    <row r="844" customFormat="false" ht="15" hidden="false" customHeight="false" outlineLevel="0" collapsed="false">
      <c r="A844" s="0" t="s">
        <v>117</v>
      </c>
      <c r="B844" s="0" t="s">
        <v>446</v>
      </c>
      <c r="C844" s="0" t="n">
        <v>470</v>
      </c>
      <c r="D844" s="0" t="n">
        <v>21</v>
      </c>
      <c r="E844" s="0" t="n">
        <v>5</v>
      </c>
      <c r="F844" s="0" t="n">
        <v>371</v>
      </c>
      <c r="G844" s="0" t="n">
        <v>250</v>
      </c>
      <c r="H844" s="0" t="s">
        <v>145</v>
      </c>
      <c r="I844" s="0" t="n">
        <v>250</v>
      </c>
      <c r="J844" s="0" t="n">
        <f aca="false">F844*E844</f>
        <v>1855</v>
      </c>
      <c r="K844" s="0" t="str">
        <f aca="false">IF(G844&lt;1000,"1-Low",IF(G844&lt;5000,"2-Medium","3-Bulk"))</f>
        <v>1-Low</v>
      </c>
      <c r="L844" s="0" t="str">
        <f aca="false">IF(H844="TRUE","Out of stock","In stock")</f>
        <v>In stock</v>
      </c>
      <c r="M844" s="0" t="str">
        <f aca="false">IF(D844&lt;5,"1) Under 5%",IF(D844&lt;10,"2) 5-9%",IF(D844&lt;15,"3) 10-14%",IF(D844&lt;25,"4) 15-24%","5) 25%+"))))</f>
        <v>4) 15-24%</v>
      </c>
      <c r="N844" s="0" t="str">
        <f aca="false">IF(F844&lt;50,"1) Under Rs 50",IF(F844&lt;100,"2) Rs 50-99",IF(F844&lt;200,"3) Rs 100-199",IF(F844&lt;500,"4) Rs 200-499","5) Rs 500+"))))</f>
        <v>4) Rs 200-499</v>
      </c>
      <c r="O844" s="0" t="n">
        <f aca="false">G844*E844/1000</f>
        <v>1.25</v>
      </c>
    </row>
    <row r="845" customFormat="false" ht="15" hidden="false" customHeight="false" outlineLevel="0" collapsed="false">
      <c r="A845" s="0" t="s">
        <v>117</v>
      </c>
      <c r="B845" s="0" t="s">
        <v>447</v>
      </c>
      <c r="C845" s="0" t="n">
        <v>50</v>
      </c>
      <c r="D845" s="0" t="n">
        <v>6</v>
      </c>
      <c r="E845" s="0" t="n">
        <v>3</v>
      </c>
      <c r="F845" s="0" t="n">
        <v>47</v>
      </c>
      <c r="G845" s="0" t="n">
        <v>400</v>
      </c>
      <c r="H845" s="0" t="s">
        <v>145</v>
      </c>
      <c r="I845" s="0" t="n">
        <v>400</v>
      </c>
      <c r="J845" s="0" t="n">
        <f aca="false">F845*E845</f>
        <v>141</v>
      </c>
      <c r="K845" s="0" t="str">
        <f aca="false">IF(G845&lt;1000,"1-Low",IF(G845&lt;5000,"2-Medium","3-Bulk"))</f>
        <v>1-Low</v>
      </c>
      <c r="L845" s="0" t="str">
        <f aca="false">IF(H845="TRUE","Out of stock","In stock")</f>
        <v>In stock</v>
      </c>
      <c r="M845" s="0" t="str">
        <f aca="false">IF(D845&lt;5,"1) Under 5%",IF(D845&lt;10,"2) 5-9%",IF(D845&lt;15,"3) 10-14%",IF(D845&lt;25,"4) 15-24%","5) 25%+"))))</f>
        <v>2) 5-9%</v>
      </c>
      <c r="N845" s="0" t="str">
        <f aca="false">IF(F845&lt;50,"1) Under Rs 50",IF(F845&lt;100,"2) Rs 50-99",IF(F845&lt;200,"3) Rs 100-199",IF(F845&lt;500,"4) Rs 200-499","5) Rs 500+"))))</f>
        <v>1) Under Rs 50</v>
      </c>
      <c r="O845" s="0" t="n">
        <f aca="false">G845*E845/1000</f>
        <v>1.2</v>
      </c>
    </row>
    <row r="846" customFormat="false" ht="15" hidden="false" customHeight="false" outlineLevel="0" collapsed="false">
      <c r="A846" s="0" t="s">
        <v>117</v>
      </c>
      <c r="B846" s="0" t="s">
        <v>448</v>
      </c>
      <c r="C846" s="0" t="n">
        <v>40</v>
      </c>
      <c r="D846" s="0" t="n">
        <v>10</v>
      </c>
      <c r="E846" s="0" t="n">
        <v>4</v>
      </c>
      <c r="F846" s="0" t="n">
        <v>36</v>
      </c>
      <c r="G846" s="0" t="n">
        <v>500</v>
      </c>
      <c r="H846" s="0" t="s">
        <v>145</v>
      </c>
      <c r="I846" s="0" t="n">
        <v>500</v>
      </c>
      <c r="J846" s="0" t="n">
        <f aca="false">F846*E846</f>
        <v>144</v>
      </c>
      <c r="K846" s="0" t="str">
        <f aca="false">IF(G846&lt;1000,"1-Low",IF(G846&lt;5000,"2-Medium","3-Bulk"))</f>
        <v>1-Low</v>
      </c>
      <c r="L846" s="0" t="str">
        <f aca="false">IF(H846="TRUE","Out of stock","In stock")</f>
        <v>In stock</v>
      </c>
      <c r="M846" s="0" t="str">
        <f aca="false">IF(D846&lt;5,"1) Under 5%",IF(D846&lt;10,"2) 5-9%",IF(D846&lt;15,"3) 10-14%",IF(D846&lt;25,"4) 15-24%","5) 25%+"))))</f>
        <v>3) 10-14%</v>
      </c>
      <c r="N846" s="0" t="str">
        <f aca="false">IF(F846&lt;50,"1) Under Rs 50",IF(F846&lt;100,"2) Rs 50-99",IF(F846&lt;200,"3) Rs 100-199",IF(F846&lt;500,"4) Rs 200-499","5) Rs 500+"))))</f>
        <v>1) Under Rs 50</v>
      </c>
      <c r="O846" s="0" t="n">
        <f aca="false">G846*E846/1000</f>
        <v>2</v>
      </c>
    </row>
    <row r="847" customFormat="false" ht="15" hidden="false" customHeight="false" outlineLevel="0" collapsed="false">
      <c r="A847" s="0" t="s">
        <v>117</v>
      </c>
      <c r="B847" s="0" t="s">
        <v>449</v>
      </c>
      <c r="C847" s="0" t="n">
        <v>95</v>
      </c>
      <c r="D847" s="0" t="n">
        <v>0</v>
      </c>
      <c r="E847" s="0" t="n">
        <v>4</v>
      </c>
      <c r="F847" s="0" t="n">
        <v>95</v>
      </c>
      <c r="G847" s="0" t="n">
        <v>200</v>
      </c>
      <c r="H847" s="0" t="s">
        <v>145</v>
      </c>
      <c r="I847" s="0" t="n">
        <v>200</v>
      </c>
      <c r="J847" s="0" t="n">
        <f aca="false">F847*E847</f>
        <v>380</v>
      </c>
      <c r="K847" s="0" t="str">
        <f aca="false">IF(G847&lt;1000,"1-Low",IF(G847&lt;5000,"2-Medium","3-Bulk"))</f>
        <v>1-Low</v>
      </c>
      <c r="L847" s="0" t="str">
        <f aca="false">IF(H847="TRUE","Out of stock","In stock")</f>
        <v>In stock</v>
      </c>
      <c r="M847" s="0" t="str">
        <f aca="false">IF(D847&lt;5,"1) Under 5%",IF(D847&lt;10,"2) 5-9%",IF(D847&lt;15,"3) 10-14%",IF(D847&lt;25,"4) 15-24%","5) 25%+"))))</f>
        <v>1) Under 5%</v>
      </c>
      <c r="N847" s="0" t="str">
        <f aca="false">IF(F847&lt;50,"1) Under Rs 50",IF(F847&lt;100,"2) Rs 50-99",IF(F847&lt;200,"3) Rs 100-199",IF(F847&lt;500,"4) Rs 200-499","5) Rs 500+"))))</f>
        <v>2) Rs 50-99</v>
      </c>
      <c r="O847" s="0" t="n">
        <f aca="false">G847*E847/1000</f>
        <v>0.8</v>
      </c>
    </row>
    <row r="848" customFormat="false" ht="15" hidden="false" customHeight="false" outlineLevel="0" collapsed="false">
      <c r="A848" s="0" t="s">
        <v>117</v>
      </c>
      <c r="B848" s="0" t="s">
        <v>450</v>
      </c>
      <c r="C848" s="0" t="n">
        <v>160</v>
      </c>
      <c r="D848" s="0" t="n">
        <v>10</v>
      </c>
      <c r="E848" s="0" t="n">
        <v>3</v>
      </c>
      <c r="F848" s="0" t="n">
        <v>144</v>
      </c>
      <c r="G848" s="0" t="n">
        <v>250</v>
      </c>
      <c r="H848" s="0" t="s">
        <v>145</v>
      </c>
      <c r="I848" s="0" t="n">
        <v>250</v>
      </c>
      <c r="J848" s="0" t="n">
        <f aca="false">F848*E848</f>
        <v>432</v>
      </c>
      <c r="K848" s="0" t="str">
        <f aca="false">IF(G848&lt;1000,"1-Low",IF(G848&lt;5000,"2-Medium","3-Bulk"))</f>
        <v>1-Low</v>
      </c>
      <c r="L848" s="0" t="str">
        <f aca="false">IF(H848="TRUE","Out of stock","In stock")</f>
        <v>In stock</v>
      </c>
      <c r="M848" s="0" t="str">
        <f aca="false">IF(D848&lt;5,"1) Under 5%",IF(D848&lt;10,"2) 5-9%",IF(D848&lt;15,"3) 10-14%",IF(D848&lt;25,"4) 15-24%","5) 25%+"))))</f>
        <v>3) 10-14%</v>
      </c>
      <c r="N848" s="0" t="str">
        <f aca="false">IF(F848&lt;50,"1) Under Rs 50",IF(F848&lt;100,"2) Rs 50-99",IF(F848&lt;200,"3) Rs 100-199",IF(F848&lt;500,"4) Rs 200-499","5) Rs 500+"))))</f>
        <v>3) Rs 100-199</v>
      </c>
      <c r="O848" s="0" t="n">
        <f aca="false">G848*E848/1000</f>
        <v>0.75</v>
      </c>
    </row>
    <row r="849" customFormat="false" ht="15" hidden="false" customHeight="false" outlineLevel="0" collapsed="false">
      <c r="A849" s="0" t="s">
        <v>117</v>
      </c>
      <c r="B849" s="0" t="s">
        <v>451</v>
      </c>
      <c r="C849" s="0" t="n">
        <v>25</v>
      </c>
      <c r="D849" s="0" t="n">
        <v>0</v>
      </c>
      <c r="E849" s="0" t="n">
        <v>6</v>
      </c>
      <c r="F849" s="0" t="n">
        <v>25</v>
      </c>
      <c r="G849" s="0" t="n">
        <v>25</v>
      </c>
      <c r="H849" s="0" t="s">
        <v>145</v>
      </c>
      <c r="I849" s="0" t="n">
        <v>25</v>
      </c>
      <c r="J849" s="0" t="n">
        <f aca="false">F849*E849</f>
        <v>150</v>
      </c>
      <c r="K849" s="0" t="str">
        <f aca="false">IF(G849&lt;1000,"1-Low",IF(G849&lt;5000,"2-Medium","3-Bulk"))</f>
        <v>1-Low</v>
      </c>
      <c r="L849" s="0" t="str">
        <f aca="false">IF(H849="TRUE","Out of stock","In stock")</f>
        <v>In stock</v>
      </c>
      <c r="M849" s="0" t="str">
        <f aca="false">IF(D849&lt;5,"1) Under 5%",IF(D849&lt;10,"2) 5-9%",IF(D849&lt;15,"3) 10-14%",IF(D849&lt;25,"4) 15-24%","5) 25%+"))))</f>
        <v>1) Under 5%</v>
      </c>
      <c r="N849" s="0" t="str">
        <f aca="false">IF(F849&lt;50,"1) Under Rs 50",IF(F849&lt;100,"2) Rs 50-99",IF(F849&lt;200,"3) Rs 100-199",IF(F849&lt;500,"4) Rs 200-499","5) Rs 500+"))))</f>
        <v>1) Under Rs 50</v>
      </c>
      <c r="O849" s="0" t="n">
        <f aca="false">G849*E849/1000</f>
        <v>0.15</v>
      </c>
    </row>
    <row r="850" customFormat="false" ht="15" hidden="false" customHeight="false" outlineLevel="0" collapsed="false">
      <c r="A850" s="0" t="s">
        <v>117</v>
      </c>
      <c r="B850" s="0" t="s">
        <v>452</v>
      </c>
      <c r="C850" s="0" t="n">
        <v>208</v>
      </c>
      <c r="D850" s="0" t="n">
        <v>0</v>
      </c>
      <c r="E850" s="0" t="n">
        <v>6</v>
      </c>
      <c r="F850" s="0" t="n">
        <v>208</v>
      </c>
      <c r="G850" s="0" t="n">
        <v>100</v>
      </c>
      <c r="H850" s="0" t="s">
        <v>145</v>
      </c>
      <c r="I850" s="0" t="n">
        <v>100</v>
      </c>
      <c r="J850" s="0" t="n">
        <f aca="false">F850*E850</f>
        <v>1248</v>
      </c>
      <c r="K850" s="0" t="str">
        <f aca="false">IF(G850&lt;1000,"1-Low",IF(G850&lt;5000,"2-Medium","3-Bulk"))</f>
        <v>1-Low</v>
      </c>
      <c r="L850" s="0" t="str">
        <f aca="false">IF(H850="TRUE","Out of stock","In stock")</f>
        <v>In stock</v>
      </c>
      <c r="M850" s="0" t="str">
        <f aca="false">IF(D850&lt;5,"1) Under 5%",IF(D850&lt;10,"2) 5-9%",IF(D850&lt;15,"3) 10-14%",IF(D850&lt;25,"4) 15-24%","5) 25%+"))))</f>
        <v>1) Under 5%</v>
      </c>
      <c r="N850" s="0" t="str">
        <f aca="false">IF(F850&lt;50,"1) Under Rs 50",IF(F850&lt;100,"2) Rs 50-99",IF(F850&lt;200,"3) Rs 100-199",IF(F850&lt;500,"4) Rs 200-499","5) Rs 500+"))))</f>
        <v>4) Rs 200-499</v>
      </c>
      <c r="O850" s="0" t="n">
        <f aca="false">G850*E850/1000</f>
        <v>0.6</v>
      </c>
    </row>
    <row r="851" customFormat="false" ht="15" hidden="false" customHeight="false" outlineLevel="0" collapsed="false">
      <c r="A851" s="0" t="s">
        <v>117</v>
      </c>
      <c r="B851" s="0" t="s">
        <v>453</v>
      </c>
      <c r="C851" s="0" t="n">
        <v>39</v>
      </c>
      <c r="D851" s="0" t="n">
        <v>2</v>
      </c>
      <c r="E851" s="0" t="n">
        <v>5</v>
      </c>
      <c r="F851" s="0" t="n">
        <v>38</v>
      </c>
      <c r="G851" s="0" t="n">
        <v>50</v>
      </c>
      <c r="H851" s="0" t="s">
        <v>145</v>
      </c>
      <c r="I851" s="0" t="n">
        <v>50</v>
      </c>
      <c r="J851" s="0" t="n">
        <f aca="false">F851*E851</f>
        <v>190</v>
      </c>
      <c r="K851" s="0" t="str">
        <f aca="false">IF(G851&lt;1000,"1-Low",IF(G851&lt;5000,"2-Medium","3-Bulk"))</f>
        <v>1-Low</v>
      </c>
      <c r="L851" s="0" t="str">
        <f aca="false">IF(H851="TRUE","Out of stock","In stock")</f>
        <v>In stock</v>
      </c>
      <c r="M851" s="0" t="str">
        <f aca="false">IF(D851&lt;5,"1) Under 5%",IF(D851&lt;10,"2) 5-9%",IF(D851&lt;15,"3) 10-14%",IF(D851&lt;25,"4) 15-24%","5) 25%+"))))</f>
        <v>1) Under 5%</v>
      </c>
      <c r="N851" s="0" t="str">
        <f aca="false">IF(F851&lt;50,"1) Under Rs 50",IF(F851&lt;100,"2) Rs 50-99",IF(F851&lt;200,"3) Rs 100-199",IF(F851&lt;500,"4) Rs 200-499","5) Rs 500+"))))</f>
        <v>1) Under Rs 50</v>
      </c>
      <c r="O851" s="0" t="n">
        <f aca="false">G851*E851/1000</f>
        <v>0.25</v>
      </c>
    </row>
    <row r="852" customFormat="false" ht="15" hidden="false" customHeight="false" outlineLevel="0" collapsed="false">
      <c r="A852" s="0" t="s">
        <v>117</v>
      </c>
      <c r="B852" s="0" t="s">
        <v>454</v>
      </c>
      <c r="C852" s="0" t="n">
        <v>49</v>
      </c>
      <c r="D852" s="0" t="n">
        <v>2</v>
      </c>
      <c r="E852" s="0" t="n">
        <v>3</v>
      </c>
      <c r="F852" s="0" t="n">
        <v>48</v>
      </c>
      <c r="G852" s="0" t="n">
        <v>200</v>
      </c>
      <c r="H852" s="0" t="s">
        <v>145</v>
      </c>
      <c r="I852" s="0" t="n">
        <v>200</v>
      </c>
      <c r="J852" s="0" t="n">
        <f aca="false">F852*E852</f>
        <v>144</v>
      </c>
      <c r="K852" s="0" t="str">
        <f aca="false">IF(G852&lt;1000,"1-Low",IF(G852&lt;5000,"2-Medium","3-Bulk"))</f>
        <v>1-Low</v>
      </c>
      <c r="L852" s="0" t="str">
        <f aca="false">IF(H852="TRUE","Out of stock","In stock")</f>
        <v>In stock</v>
      </c>
      <c r="M852" s="0" t="str">
        <f aca="false">IF(D852&lt;5,"1) Under 5%",IF(D852&lt;10,"2) 5-9%",IF(D852&lt;15,"3) 10-14%",IF(D852&lt;25,"4) 15-24%","5) 25%+"))))</f>
        <v>1) Under 5%</v>
      </c>
      <c r="N852" s="0" t="str">
        <f aca="false">IF(F852&lt;50,"1) Under Rs 50",IF(F852&lt;100,"2) Rs 50-99",IF(F852&lt;200,"3) Rs 100-199",IF(F852&lt;500,"4) Rs 200-499","5) Rs 500+"))))</f>
        <v>1) Under Rs 50</v>
      </c>
      <c r="O852" s="0" t="n">
        <f aca="false">G852*E852/1000</f>
        <v>0.6</v>
      </c>
    </row>
    <row r="853" customFormat="false" ht="15" hidden="false" customHeight="false" outlineLevel="0" collapsed="false">
      <c r="A853" s="0" t="s">
        <v>117</v>
      </c>
      <c r="B853" s="0" t="s">
        <v>455</v>
      </c>
      <c r="C853" s="0" t="n">
        <v>70</v>
      </c>
      <c r="D853" s="0" t="n">
        <v>7</v>
      </c>
      <c r="E853" s="0" t="n">
        <v>6</v>
      </c>
      <c r="F853" s="0" t="n">
        <v>65</v>
      </c>
      <c r="G853" s="0" t="n">
        <v>50</v>
      </c>
      <c r="H853" s="0" t="s">
        <v>145</v>
      </c>
      <c r="I853" s="0" t="n">
        <v>50</v>
      </c>
      <c r="J853" s="0" t="n">
        <f aca="false">F853*E853</f>
        <v>390</v>
      </c>
      <c r="K853" s="0" t="str">
        <f aca="false">IF(G853&lt;1000,"1-Low",IF(G853&lt;5000,"2-Medium","3-Bulk"))</f>
        <v>1-Low</v>
      </c>
      <c r="L853" s="0" t="str">
        <f aca="false">IF(H853="TRUE","Out of stock","In stock")</f>
        <v>In stock</v>
      </c>
      <c r="M853" s="0" t="str">
        <f aca="false">IF(D853&lt;5,"1) Under 5%",IF(D853&lt;10,"2) 5-9%",IF(D853&lt;15,"3) 10-14%",IF(D853&lt;25,"4) 15-24%","5) 25%+"))))</f>
        <v>2) 5-9%</v>
      </c>
      <c r="N853" s="0" t="str">
        <f aca="false">IF(F853&lt;50,"1) Under Rs 50",IF(F853&lt;100,"2) Rs 50-99",IF(F853&lt;200,"3) Rs 100-199",IF(F853&lt;500,"4) Rs 200-499","5) Rs 500+"))))</f>
        <v>2) Rs 50-99</v>
      </c>
      <c r="O853" s="0" t="n">
        <f aca="false">G853*E853/1000</f>
        <v>0.3</v>
      </c>
    </row>
    <row r="854" customFormat="false" ht="15" hidden="false" customHeight="false" outlineLevel="0" collapsed="false">
      <c r="A854" s="0" t="s">
        <v>117</v>
      </c>
      <c r="B854" s="0" t="s">
        <v>456</v>
      </c>
      <c r="C854" s="0" t="n">
        <v>150</v>
      </c>
      <c r="D854" s="0" t="n">
        <v>4</v>
      </c>
      <c r="E854" s="0" t="n">
        <v>4</v>
      </c>
      <c r="F854" s="0" t="n">
        <v>143</v>
      </c>
      <c r="G854" s="0" t="n">
        <v>400</v>
      </c>
      <c r="H854" s="0" t="s">
        <v>145</v>
      </c>
      <c r="I854" s="0" t="n">
        <v>400</v>
      </c>
      <c r="J854" s="0" t="n">
        <f aca="false">F854*E854</f>
        <v>572</v>
      </c>
      <c r="K854" s="0" t="str">
        <f aca="false">IF(G854&lt;1000,"1-Low",IF(G854&lt;5000,"2-Medium","3-Bulk"))</f>
        <v>1-Low</v>
      </c>
      <c r="L854" s="0" t="str">
        <f aca="false">IF(H854="TRUE","Out of stock","In stock")</f>
        <v>In stock</v>
      </c>
      <c r="M854" s="0" t="str">
        <f aca="false">IF(D854&lt;5,"1) Under 5%",IF(D854&lt;10,"2) 5-9%",IF(D854&lt;15,"3) 10-14%",IF(D854&lt;25,"4) 15-24%","5) 25%+"))))</f>
        <v>1) Under 5%</v>
      </c>
      <c r="N854" s="0" t="str">
        <f aca="false">IF(F854&lt;50,"1) Under Rs 50",IF(F854&lt;100,"2) Rs 50-99",IF(F854&lt;200,"3) Rs 100-199",IF(F854&lt;500,"4) Rs 200-499","5) Rs 500+"))))</f>
        <v>3) Rs 100-199</v>
      </c>
      <c r="O854" s="0" t="n">
        <f aca="false">G854*E854/1000</f>
        <v>1.6</v>
      </c>
    </row>
    <row r="855" customFormat="false" ht="15" hidden="false" customHeight="false" outlineLevel="0" collapsed="false">
      <c r="A855" s="0" t="s">
        <v>117</v>
      </c>
      <c r="B855" s="0" t="s">
        <v>457</v>
      </c>
      <c r="C855" s="0" t="n">
        <v>15</v>
      </c>
      <c r="D855" s="0" t="n">
        <v>0</v>
      </c>
      <c r="E855" s="0" t="n">
        <v>5</v>
      </c>
      <c r="F855" s="0" t="n">
        <v>15</v>
      </c>
      <c r="G855" s="0" t="n">
        <v>50</v>
      </c>
      <c r="H855" s="0" t="s">
        <v>145</v>
      </c>
      <c r="I855" s="0" t="n">
        <v>50</v>
      </c>
      <c r="J855" s="0" t="n">
        <f aca="false">F855*E855</f>
        <v>75</v>
      </c>
      <c r="K855" s="0" t="str">
        <f aca="false">IF(G855&lt;1000,"1-Low",IF(G855&lt;5000,"2-Medium","3-Bulk"))</f>
        <v>1-Low</v>
      </c>
      <c r="L855" s="0" t="str">
        <f aca="false">IF(H855="TRUE","Out of stock","In stock")</f>
        <v>In stock</v>
      </c>
      <c r="M855" s="0" t="str">
        <f aca="false">IF(D855&lt;5,"1) Under 5%",IF(D855&lt;10,"2) 5-9%",IF(D855&lt;15,"3) 10-14%",IF(D855&lt;25,"4) 15-24%","5) 25%+"))))</f>
        <v>1) Under 5%</v>
      </c>
      <c r="N855" s="0" t="str">
        <f aca="false">IF(F855&lt;50,"1) Under Rs 50",IF(F855&lt;100,"2) Rs 50-99",IF(F855&lt;200,"3) Rs 100-199",IF(F855&lt;500,"4) Rs 200-499","5) Rs 500+"))))</f>
        <v>1) Under Rs 50</v>
      </c>
      <c r="O855" s="0" t="n">
        <f aca="false">G855*E855/1000</f>
        <v>0.25</v>
      </c>
    </row>
    <row r="856" customFormat="false" ht="15" hidden="false" customHeight="false" outlineLevel="0" collapsed="false">
      <c r="A856" s="0" t="s">
        <v>117</v>
      </c>
      <c r="B856" s="0" t="s">
        <v>458</v>
      </c>
      <c r="C856" s="0" t="n">
        <v>60</v>
      </c>
      <c r="D856" s="0" t="n">
        <v>0</v>
      </c>
      <c r="E856" s="0" t="n">
        <v>4</v>
      </c>
      <c r="F856" s="0" t="n">
        <v>60</v>
      </c>
      <c r="G856" s="0" t="n">
        <v>240</v>
      </c>
      <c r="H856" s="0" t="s">
        <v>145</v>
      </c>
      <c r="I856" s="0" t="n">
        <v>240</v>
      </c>
      <c r="J856" s="0" t="n">
        <f aca="false">F856*E856</f>
        <v>240</v>
      </c>
      <c r="K856" s="0" t="str">
        <f aca="false">IF(G856&lt;1000,"1-Low",IF(G856&lt;5000,"2-Medium","3-Bulk"))</f>
        <v>1-Low</v>
      </c>
      <c r="L856" s="0" t="str">
        <f aca="false">IF(H856="TRUE","Out of stock","In stock")</f>
        <v>In stock</v>
      </c>
      <c r="M856" s="0" t="str">
        <f aca="false">IF(D856&lt;5,"1) Under 5%",IF(D856&lt;10,"2) 5-9%",IF(D856&lt;15,"3) 10-14%",IF(D856&lt;25,"4) 15-24%","5) 25%+"))))</f>
        <v>1) Under 5%</v>
      </c>
      <c r="N856" s="0" t="str">
        <f aca="false">IF(F856&lt;50,"1) Under Rs 50",IF(F856&lt;100,"2) Rs 50-99",IF(F856&lt;200,"3) Rs 100-199",IF(F856&lt;500,"4) Rs 200-499","5) Rs 500+"))))</f>
        <v>2) Rs 50-99</v>
      </c>
      <c r="O856" s="0" t="n">
        <f aca="false">G856*E856/1000</f>
        <v>0.96</v>
      </c>
    </row>
    <row r="857" customFormat="false" ht="15" hidden="false" customHeight="false" outlineLevel="0" collapsed="false">
      <c r="A857" s="0" t="s">
        <v>117</v>
      </c>
      <c r="B857" s="0" t="s">
        <v>459</v>
      </c>
      <c r="C857" s="0" t="n">
        <v>48</v>
      </c>
      <c r="D857" s="0" t="n">
        <v>2</v>
      </c>
      <c r="E857" s="0" t="n">
        <v>5</v>
      </c>
      <c r="F857" s="0" t="n">
        <v>47</v>
      </c>
      <c r="G857" s="0" t="n">
        <v>100</v>
      </c>
      <c r="H857" s="0" t="s">
        <v>145</v>
      </c>
      <c r="I857" s="0" t="n">
        <v>100</v>
      </c>
      <c r="J857" s="0" t="n">
        <f aca="false">F857*E857</f>
        <v>235</v>
      </c>
      <c r="K857" s="0" t="str">
        <f aca="false">IF(G857&lt;1000,"1-Low",IF(G857&lt;5000,"2-Medium","3-Bulk"))</f>
        <v>1-Low</v>
      </c>
      <c r="L857" s="0" t="str">
        <f aca="false">IF(H857="TRUE","Out of stock","In stock")</f>
        <v>In stock</v>
      </c>
      <c r="M857" s="0" t="str">
        <f aca="false">IF(D857&lt;5,"1) Under 5%",IF(D857&lt;10,"2) 5-9%",IF(D857&lt;15,"3) 10-14%",IF(D857&lt;25,"4) 15-24%","5) 25%+"))))</f>
        <v>1) Under 5%</v>
      </c>
      <c r="N857" s="0" t="str">
        <f aca="false">IF(F857&lt;50,"1) Under Rs 50",IF(F857&lt;100,"2) Rs 50-99",IF(F857&lt;200,"3) Rs 100-199",IF(F857&lt;500,"4) Rs 200-499","5) Rs 500+"))))</f>
        <v>1) Under Rs 50</v>
      </c>
      <c r="O857" s="0" t="n">
        <f aca="false">G857*E857/1000</f>
        <v>0.5</v>
      </c>
    </row>
    <row r="858" customFormat="false" ht="15" hidden="false" customHeight="false" outlineLevel="0" collapsed="false">
      <c r="A858" s="0" t="s">
        <v>117</v>
      </c>
      <c r="B858" s="0" t="s">
        <v>368</v>
      </c>
      <c r="C858" s="0" t="n">
        <v>275</v>
      </c>
      <c r="D858" s="0" t="n">
        <v>0</v>
      </c>
      <c r="E858" s="0" t="n">
        <v>6</v>
      </c>
      <c r="F858" s="0" t="n">
        <v>275</v>
      </c>
      <c r="G858" s="0" t="n">
        <v>5000</v>
      </c>
      <c r="H858" s="0" t="s">
        <v>145</v>
      </c>
      <c r="I858" s="0" t="n">
        <v>5</v>
      </c>
      <c r="J858" s="0" t="n">
        <f aca="false">F858*E858</f>
        <v>1650</v>
      </c>
      <c r="K858" s="0" t="str">
        <f aca="false">IF(G858&lt;1000,"1-Low",IF(G858&lt;5000,"2-Medium","3-Bulk"))</f>
        <v>3-Bulk</v>
      </c>
      <c r="L858" s="0" t="str">
        <f aca="false">IF(H858="TRUE","Out of stock","In stock")</f>
        <v>In stock</v>
      </c>
      <c r="M858" s="0" t="str">
        <f aca="false">IF(D858&lt;5,"1) Under 5%",IF(D858&lt;10,"2) 5-9%",IF(D858&lt;15,"3) 10-14%",IF(D858&lt;25,"4) 15-24%","5) 25%+"))))</f>
        <v>1) Under 5%</v>
      </c>
      <c r="N858" s="0" t="str">
        <f aca="false">IF(F858&lt;50,"1) Under Rs 50",IF(F858&lt;100,"2) Rs 50-99",IF(F858&lt;200,"3) Rs 100-199",IF(F858&lt;500,"4) Rs 200-499","5) Rs 500+"))))</f>
        <v>4) Rs 200-499</v>
      </c>
      <c r="O858" s="0" t="n">
        <f aca="false">G858*E858/1000</f>
        <v>30</v>
      </c>
    </row>
    <row r="859" customFormat="false" ht="15" hidden="false" customHeight="false" outlineLevel="0" collapsed="false">
      <c r="A859" s="0" t="s">
        <v>117</v>
      </c>
      <c r="B859" s="0" t="s">
        <v>460</v>
      </c>
      <c r="C859" s="0" t="n">
        <v>215</v>
      </c>
      <c r="D859" s="0" t="n">
        <v>9</v>
      </c>
      <c r="E859" s="0" t="n">
        <v>4</v>
      </c>
      <c r="F859" s="0" t="n">
        <v>194</v>
      </c>
      <c r="G859" s="0" t="n">
        <v>1000</v>
      </c>
      <c r="H859" s="0" t="s">
        <v>145</v>
      </c>
      <c r="I859" s="0" t="n">
        <v>1</v>
      </c>
      <c r="J859" s="0" t="n">
        <f aca="false">F859*E859</f>
        <v>776</v>
      </c>
      <c r="K859" s="0" t="str">
        <f aca="false">IF(G859&lt;1000,"1-Low",IF(G859&lt;5000,"2-Medium","3-Bulk"))</f>
        <v>2-Medium</v>
      </c>
      <c r="L859" s="0" t="str">
        <f aca="false">IF(H859="TRUE","Out of stock","In stock")</f>
        <v>In stock</v>
      </c>
      <c r="M859" s="0" t="str">
        <f aca="false">IF(D859&lt;5,"1) Under 5%",IF(D859&lt;10,"2) 5-9%",IF(D859&lt;15,"3) 10-14%",IF(D859&lt;25,"4) 15-24%","5) 25%+"))))</f>
        <v>2) 5-9%</v>
      </c>
      <c r="N859" s="0" t="str">
        <f aca="false">IF(F859&lt;50,"1) Under Rs 50",IF(F859&lt;100,"2) Rs 50-99",IF(F859&lt;200,"3) Rs 100-199",IF(F859&lt;500,"4) Rs 200-499","5) Rs 500+"))))</f>
        <v>3) Rs 100-199</v>
      </c>
      <c r="O859" s="0" t="n">
        <f aca="false">G859*E859/1000</f>
        <v>4</v>
      </c>
    </row>
    <row r="860" customFormat="false" ht="15" hidden="false" customHeight="false" outlineLevel="0" collapsed="false">
      <c r="A860" s="0" t="s">
        <v>117</v>
      </c>
      <c r="B860" s="0" t="s">
        <v>461</v>
      </c>
      <c r="C860" s="0" t="n">
        <v>75</v>
      </c>
      <c r="D860" s="0" t="n">
        <v>9</v>
      </c>
      <c r="E860" s="0" t="n">
        <v>4</v>
      </c>
      <c r="F860" s="0" t="n">
        <v>68</v>
      </c>
      <c r="G860" s="0" t="n">
        <v>100</v>
      </c>
      <c r="H860" s="0" t="s">
        <v>145</v>
      </c>
      <c r="I860" s="0" t="n">
        <v>100</v>
      </c>
      <c r="J860" s="0" t="n">
        <f aca="false">F860*E860</f>
        <v>272</v>
      </c>
      <c r="K860" s="0" t="str">
        <f aca="false">IF(G860&lt;1000,"1-Low",IF(G860&lt;5000,"2-Medium","3-Bulk"))</f>
        <v>1-Low</v>
      </c>
      <c r="L860" s="0" t="str">
        <f aca="false">IF(H860="TRUE","Out of stock","In stock")</f>
        <v>In stock</v>
      </c>
      <c r="M860" s="0" t="str">
        <f aca="false">IF(D860&lt;5,"1) Under 5%",IF(D860&lt;10,"2) 5-9%",IF(D860&lt;15,"3) 10-14%",IF(D860&lt;25,"4) 15-24%","5) 25%+"))))</f>
        <v>2) 5-9%</v>
      </c>
      <c r="N860" s="0" t="str">
        <f aca="false">IF(F860&lt;50,"1) Under Rs 50",IF(F860&lt;100,"2) Rs 50-99",IF(F860&lt;200,"3) Rs 100-199",IF(F860&lt;500,"4) Rs 200-499","5) Rs 500+"))))</f>
        <v>2) Rs 50-99</v>
      </c>
      <c r="O860" s="0" t="n">
        <f aca="false">G860*E860/1000</f>
        <v>0.4</v>
      </c>
    </row>
    <row r="861" customFormat="false" ht="15" hidden="false" customHeight="false" outlineLevel="0" collapsed="false">
      <c r="A861" s="0" t="s">
        <v>117</v>
      </c>
      <c r="B861" s="0" t="s">
        <v>462</v>
      </c>
      <c r="C861" s="0" t="n">
        <v>100</v>
      </c>
      <c r="D861" s="0" t="n">
        <v>11</v>
      </c>
      <c r="E861" s="0" t="n">
        <v>6</v>
      </c>
      <c r="F861" s="0" t="n">
        <v>89</v>
      </c>
      <c r="G861" s="0" t="n">
        <v>159</v>
      </c>
      <c r="H861" s="0" t="s">
        <v>145</v>
      </c>
      <c r="I861" s="0" t="n">
        <v>159</v>
      </c>
      <c r="J861" s="0" t="n">
        <f aca="false">F861*E861</f>
        <v>534</v>
      </c>
      <c r="K861" s="0" t="str">
        <f aca="false">IF(G861&lt;1000,"1-Low",IF(G861&lt;5000,"2-Medium","3-Bulk"))</f>
        <v>1-Low</v>
      </c>
      <c r="L861" s="0" t="str">
        <f aca="false">IF(H861="TRUE","Out of stock","In stock")</f>
        <v>In stock</v>
      </c>
      <c r="M861" s="0" t="str">
        <f aca="false">IF(D861&lt;5,"1) Under 5%",IF(D861&lt;10,"2) 5-9%",IF(D861&lt;15,"3) 10-14%",IF(D861&lt;25,"4) 15-24%","5) 25%+"))))</f>
        <v>3) 10-14%</v>
      </c>
      <c r="N861" s="0" t="str">
        <f aca="false">IF(F861&lt;50,"1) Under Rs 50",IF(F861&lt;100,"2) Rs 50-99",IF(F861&lt;200,"3) Rs 100-199",IF(F861&lt;500,"4) Rs 200-499","5) Rs 500+"))))</f>
        <v>2) Rs 50-99</v>
      </c>
      <c r="O861" s="0" t="n">
        <f aca="false">G861*E861/1000</f>
        <v>0.954</v>
      </c>
    </row>
    <row r="862" customFormat="false" ht="15" hidden="false" customHeight="false" outlineLevel="0" collapsed="false">
      <c r="A862" s="0" t="s">
        <v>117</v>
      </c>
      <c r="B862" s="0" t="s">
        <v>463</v>
      </c>
      <c r="C862" s="0" t="n">
        <v>200</v>
      </c>
      <c r="D862" s="0" t="n">
        <v>0</v>
      </c>
      <c r="E862" s="0" t="n">
        <v>2</v>
      </c>
      <c r="F862" s="0" t="n">
        <v>200</v>
      </c>
      <c r="G862" s="0" t="n">
        <v>450</v>
      </c>
      <c r="H862" s="0" t="s">
        <v>145</v>
      </c>
      <c r="I862" s="0" t="n">
        <v>450</v>
      </c>
      <c r="J862" s="0" t="n">
        <f aca="false">F862*E862</f>
        <v>400</v>
      </c>
      <c r="K862" s="0" t="str">
        <f aca="false">IF(G862&lt;1000,"1-Low",IF(G862&lt;5000,"2-Medium","3-Bulk"))</f>
        <v>1-Low</v>
      </c>
      <c r="L862" s="0" t="str">
        <f aca="false">IF(H862="TRUE","Out of stock","In stock")</f>
        <v>In stock</v>
      </c>
      <c r="M862" s="0" t="str">
        <f aca="false">IF(D862&lt;5,"1) Under 5%",IF(D862&lt;10,"2) 5-9%",IF(D862&lt;15,"3) 10-14%",IF(D862&lt;25,"4) 15-24%","5) 25%+"))))</f>
        <v>1) Under 5%</v>
      </c>
      <c r="N862" s="0" t="str">
        <f aca="false">IF(F862&lt;50,"1) Under Rs 50",IF(F862&lt;100,"2) Rs 50-99",IF(F862&lt;200,"3) Rs 100-199",IF(F862&lt;500,"4) Rs 200-499","5) Rs 500+"))))</f>
        <v>4) Rs 200-499</v>
      </c>
      <c r="O862" s="0" t="n">
        <f aca="false">G862*E862/1000</f>
        <v>0.9</v>
      </c>
    </row>
    <row r="863" customFormat="false" ht="15" hidden="false" customHeight="false" outlineLevel="0" collapsed="false">
      <c r="A863" s="0" t="s">
        <v>117</v>
      </c>
      <c r="B863" s="0" t="s">
        <v>464</v>
      </c>
      <c r="C863" s="0" t="n">
        <v>56</v>
      </c>
      <c r="D863" s="0" t="n">
        <v>7</v>
      </c>
      <c r="E863" s="0" t="n">
        <v>5</v>
      </c>
      <c r="F863" s="0" t="n">
        <v>52</v>
      </c>
      <c r="G863" s="0" t="n">
        <v>100</v>
      </c>
      <c r="H863" s="0" t="s">
        <v>145</v>
      </c>
      <c r="I863" s="0" t="n">
        <v>100</v>
      </c>
      <c r="J863" s="0" t="n">
        <f aca="false">F863*E863</f>
        <v>260</v>
      </c>
      <c r="K863" s="0" t="str">
        <f aca="false">IF(G863&lt;1000,"1-Low",IF(G863&lt;5000,"2-Medium","3-Bulk"))</f>
        <v>1-Low</v>
      </c>
      <c r="L863" s="0" t="str">
        <f aca="false">IF(H863="TRUE","Out of stock","In stock")</f>
        <v>In stock</v>
      </c>
      <c r="M863" s="0" t="str">
        <f aca="false">IF(D863&lt;5,"1) Under 5%",IF(D863&lt;10,"2) 5-9%",IF(D863&lt;15,"3) 10-14%",IF(D863&lt;25,"4) 15-24%","5) 25%+"))))</f>
        <v>2) 5-9%</v>
      </c>
      <c r="N863" s="0" t="str">
        <f aca="false">IF(F863&lt;50,"1) Under Rs 50",IF(F863&lt;100,"2) Rs 50-99",IF(F863&lt;200,"3) Rs 100-199",IF(F863&lt;500,"4) Rs 200-499","5) Rs 500+"))))</f>
        <v>2) Rs 50-99</v>
      </c>
      <c r="O863" s="0" t="n">
        <f aca="false">G863*E863/1000</f>
        <v>0.5</v>
      </c>
    </row>
    <row r="864" customFormat="false" ht="15" hidden="false" customHeight="false" outlineLevel="0" collapsed="false">
      <c r="A864" s="0" t="s">
        <v>117</v>
      </c>
      <c r="B864" s="0" t="s">
        <v>465</v>
      </c>
      <c r="C864" s="0" t="n">
        <v>190</v>
      </c>
      <c r="D864" s="0" t="n">
        <v>10</v>
      </c>
      <c r="E864" s="0" t="n">
        <v>6</v>
      </c>
      <c r="F864" s="0" t="n">
        <v>171</v>
      </c>
      <c r="G864" s="0" t="n">
        <v>100</v>
      </c>
      <c r="H864" s="0" t="s">
        <v>145</v>
      </c>
      <c r="I864" s="0" t="n">
        <v>100</v>
      </c>
      <c r="J864" s="0" t="n">
        <f aca="false">F864*E864</f>
        <v>1026</v>
      </c>
      <c r="K864" s="0" t="str">
        <f aca="false">IF(G864&lt;1000,"1-Low",IF(G864&lt;5000,"2-Medium","3-Bulk"))</f>
        <v>1-Low</v>
      </c>
      <c r="L864" s="0" t="str">
        <f aca="false">IF(H864="TRUE","Out of stock","In stock")</f>
        <v>In stock</v>
      </c>
      <c r="M864" s="0" t="str">
        <f aca="false">IF(D864&lt;5,"1) Under 5%",IF(D864&lt;10,"2) 5-9%",IF(D864&lt;15,"3) 10-14%",IF(D864&lt;25,"4) 15-24%","5) 25%+"))))</f>
        <v>3) 10-14%</v>
      </c>
      <c r="N864" s="0" t="str">
        <f aca="false">IF(F864&lt;50,"1) Under Rs 50",IF(F864&lt;100,"2) Rs 50-99",IF(F864&lt;200,"3) Rs 100-199",IF(F864&lt;500,"4) Rs 200-499","5) Rs 500+"))))</f>
        <v>3) Rs 100-199</v>
      </c>
      <c r="O864" s="0" t="n">
        <f aca="false">G864*E864/1000</f>
        <v>0.6</v>
      </c>
    </row>
    <row r="865" customFormat="false" ht="15" hidden="false" customHeight="false" outlineLevel="0" collapsed="false">
      <c r="A865" s="0" t="s">
        <v>117</v>
      </c>
      <c r="B865" s="0" t="s">
        <v>122</v>
      </c>
      <c r="C865" s="0" t="n">
        <v>295</v>
      </c>
      <c r="D865" s="0" t="n">
        <v>9</v>
      </c>
      <c r="E865" s="0" t="n">
        <v>6</v>
      </c>
      <c r="F865" s="0" t="n">
        <v>266</v>
      </c>
      <c r="G865" s="0" t="n">
        <v>360</v>
      </c>
      <c r="H865" s="0" t="s">
        <v>145</v>
      </c>
      <c r="I865" s="0" t="n">
        <v>360</v>
      </c>
      <c r="J865" s="0" t="n">
        <f aca="false">F865*E865</f>
        <v>1596</v>
      </c>
      <c r="K865" s="0" t="str">
        <f aca="false">IF(G865&lt;1000,"1-Low",IF(G865&lt;5000,"2-Medium","3-Bulk"))</f>
        <v>1-Low</v>
      </c>
      <c r="L865" s="0" t="str">
        <f aca="false">IF(H865="TRUE","Out of stock","In stock")</f>
        <v>In stock</v>
      </c>
      <c r="M865" s="0" t="str">
        <f aca="false">IF(D865&lt;5,"1) Under 5%",IF(D865&lt;10,"2) 5-9%",IF(D865&lt;15,"3) 10-14%",IF(D865&lt;25,"4) 15-24%","5) 25%+"))))</f>
        <v>2) 5-9%</v>
      </c>
      <c r="N865" s="0" t="str">
        <f aca="false">IF(F865&lt;50,"1) Under Rs 50",IF(F865&lt;100,"2) Rs 50-99",IF(F865&lt;200,"3) Rs 100-199",IF(F865&lt;500,"4) Rs 200-499","5) Rs 500+"))))</f>
        <v>4) Rs 200-499</v>
      </c>
      <c r="O865" s="0" t="n">
        <f aca="false">G865*E865/1000</f>
        <v>2.16</v>
      </c>
    </row>
    <row r="866" customFormat="false" ht="15" hidden="false" customHeight="false" outlineLevel="0" collapsed="false">
      <c r="A866" s="0" t="s">
        <v>117</v>
      </c>
      <c r="B866" s="0" t="s">
        <v>466</v>
      </c>
      <c r="C866" s="0" t="n">
        <v>350</v>
      </c>
      <c r="D866" s="0" t="n">
        <v>10</v>
      </c>
      <c r="E866" s="0" t="n">
        <v>5</v>
      </c>
      <c r="F866" s="0" t="n">
        <v>312</v>
      </c>
      <c r="G866" s="0" t="n">
        <v>5000</v>
      </c>
      <c r="H866" s="0" t="s">
        <v>145</v>
      </c>
      <c r="I866" s="0" t="n">
        <v>5</v>
      </c>
      <c r="J866" s="0" t="n">
        <f aca="false">F866*E866</f>
        <v>1560</v>
      </c>
      <c r="K866" s="0" t="str">
        <f aca="false">IF(G866&lt;1000,"1-Low",IF(G866&lt;5000,"2-Medium","3-Bulk"))</f>
        <v>3-Bulk</v>
      </c>
      <c r="L866" s="0" t="str">
        <f aca="false">IF(H866="TRUE","Out of stock","In stock")</f>
        <v>In stock</v>
      </c>
      <c r="M866" s="0" t="str">
        <f aca="false">IF(D866&lt;5,"1) Under 5%",IF(D866&lt;10,"2) 5-9%",IF(D866&lt;15,"3) 10-14%",IF(D866&lt;25,"4) 15-24%","5) 25%+"))))</f>
        <v>3) 10-14%</v>
      </c>
      <c r="N866" s="0" t="str">
        <f aca="false">IF(F866&lt;50,"1) Under Rs 50",IF(F866&lt;100,"2) Rs 50-99",IF(F866&lt;200,"3) Rs 100-199",IF(F866&lt;500,"4) Rs 200-499","5) Rs 500+"))))</f>
        <v>4) Rs 200-499</v>
      </c>
      <c r="O866" s="0" t="n">
        <f aca="false">G866*E866/1000</f>
        <v>25</v>
      </c>
    </row>
    <row r="867" customFormat="false" ht="15" hidden="false" customHeight="false" outlineLevel="0" collapsed="false">
      <c r="A867" s="0" t="s">
        <v>117</v>
      </c>
      <c r="B867" s="0" t="s">
        <v>467</v>
      </c>
      <c r="C867" s="0" t="n">
        <v>350</v>
      </c>
      <c r="D867" s="0" t="n">
        <v>10</v>
      </c>
      <c r="E867" s="0" t="n">
        <v>6</v>
      </c>
      <c r="F867" s="0" t="n">
        <v>312</v>
      </c>
      <c r="G867" s="0" t="n">
        <v>1000</v>
      </c>
      <c r="H867" s="0" t="s">
        <v>145</v>
      </c>
      <c r="I867" s="0" t="n">
        <v>1</v>
      </c>
      <c r="J867" s="0" t="n">
        <f aca="false">F867*E867</f>
        <v>1872</v>
      </c>
      <c r="K867" s="0" t="str">
        <f aca="false">IF(G867&lt;1000,"1-Low",IF(G867&lt;5000,"2-Medium","3-Bulk"))</f>
        <v>2-Medium</v>
      </c>
      <c r="L867" s="0" t="str">
        <f aca="false">IF(H867="TRUE","Out of stock","In stock")</f>
        <v>In stock</v>
      </c>
      <c r="M867" s="0" t="str">
        <f aca="false">IF(D867&lt;5,"1) Under 5%",IF(D867&lt;10,"2) 5-9%",IF(D867&lt;15,"3) 10-14%",IF(D867&lt;25,"4) 15-24%","5) 25%+"))))</f>
        <v>3) 10-14%</v>
      </c>
      <c r="N867" s="0" t="str">
        <f aca="false">IF(F867&lt;50,"1) Under Rs 50",IF(F867&lt;100,"2) Rs 50-99",IF(F867&lt;200,"3) Rs 100-199",IF(F867&lt;500,"4) Rs 200-499","5) Rs 500+"))))</f>
        <v>4) Rs 200-499</v>
      </c>
      <c r="O867" s="0" t="n">
        <f aca="false">G867*E867/1000</f>
        <v>6</v>
      </c>
    </row>
    <row r="868" customFormat="false" ht="15" hidden="false" customHeight="false" outlineLevel="0" collapsed="false">
      <c r="A868" s="0" t="s">
        <v>117</v>
      </c>
      <c r="B868" s="0" t="s">
        <v>468</v>
      </c>
      <c r="C868" s="0" t="n">
        <v>170</v>
      </c>
      <c r="D868" s="0" t="n">
        <v>7</v>
      </c>
      <c r="E868" s="0" t="n">
        <v>6</v>
      </c>
      <c r="F868" s="0" t="n">
        <v>157</v>
      </c>
      <c r="G868" s="0" t="n">
        <v>100</v>
      </c>
      <c r="H868" s="0" t="s">
        <v>145</v>
      </c>
      <c r="I868" s="0" t="n">
        <v>100</v>
      </c>
      <c r="J868" s="0" t="n">
        <f aca="false">F868*E868</f>
        <v>942</v>
      </c>
      <c r="K868" s="0" t="str">
        <f aca="false">IF(G868&lt;1000,"1-Low",IF(G868&lt;5000,"2-Medium","3-Bulk"))</f>
        <v>1-Low</v>
      </c>
      <c r="L868" s="0" t="str">
        <f aca="false">IF(H868="TRUE","Out of stock","In stock")</f>
        <v>In stock</v>
      </c>
      <c r="M868" s="0" t="str">
        <f aca="false">IF(D868&lt;5,"1) Under 5%",IF(D868&lt;10,"2) 5-9%",IF(D868&lt;15,"3) 10-14%",IF(D868&lt;25,"4) 15-24%","5) 25%+"))))</f>
        <v>2) 5-9%</v>
      </c>
      <c r="N868" s="0" t="str">
        <f aca="false">IF(F868&lt;50,"1) Under Rs 50",IF(F868&lt;100,"2) Rs 50-99",IF(F868&lt;200,"3) Rs 100-199",IF(F868&lt;500,"4) Rs 200-499","5) Rs 500+"))))</f>
        <v>3) Rs 100-199</v>
      </c>
      <c r="O868" s="0" t="n">
        <f aca="false">G868*E868/1000</f>
        <v>0.6</v>
      </c>
    </row>
    <row r="869" customFormat="false" ht="15" hidden="false" customHeight="false" outlineLevel="0" collapsed="false">
      <c r="A869" s="0" t="s">
        <v>117</v>
      </c>
      <c r="B869" s="0" t="s">
        <v>469</v>
      </c>
      <c r="C869" s="0" t="n">
        <v>90</v>
      </c>
      <c r="D869" s="0" t="n">
        <v>16</v>
      </c>
      <c r="E869" s="0" t="n">
        <v>3</v>
      </c>
      <c r="F869" s="0" t="n">
        <v>75</v>
      </c>
      <c r="G869" s="0" t="n">
        <v>500</v>
      </c>
      <c r="H869" s="0" t="s">
        <v>145</v>
      </c>
      <c r="I869" s="0" t="n">
        <v>500</v>
      </c>
      <c r="J869" s="0" t="n">
        <f aca="false">F869*E869</f>
        <v>225</v>
      </c>
      <c r="K869" s="0" t="str">
        <f aca="false">IF(G869&lt;1000,"1-Low",IF(G869&lt;5000,"2-Medium","3-Bulk"))</f>
        <v>1-Low</v>
      </c>
      <c r="L869" s="0" t="str">
        <f aca="false">IF(H869="TRUE","Out of stock","In stock")</f>
        <v>In stock</v>
      </c>
      <c r="M869" s="0" t="str">
        <f aca="false">IF(D869&lt;5,"1) Under 5%",IF(D869&lt;10,"2) 5-9%",IF(D869&lt;15,"3) 10-14%",IF(D869&lt;25,"4) 15-24%","5) 25%+"))))</f>
        <v>4) 15-24%</v>
      </c>
      <c r="N869" s="0" t="str">
        <f aca="false">IF(F869&lt;50,"1) Under Rs 50",IF(F869&lt;100,"2) Rs 50-99",IF(F869&lt;200,"3) Rs 100-199",IF(F869&lt;500,"4) Rs 200-499","5) Rs 500+"))))</f>
        <v>2) Rs 50-99</v>
      </c>
      <c r="O869" s="0" t="n">
        <f aca="false">G869*E869/1000</f>
        <v>1.5</v>
      </c>
    </row>
    <row r="870" customFormat="false" ht="15" hidden="false" customHeight="false" outlineLevel="0" collapsed="false">
      <c r="A870" s="0" t="s">
        <v>117</v>
      </c>
      <c r="B870" s="0" t="s">
        <v>470</v>
      </c>
      <c r="C870" s="0" t="n">
        <v>95</v>
      </c>
      <c r="D870" s="0" t="n">
        <v>7</v>
      </c>
      <c r="E870" s="0" t="n">
        <v>6</v>
      </c>
      <c r="F870" s="0" t="n">
        <v>88</v>
      </c>
      <c r="G870" s="0" t="n">
        <v>500</v>
      </c>
      <c r="H870" s="0" t="s">
        <v>145</v>
      </c>
      <c r="I870" s="0" t="n">
        <v>500</v>
      </c>
      <c r="J870" s="0" t="n">
        <f aca="false">F870*E870</f>
        <v>528</v>
      </c>
      <c r="K870" s="0" t="str">
        <f aca="false">IF(G870&lt;1000,"1-Low",IF(G870&lt;5000,"2-Medium","3-Bulk"))</f>
        <v>1-Low</v>
      </c>
      <c r="L870" s="0" t="str">
        <f aca="false">IF(H870="TRUE","Out of stock","In stock")</f>
        <v>In stock</v>
      </c>
      <c r="M870" s="0" t="str">
        <f aca="false">IF(D870&lt;5,"1) Under 5%",IF(D870&lt;10,"2) 5-9%",IF(D870&lt;15,"3) 10-14%",IF(D870&lt;25,"4) 15-24%","5) 25%+"))))</f>
        <v>2) 5-9%</v>
      </c>
      <c r="N870" s="0" t="str">
        <f aca="false">IF(F870&lt;50,"1) Under Rs 50",IF(F870&lt;100,"2) Rs 50-99",IF(F870&lt;200,"3) Rs 100-199",IF(F870&lt;500,"4) Rs 200-499","5) Rs 500+"))))</f>
        <v>2) Rs 50-99</v>
      </c>
      <c r="O870" s="0" t="n">
        <f aca="false">G870*E870/1000</f>
        <v>3</v>
      </c>
    </row>
    <row r="871" customFormat="false" ht="15" hidden="false" customHeight="false" outlineLevel="0" collapsed="false">
      <c r="A871" s="0" t="s">
        <v>117</v>
      </c>
      <c r="B871" s="0" t="s">
        <v>471</v>
      </c>
      <c r="C871" s="0" t="n">
        <v>60</v>
      </c>
      <c r="D871" s="0" t="n">
        <v>6</v>
      </c>
      <c r="E871" s="0" t="n">
        <v>3</v>
      </c>
      <c r="F871" s="0" t="n">
        <v>56</v>
      </c>
      <c r="G871" s="0" t="n">
        <v>500</v>
      </c>
      <c r="H871" s="0" t="s">
        <v>145</v>
      </c>
      <c r="I871" s="0" t="n">
        <v>500</v>
      </c>
      <c r="J871" s="0" t="n">
        <f aca="false">F871*E871</f>
        <v>168</v>
      </c>
      <c r="K871" s="0" t="str">
        <f aca="false">IF(G871&lt;1000,"1-Low",IF(G871&lt;5000,"2-Medium","3-Bulk"))</f>
        <v>1-Low</v>
      </c>
      <c r="L871" s="0" t="str">
        <f aca="false">IF(H871="TRUE","Out of stock","In stock")</f>
        <v>In stock</v>
      </c>
      <c r="M871" s="0" t="str">
        <f aca="false">IF(D871&lt;5,"1) Under 5%",IF(D871&lt;10,"2) 5-9%",IF(D871&lt;15,"3) 10-14%",IF(D871&lt;25,"4) 15-24%","5) 25%+"))))</f>
        <v>2) 5-9%</v>
      </c>
      <c r="N871" s="0" t="str">
        <f aca="false">IF(F871&lt;50,"1) Under Rs 50",IF(F871&lt;100,"2) Rs 50-99",IF(F871&lt;200,"3) Rs 100-199",IF(F871&lt;500,"4) Rs 200-499","5) Rs 500+"))))</f>
        <v>2) Rs 50-99</v>
      </c>
      <c r="O871" s="0" t="n">
        <f aca="false">G871*E871/1000</f>
        <v>1.5</v>
      </c>
    </row>
    <row r="872" customFormat="false" ht="15" hidden="false" customHeight="false" outlineLevel="0" collapsed="false">
      <c r="A872" s="0" t="s">
        <v>117</v>
      </c>
      <c r="B872" s="0" t="s">
        <v>472</v>
      </c>
      <c r="C872" s="0" t="n">
        <v>390</v>
      </c>
      <c r="D872" s="0" t="n">
        <v>11</v>
      </c>
      <c r="E872" s="0" t="n">
        <v>5</v>
      </c>
      <c r="F872" s="0" t="n">
        <v>347</v>
      </c>
      <c r="G872" s="0" t="n">
        <v>1000</v>
      </c>
      <c r="H872" s="0" t="s">
        <v>145</v>
      </c>
      <c r="I872" s="0" t="n">
        <v>1</v>
      </c>
      <c r="J872" s="0" t="n">
        <f aca="false">F872*E872</f>
        <v>1735</v>
      </c>
      <c r="K872" s="0" t="str">
        <f aca="false">IF(G872&lt;1000,"1-Low",IF(G872&lt;5000,"2-Medium","3-Bulk"))</f>
        <v>2-Medium</v>
      </c>
      <c r="L872" s="0" t="str">
        <f aca="false">IF(H872="TRUE","Out of stock","In stock")</f>
        <v>In stock</v>
      </c>
      <c r="M872" s="0" t="str">
        <f aca="false">IF(D872&lt;5,"1) Under 5%",IF(D872&lt;10,"2) 5-9%",IF(D872&lt;15,"3) 10-14%",IF(D872&lt;25,"4) 15-24%","5) 25%+"))))</f>
        <v>3) 10-14%</v>
      </c>
      <c r="N872" s="0" t="str">
        <f aca="false">IF(F872&lt;50,"1) Under Rs 50",IF(F872&lt;100,"2) Rs 50-99",IF(F872&lt;200,"3) Rs 100-199",IF(F872&lt;500,"4) Rs 200-499","5) Rs 500+"))))</f>
        <v>4) Rs 200-499</v>
      </c>
      <c r="O872" s="0" t="n">
        <f aca="false">G872*E872/1000</f>
        <v>5</v>
      </c>
    </row>
    <row r="873" customFormat="false" ht="15" hidden="false" customHeight="false" outlineLevel="0" collapsed="false">
      <c r="A873" s="0" t="s">
        <v>117</v>
      </c>
      <c r="B873" s="0" t="s">
        <v>473</v>
      </c>
      <c r="C873" s="0" t="n">
        <v>60</v>
      </c>
      <c r="D873" s="0" t="n">
        <v>0</v>
      </c>
      <c r="E873" s="0" t="n">
        <v>4</v>
      </c>
      <c r="F873" s="0" t="n">
        <v>60</v>
      </c>
      <c r="G873" s="0" t="n">
        <v>240</v>
      </c>
      <c r="H873" s="0" t="s">
        <v>145</v>
      </c>
      <c r="I873" s="0" t="n">
        <v>240</v>
      </c>
      <c r="J873" s="0" t="n">
        <f aca="false">F873*E873</f>
        <v>240</v>
      </c>
      <c r="K873" s="0" t="str">
        <f aca="false">IF(G873&lt;1000,"1-Low",IF(G873&lt;5000,"2-Medium","3-Bulk"))</f>
        <v>1-Low</v>
      </c>
      <c r="L873" s="0" t="str">
        <f aca="false">IF(H873="TRUE","Out of stock","In stock")</f>
        <v>In stock</v>
      </c>
      <c r="M873" s="0" t="str">
        <f aca="false">IF(D873&lt;5,"1) Under 5%",IF(D873&lt;10,"2) 5-9%",IF(D873&lt;15,"3) 10-14%",IF(D873&lt;25,"4) 15-24%","5) 25%+"))))</f>
        <v>1) Under 5%</v>
      </c>
      <c r="N873" s="0" t="str">
        <f aca="false">IF(F873&lt;50,"1) Under Rs 50",IF(F873&lt;100,"2) Rs 50-99",IF(F873&lt;200,"3) Rs 100-199",IF(F873&lt;500,"4) Rs 200-499","5) Rs 500+"))))</f>
        <v>2) Rs 50-99</v>
      </c>
      <c r="O873" s="0" t="n">
        <f aca="false">G873*E873/1000</f>
        <v>0.96</v>
      </c>
    </row>
    <row r="874" customFormat="false" ht="15" hidden="false" customHeight="false" outlineLevel="0" collapsed="false">
      <c r="A874" s="0" t="s">
        <v>117</v>
      </c>
      <c r="B874" s="0" t="s">
        <v>474</v>
      </c>
      <c r="C874" s="0" t="n">
        <v>195</v>
      </c>
      <c r="D874" s="0" t="n">
        <v>12</v>
      </c>
      <c r="E874" s="0" t="n">
        <v>6</v>
      </c>
      <c r="F874" s="0" t="n">
        <v>171</v>
      </c>
      <c r="G874" s="0" t="n">
        <v>500</v>
      </c>
      <c r="H874" s="0" t="s">
        <v>145</v>
      </c>
      <c r="I874" s="0" t="n">
        <v>500</v>
      </c>
      <c r="J874" s="0" t="n">
        <f aca="false">F874*E874</f>
        <v>1026</v>
      </c>
      <c r="K874" s="0" t="str">
        <f aca="false">IF(G874&lt;1000,"1-Low",IF(G874&lt;5000,"2-Medium","3-Bulk"))</f>
        <v>1-Low</v>
      </c>
      <c r="L874" s="0" t="str">
        <f aca="false">IF(H874="TRUE","Out of stock","In stock")</f>
        <v>In stock</v>
      </c>
      <c r="M874" s="0" t="str">
        <f aca="false">IF(D874&lt;5,"1) Under 5%",IF(D874&lt;10,"2) 5-9%",IF(D874&lt;15,"3) 10-14%",IF(D874&lt;25,"4) 15-24%","5) 25%+"))))</f>
        <v>3) 10-14%</v>
      </c>
      <c r="N874" s="0" t="str">
        <f aca="false">IF(F874&lt;50,"1) Under Rs 50",IF(F874&lt;100,"2) Rs 50-99",IF(F874&lt;200,"3) Rs 100-199",IF(F874&lt;500,"4) Rs 200-499","5) Rs 500+"))))</f>
        <v>3) Rs 100-199</v>
      </c>
      <c r="O874" s="0" t="n">
        <f aca="false">G874*E874/1000</f>
        <v>3</v>
      </c>
    </row>
    <row r="875" customFormat="false" ht="15" hidden="false" customHeight="false" outlineLevel="0" collapsed="false">
      <c r="A875" s="0" t="s">
        <v>117</v>
      </c>
      <c r="B875" s="0" t="s">
        <v>475</v>
      </c>
      <c r="C875" s="0" t="n">
        <v>430</v>
      </c>
      <c r="D875" s="0" t="n">
        <v>10</v>
      </c>
      <c r="E875" s="0" t="n">
        <v>6</v>
      </c>
      <c r="F875" s="0" t="n">
        <v>387</v>
      </c>
      <c r="G875" s="0" t="n">
        <v>1000</v>
      </c>
      <c r="H875" s="0" t="s">
        <v>145</v>
      </c>
      <c r="I875" s="0" t="n">
        <v>1</v>
      </c>
      <c r="J875" s="0" t="n">
        <f aca="false">F875*E875</f>
        <v>2322</v>
      </c>
      <c r="K875" s="0" t="str">
        <f aca="false">IF(G875&lt;1000,"1-Low",IF(G875&lt;5000,"2-Medium","3-Bulk"))</f>
        <v>2-Medium</v>
      </c>
      <c r="L875" s="0" t="str">
        <f aca="false">IF(H875="TRUE","Out of stock","In stock")</f>
        <v>In stock</v>
      </c>
      <c r="M875" s="0" t="str">
        <f aca="false">IF(D875&lt;5,"1) Under 5%",IF(D875&lt;10,"2) 5-9%",IF(D875&lt;15,"3) 10-14%",IF(D875&lt;25,"4) 15-24%","5) 25%+"))))</f>
        <v>3) 10-14%</v>
      </c>
      <c r="N875" s="0" t="str">
        <f aca="false">IF(F875&lt;50,"1) Under Rs 50",IF(F875&lt;100,"2) Rs 50-99",IF(F875&lt;200,"3) Rs 100-199",IF(F875&lt;500,"4) Rs 200-499","5) Rs 500+"))))</f>
        <v>4) Rs 200-499</v>
      </c>
      <c r="O875" s="0" t="n">
        <f aca="false">G875*E875/1000</f>
        <v>6</v>
      </c>
    </row>
    <row r="876" customFormat="false" ht="15" hidden="false" customHeight="false" outlineLevel="0" collapsed="false">
      <c r="A876" s="0" t="s">
        <v>117</v>
      </c>
      <c r="B876" s="0" t="s">
        <v>476</v>
      </c>
      <c r="C876" s="0" t="n">
        <v>70</v>
      </c>
      <c r="D876" s="0" t="n">
        <v>10</v>
      </c>
      <c r="E876" s="0" t="n">
        <v>5</v>
      </c>
      <c r="F876" s="0" t="n">
        <v>63</v>
      </c>
      <c r="G876" s="0" t="n">
        <v>25</v>
      </c>
      <c r="H876" s="0" t="s">
        <v>145</v>
      </c>
      <c r="I876" s="0" t="n">
        <v>25</v>
      </c>
      <c r="J876" s="0" t="n">
        <f aca="false">F876*E876</f>
        <v>315</v>
      </c>
      <c r="K876" s="0" t="str">
        <f aca="false">IF(G876&lt;1000,"1-Low",IF(G876&lt;5000,"2-Medium","3-Bulk"))</f>
        <v>1-Low</v>
      </c>
      <c r="L876" s="0" t="str">
        <f aca="false">IF(H876="TRUE","Out of stock","In stock")</f>
        <v>In stock</v>
      </c>
      <c r="M876" s="0" t="str">
        <f aca="false">IF(D876&lt;5,"1) Under 5%",IF(D876&lt;10,"2) 5-9%",IF(D876&lt;15,"3) 10-14%",IF(D876&lt;25,"4) 15-24%","5) 25%+"))))</f>
        <v>3) 10-14%</v>
      </c>
      <c r="N876" s="0" t="str">
        <f aca="false">IF(F876&lt;50,"1) Under Rs 50",IF(F876&lt;100,"2) Rs 50-99",IF(F876&lt;200,"3) Rs 100-199",IF(F876&lt;500,"4) Rs 200-499","5) Rs 500+"))))</f>
        <v>2) Rs 50-99</v>
      </c>
      <c r="O876" s="0" t="n">
        <f aca="false">G876*E876/1000</f>
        <v>0.125</v>
      </c>
    </row>
    <row r="877" customFormat="false" ht="15" hidden="false" customHeight="false" outlineLevel="0" collapsed="false">
      <c r="A877" s="0" t="s">
        <v>117</v>
      </c>
      <c r="B877" s="0" t="s">
        <v>477</v>
      </c>
      <c r="C877" s="0" t="n">
        <v>10</v>
      </c>
      <c r="D877" s="0" t="n">
        <v>0</v>
      </c>
      <c r="E877" s="0" t="n">
        <v>5</v>
      </c>
      <c r="F877" s="0" t="n">
        <v>10</v>
      </c>
      <c r="G877" s="0" t="n">
        <v>20</v>
      </c>
      <c r="H877" s="0" t="s">
        <v>145</v>
      </c>
      <c r="I877" s="0" t="n">
        <v>20</v>
      </c>
      <c r="J877" s="0" t="n">
        <f aca="false">F877*E877</f>
        <v>50</v>
      </c>
      <c r="K877" s="0" t="str">
        <f aca="false">IF(G877&lt;1000,"1-Low",IF(G877&lt;5000,"2-Medium","3-Bulk"))</f>
        <v>1-Low</v>
      </c>
      <c r="L877" s="0" t="str">
        <f aca="false">IF(H877="TRUE","Out of stock","In stock")</f>
        <v>In stock</v>
      </c>
      <c r="M877" s="0" t="str">
        <f aca="false">IF(D877&lt;5,"1) Under 5%",IF(D877&lt;10,"2) 5-9%",IF(D877&lt;15,"3) 10-14%",IF(D877&lt;25,"4) 15-24%","5) 25%+"))))</f>
        <v>1) Under 5%</v>
      </c>
      <c r="N877" s="0" t="str">
        <f aca="false">IF(F877&lt;50,"1) Under Rs 50",IF(F877&lt;100,"2) Rs 50-99",IF(F877&lt;200,"3) Rs 100-199",IF(F877&lt;500,"4) Rs 200-499","5) Rs 500+"))))</f>
        <v>1) Under Rs 50</v>
      </c>
      <c r="O877" s="0" t="n">
        <f aca="false">G877*E877/1000</f>
        <v>0.1</v>
      </c>
    </row>
    <row r="878" customFormat="false" ht="15" hidden="false" customHeight="false" outlineLevel="0" collapsed="false">
      <c r="A878" s="0" t="s">
        <v>117</v>
      </c>
      <c r="B878" s="0" t="s">
        <v>478</v>
      </c>
      <c r="C878" s="0" t="n">
        <v>223</v>
      </c>
      <c r="D878" s="0" t="n">
        <v>5</v>
      </c>
      <c r="E878" s="0" t="n">
        <v>6</v>
      </c>
      <c r="F878" s="0" t="n">
        <v>211</v>
      </c>
      <c r="G878" s="0" t="n">
        <v>150</v>
      </c>
      <c r="H878" s="0" t="s">
        <v>145</v>
      </c>
      <c r="I878" s="0" t="n">
        <v>150</v>
      </c>
      <c r="J878" s="0" t="n">
        <f aca="false">F878*E878</f>
        <v>1266</v>
      </c>
      <c r="K878" s="0" t="str">
        <f aca="false">IF(G878&lt;1000,"1-Low",IF(G878&lt;5000,"2-Medium","3-Bulk"))</f>
        <v>1-Low</v>
      </c>
      <c r="L878" s="0" t="str">
        <f aca="false">IF(H878="TRUE","Out of stock","In stock")</f>
        <v>In stock</v>
      </c>
      <c r="M878" s="0" t="str">
        <f aca="false">IF(D878&lt;5,"1) Under 5%",IF(D878&lt;10,"2) 5-9%",IF(D878&lt;15,"3) 10-14%",IF(D878&lt;25,"4) 15-24%","5) 25%+"))))</f>
        <v>2) 5-9%</v>
      </c>
      <c r="N878" s="0" t="str">
        <f aca="false">IF(F878&lt;50,"1) Under Rs 50",IF(F878&lt;100,"2) Rs 50-99",IF(F878&lt;200,"3) Rs 100-199",IF(F878&lt;500,"4) Rs 200-499","5) Rs 500+"))))</f>
        <v>4) Rs 200-499</v>
      </c>
      <c r="O878" s="0" t="n">
        <f aca="false">G878*E878/1000</f>
        <v>0.9</v>
      </c>
    </row>
    <row r="879" customFormat="false" ht="15" hidden="false" customHeight="false" outlineLevel="0" collapsed="false">
      <c r="A879" s="0" t="s">
        <v>117</v>
      </c>
      <c r="B879" s="0" t="s">
        <v>91</v>
      </c>
      <c r="C879" s="0" t="n">
        <v>1450</v>
      </c>
      <c r="D879" s="0" t="n">
        <v>10</v>
      </c>
      <c r="E879" s="0" t="n">
        <v>6</v>
      </c>
      <c r="F879" s="0" t="n">
        <v>1305</v>
      </c>
      <c r="G879" s="0" t="n">
        <v>540</v>
      </c>
      <c r="H879" s="0" t="s">
        <v>145</v>
      </c>
      <c r="I879" s="0" t="n">
        <v>540</v>
      </c>
      <c r="J879" s="0" t="n">
        <f aca="false">F879*E879</f>
        <v>7830</v>
      </c>
      <c r="K879" s="0" t="str">
        <f aca="false">IF(G879&lt;1000,"1-Low",IF(G879&lt;5000,"2-Medium","3-Bulk"))</f>
        <v>1-Low</v>
      </c>
      <c r="L879" s="0" t="str">
        <f aca="false">IF(H879="TRUE","Out of stock","In stock")</f>
        <v>In stock</v>
      </c>
      <c r="M879" s="0" t="str">
        <f aca="false">IF(D879&lt;5,"1) Under 5%",IF(D879&lt;10,"2) 5-9%",IF(D879&lt;15,"3) 10-14%",IF(D879&lt;25,"4) 15-24%","5) 25%+"))))</f>
        <v>3) 10-14%</v>
      </c>
      <c r="N879" s="0" t="str">
        <f aca="false">IF(F879&lt;50,"1) Under Rs 50",IF(F879&lt;100,"2) Rs 50-99",IF(F879&lt;200,"3) Rs 100-199",IF(F879&lt;500,"4) Rs 200-499","5) Rs 500+"))))</f>
        <v>5) Rs 500+</v>
      </c>
      <c r="O879" s="0" t="n">
        <f aca="false">G879*E879/1000</f>
        <v>3.24</v>
      </c>
    </row>
    <row r="880" customFormat="false" ht="15" hidden="false" customHeight="false" outlineLevel="0" collapsed="false">
      <c r="A880" s="0" t="s">
        <v>117</v>
      </c>
      <c r="B880" s="0" t="s">
        <v>479</v>
      </c>
      <c r="C880" s="0" t="n">
        <v>120</v>
      </c>
      <c r="D880" s="0" t="n">
        <v>6</v>
      </c>
      <c r="E880" s="0" t="n">
        <v>5</v>
      </c>
      <c r="F880" s="0" t="n">
        <v>112</v>
      </c>
      <c r="G880" s="0" t="n">
        <v>500</v>
      </c>
      <c r="H880" s="0" t="s">
        <v>145</v>
      </c>
      <c r="I880" s="0" t="n">
        <v>500</v>
      </c>
      <c r="J880" s="0" t="n">
        <f aca="false">F880*E880</f>
        <v>560</v>
      </c>
      <c r="K880" s="0" t="str">
        <f aca="false">IF(G880&lt;1000,"1-Low",IF(G880&lt;5000,"2-Medium","3-Bulk"))</f>
        <v>1-Low</v>
      </c>
      <c r="L880" s="0" t="str">
        <f aca="false">IF(H880="TRUE","Out of stock","In stock")</f>
        <v>In stock</v>
      </c>
      <c r="M880" s="0" t="str">
        <f aca="false">IF(D880&lt;5,"1) Under 5%",IF(D880&lt;10,"2) 5-9%",IF(D880&lt;15,"3) 10-14%",IF(D880&lt;25,"4) 15-24%","5) 25%+"))))</f>
        <v>2) 5-9%</v>
      </c>
      <c r="N880" s="0" t="str">
        <f aca="false">IF(F880&lt;50,"1) Under Rs 50",IF(F880&lt;100,"2) Rs 50-99",IF(F880&lt;200,"3) Rs 100-199",IF(F880&lt;500,"4) Rs 200-499","5) Rs 500+"))))</f>
        <v>3) Rs 100-199</v>
      </c>
      <c r="O880" s="0" t="n">
        <f aca="false">G880*E880/1000</f>
        <v>2.5</v>
      </c>
    </row>
    <row r="881" customFormat="false" ht="15" hidden="false" customHeight="false" outlineLevel="0" collapsed="false">
      <c r="A881" s="0" t="s">
        <v>117</v>
      </c>
      <c r="B881" s="0" t="s">
        <v>480</v>
      </c>
      <c r="C881" s="0" t="n">
        <v>160</v>
      </c>
      <c r="D881" s="0" t="n">
        <v>6</v>
      </c>
      <c r="E881" s="0" t="n">
        <v>4</v>
      </c>
      <c r="F881" s="0" t="n">
        <v>150</v>
      </c>
      <c r="G881" s="0" t="n">
        <v>200</v>
      </c>
      <c r="H881" s="0" t="s">
        <v>145</v>
      </c>
      <c r="I881" s="0" t="n">
        <v>200</v>
      </c>
      <c r="J881" s="0" t="n">
        <f aca="false">F881*E881</f>
        <v>600</v>
      </c>
      <c r="K881" s="0" t="str">
        <f aca="false">IF(G881&lt;1000,"1-Low",IF(G881&lt;5000,"2-Medium","3-Bulk"))</f>
        <v>1-Low</v>
      </c>
      <c r="L881" s="0" t="str">
        <f aca="false">IF(H881="TRUE","Out of stock","In stock")</f>
        <v>In stock</v>
      </c>
      <c r="M881" s="0" t="str">
        <f aca="false">IF(D881&lt;5,"1) Under 5%",IF(D881&lt;10,"2) 5-9%",IF(D881&lt;15,"3) 10-14%",IF(D881&lt;25,"4) 15-24%","5) 25%+"))))</f>
        <v>2) 5-9%</v>
      </c>
      <c r="N881" s="0" t="str">
        <f aca="false">IF(F881&lt;50,"1) Under Rs 50",IF(F881&lt;100,"2) Rs 50-99",IF(F881&lt;200,"3) Rs 100-199",IF(F881&lt;500,"4) Rs 200-499","5) Rs 500+"))))</f>
        <v>3) Rs 100-199</v>
      </c>
      <c r="O881" s="0" t="n">
        <f aca="false">G881*E881/1000</f>
        <v>0.8</v>
      </c>
    </row>
    <row r="882" customFormat="false" ht="15" hidden="false" customHeight="false" outlineLevel="0" collapsed="false">
      <c r="A882" s="0" t="s">
        <v>117</v>
      </c>
      <c r="B882" s="0" t="s">
        <v>481</v>
      </c>
      <c r="C882" s="0" t="n">
        <v>140</v>
      </c>
      <c r="D882" s="0" t="n">
        <v>15</v>
      </c>
      <c r="E882" s="0" t="n">
        <v>6</v>
      </c>
      <c r="F882" s="0" t="n">
        <v>118</v>
      </c>
      <c r="G882" s="0" t="n">
        <v>250</v>
      </c>
      <c r="H882" s="0" t="s">
        <v>145</v>
      </c>
      <c r="I882" s="0" t="n">
        <v>250</v>
      </c>
      <c r="J882" s="0" t="n">
        <f aca="false">F882*E882</f>
        <v>708</v>
      </c>
      <c r="K882" s="0" t="str">
        <f aca="false">IF(G882&lt;1000,"1-Low",IF(G882&lt;5000,"2-Medium","3-Bulk"))</f>
        <v>1-Low</v>
      </c>
      <c r="L882" s="0" t="str">
        <f aca="false">IF(H882="TRUE","Out of stock","In stock")</f>
        <v>In stock</v>
      </c>
      <c r="M882" s="0" t="str">
        <f aca="false">IF(D882&lt;5,"1) Under 5%",IF(D882&lt;10,"2) 5-9%",IF(D882&lt;15,"3) 10-14%",IF(D882&lt;25,"4) 15-24%","5) 25%+"))))</f>
        <v>4) 15-24%</v>
      </c>
      <c r="N882" s="0" t="str">
        <f aca="false">IF(F882&lt;50,"1) Under Rs 50",IF(F882&lt;100,"2) Rs 50-99",IF(F882&lt;200,"3) Rs 100-199",IF(F882&lt;500,"4) Rs 200-499","5) Rs 500+"))))</f>
        <v>3) Rs 100-199</v>
      </c>
      <c r="O882" s="0" t="n">
        <f aca="false">G882*E882/1000</f>
        <v>1.5</v>
      </c>
    </row>
    <row r="883" customFormat="false" ht="15" hidden="false" customHeight="false" outlineLevel="0" collapsed="false">
      <c r="A883" s="0" t="s">
        <v>117</v>
      </c>
      <c r="B883" s="0" t="s">
        <v>482</v>
      </c>
      <c r="C883" s="0" t="n">
        <v>95</v>
      </c>
      <c r="D883" s="0" t="n">
        <v>6</v>
      </c>
      <c r="E883" s="0" t="n">
        <v>4</v>
      </c>
      <c r="F883" s="0" t="n">
        <v>89</v>
      </c>
      <c r="G883" s="0" t="n">
        <v>500</v>
      </c>
      <c r="H883" s="0" t="s">
        <v>145</v>
      </c>
      <c r="I883" s="0" t="n">
        <v>500</v>
      </c>
      <c r="J883" s="0" t="n">
        <f aca="false">F883*E883</f>
        <v>356</v>
      </c>
      <c r="K883" s="0" t="str">
        <f aca="false">IF(G883&lt;1000,"1-Low",IF(G883&lt;5000,"2-Medium","3-Bulk"))</f>
        <v>1-Low</v>
      </c>
      <c r="L883" s="0" t="str">
        <f aca="false">IF(H883="TRUE","Out of stock","In stock")</f>
        <v>In stock</v>
      </c>
      <c r="M883" s="0" t="str">
        <f aca="false">IF(D883&lt;5,"1) Under 5%",IF(D883&lt;10,"2) 5-9%",IF(D883&lt;15,"3) 10-14%",IF(D883&lt;25,"4) 15-24%","5) 25%+"))))</f>
        <v>2) 5-9%</v>
      </c>
      <c r="N883" s="0" t="str">
        <f aca="false">IF(F883&lt;50,"1) Under Rs 50",IF(F883&lt;100,"2) Rs 50-99",IF(F883&lt;200,"3) Rs 100-199",IF(F883&lt;500,"4) Rs 200-499","5) Rs 500+"))))</f>
        <v>2) Rs 50-99</v>
      </c>
      <c r="O883" s="0" t="n">
        <f aca="false">G883*E883/1000</f>
        <v>2</v>
      </c>
    </row>
    <row r="884" customFormat="false" ht="15" hidden="false" customHeight="false" outlineLevel="0" collapsed="false">
      <c r="A884" s="0" t="s">
        <v>117</v>
      </c>
      <c r="B884" s="0" t="s">
        <v>483</v>
      </c>
      <c r="C884" s="0" t="n">
        <v>50</v>
      </c>
      <c r="D884" s="0" t="n">
        <v>6</v>
      </c>
      <c r="E884" s="0" t="n">
        <v>6</v>
      </c>
      <c r="F884" s="0" t="n">
        <v>47</v>
      </c>
      <c r="G884" s="0" t="n">
        <v>200</v>
      </c>
      <c r="H884" s="0" t="s">
        <v>145</v>
      </c>
      <c r="I884" s="0" t="n">
        <v>200</v>
      </c>
      <c r="J884" s="0" t="n">
        <f aca="false">F884*E884</f>
        <v>282</v>
      </c>
      <c r="K884" s="0" t="str">
        <f aca="false">IF(G884&lt;1000,"1-Low",IF(G884&lt;5000,"2-Medium","3-Bulk"))</f>
        <v>1-Low</v>
      </c>
      <c r="L884" s="0" t="str">
        <f aca="false">IF(H884="TRUE","Out of stock","In stock")</f>
        <v>In stock</v>
      </c>
      <c r="M884" s="0" t="str">
        <f aca="false">IF(D884&lt;5,"1) Under 5%",IF(D884&lt;10,"2) 5-9%",IF(D884&lt;15,"3) 10-14%",IF(D884&lt;25,"4) 15-24%","5) 25%+"))))</f>
        <v>2) 5-9%</v>
      </c>
      <c r="N884" s="0" t="str">
        <f aca="false">IF(F884&lt;50,"1) Under Rs 50",IF(F884&lt;100,"2) Rs 50-99",IF(F884&lt;200,"3) Rs 100-199",IF(F884&lt;500,"4) Rs 200-499","5) Rs 500+"))))</f>
        <v>1) Under Rs 50</v>
      </c>
      <c r="O884" s="0" t="n">
        <f aca="false">G884*E884/1000</f>
        <v>1.2</v>
      </c>
    </row>
    <row r="885" customFormat="false" ht="15" hidden="false" customHeight="false" outlineLevel="0" collapsed="false">
      <c r="A885" s="0" t="s">
        <v>117</v>
      </c>
      <c r="B885" s="0" t="s">
        <v>484</v>
      </c>
      <c r="C885" s="0" t="n">
        <v>330</v>
      </c>
      <c r="D885" s="0" t="n">
        <v>10</v>
      </c>
      <c r="E885" s="0" t="n">
        <v>1</v>
      </c>
      <c r="F885" s="0" t="n">
        <v>297</v>
      </c>
      <c r="G885" s="0" t="n">
        <v>400</v>
      </c>
      <c r="H885" s="0" t="s">
        <v>145</v>
      </c>
      <c r="I885" s="0" t="n">
        <v>400</v>
      </c>
      <c r="J885" s="0" t="n">
        <f aca="false">F885*E885</f>
        <v>297</v>
      </c>
      <c r="K885" s="0" t="str">
        <f aca="false">IF(G885&lt;1000,"1-Low",IF(G885&lt;5000,"2-Medium","3-Bulk"))</f>
        <v>1-Low</v>
      </c>
      <c r="L885" s="0" t="str">
        <f aca="false">IF(H885="TRUE","Out of stock","In stock")</f>
        <v>In stock</v>
      </c>
      <c r="M885" s="0" t="str">
        <f aca="false">IF(D885&lt;5,"1) Under 5%",IF(D885&lt;10,"2) 5-9%",IF(D885&lt;15,"3) 10-14%",IF(D885&lt;25,"4) 15-24%","5) 25%+"))))</f>
        <v>3) 10-14%</v>
      </c>
      <c r="N885" s="0" t="str">
        <f aca="false">IF(F885&lt;50,"1) Under Rs 50",IF(F885&lt;100,"2) Rs 50-99",IF(F885&lt;200,"3) Rs 100-199",IF(F885&lt;500,"4) Rs 200-499","5) Rs 500+"))))</f>
        <v>4) Rs 200-499</v>
      </c>
      <c r="O885" s="0" t="n">
        <f aca="false">G885*E885/1000</f>
        <v>0.4</v>
      </c>
    </row>
    <row r="886" customFormat="false" ht="15" hidden="false" customHeight="false" outlineLevel="0" collapsed="false">
      <c r="A886" s="0" t="s">
        <v>117</v>
      </c>
      <c r="B886" s="0" t="s">
        <v>485</v>
      </c>
      <c r="C886" s="0" t="n">
        <v>44</v>
      </c>
      <c r="D886" s="0" t="n">
        <v>0</v>
      </c>
      <c r="E886" s="0" t="n">
        <v>5</v>
      </c>
      <c r="F886" s="0" t="n">
        <v>44</v>
      </c>
      <c r="G886" s="0" t="n">
        <v>60</v>
      </c>
      <c r="H886" s="0" t="s">
        <v>145</v>
      </c>
      <c r="I886" s="0" t="n">
        <v>60</v>
      </c>
      <c r="J886" s="0" t="n">
        <f aca="false">F886*E886</f>
        <v>220</v>
      </c>
      <c r="K886" s="0" t="str">
        <f aca="false">IF(G886&lt;1000,"1-Low",IF(G886&lt;5000,"2-Medium","3-Bulk"))</f>
        <v>1-Low</v>
      </c>
      <c r="L886" s="0" t="str">
        <f aca="false">IF(H886="TRUE","Out of stock","In stock")</f>
        <v>In stock</v>
      </c>
      <c r="M886" s="0" t="str">
        <f aca="false">IF(D886&lt;5,"1) Under 5%",IF(D886&lt;10,"2) 5-9%",IF(D886&lt;15,"3) 10-14%",IF(D886&lt;25,"4) 15-24%","5) 25%+"))))</f>
        <v>1) Under 5%</v>
      </c>
      <c r="N886" s="0" t="str">
        <f aca="false">IF(F886&lt;50,"1) Under Rs 50",IF(F886&lt;100,"2) Rs 50-99",IF(F886&lt;200,"3) Rs 100-199",IF(F886&lt;500,"4) Rs 200-499","5) Rs 500+"))))</f>
        <v>1) Under Rs 50</v>
      </c>
      <c r="O886" s="0" t="n">
        <f aca="false">G886*E886/1000</f>
        <v>0.3</v>
      </c>
    </row>
    <row r="887" customFormat="false" ht="15" hidden="false" customHeight="false" outlineLevel="0" collapsed="false">
      <c r="A887" s="0" t="s">
        <v>117</v>
      </c>
      <c r="B887" s="0" t="s">
        <v>486</v>
      </c>
      <c r="C887" s="0" t="n">
        <v>35</v>
      </c>
      <c r="D887" s="0" t="n">
        <v>2</v>
      </c>
      <c r="E887" s="0" t="n">
        <v>1</v>
      </c>
      <c r="F887" s="0" t="n">
        <v>34</v>
      </c>
      <c r="G887" s="0" t="n">
        <v>40</v>
      </c>
      <c r="H887" s="0" t="s">
        <v>145</v>
      </c>
      <c r="I887" s="0" t="n">
        <v>40</v>
      </c>
      <c r="J887" s="0" t="n">
        <f aca="false">F887*E887</f>
        <v>34</v>
      </c>
      <c r="K887" s="0" t="str">
        <f aca="false">IF(G887&lt;1000,"1-Low",IF(G887&lt;5000,"2-Medium","3-Bulk"))</f>
        <v>1-Low</v>
      </c>
      <c r="L887" s="0" t="str">
        <f aca="false">IF(H887="TRUE","Out of stock","In stock")</f>
        <v>In stock</v>
      </c>
      <c r="M887" s="0" t="str">
        <f aca="false">IF(D887&lt;5,"1) Under 5%",IF(D887&lt;10,"2) 5-9%",IF(D887&lt;15,"3) 10-14%",IF(D887&lt;25,"4) 15-24%","5) 25%+"))))</f>
        <v>1) Under 5%</v>
      </c>
      <c r="N887" s="0" t="str">
        <f aca="false">IF(F887&lt;50,"1) Under Rs 50",IF(F887&lt;100,"2) Rs 50-99",IF(F887&lt;200,"3) Rs 100-199",IF(F887&lt;500,"4) Rs 200-499","5) Rs 500+"))))</f>
        <v>1) Under Rs 50</v>
      </c>
      <c r="O887" s="0" t="n">
        <f aca="false">G887*E887/1000</f>
        <v>0.04</v>
      </c>
    </row>
    <row r="888" customFormat="false" ht="15" hidden="false" customHeight="false" outlineLevel="0" collapsed="false">
      <c r="A888" s="0" t="s">
        <v>117</v>
      </c>
      <c r="B888" s="0" t="s">
        <v>453</v>
      </c>
      <c r="C888" s="0" t="n">
        <v>74</v>
      </c>
      <c r="D888" s="0" t="n">
        <v>9</v>
      </c>
      <c r="E888" s="0" t="n">
        <v>3</v>
      </c>
      <c r="F888" s="0" t="n">
        <v>67</v>
      </c>
      <c r="G888" s="0" t="n">
        <v>100</v>
      </c>
      <c r="H888" s="0" t="s">
        <v>145</v>
      </c>
      <c r="I888" s="0" t="n">
        <v>100</v>
      </c>
      <c r="J888" s="0" t="n">
        <f aca="false">F888*E888</f>
        <v>201</v>
      </c>
      <c r="K888" s="0" t="str">
        <f aca="false">IF(G888&lt;1000,"1-Low",IF(G888&lt;5000,"2-Medium","3-Bulk"))</f>
        <v>1-Low</v>
      </c>
      <c r="L888" s="0" t="str">
        <f aca="false">IF(H888="TRUE","Out of stock","In stock")</f>
        <v>In stock</v>
      </c>
      <c r="M888" s="0" t="str">
        <f aca="false">IF(D888&lt;5,"1) Under 5%",IF(D888&lt;10,"2) 5-9%",IF(D888&lt;15,"3) 10-14%",IF(D888&lt;25,"4) 15-24%","5) 25%+"))))</f>
        <v>2) 5-9%</v>
      </c>
      <c r="N888" s="0" t="str">
        <f aca="false">IF(F888&lt;50,"1) Under Rs 50",IF(F888&lt;100,"2) Rs 50-99",IF(F888&lt;200,"3) Rs 100-199",IF(F888&lt;500,"4) Rs 200-499","5) Rs 500+"))))</f>
        <v>2) Rs 50-99</v>
      </c>
      <c r="O888" s="0" t="n">
        <f aca="false">G888*E888/1000</f>
        <v>0.3</v>
      </c>
    </row>
    <row r="889" customFormat="false" ht="15" hidden="false" customHeight="false" outlineLevel="0" collapsed="false">
      <c r="A889" s="0" t="s">
        <v>117</v>
      </c>
      <c r="B889" s="0" t="s">
        <v>487</v>
      </c>
      <c r="C889" s="0" t="n">
        <v>45</v>
      </c>
      <c r="D889" s="0" t="n">
        <v>4</v>
      </c>
      <c r="E889" s="0" t="n">
        <v>6</v>
      </c>
      <c r="F889" s="0" t="n">
        <v>43</v>
      </c>
      <c r="G889" s="0" t="n">
        <v>500</v>
      </c>
      <c r="H889" s="0" t="s">
        <v>145</v>
      </c>
      <c r="I889" s="0" t="n">
        <v>500</v>
      </c>
      <c r="J889" s="0" t="n">
        <f aca="false">F889*E889</f>
        <v>258</v>
      </c>
      <c r="K889" s="0" t="str">
        <f aca="false">IF(G889&lt;1000,"1-Low",IF(G889&lt;5000,"2-Medium","3-Bulk"))</f>
        <v>1-Low</v>
      </c>
      <c r="L889" s="0" t="str">
        <f aca="false">IF(H889="TRUE","Out of stock","In stock")</f>
        <v>In stock</v>
      </c>
      <c r="M889" s="0" t="str">
        <f aca="false">IF(D889&lt;5,"1) Under 5%",IF(D889&lt;10,"2) 5-9%",IF(D889&lt;15,"3) 10-14%",IF(D889&lt;25,"4) 15-24%","5) 25%+"))))</f>
        <v>1) Under 5%</v>
      </c>
      <c r="N889" s="0" t="str">
        <f aca="false">IF(F889&lt;50,"1) Under Rs 50",IF(F889&lt;100,"2) Rs 50-99",IF(F889&lt;200,"3) Rs 100-199",IF(F889&lt;500,"4) Rs 200-499","5) Rs 500+"))))</f>
        <v>1) Under Rs 50</v>
      </c>
      <c r="O889" s="0" t="n">
        <f aca="false">G889*E889/1000</f>
        <v>3</v>
      </c>
    </row>
    <row r="890" customFormat="false" ht="15" hidden="false" customHeight="false" outlineLevel="0" collapsed="false">
      <c r="A890" s="0" t="s">
        <v>117</v>
      </c>
      <c r="B890" s="0" t="s">
        <v>307</v>
      </c>
      <c r="C890" s="0" t="n">
        <v>142</v>
      </c>
      <c r="D890" s="0" t="n">
        <v>9</v>
      </c>
      <c r="E890" s="0" t="n">
        <v>6</v>
      </c>
      <c r="F890" s="0" t="n">
        <v>128</v>
      </c>
      <c r="G890" s="0" t="n">
        <v>200</v>
      </c>
      <c r="H890" s="0" t="s">
        <v>145</v>
      </c>
      <c r="I890" s="0" t="n">
        <v>200</v>
      </c>
      <c r="J890" s="0" t="n">
        <f aca="false">F890*E890</f>
        <v>768</v>
      </c>
      <c r="K890" s="0" t="str">
        <f aca="false">IF(G890&lt;1000,"1-Low",IF(G890&lt;5000,"2-Medium","3-Bulk"))</f>
        <v>1-Low</v>
      </c>
      <c r="L890" s="0" t="str">
        <f aca="false">IF(H890="TRUE","Out of stock","In stock")</f>
        <v>In stock</v>
      </c>
      <c r="M890" s="0" t="str">
        <f aca="false">IF(D890&lt;5,"1) Under 5%",IF(D890&lt;10,"2) 5-9%",IF(D890&lt;15,"3) 10-14%",IF(D890&lt;25,"4) 15-24%","5) 25%+"))))</f>
        <v>2) 5-9%</v>
      </c>
      <c r="N890" s="0" t="str">
        <f aca="false">IF(F890&lt;50,"1) Under Rs 50",IF(F890&lt;100,"2) Rs 50-99",IF(F890&lt;200,"3) Rs 100-199",IF(F890&lt;500,"4) Rs 200-499","5) Rs 500+"))))</f>
        <v>3) Rs 100-199</v>
      </c>
      <c r="O890" s="0" t="n">
        <f aca="false">G890*E890/1000</f>
        <v>1.2</v>
      </c>
    </row>
    <row r="891" customFormat="false" ht="15" hidden="false" customHeight="false" outlineLevel="0" collapsed="false">
      <c r="A891" s="0" t="s">
        <v>117</v>
      </c>
      <c r="B891" s="0" t="s">
        <v>488</v>
      </c>
      <c r="C891" s="0" t="n">
        <v>165</v>
      </c>
      <c r="D891" s="0" t="n">
        <v>10</v>
      </c>
      <c r="E891" s="0" t="n">
        <v>5</v>
      </c>
      <c r="F891" s="0" t="n">
        <v>147</v>
      </c>
      <c r="G891" s="0" t="n">
        <v>285</v>
      </c>
      <c r="H891" s="0" t="s">
        <v>145</v>
      </c>
      <c r="I891" s="0" t="n">
        <v>285</v>
      </c>
      <c r="J891" s="0" t="n">
        <f aca="false">F891*E891</f>
        <v>735</v>
      </c>
      <c r="K891" s="0" t="str">
        <f aca="false">IF(G891&lt;1000,"1-Low",IF(G891&lt;5000,"2-Medium","3-Bulk"))</f>
        <v>1-Low</v>
      </c>
      <c r="L891" s="0" t="str">
        <f aca="false">IF(H891="TRUE","Out of stock","In stock")</f>
        <v>In stock</v>
      </c>
      <c r="M891" s="0" t="str">
        <f aca="false">IF(D891&lt;5,"1) Under 5%",IF(D891&lt;10,"2) 5-9%",IF(D891&lt;15,"3) 10-14%",IF(D891&lt;25,"4) 15-24%","5) 25%+"))))</f>
        <v>3) 10-14%</v>
      </c>
      <c r="N891" s="0" t="str">
        <f aca="false">IF(F891&lt;50,"1) Under Rs 50",IF(F891&lt;100,"2) Rs 50-99",IF(F891&lt;200,"3) Rs 100-199",IF(F891&lt;500,"4) Rs 200-499","5) Rs 500+"))))</f>
        <v>3) Rs 100-199</v>
      </c>
      <c r="O891" s="0" t="n">
        <f aca="false">G891*E891/1000</f>
        <v>1.425</v>
      </c>
    </row>
    <row r="892" customFormat="false" ht="15" hidden="false" customHeight="false" outlineLevel="0" collapsed="false">
      <c r="A892" s="0" t="s">
        <v>117</v>
      </c>
      <c r="B892" s="0" t="s">
        <v>489</v>
      </c>
      <c r="C892" s="0" t="n">
        <v>74</v>
      </c>
      <c r="D892" s="0" t="n">
        <v>6</v>
      </c>
      <c r="E892" s="0" t="n">
        <v>2</v>
      </c>
      <c r="F892" s="0" t="n">
        <v>69</v>
      </c>
      <c r="G892" s="0" t="n">
        <v>200</v>
      </c>
      <c r="H892" s="0" t="s">
        <v>145</v>
      </c>
      <c r="I892" s="0" t="n">
        <v>200</v>
      </c>
      <c r="J892" s="0" t="n">
        <f aca="false">F892*E892</f>
        <v>138</v>
      </c>
      <c r="K892" s="0" t="str">
        <f aca="false">IF(G892&lt;1000,"1-Low",IF(G892&lt;5000,"2-Medium","3-Bulk"))</f>
        <v>1-Low</v>
      </c>
      <c r="L892" s="0" t="str">
        <f aca="false">IF(H892="TRUE","Out of stock","In stock")</f>
        <v>In stock</v>
      </c>
      <c r="M892" s="0" t="str">
        <f aca="false">IF(D892&lt;5,"1) Under 5%",IF(D892&lt;10,"2) 5-9%",IF(D892&lt;15,"3) 10-14%",IF(D892&lt;25,"4) 15-24%","5) 25%+"))))</f>
        <v>2) 5-9%</v>
      </c>
      <c r="N892" s="0" t="str">
        <f aca="false">IF(F892&lt;50,"1) Under Rs 50",IF(F892&lt;100,"2) Rs 50-99",IF(F892&lt;200,"3) Rs 100-199",IF(F892&lt;500,"4) Rs 200-499","5) Rs 500+"))))</f>
        <v>2) Rs 50-99</v>
      </c>
      <c r="O892" s="0" t="n">
        <f aca="false">G892*E892/1000</f>
        <v>0.4</v>
      </c>
    </row>
    <row r="893" customFormat="false" ht="15" hidden="false" customHeight="false" outlineLevel="0" collapsed="false">
      <c r="A893" s="0" t="s">
        <v>117</v>
      </c>
      <c r="B893" s="0" t="s">
        <v>490</v>
      </c>
      <c r="C893" s="0" t="n">
        <v>40</v>
      </c>
      <c r="D893" s="0" t="n">
        <v>2</v>
      </c>
      <c r="E893" s="0" t="n">
        <v>6</v>
      </c>
      <c r="F893" s="0" t="n">
        <v>39</v>
      </c>
      <c r="G893" s="0" t="n">
        <v>48</v>
      </c>
      <c r="H893" s="0" t="s">
        <v>145</v>
      </c>
      <c r="I893" s="0" t="n">
        <v>48</v>
      </c>
      <c r="J893" s="0" t="n">
        <f aca="false">F893*E893</f>
        <v>234</v>
      </c>
      <c r="K893" s="0" t="str">
        <f aca="false">IF(G893&lt;1000,"1-Low",IF(G893&lt;5000,"2-Medium","3-Bulk"))</f>
        <v>1-Low</v>
      </c>
      <c r="L893" s="0" t="str">
        <f aca="false">IF(H893="TRUE","Out of stock","In stock")</f>
        <v>In stock</v>
      </c>
      <c r="M893" s="0" t="str">
        <f aca="false">IF(D893&lt;5,"1) Under 5%",IF(D893&lt;10,"2) 5-9%",IF(D893&lt;15,"3) 10-14%",IF(D893&lt;25,"4) 15-24%","5) 25%+"))))</f>
        <v>1) Under 5%</v>
      </c>
      <c r="N893" s="0" t="str">
        <f aca="false">IF(F893&lt;50,"1) Under Rs 50",IF(F893&lt;100,"2) Rs 50-99",IF(F893&lt;200,"3) Rs 100-199",IF(F893&lt;500,"4) Rs 200-499","5) Rs 500+"))))</f>
        <v>1) Under Rs 50</v>
      </c>
      <c r="O893" s="0" t="n">
        <f aca="false">G893*E893/1000</f>
        <v>0.288</v>
      </c>
    </row>
    <row r="894" customFormat="false" ht="15" hidden="false" customHeight="false" outlineLevel="0" collapsed="false">
      <c r="A894" s="0" t="s">
        <v>117</v>
      </c>
      <c r="B894" s="0" t="s">
        <v>491</v>
      </c>
      <c r="C894" s="0" t="n">
        <v>102</v>
      </c>
      <c r="D894" s="0" t="n">
        <v>6</v>
      </c>
      <c r="E894" s="0" t="n">
        <v>6</v>
      </c>
      <c r="F894" s="0" t="n">
        <v>95</v>
      </c>
      <c r="G894" s="0" t="n">
        <v>100</v>
      </c>
      <c r="H894" s="0" t="s">
        <v>145</v>
      </c>
      <c r="I894" s="0" t="n">
        <v>100</v>
      </c>
      <c r="J894" s="0" t="n">
        <f aca="false">F894*E894</f>
        <v>570</v>
      </c>
      <c r="K894" s="0" t="str">
        <f aca="false">IF(G894&lt;1000,"1-Low",IF(G894&lt;5000,"2-Medium","3-Bulk"))</f>
        <v>1-Low</v>
      </c>
      <c r="L894" s="0" t="str">
        <f aca="false">IF(H894="TRUE","Out of stock","In stock")</f>
        <v>In stock</v>
      </c>
      <c r="M894" s="0" t="str">
        <f aca="false">IF(D894&lt;5,"1) Under 5%",IF(D894&lt;10,"2) 5-9%",IF(D894&lt;15,"3) 10-14%",IF(D894&lt;25,"4) 15-24%","5) 25%+"))))</f>
        <v>2) 5-9%</v>
      </c>
      <c r="N894" s="0" t="str">
        <f aca="false">IF(F894&lt;50,"1) Under Rs 50",IF(F894&lt;100,"2) Rs 50-99",IF(F894&lt;200,"3) Rs 100-199",IF(F894&lt;500,"4) Rs 200-499","5) Rs 500+"))))</f>
        <v>2) Rs 50-99</v>
      </c>
      <c r="O894" s="0" t="n">
        <f aca="false">G894*E894/1000</f>
        <v>0.6</v>
      </c>
    </row>
    <row r="895" customFormat="false" ht="15" hidden="false" customHeight="false" outlineLevel="0" collapsed="false">
      <c r="A895" s="0" t="s">
        <v>117</v>
      </c>
      <c r="B895" s="0" t="s">
        <v>492</v>
      </c>
      <c r="C895" s="0" t="n">
        <v>49</v>
      </c>
      <c r="D895" s="0" t="n">
        <v>2</v>
      </c>
      <c r="E895" s="0" t="n">
        <v>6</v>
      </c>
      <c r="F895" s="0" t="n">
        <v>48</v>
      </c>
      <c r="G895" s="0" t="n">
        <v>100</v>
      </c>
      <c r="H895" s="0" t="s">
        <v>145</v>
      </c>
      <c r="I895" s="0" t="n">
        <v>100</v>
      </c>
      <c r="J895" s="0" t="n">
        <f aca="false">F895*E895</f>
        <v>288</v>
      </c>
      <c r="K895" s="0" t="str">
        <f aca="false">IF(G895&lt;1000,"1-Low",IF(G895&lt;5000,"2-Medium","3-Bulk"))</f>
        <v>1-Low</v>
      </c>
      <c r="L895" s="0" t="str">
        <f aca="false">IF(H895="TRUE","Out of stock","In stock")</f>
        <v>In stock</v>
      </c>
      <c r="M895" s="0" t="str">
        <f aca="false">IF(D895&lt;5,"1) Under 5%",IF(D895&lt;10,"2) 5-9%",IF(D895&lt;15,"3) 10-14%",IF(D895&lt;25,"4) 15-24%","5) 25%+"))))</f>
        <v>1) Under 5%</v>
      </c>
      <c r="N895" s="0" t="str">
        <f aca="false">IF(F895&lt;50,"1) Under Rs 50",IF(F895&lt;100,"2) Rs 50-99",IF(F895&lt;200,"3) Rs 100-199",IF(F895&lt;500,"4) Rs 200-499","5) Rs 500+"))))</f>
        <v>1) Under Rs 50</v>
      </c>
      <c r="O895" s="0" t="n">
        <f aca="false">G895*E895/1000</f>
        <v>0.6</v>
      </c>
    </row>
    <row r="896" customFormat="false" ht="15" hidden="false" customHeight="false" outlineLevel="0" collapsed="false">
      <c r="A896" s="0" t="s">
        <v>117</v>
      </c>
      <c r="B896" s="0" t="s">
        <v>493</v>
      </c>
      <c r="C896" s="0" t="n">
        <v>90</v>
      </c>
      <c r="D896" s="0" t="n">
        <v>10</v>
      </c>
      <c r="E896" s="0" t="n">
        <v>6</v>
      </c>
      <c r="F896" s="0" t="n">
        <v>81</v>
      </c>
      <c r="G896" s="0" t="n">
        <v>500</v>
      </c>
      <c r="H896" s="0" t="s">
        <v>145</v>
      </c>
      <c r="I896" s="0" t="n">
        <v>500</v>
      </c>
      <c r="J896" s="0" t="n">
        <f aca="false">F896*E896</f>
        <v>486</v>
      </c>
      <c r="K896" s="0" t="str">
        <f aca="false">IF(G896&lt;1000,"1-Low",IF(G896&lt;5000,"2-Medium","3-Bulk"))</f>
        <v>1-Low</v>
      </c>
      <c r="L896" s="0" t="str">
        <f aca="false">IF(H896="TRUE","Out of stock","In stock")</f>
        <v>In stock</v>
      </c>
      <c r="M896" s="0" t="str">
        <f aca="false">IF(D896&lt;5,"1) Under 5%",IF(D896&lt;10,"2) 5-9%",IF(D896&lt;15,"3) 10-14%",IF(D896&lt;25,"4) 15-24%","5) 25%+"))))</f>
        <v>3) 10-14%</v>
      </c>
      <c r="N896" s="0" t="str">
        <f aca="false">IF(F896&lt;50,"1) Under Rs 50",IF(F896&lt;100,"2) Rs 50-99",IF(F896&lt;200,"3) Rs 100-199",IF(F896&lt;500,"4) Rs 200-499","5) Rs 500+"))))</f>
        <v>2) Rs 50-99</v>
      </c>
      <c r="O896" s="0" t="n">
        <f aca="false">G896*E896/1000</f>
        <v>3</v>
      </c>
    </row>
    <row r="897" customFormat="false" ht="15" hidden="false" customHeight="false" outlineLevel="0" collapsed="false">
      <c r="A897" s="0" t="s">
        <v>117</v>
      </c>
      <c r="B897" s="0" t="s">
        <v>494</v>
      </c>
      <c r="C897" s="0" t="n">
        <v>95</v>
      </c>
      <c r="D897" s="0" t="n">
        <v>6</v>
      </c>
      <c r="E897" s="0" t="n">
        <v>5</v>
      </c>
      <c r="F897" s="0" t="n">
        <v>89</v>
      </c>
      <c r="G897" s="0" t="n">
        <v>500</v>
      </c>
      <c r="H897" s="0" t="s">
        <v>145</v>
      </c>
      <c r="I897" s="0" t="n">
        <v>500</v>
      </c>
      <c r="J897" s="0" t="n">
        <f aca="false">F897*E897</f>
        <v>445</v>
      </c>
      <c r="K897" s="0" t="str">
        <f aca="false">IF(G897&lt;1000,"1-Low",IF(G897&lt;5000,"2-Medium","3-Bulk"))</f>
        <v>1-Low</v>
      </c>
      <c r="L897" s="0" t="str">
        <f aca="false">IF(H897="TRUE","Out of stock","In stock")</f>
        <v>In stock</v>
      </c>
      <c r="M897" s="0" t="str">
        <f aca="false">IF(D897&lt;5,"1) Under 5%",IF(D897&lt;10,"2) 5-9%",IF(D897&lt;15,"3) 10-14%",IF(D897&lt;25,"4) 15-24%","5) 25%+"))))</f>
        <v>2) 5-9%</v>
      </c>
      <c r="N897" s="0" t="str">
        <f aca="false">IF(F897&lt;50,"1) Under Rs 50",IF(F897&lt;100,"2) Rs 50-99",IF(F897&lt;200,"3) Rs 100-199",IF(F897&lt;500,"4) Rs 200-499","5) Rs 500+"))))</f>
        <v>2) Rs 50-99</v>
      </c>
      <c r="O897" s="0" t="n">
        <f aca="false">G897*E897/1000</f>
        <v>2.5</v>
      </c>
    </row>
    <row r="898" customFormat="false" ht="15" hidden="false" customHeight="false" outlineLevel="0" collapsed="false">
      <c r="A898" s="0" t="s">
        <v>117</v>
      </c>
      <c r="B898" s="0" t="s">
        <v>495</v>
      </c>
      <c r="C898" s="0" t="n">
        <v>425</v>
      </c>
      <c r="D898" s="0" t="n">
        <v>20</v>
      </c>
      <c r="E898" s="0" t="n">
        <v>6</v>
      </c>
      <c r="F898" s="0" t="n">
        <v>340</v>
      </c>
      <c r="G898" s="0" t="n">
        <v>200</v>
      </c>
      <c r="H898" s="0" t="s">
        <v>145</v>
      </c>
      <c r="I898" s="0" t="n">
        <v>200</v>
      </c>
      <c r="J898" s="0" t="n">
        <f aca="false">F898*E898</f>
        <v>2040</v>
      </c>
      <c r="K898" s="0" t="str">
        <f aca="false">IF(G898&lt;1000,"1-Low",IF(G898&lt;5000,"2-Medium","3-Bulk"))</f>
        <v>1-Low</v>
      </c>
      <c r="L898" s="0" t="str">
        <f aca="false">IF(H898="TRUE","Out of stock","In stock")</f>
        <v>In stock</v>
      </c>
      <c r="M898" s="0" t="str">
        <f aca="false">IF(D898&lt;5,"1) Under 5%",IF(D898&lt;10,"2) 5-9%",IF(D898&lt;15,"3) 10-14%",IF(D898&lt;25,"4) 15-24%","5) 25%+"))))</f>
        <v>4) 15-24%</v>
      </c>
      <c r="N898" s="0" t="str">
        <f aca="false">IF(F898&lt;50,"1) Under Rs 50",IF(F898&lt;100,"2) Rs 50-99",IF(F898&lt;200,"3) Rs 100-199",IF(F898&lt;500,"4) Rs 200-499","5) Rs 500+"))))</f>
        <v>4) Rs 200-499</v>
      </c>
      <c r="O898" s="0" t="n">
        <f aca="false">G898*E898/1000</f>
        <v>1.2</v>
      </c>
    </row>
    <row r="899" customFormat="false" ht="15" hidden="false" customHeight="false" outlineLevel="0" collapsed="false">
      <c r="A899" s="0" t="s">
        <v>117</v>
      </c>
      <c r="B899" s="0" t="s">
        <v>496</v>
      </c>
      <c r="C899" s="0" t="n">
        <v>90</v>
      </c>
      <c r="D899" s="0" t="n">
        <v>10</v>
      </c>
      <c r="E899" s="0" t="n">
        <v>3</v>
      </c>
      <c r="F899" s="0" t="n">
        <v>81</v>
      </c>
      <c r="G899" s="0" t="n">
        <v>20</v>
      </c>
      <c r="H899" s="0" t="s">
        <v>145</v>
      </c>
      <c r="I899" s="0" t="n">
        <v>20</v>
      </c>
      <c r="J899" s="0" t="n">
        <f aca="false">F899*E899</f>
        <v>243</v>
      </c>
      <c r="K899" s="0" t="str">
        <f aca="false">IF(G899&lt;1000,"1-Low",IF(G899&lt;5000,"2-Medium","3-Bulk"))</f>
        <v>1-Low</v>
      </c>
      <c r="L899" s="0" t="str">
        <f aca="false">IF(H899="TRUE","Out of stock","In stock")</f>
        <v>In stock</v>
      </c>
      <c r="M899" s="0" t="str">
        <f aca="false">IF(D899&lt;5,"1) Under 5%",IF(D899&lt;10,"2) 5-9%",IF(D899&lt;15,"3) 10-14%",IF(D899&lt;25,"4) 15-24%","5) 25%+"))))</f>
        <v>3) 10-14%</v>
      </c>
      <c r="N899" s="0" t="str">
        <f aca="false">IF(F899&lt;50,"1) Under Rs 50",IF(F899&lt;100,"2) Rs 50-99",IF(F899&lt;200,"3) Rs 100-199",IF(F899&lt;500,"4) Rs 200-499","5) Rs 500+"))))</f>
        <v>2) Rs 50-99</v>
      </c>
      <c r="O899" s="0" t="n">
        <f aca="false">G899*E899/1000</f>
        <v>0.06</v>
      </c>
    </row>
    <row r="900" customFormat="false" ht="15" hidden="false" customHeight="false" outlineLevel="0" collapsed="false">
      <c r="A900" s="0" t="s">
        <v>117</v>
      </c>
      <c r="B900" s="0" t="s">
        <v>497</v>
      </c>
      <c r="C900" s="0" t="n">
        <v>235</v>
      </c>
      <c r="D900" s="0" t="n">
        <v>27</v>
      </c>
      <c r="E900" s="0" t="n">
        <v>5</v>
      </c>
      <c r="F900" s="0" t="n">
        <v>171</v>
      </c>
      <c r="G900" s="0" t="n">
        <v>1000</v>
      </c>
      <c r="H900" s="0" t="s">
        <v>145</v>
      </c>
      <c r="I900" s="0" t="n">
        <v>1</v>
      </c>
      <c r="J900" s="0" t="n">
        <f aca="false">F900*E900</f>
        <v>855</v>
      </c>
      <c r="K900" s="0" t="str">
        <f aca="false">IF(G900&lt;1000,"1-Low",IF(G900&lt;5000,"2-Medium","3-Bulk"))</f>
        <v>2-Medium</v>
      </c>
      <c r="L900" s="0" t="str">
        <f aca="false">IF(H900="TRUE","Out of stock","In stock")</f>
        <v>In stock</v>
      </c>
      <c r="M900" s="0" t="str">
        <f aca="false">IF(D900&lt;5,"1) Under 5%",IF(D900&lt;10,"2) 5-9%",IF(D900&lt;15,"3) 10-14%",IF(D900&lt;25,"4) 15-24%","5) 25%+"))))</f>
        <v>5) 25%+</v>
      </c>
      <c r="N900" s="0" t="str">
        <f aca="false">IF(F900&lt;50,"1) Under Rs 50",IF(F900&lt;100,"2) Rs 50-99",IF(F900&lt;200,"3) Rs 100-199",IF(F900&lt;500,"4) Rs 200-499","5) Rs 500+"))))</f>
        <v>3) Rs 100-199</v>
      </c>
      <c r="O900" s="0" t="n">
        <f aca="false">G900*E900/1000</f>
        <v>5</v>
      </c>
    </row>
    <row r="901" customFormat="false" ht="15" hidden="false" customHeight="false" outlineLevel="0" collapsed="false">
      <c r="A901" s="0" t="s">
        <v>117</v>
      </c>
      <c r="B901" s="0" t="s">
        <v>498</v>
      </c>
      <c r="C901" s="0" t="n">
        <v>76</v>
      </c>
      <c r="D901" s="0" t="n">
        <v>10</v>
      </c>
      <c r="E901" s="0" t="n">
        <v>4</v>
      </c>
      <c r="F901" s="0" t="n">
        <v>68</v>
      </c>
      <c r="G901" s="0" t="n">
        <v>300</v>
      </c>
      <c r="H901" s="0" t="s">
        <v>145</v>
      </c>
      <c r="I901" s="0" t="n">
        <v>300</v>
      </c>
      <c r="J901" s="0" t="n">
        <f aca="false">F901*E901</f>
        <v>272</v>
      </c>
      <c r="K901" s="0" t="str">
        <f aca="false">IF(G901&lt;1000,"1-Low",IF(G901&lt;5000,"2-Medium","3-Bulk"))</f>
        <v>1-Low</v>
      </c>
      <c r="L901" s="0" t="str">
        <f aca="false">IF(H901="TRUE","Out of stock","In stock")</f>
        <v>In stock</v>
      </c>
      <c r="M901" s="0" t="str">
        <f aca="false">IF(D901&lt;5,"1) Under 5%",IF(D901&lt;10,"2) 5-9%",IF(D901&lt;15,"3) 10-14%",IF(D901&lt;25,"4) 15-24%","5) 25%+"))))</f>
        <v>3) 10-14%</v>
      </c>
      <c r="N901" s="0" t="str">
        <f aca="false">IF(F901&lt;50,"1) Under Rs 50",IF(F901&lt;100,"2) Rs 50-99",IF(F901&lt;200,"3) Rs 100-199",IF(F901&lt;500,"4) Rs 200-499","5) Rs 500+"))))</f>
        <v>2) Rs 50-99</v>
      </c>
      <c r="O901" s="0" t="n">
        <f aca="false">G901*E901/1000</f>
        <v>1.2</v>
      </c>
    </row>
    <row r="902" customFormat="false" ht="15" hidden="false" customHeight="false" outlineLevel="0" collapsed="false">
      <c r="A902" s="0" t="s">
        <v>117</v>
      </c>
      <c r="B902" s="0" t="s">
        <v>499</v>
      </c>
      <c r="C902" s="0" t="n">
        <v>410</v>
      </c>
      <c r="D902" s="0" t="n">
        <v>10</v>
      </c>
      <c r="E902" s="0" t="n">
        <v>6</v>
      </c>
      <c r="F902" s="0" t="n">
        <v>369</v>
      </c>
      <c r="G902" s="0" t="n">
        <v>1000</v>
      </c>
      <c r="H902" s="0" t="s">
        <v>145</v>
      </c>
      <c r="I902" s="0" t="n">
        <v>1</v>
      </c>
      <c r="J902" s="0" t="n">
        <f aca="false">F902*E902</f>
        <v>2214</v>
      </c>
      <c r="K902" s="0" t="str">
        <f aca="false">IF(G902&lt;1000,"1-Low",IF(G902&lt;5000,"2-Medium","3-Bulk"))</f>
        <v>2-Medium</v>
      </c>
      <c r="L902" s="0" t="str">
        <f aca="false">IF(H902="TRUE","Out of stock","In stock")</f>
        <v>In stock</v>
      </c>
      <c r="M902" s="0" t="str">
        <f aca="false">IF(D902&lt;5,"1) Under 5%",IF(D902&lt;10,"2) 5-9%",IF(D902&lt;15,"3) 10-14%",IF(D902&lt;25,"4) 15-24%","5) 25%+"))))</f>
        <v>3) 10-14%</v>
      </c>
      <c r="N902" s="0" t="str">
        <f aca="false">IF(F902&lt;50,"1) Under Rs 50",IF(F902&lt;100,"2) Rs 50-99",IF(F902&lt;200,"3) Rs 100-199",IF(F902&lt;500,"4) Rs 200-499","5) Rs 500+"))))</f>
        <v>4) Rs 200-499</v>
      </c>
      <c r="O902" s="0" t="n">
        <f aca="false">G902*E902/1000</f>
        <v>6</v>
      </c>
    </row>
    <row r="903" customFormat="false" ht="15" hidden="false" customHeight="false" outlineLevel="0" collapsed="false">
      <c r="A903" s="0" t="s">
        <v>117</v>
      </c>
      <c r="B903" s="0" t="s">
        <v>500</v>
      </c>
      <c r="C903" s="0" t="n">
        <v>87</v>
      </c>
      <c r="D903" s="0" t="n">
        <v>6</v>
      </c>
      <c r="E903" s="0" t="n">
        <v>6</v>
      </c>
      <c r="F903" s="0" t="n">
        <v>81</v>
      </c>
      <c r="G903" s="0" t="n">
        <v>500</v>
      </c>
      <c r="H903" s="0" t="s">
        <v>145</v>
      </c>
      <c r="I903" s="0" t="n">
        <v>500</v>
      </c>
      <c r="J903" s="0" t="n">
        <f aca="false">F903*E903</f>
        <v>486</v>
      </c>
      <c r="K903" s="0" t="str">
        <f aca="false">IF(G903&lt;1000,"1-Low",IF(G903&lt;5000,"2-Medium","3-Bulk"))</f>
        <v>1-Low</v>
      </c>
      <c r="L903" s="0" t="str">
        <f aca="false">IF(H903="TRUE","Out of stock","In stock")</f>
        <v>In stock</v>
      </c>
      <c r="M903" s="0" t="str">
        <f aca="false">IF(D903&lt;5,"1) Under 5%",IF(D903&lt;10,"2) 5-9%",IF(D903&lt;15,"3) 10-14%",IF(D903&lt;25,"4) 15-24%","5) 25%+"))))</f>
        <v>2) 5-9%</v>
      </c>
      <c r="N903" s="0" t="str">
        <f aca="false">IF(F903&lt;50,"1) Under Rs 50",IF(F903&lt;100,"2) Rs 50-99",IF(F903&lt;200,"3) Rs 100-199",IF(F903&lt;500,"4) Rs 200-499","5) Rs 500+"))))</f>
        <v>2) Rs 50-99</v>
      </c>
      <c r="O903" s="0" t="n">
        <f aca="false">G903*E903/1000</f>
        <v>3</v>
      </c>
    </row>
    <row r="904" customFormat="false" ht="15" hidden="false" customHeight="false" outlineLevel="0" collapsed="false">
      <c r="A904" s="0" t="s">
        <v>117</v>
      </c>
      <c r="B904" s="0" t="s">
        <v>501</v>
      </c>
      <c r="C904" s="0" t="n">
        <v>425</v>
      </c>
      <c r="D904" s="0" t="n">
        <v>20</v>
      </c>
      <c r="E904" s="0" t="n">
        <v>6</v>
      </c>
      <c r="F904" s="0" t="n">
        <v>340</v>
      </c>
      <c r="G904" s="0" t="n">
        <v>200</v>
      </c>
      <c r="H904" s="0" t="s">
        <v>145</v>
      </c>
      <c r="I904" s="0" t="n">
        <v>200</v>
      </c>
      <c r="J904" s="0" t="n">
        <f aca="false">F904*E904</f>
        <v>2040</v>
      </c>
      <c r="K904" s="0" t="str">
        <f aca="false">IF(G904&lt;1000,"1-Low",IF(G904&lt;5000,"2-Medium","3-Bulk"))</f>
        <v>1-Low</v>
      </c>
      <c r="L904" s="0" t="str">
        <f aca="false">IF(H904="TRUE","Out of stock","In stock")</f>
        <v>In stock</v>
      </c>
      <c r="M904" s="0" t="str">
        <f aca="false">IF(D904&lt;5,"1) Under 5%",IF(D904&lt;10,"2) 5-9%",IF(D904&lt;15,"3) 10-14%",IF(D904&lt;25,"4) 15-24%","5) 25%+"))))</f>
        <v>4) 15-24%</v>
      </c>
      <c r="N904" s="0" t="str">
        <f aca="false">IF(F904&lt;50,"1) Under Rs 50",IF(F904&lt;100,"2) Rs 50-99",IF(F904&lt;200,"3) Rs 100-199",IF(F904&lt;500,"4) Rs 200-499","5) Rs 500+"))))</f>
        <v>4) Rs 200-499</v>
      </c>
      <c r="O904" s="0" t="n">
        <f aca="false">G904*E904/1000</f>
        <v>1.2</v>
      </c>
    </row>
    <row r="905" customFormat="false" ht="15" hidden="false" customHeight="false" outlineLevel="0" collapsed="false">
      <c r="A905" s="0" t="s">
        <v>117</v>
      </c>
      <c r="B905" s="0" t="s">
        <v>502</v>
      </c>
      <c r="C905" s="0" t="n">
        <v>80</v>
      </c>
      <c r="D905" s="0" t="n">
        <v>0</v>
      </c>
      <c r="E905" s="0" t="n">
        <v>1</v>
      </c>
      <c r="F905" s="0" t="n">
        <v>80</v>
      </c>
      <c r="G905" s="0" t="n">
        <v>280</v>
      </c>
      <c r="H905" s="0" t="s">
        <v>145</v>
      </c>
      <c r="I905" s="0" t="n">
        <v>280</v>
      </c>
      <c r="J905" s="0" t="n">
        <f aca="false">F905*E905</f>
        <v>80</v>
      </c>
      <c r="K905" s="0" t="str">
        <f aca="false">IF(G905&lt;1000,"1-Low",IF(G905&lt;5000,"2-Medium","3-Bulk"))</f>
        <v>1-Low</v>
      </c>
      <c r="L905" s="0" t="str">
        <f aca="false">IF(H905="TRUE","Out of stock","In stock")</f>
        <v>In stock</v>
      </c>
      <c r="M905" s="0" t="str">
        <f aca="false">IF(D905&lt;5,"1) Under 5%",IF(D905&lt;10,"2) 5-9%",IF(D905&lt;15,"3) 10-14%",IF(D905&lt;25,"4) 15-24%","5) 25%+"))))</f>
        <v>1) Under 5%</v>
      </c>
      <c r="N905" s="0" t="str">
        <f aca="false">IF(F905&lt;50,"1) Under Rs 50",IF(F905&lt;100,"2) Rs 50-99",IF(F905&lt;200,"3) Rs 100-199",IF(F905&lt;500,"4) Rs 200-499","5) Rs 500+"))))</f>
        <v>2) Rs 50-99</v>
      </c>
      <c r="O905" s="0" t="n">
        <f aca="false">G905*E905/1000</f>
        <v>0.28</v>
      </c>
    </row>
    <row r="906" customFormat="false" ht="15" hidden="false" customHeight="false" outlineLevel="0" collapsed="false">
      <c r="A906" s="0" t="s">
        <v>117</v>
      </c>
      <c r="B906" s="0" t="s">
        <v>503</v>
      </c>
      <c r="C906" s="0" t="n">
        <v>95</v>
      </c>
      <c r="D906" s="0" t="n">
        <v>0</v>
      </c>
      <c r="E906" s="0" t="n">
        <v>5</v>
      </c>
      <c r="F906" s="0" t="n">
        <v>95</v>
      </c>
      <c r="G906" s="0" t="n">
        <v>70</v>
      </c>
      <c r="H906" s="0" t="s">
        <v>145</v>
      </c>
      <c r="I906" s="0" t="n">
        <v>70</v>
      </c>
      <c r="J906" s="0" t="n">
        <f aca="false">F906*E906</f>
        <v>475</v>
      </c>
      <c r="K906" s="0" t="str">
        <f aca="false">IF(G906&lt;1000,"1-Low",IF(G906&lt;5000,"2-Medium","3-Bulk"))</f>
        <v>1-Low</v>
      </c>
      <c r="L906" s="0" t="str">
        <f aca="false">IF(H906="TRUE","Out of stock","In stock")</f>
        <v>In stock</v>
      </c>
      <c r="M906" s="0" t="str">
        <f aca="false">IF(D906&lt;5,"1) Under 5%",IF(D906&lt;10,"2) 5-9%",IF(D906&lt;15,"3) 10-14%",IF(D906&lt;25,"4) 15-24%","5) 25%+"))))</f>
        <v>1) Under 5%</v>
      </c>
      <c r="N906" s="0" t="str">
        <f aca="false">IF(F906&lt;50,"1) Under Rs 50",IF(F906&lt;100,"2) Rs 50-99",IF(F906&lt;200,"3) Rs 100-199",IF(F906&lt;500,"4) Rs 200-499","5) Rs 500+"))))</f>
        <v>2) Rs 50-99</v>
      </c>
      <c r="O906" s="0" t="n">
        <f aca="false">G906*E906/1000</f>
        <v>0.35</v>
      </c>
    </row>
    <row r="907" customFormat="false" ht="15" hidden="false" customHeight="false" outlineLevel="0" collapsed="false">
      <c r="A907" s="0" t="s">
        <v>117</v>
      </c>
      <c r="B907" s="0" t="s">
        <v>504</v>
      </c>
      <c r="C907" s="0" t="n">
        <v>240</v>
      </c>
      <c r="D907" s="0" t="n">
        <v>6</v>
      </c>
      <c r="E907" s="0" t="n">
        <v>4</v>
      </c>
      <c r="F907" s="0" t="n">
        <v>225</v>
      </c>
      <c r="G907" s="0" t="n">
        <v>500</v>
      </c>
      <c r="H907" s="0" t="s">
        <v>145</v>
      </c>
      <c r="I907" s="0" t="n">
        <v>500</v>
      </c>
      <c r="J907" s="0" t="n">
        <f aca="false">F907*E907</f>
        <v>900</v>
      </c>
      <c r="K907" s="0" t="str">
        <f aca="false">IF(G907&lt;1000,"1-Low",IF(G907&lt;5000,"2-Medium","3-Bulk"))</f>
        <v>1-Low</v>
      </c>
      <c r="L907" s="0" t="str">
        <f aca="false">IF(H907="TRUE","Out of stock","In stock")</f>
        <v>In stock</v>
      </c>
      <c r="M907" s="0" t="str">
        <f aca="false">IF(D907&lt;5,"1) Under 5%",IF(D907&lt;10,"2) 5-9%",IF(D907&lt;15,"3) 10-14%",IF(D907&lt;25,"4) 15-24%","5) 25%+"))))</f>
        <v>2) 5-9%</v>
      </c>
      <c r="N907" s="0" t="str">
        <f aca="false">IF(F907&lt;50,"1) Under Rs 50",IF(F907&lt;100,"2) Rs 50-99",IF(F907&lt;200,"3) Rs 100-199",IF(F907&lt;500,"4) Rs 200-499","5) Rs 500+"))))</f>
        <v>4) Rs 200-499</v>
      </c>
      <c r="O907" s="0" t="n">
        <f aca="false">G907*E907/1000</f>
        <v>2</v>
      </c>
    </row>
    <row r="908" customFormat="false" ht="15" hidden="false" customHeight="false" outlineLevel="0" collapsed="false">
      <c r="A908" s="0" t="s">
        <v>117</v>
      </c>
      <c r="B908" s="0" t="s">
        <v>505</v>
      </c>
      <c r="C908" s="0" t="n">
        <v>110</v>
      </c>
      <c r="D908" s="0" t="n">
        <v>10</v>
      </c>
      <c r="E908" s="0" t="n">
        <v>6</v>
      </c>
      <c r="F908" s="0" t="n">
        <v>99</v>
      </c>
      <c r="G908" s="0" t="n">
        <v>265</v>
      </c>
      <c r="H908" s="0" t="s">
        <v>145</v>
      </c>
      <c r="I908" s="0" t="n">
        <v>265</v>
      </c>
      <c r="J908" s="0" t="n">
        <f aca="false">F908*E908</f>
        <v>594</v>
      </c>
      <c r="K908" s="0" t="str">
        <f aca="false">IF(G908&lt;1000,"1-Low",IF(G908&lt;5000,"2-Medium","3-Bulk"))</f>
        <v>1-Low</v>
      </c>
      <c r="L908" s="0" t="str">
        <f aca="false">IF(H908="TRUE","Out of stock","In stock")</f>
        <v>In stock</v>
      </c>
      <c r="M908" s="0" t="str">
        <f aca="false">IF(D908&lt;5,"1) Under 5%",IF(D908&lt;10,"2) 5-9%",IF(D908&lt;15,"3) 10-14%",IF(D908&lt;25,"4) 15-24%","5) 25%+"))))</f>
        <v>3) 10-14%</v>
      </c>
      <c r="N908" s="0" t="str">
        <f aca="false">IF(F908&lt;50,"1) Under Rs 50",IF(F908&lt;100,"2) Rs 50-99",IF(F908&lt;200,"3) Rs 100-199",IF(F908&lt;500,"4) Rs 200-499","5) Rs 500+"))))</f>
        <v>2) Rs 50-99</v>
      </c>
      <c r="O908" s="0" t="n">
        <f aca="false">G908*E908/1000</f>
        <v>1.59</v>
      </c>
    </row>
    <row r="909" customFormat="false" ht="15" hidden="false" customHeight="false" outlineLevel="0" collapsed="false">
      <c r="A909" s="0" t="s">
        <v>117</v>
      </c>
      <c r="B909" s="0" t="s">
        <v>506</v>
      </c>
      <c r="C909" s="0" t="n">
        <v>299</v>
      </c>
      <c r="D909" s="0" t="n">
        <v>20</v>
      </c>
      <c r="E909" s="0" t="n">
        <v>6</v>
      </c>
      <c r="F909" s="0" t="n">
        <v>239</v>
      </c>
      <c r="G909" s="0" t="n">
        <v>200</v>
      </c>
      <c r="H909" s="0" t="s">
        <v>145</v>
      </c>
      <c r="I909" s="0" t="n">
        <v>200</v>
      </c>
      <c r="J909" s="0" t="n">
        <f aca="false">F909*E909</f>
        <v>1434</v>
      </c>
      <c r="K909" s="0" t="str">
        <f aca="false">IF(G909&lt;1000,"1-Low",IF(G909&lt;5000,"2-Medium","3-Bulk"))</f>
        <v>1-Low</v>
      </c>
      <c r="L909" s="0" t="str">
        <f aca="false">IF(H909="TRUE","Out of stock","In stock")</f>
        <v>In stock</v>
      </c>
      <c r="M909" s="0" t="str">
        <f aca="false">IF(D909&lt;5,"1) Under 5%",IF(D909&lt;10,"2) 5-9%",IF(D909&lt;15,"3) 10-14%",IF(D909&lt;25,"4) 15-24%","5) 25%+"))))</f>
        <v>4) 15-24%</v>
      </c>
      <c r="N909" s="0" t="str">
        <f aca="false">IF(F909&lt;50,"1) Under Rs 50",IF(F909&lt;100,"2) Rs 50-99",IF(F909&lt;200,"3) Rs 100-199",IF(F909&lt;500,"4) Rs 200-499","5) Rs 500+"))))</f>
        <v>4) Rs 200-499</v>
      </c>
      <c r="O909" s="0" t="n">
        <f aca="false">G909*E909/1000</f>
        <v>1.2</v>
      </c>
    </row>
    <row r="910" customFormat="false" ht="15" hidden="false" customHeight="false" outlineLevel="0" collapsed="false">
      <c r="A910" s="0" t="s">
        <v>117</v>
      </c>
      <c r="B910" s="0" t="s">
        <v>507</v>
      </c>
      <c r="C910" s="0" t="n">
        <v>250</v>
      </c>
      <c r="D910" s="0" t="n">
        <v>40</v>
      </c>
      <c r="E910" s="0" t="n">
        <v>6</v>
      </c>
      <c r="F910" s="0" t="n">
        <v>149</v>
      </c>
      <c r="G910" s="0" t="n">
        <v>500</v>
      </c>
      <c r="H910" s="0" t="s">
        <v>145</v>
      </c>
      <c r="I910" s="0" t="n">
        <v>500</v>
      </c>
      <c r="J910" s="0" t="n">
        <f aca="false">F910*E910</f>
        <v>894</v>
      </c>
      <c r="K910" s="0" t="str">
        <f aca="false">IF(G910&lt;1000,"1-Low",IF(G910&lt;5000,"2-Medium","3-Bulk"))</f>
        <v>1-Low</v>
      </c>
      <c r="L910" s="0" t="str">
        <f aca="false">IF(H910="TRUE","Out of stock","In stock")</f>
        <v>In stock</v>
      </c>
      <c r="M910" s="0" t="str">
        <f aca="false">IF(D910&lt;5,"1) Under 5%",IF(D910&lt;10,"2) 5-9%",IF(D910&lt;15,"3) 10-14%",IF(D910&lt;25,"4) 15-24%","5) 25%+"))))</f>
        <v>5) 25%+</v>
      </c>
      <c r="N910" s="0" t="str">
        <f aca="false">IF(F910&lt;50,"1) Under Rs 50",IF(F910&lt;100,"2) Rs 50-99",IF(F910&lt;200,"3) Rs 100-199",IF(F910&lt;500,"4) Rs 200-499","5) Rs 500+"))))</f>
        <v>3) Rs 100-199</v>
      </c>
      <c r="O910" s="0" t="n">
        <f aca="false">G910*E910/1000</f>
        <v>3</v>
      </c>
    </row>
    <row r="911" customFormat="false" ht="15" hidden="false" customHeight="false" outlineLevel="0" collapsed="false">
      <c r="A911" s="0" t="s">
        <v>117</v>
      </c>
      <c r="B911" s="0" t="s">
        <v>508</v>
      </c>
      <c r="C911" s="0" t="n">
        <v>220</v>
      </c>
      <c r="D911" s="0" t="n">
        <v>50</v>
      </c>
      <c r="E911" s="0" t="n">
        <v>5</v>
      </c>
      <c r="F911" s="0" t="n">
        <v>110</v>
      </c>
      <c r="G911" s="0" t="n">
        <v>200</v>
      </c>
      <c r="H911" s="0" t="s">
        <v>145</v>
      </c>
      <c r="I911" s="0" t="n">
        <v>200</v>
      </c>
      <c r="J911" s="0" t="n">
        <f aca="false">F911*E911</f>
        <v>550</v>
      </c>
      <c r="K911" s="0" t="str">
        <f aca="false">IF(G911&lt;1000,"1-Low",IF(G911&lt;5000,"2-Medium","3-Bulk"))</f>
        <v>1-Low</v>
      </c>
      <c r="L911" s="0" t="str">
        <f aca="false">IF(H911="TRUE","Out of stock","In stock")</f>
        <v>In stock</v>
      </c>
      <c r="M911" s="0" t="str">
        <f aca="false">IF(D911&lt;5,"1) Under 5%",IF(D911&lt;10,"2) 5-9%",IF(D911&lt;15,"3) 10-14%",IF(D911&lt;25,"4) 15-24%","5) 25%+"))))</f>
        <v>5) 25%+</v>
      </c>
      <c r="N911" s="0" t="str">
        <f aca="false">IF(F911&lt;50,"1) Under Rs 50",IF(F911&lt;100,"2) Rs 50-99",IF(F911&lt;200,"3) Rs 100-199",IF(F911&lt;500,"4) Rs 200-499","5) Rs 500+"))))</f>
        <v>3) Rs 100-199</v>
      </c>
      <c r="O911" s="0" t="n">
        <f aca="false">G911*E911/1000</f>
        <v>1</v>
      </c>
    </row>
    <row r="912" customFormat="false" ht="15" hidden="false" customHeight="false" outlineLevel="0" collapsed="false">
      <c r="A912" s="0" t="s">
        <v>117</v>
      </c>
      <c r="B912" s="0" t="s">
        <v>509</v>
      </c>
      <c r="C912" s="0" t="n">
        <v>90</v>
      </c>
      <c r="D912" s="0" t="n">
        <v>12</v>
      </c>
      <c r="E912" s="0" t="n">
        <v>3</v>
      </c>
      <c r="F912" s="0" t="n">
        <v>79</v>
      </c>
      <c r="G912" s="0" t="n">
        <v>500</v>
      </c>
      <c r="H912" s="0" t="s">
        <v>145</v>
      </c>
      <c r="I912" s="0" t="n">
        <v>500</v>
      </c>
      <c r="J912" s="0" t="n">
        <f aca="false">F912*E912</f>
        <v>237</v>
      </c>
      <c r="K912" s="0" t="str">
        <f aca="false">IF(G912&lt;1000,"1-Low",IF(G912&lt;5000,"2-Medium","3-Bulk"))</f>
        <v>1-Low</v>
      </c>
      <c r="L912" s="0" t="str">
        <f aca="false">IF(H912="TRUE","Out of stock","In stock")</f>
        <v>In stock</v>
      </c>
      <c r="M912" s="0" t="str">
        <f aca="false">IF(D912&lt;5,"1) Under 5%",IF(D912&lt;10,"2) 5-9%",IF(D912&lt;15,"3) 10-14%",IF(D912&lt;25,"4) 15-24%","5) 25%+"))))</f>
        <v>3) 10-14%</v>
      </c>
      <c r="N912" s="0" t="str">
        <f aca="false">IF(F912&lt;50,"1) Under Rs 50",IF(F912&lt;100,"2) Rs 50-99",IF(F912&lt;200,"3) Rs 100-199",IF(F912&lt;500,"4) Rs 200-499","5) Rs 500+"))))</f>
        <v>2) Rs 50-99</v>
      </c>
      <c r="O912" s="0" t="n">
        <f aca="false">G912*E912/1000</f>
        <v>1.5</v>
      </c>
    </row>
    <row r="913" customFormat="false" ht="15" hidden="false" customHeight="false" outlineLevel="0" collapsed="false">
      <c r="A913" s="0" t="s">
        <v>117</v>
      </c>
      <c r="B913" s="0" t="s">
        <v>510</v>
      </c>
      <c r="C913" s="0" t="n">
        <v>25</v>
      </c>
      <c r="D913" s="0" t="n">
        <v>0</v>
      </c>
      <c r="E913" s="0" t="n">
        <v>5</v>
      </c>
      <c r="F913" s="0" t="n">
        <v>25</v>
      </c>
      <c r="G913" s="0" t="n">
        <v>100</v>
      </c>
      <c r="H913" s="0" t="s">
        <v>145</v>
      </c>
      <c r="I913" s="0" t="n">
        <v>100</v>
      </c>
      <c r="J913" s="0" t="n">
        <f aca="false">F913*E913</f>
        <v>125</v>
      </c>
      <c r="K913" s="0" t="str">
        <f aca="false">IF(G913&lt;1000,"1-Low",IF(G913&lt;5000,"2-Medium","3-Bulk"))</f>
        <v>1-Low</v>
      </c>
      <c r="L913" s="0" t="str">
        <f aca="false">IF(H913="TRUE","Out of stock","In stock")</f>
        <v>In stock</v>
      </c>
      <c r="M913" s="0" t="str">
        <f aca="false">IF(D913&lt;5,"1) Under 5%",IF(D913&lt;10,"2) 5-9%",IF(D913&lt;15,"3) 10-14%",IF(D913&lt;25,"4) 15-24%","5) 25%+"))))</f>
        <v>1) Under 5%</v>
      </c>
      <c r="N913" s="0" t="str">
        <f aca="false">IF(F913&lt;50,"1) Under Rs 50",IF(F913&lt;100,"2) Rs 50-99",IF(F913&lt;200,"3) Rs 100-199",IF(F913&lt;500,"4) Rs 200-499","5) Rs 500+"))))</f>
        <v>1) Under Rs 50</v>
      </c>
      <c r="O913" s="0" t="n">
        <f aca="false">G913*E913/1000</f>
        <v>0.5</v>
      </c>
    </row>
    <row r="914" customFormat="false" ht="15" hidden="false" customHeight="false" outlineLevel="0" collapsed="false">
      <c r="A914" s="0" t="s">
        <v>117</v>
      </c>
      <c r="B914" s="0" t="s">
        <v>511</v>
      </c>
      <c r="C914" s="0" t="n">
        <v>150</v>
      </c>
      <c r="D914" s="0" t="n">
        <v>10</v>
      </c>
      <c r="E914" s="0" t="n">
        <v>5</v>
      </c>
      <c r="F914" s="0" t="n">
        <v>134</v>
      </c>
      <c r="G914" s="0" t="n">
        <v>100</v>
      </c>
      <c r="H914" s="0" t="s">
        <v>145</v>
      </c>
      <c r="I914" s="0" t="n">
        <v>100</v>
      </c>
      <c r="J914" s="0" t="n">
        <f aca="false">F914*E914</f>
        <v>670</v>
      </c>
      <c r="K914" s="0" t="str">
        <f aca="false">IF(G914&lt;1000,"1-Low",IF(G914&lt;5000,"2-Medium","3-Bulk"))</f>
        <v>1-Low</v>
      </c>
      <c r="L914" s="0" t="str">
        <f aca="false">IF(H914="TRUE","Out of stock","In stock")</f>
        <v>In stock</v>
      </c>
      <c r="M914" s="0" t="str">
        <f aca="false">IF(D914&lt;5,"1) Under 5%",IF(D914&lt;10,"2) 5-9%",IF(D914&lt;15,"3) 10-14%",IF(D914&lt;25,"4) 15-24%","5) 25%+"))))</f>
        <v>3) 10-14%</v>
      </c>
      <c r="N914" s="0" t="str">
        <f aca="false">IF(F914&lt;50,"1) Under Rs 50",IF(F914&lt;100,"2) Rs 50-99",IF(F914&lt;200,"3) Rs 100-199",IF(F914&lt;500,"4) Rs 200-499","5) Rs 500+"))))</f>
        <v>3) Rs 100-199</v>
      </c>
      <c r="O914" s="0" t="n">
        <f aca="false">G914*E914/1000</f>
        <v>0.5</v>
      </c>
    </row>
    <row r="915" customFormat="false" ht="15" hidden="false" customHeight="false" outlineLevel="0" collapsed="false">
      <c r="A915" s="0" t="s">
        <v>117</v>
      </c>
      <c r="B915" s="0" t="s">
        <v>512</v>
      </c>
      <c r="C915" s="0" t="n">
        <v>110</v>
      </c>
      <c r="D915" s="0" t="n">
        <v>1</v>
      </c>
      <c r="E915" s="0" t="n">
        <v>5</v>
      </c>
      <c r="F915" s="0" t="n">
        <v>108</v>
      </c>
      <c r="G915" s="0" t="n">
        <v>100</v>
      </c>
      <c r="H915" s="0" t="s">
        <v>145</v>
      </c>
      <c r="I915" s="0" t="n">
        <v>100</v>
      </c>
      <c r="J915" s="0" t="n">
        <f aca="false">F915*E915</f>
        <v>540</v>
      </c>
      <c r="K915" s="0" t="str">
        <f aca="false">IF(G915&lt;1000,"1-Low",IF(G915&lt;5000,"2-Medium","3-Bulk"))</f>
        <v>1-Low</v>
      </c>
      <c r="L915" s="0" t="str">
        <f aca="false">IF(H915="TRUE","Out of stock","In stock")</f>
        <v>In stock</v>
      </c>
      <c r="M915" s="0" t="str">
        <f aca="false">IF(D915&lt;5,"1) Under 5%",IF(D915&lt;10,"2) 5-9%",IF(D915&lt;15,"3) 10-14%",IF(D915&lt;25,"4) 15-24%","5) 25%+"))))</f>
        <v>1) Under 5%</v>
      </c>
      <c r="N915" s="0" t="str">
        <f aca="false">IF(F915&lt;50,"1) Under Rs 50",IF(F915&lt;100,"2) Rs 50-99",IF(F915&lt;200,"3) Rs 100-199",IF(F915&lt;500,"4) Rs 200-499","5) Rs 500+"))))</f>
        <v>3) Rs 100-199</v>
      </c>
      <c r="O915" s="0" t="n">
        <f aca="false">G915*E915/1000</f>
        <v>0.5</v>
      </c>
    </row>
    <row r="916" customFormat="false" ht="15" hidden="false" customHeight="false" outlineLevel="0" collapsed="false">
      <c r="A916" s="0" t="s">
        <v>117</v>
      </c>
      <c r="B916" s="0" t="s">
        <v>513</v>
      </c>
      <c r="C916" s="0" t="n">
        <v>125</v>
      </c>
      <c r="D916" s="0" t="n">
        <v>5</v>
      </c>
      <c r="E916" s="0" t="n">
        <v>6</v>
      </c>
      <c r="F916" s="0" t="n">
        <v>118</v>
      </c>
      <c r="G916" s="0" t="n">
        <v>100</v>
      </c>
      <c r="H916" s="0" t="s">
        <v>145</v>
      </c>
      <c r="I916" s="0" t="n">
        <v>100</v>
      </c>
      <c r="J916" s="0" t="n">
        <f aca="false">F916*E916</f>
        <v>708</v>
      </c>
      <c r="K916" s="0" t="str">
        <f aca="false">IF(G916&lt;1000,"1-Low",IF(G916&lt;5000,"2-Medium","3-Bulk"))</f>
        <v>1-Low</v>
      </c>
      <c r="L916" s="0" t="str">
        <f aca="false">IF(H916="TRUE","Out of stock","In stock")</f>
        <v>In stock</v>
      </c>
      <c r="M916" s="0" t="str">
        <f aca="false">IF(D916&lt;5,"1) Under 5%",IF(D916&lt;10,"2) 5-9%",IF(D916&lt;15,"3) 10-14%",IF(D916&lt;25,"4) 15-24%","5) 25%+"))))</f>
        <v>2) 5-9%</v>
      </c>
      <c r="N916" s="0" t="str">
        <f aca="false">IF(F916&lt;50,"1) Under Rs 50",IF(F916&lt;100,"2) Rs 50-99",IF(F916&lt;200,"3) Rs 100-199",IF(F916&lt;500,"4) Rs 200-499","5) Rs 500+"))))</f>
        <v>3) Rs 100-199</v>
      </c>
      <c r="O916" s="0" t="n">
        <f aca="false">G916*E916/1000</f>
        <v>0.6</v>
      </c>
    </row>
    <row r="917" customFormat="false" ht="15" hidden="false" customHeight="false" outlineLevel="0" collapsed="false">
      <c r="A917" s="0" t="s">
        <v>117</v>
      </c>
      <c r="B917" s="0" t="s">
        <v>514</v>
      </c>
      <c r="C917" s="0" t="n">
        <v>75</v>
      </c>
      <c r="D917" s="0" t="n">
        <v>30</v>
      </c>
      <c r="E917" s="0" t="n">
        <v>6</v>
      </c>
      <c r="F917" s="0" t="n">
        <v>52</v>
      </c>
      <c r="G917" s="0" t="n">
        <v>200</v>
      </c>
      <c r="H917" s="0" t="s">
        <v>145</v>
      </c>
      <c r="I917" s="0" t="n">
        <v>200</v>
      </c>
      <c r="J917" s="0" t="n">
        <f aca="false">F917*E917</f>
        <v>312</v>
      </c>
      <c r="K917" s="0" t="str">
        <f aca="false">IF(G917&lt;1000,"1-Low",IF(G917&lt;5000,"2-Medium","3-Bulk"))</f>
        <v>1-Low</v>
      </c>
      <c r="L917" s="0" t="str">
        <f aca="false">IF(H917="TRUE","Out of stock","In stock")</f>
        <v>In stock</v>
      </c>
      <c r="M917" s="0" t="str">
        <f aca="false">IF(D917&lt;5,"1) Under 5%",IF(D917&lt;10,"2) 5-9%",IF(D917&lt;15,"3) 10-14%",IF(D917&lt;25,"4) 15-24%","5) 25%+"))))</f>
        <v>5) 25%+</v>
      </c>
      <c r="N917" s="0" t="str">
        <f aca="false">IF(F917&lt;50,"1) Under Rs 50",IF(F917&lt;100,"2) Rs 50-99",IF(F917&lt;200,"3) Rs 100-199",IF(F917&lt;500,"4) Rs 200-499","5) Rs 500+"))))</f>
        <v>2) Rs 50-99</v>
      </c>
      <c r="O917" s="0" t="n">
        <f aca="false">G917*E917/1000</f>
        <v>1.2</v>
      </c>
    </row>
    <row r="918" customFormat="false" ht="15" hidden="false" customHeight="false" outlineLevel="0" collapsed="false">
      <c r="A918" s="0" t="s">
        <v>117</v>
      </c>
      <c r="B918" s="0" t="s">
        <v>515</v>
      </c>
      <c r="C918" s="0" t="n">
        <v>130</v>
      </c>
      <c r="D918" s="0" t="n">
        <v>4</v>
      </c>
      <c r="E918" s="0" t="n">
        <v>6</v>
      </c>
      <c r="F918" s="0" t="n">
        <v>124</v>
      </c>
      <c r="G918" s="0" t="n">
        <v>285</v>
      </c>
      <c r="H918" s="0" t="s">
        <v>145</v>
      </c>
      <c r="I918" s="0" t="n">
        <v>285</v>
      </c>
      <c r="J918" s="0" t="n">
        <f aca="false">F918*E918</f>
        <v>744</v>
      </c>
      <c r="K918" s="0" t="str">
        <f aca="false">IF(G918&lt;1000,"1-Low",IF(G918&lt;5000,"2-Medium","3-Bulk"))</f>
        <v>1-Low</v>
      </c>
      <c r="L918" s="0" t="str">
        <f aca="false">IF(H918="TRUE","Out of stock","In stock")</f>
        <v>In stock</v>
      </c>
      <c r="M918" s="0" t="str">
        <f aca="false">IF(D918&lt;5,"1) Under 5%",IF(D918&lt;10,"2) 5-9%",IF(D918&lt;15,"3) 10-14%",IF(D918&lt;25,"4) 15-24%","5) 25%+"))))</f>
        <v>1) Under 5%</v>
      </c>
      <c r="N918" s="0" t="str">
        <f aca="false">IF(F918&lt;50,"1) Under Rs 50",IF(F918&lt;100,"2) Rs 50-99",IF(F918&lt;200,"3) Rs 100-199",IF(F918&lt;500,"4) Rs 200-499","5) Rs 500+"))))</f>
        <v>3) Rs 100-199</v>
      </c>
      <c r="O918" s="0" t="n">
        <f aca="false">G918*E918/1000</f>
        <v>1.71</v>
      </c>
    </row>
    <row r="919" customFormat="false" ht="15" hidden="false" customHeight="false" outlineLevel="0" collapsed="false">
      <c r="A919" s="0" t="s">
        <v>117</v>
      </c>
      <c r="B919" s="0" t="s">
        <v>516</v>
      </c>
      <c r="C919" s="0" t="n">
        <v>44</v>
      </c>
      <c r="D919" s="0" t="n">
        <v>0</v>
      </c>
      <c r="E919" s="0" t="n">
        <v>6</v>
      </c>
      <c r="F919" s="0" t="n">
        <v>44</v>
      </c>
      <c r="G919" s="0" t="n">
        <v>60</v>
      </c>
      <c r="H919" s="0" t="s">
        <v>145</v>
      </c>
      <c r="I919" s="0" t="n">
        <v>60</v>
      </c>
      <c r="J919" s="0" t="n">
        <f aca="false">F919*E919</f>
        <v>264</v>
      </c>
      <c r="K919" s="0" t="str">
        <f aca="false">IF(G919&lt;1000,"1-Low",IF(G919&lt;5000,"2-Medium","3-Bulk"))</f>
        <v>1-Low</v>
      </c>
      <c r="L919" s="0" t="str">
        <f aca="false">IF(H919="TRUE","Out of stock","In stock")</f>
        <v>In stock</v>
      </c>
      <c r="M919" s="0" t="str">
        <f aca="false">IF(D919&lt;5,"1) Under 5%",IF(D919&lt;10,"2) 5-9%",IF(D919&lt;15,"3) 10-14%",IF(D919&lt;25,"4) 15-24%","5) 25%+"))))</f>
        <v>1) Under 5%</v>
      </c>
      <c r="N919" s="0" t="str">
        <f aca="false">IF(F919&lt;50,"1) Under Rs 50",IF(F919&lt;100,"2) Rs 50-99",IF(F919&lt;200,"3) Rs 100-199",IF(F919&lt;500,"4) Rs 200-499","5) Rs 500+"))))</f>
        <v>1) Under Rs 50</v>
      </c>
      <c r="O919" s="0" t="n">
        <f aca="false">G919*E919/1000</f>
        <v>0.36</v>
      </c>
    </row>
    <row r="920" customFormat="false" ht="15" hidden="false" customHeight="false" outlineLevel="0" collapsed="false">
      <c r="A920" s="0" t="s">
        <v>117</v>
      </c>
      <c r="B920" s="0" t="s">
        <v>517</v>
      </c>
      <c r="C920" s="0" t="n">
        <v>50</v>
      </c>
      <c r="D920" s="0" t="n">
        <v>2</v>
      </c>
      <c r="E920" s="0" t="n">
        <v>5</v>
      </c>
      <c r="F920" s="0" t="n">
        <v>49</v>
      </c>
      <c r="G920" s="0" t="n">
        <v>500</v>
      </c>
      <c r="H920" s="0" t="s">
        <v>145</v>
      </c>
      <c r="I920" s="0" t="n">
        <v>500</v>
      </c>
      <c r="J920" s="0" t="n">
        <f aca="false">F920*E920</f>
        <v>245</v>
      </c>
      <c r="K920" s="0" t="str">
        <f aca="false">IF(G920&lt;1000,"1-Low",IF(G920&lt;5000,"2-Medium","3-Bulk"))</f>
        <v>1-Low</v>
      </c>
      <c r="L920" s="0" t="str">
        <f aca="false">IF(H920="TRUE","Out of stock","In stock")</f>
        <v>In stock</v>
      </c>
      <c r="M920" s="0" t="str">
        <f aca="false">IF(D920&lt;5,"1) Under 5%",IF(D920&lt;10,"2) 5-9%",IF(D920&lt;15,"3) 10-14%",IF(D920&lt;25,"4) 15-24%","5) 25%+"))))</f>
        <v>1) Under 5%</v>
      </c>
      <c r="N920" s="0" t="str">
        <f aca="false">IF(F920&lt;50,"1) Under Rs 50",IF(F920&lt;100,"2) Rs 50-99",IF(F920&lt;200,"3) Rs 100-199",IF(F920&lt;500,"4) Rs 200-499","5) Rs 500+"))))</f>
        <v>1) Under Rs 50</v>
      </c>
      <c r="O920" s="0" t="n">
        <f aca="false">G920*E920/1000</f>
        <v>2.5</v>
      </c>
    </row>
    <row r="921" customFormat="false" ht="15" hidden="false" customHeight="false" outlineLevel="0" collapsed="false">
      <c r="A921" s="0" t="s">
        <v>117</v>
      </c>
      <c r="B921" s="0" t="s">
        <v>296</v>
      </c>
      <c r="C921" s="0" t="n">
        <v>245</v>
      </c>
      <c r="D921" s="0" t="n">
        <v>0</v>
      </c>
      <c r="E921" s="0" t="n">
        <v>6</v>
      </c>
      <c r="F921" s="0" t="n">
        <v>245</v>
      </c>
      <c r="G921" s="0" t="n">
        <v>200</v>
      </c>
      <c r="H921" s="0" t="s">
        <v>145</v>
      </c>
      <c r="I921" s="0" t="n">
        <v>200</v>
      </c>
      <c r="J921" s="0" t="n">
        <f aca="false">F921*E921</f>
        <v>1470</v>
      </c>
      <c r="K921" s="0" t="str">
        <f aca="false">IF(G921&lt;1000,"1-Low",IF(G921&lt;5000,"2-Medium","3-Bulk"))</f>
        <v>1-Low</v>
      </c>
      <c r="L921" s="0" t="str">
        <f aca="false">IF(H921="TRUE","Out of stock","In stock")</f>
        <v>In stock</v>
      </c>
      <c r="M921" s="0" t="str">
        <f aca="false">IF(D921&lt;5,"1) Under 5%",IF(D921&lt;10,"2) 5-9%",IF(D921&lt;15,"3) 10-14%",IF(D921&lt;25,"4) 15-24%","5) 25%+"))))</f>
        <v>1) Under 5%</v>
      </c>
      <c r="N921" s="0" t="str">
        <f aca="false">IF(F921&lt;50,"1) Under Rs 50",IF(F921&lt;100,"2) Rs 50-99",IF(F921&lt;200,"3) Rs 100-199",IF(F921&lt;500,"4) Rs 200-499","5) Rs 500+"))))</f>
        <v>4) Rs 200-499</v>
      </c>
      <c r="O921" s="0" t="n">
        <f aca="false">G921*E921/1000</f>
        <v>1.2</v>
      </c>
    </row>
    <row r="922" customFormat="false" ht="15" hidden="false" customHeight="false" outlineLevel="0" collapsed="false">
      <c r="A922" s="0" t="s">
        <v>117</v>
      </c>
      <c r="B922" s="0" t="s">
        <v>518</v>
      </c>
      <c r="C922" s="0" t="n">
        <v>50</v>
      </c>
      <c r="D922" s="0" t="n">
        <v>6</v>
      </c>
      <c r="E922" s="0" t="n">
        <v>4</v>
      </c>
      <c r="F922" s="0" t="n">
        <v>47</v>
      </c>
      <c r="G922" s="0" t="n">
        <v>100</v>
      </c>
      <c r="H922" s="0" t="s">
        <v>145</v>
      </c>
      <c r="I922" s="0" t="n">
        <v>100</v>
      </c>
      <c r="J922" s="0" t="n">
        <f aca="false">F922*E922</f>
        <v>188</v>
      </c>
      <c r="K922" s="0" t="str">
        <f aca="false">IF(G922&lt;1000,"1-Low",IF(G922&lt;5000,"2-Medium","3-Bulk"))</f>
        <v>1-Low</v>
      </c>
      <c r="L922" s="0" t="str">
        <f aca="false">IF(H922="TRUE","Out of stock","In stock")</f>
        <v>In stock</v>
      </c>
      <c r="M922" s="0" t="str">
        <f aca="false">IF(D922&lt;5,"1) Under 5%",IF(D922&lt;10,"2) 5-9%",IF(D922&lt;15,"3) 10-14%",IF(D922&lt;25,"4) 15-24%","5) 25%+"))))</f>
        <v>2) 5-9%</v>
      </c>
      <c r="N922" s="0" t="str">
        <f aca="false">IF(F922&lt;50,"1) Under Rs 50",IF(F922&lt;100,"2) Rs 50-99",IF(F922&lt;200,"3) Rs 100-199",IF(F922&lt;500,"4) Rs 200-499","5) Rs 500+"))))</f>
        <v>1) Under Rs 50</v>
      </c>
      <c r="O922" s="0" t="n">
        <f aca="false">G922*E922/1000</f>
        <v>0.4</v>
      </c>
    </row>
    <row r="923" customFormat="false" ht="15" hidden="false" customHeight="false" outlineLevel="0" collapsed="false">
      <c r="A923" s="0" t="s">
        <v>117</v>
      </c>
      <c r="B923" s="0" t="s">
        <v>519</v>
      </c>
      <c r="C923" s="0" t="n">
        <v>80</v>
      </c>
      <c r="D923" s="0" t="n">
        <v>10</v>
      </c>
      <c r="E923" s="0" t="n">
        <v>6</v>
      </c>
      <c r="F923" s="0" t="n">
        <v>72</v>
      </c>
      <c r="G923" s="0" t="n">
        <v>500</v>
      </c>
      <c r="H923" s="0" t="s">
        <v>145</v>
      </c>
      <c r="I923" s="0" t="n">
        <v>500</v>
      </c>
      <c r="J923" s="0" t="n">
        <f aca="false">F923*E923</f>
        <v>432</v>
      </c>
      <c r="K923" s="0" t="str">
        <f aca="false">IF(G923&lt;1000,"1-Low",IF(G923&lt;5000,"2-Medium","3-Bulk"))</f>
        <v>1-Low</v>
      </c>
      <c r="L923" s="0" t="str">
        <f aca="false">IF(H923="TRUE","Out of stock","In stock")</f>
        <v>In stock</v>
      </c>
      <c r="M923" s="0" t="str">
        <f aca="false">IF(D923&lt;5,"1) Under 5%",IF(D923&lt;10,"2) 5-9%",IF(D923&lt;15,"3) 10-14%",IF(D923&lt;25,"4) 15-24%","5) 25%+"))))</f>
        <v>3) 10-14%</v>
      </c>
      <c r="N923" s="0" t="str">
        <f aca="false">IF(F923&lt;50,"1) Under Rs 50",IF(F923&lt;100,"2) Rs 50-99",IF(F923&lt;200,"3) Rs 100-199",IF(F923&lt;500,"4) Rs 200-499","5) Rs 500+"))))</f>
        <v>2) Rs 50-99</v>
      </c>
      <c r="O923" s="0" t="n">
        <f aca="false">G923*E923/1000</f>
        <v>3</v>
      </c>
    </row>
    <row r="924" customFormat="false" ht="15" hidden="false" customHeight="false" outlineLevel="0" collapsed="false">
      <c r="A924" s="0" t="s">
        <v>117</v>
      </c>
      <c r="B924" s="0" t="s">
        <v>520</v>
      </c>
      <c r="C924" s="0" t="n">
        <v>475</v>
      </c>
      <c r="D924" s="0" t="n">
        <v>8</v>
      </c>
      <c r="E924" s="0" t="n">
        <v>2</v>
      </c>
      <c r="F924" s="0" t="n">
        <v>437</v>
      </c>
      <c r="G924" s="0" t="n">
        <v>1000</v>
      </c>
      <c r="H924" s="0" t="s">
        <v>145</v>
      </c>
      <c r="I924" s="0" t="n">
        <v>750</v>
      </c>
      <c r="J924" s="0" t="n">
        <f aca="false">F924*E924</f>
        <v>874</v>
      </c>
      <c r="K924" s="0" t="str">
        <f aca="false">IF(G924&lt;1000,"1-Low",IF(G924&lt;5000,"2-Medium","3-Bulk"))</f>
        <v>2-Medium</v>
      </c>
      <c r="L924" s="0" t="str">
        <f aca="false">IF(H924="TRUE","Out of stock","In stock")</f>
        <v>In stock</v>
      </c>
      <c r="M924" s="0" t="str">
        <f aca="false">IF(D924&lt;5,"1) Under 5%",IF(D924&lt;10,"2) 5-9%",IF(D924&lt;15,"3) 10-14%",IF(D924&lt;25,"4) 15-24%","5) 25%+"))))</f>
        <v>2) 5-9%</v>
      </c>
      <c r="N924" s="0" t="str">
        <f aca="false">IF(F924&lt;50,"1) Under Rs 50",IF(F924&lt;100,"2) Rs 50-99",IF(F924&lt;200,"3) Rs 100-199",IF(F924&lt;500,"4) Rs 200-499","5) Rs 500+"))))</f>
        <v>4) Rs 200-499</v>
      </c>
      <c r="O924" s="0" t="n">
        <f aca="false">G924*E924/1000</f>
        <v>2</v>
      </c>
    </row>
    <row r="925" customFormat="false" ht="15" hidden="false" customHeight="false" outlineLevel="0" collapsed="false">
      <c r="A925" s="0" t="s">
        <v>117</v>
      </c>
      <c r="B925" s="0" t="s">
        <v>521</v>
      </c>
      <c r="C925" s="0" t="n">
        <v>150</v>
      </c>
      <c r="D925" s="0" t="n">
        <v>14</v>
      </c>
      <c r="E925" s="0" t="n">
        <v>6</v>
      </c>
      <c r="F925" s="0" t="n">
        <v>128</v>
      </c>
      <c r="G925" s="0" t="n">
        <v>500</v>
      </c>
      <c r="H925" s="0" t="s">
        <v>145</v>
      </c>
      <c r="I925" s="0" t="n">
        <v>500</v>
      </c>
      <c r="J925" s="0" t="n">
        <f aca="false">F925*E925</f>
        <v>768</v>
      </c>
      <c r="K925" s="0" t="str">
        <f aca="false">IF(G925&lt;1000,"1-Low",IF(G925&lt;5000,"2-Medium","3-Bulk"))</f>
        <v>1-Low</v>
      </c>
      <c r="L925" s="0" t="str">
        <f aca="false">IF(H925="TRUE","Out of stock","In stock")</f>
        <v>In stock</v>
      </c>
      <c r="M925" s="0" t="str">
        <f aca="false">IF(D925&lt;5,"1) Under 5%",IF(D925&lt;10,"2) 5-9%",IF(D925&lt;15,"3) 10-14%",IF(D925&lt;25,"4) 15-24%","5) 25%+"))))</f>
        <v>3) 10-14%</v>
      </c>
      <c r="N925" s="0" t="str">
        <f aca="false">IF(F925&lt;50,"1) Under Rs 50",IF(F925&lt;100,"2) Rs 50-99",IF(F925&lt;200,"3) Rs 100-199",IF(F925&lt;500,"4) Rs 200-499","5) Rs 500+"))))</f>
        <v>3) Rs 100-199</v>
      </c>
      <c r="O925" s="0" t="n">
        <f aca="false">G925*E925/1000</f>
        <v>3</v>
      </c>
    </row>
    <row r="926" customFormat="false" ht="15" hidden="false" customHeight="false" outlineLevel="0" collapsed="false">
      <c r="A926" s="0" t="s">
        <v>117</v>
      </c>
      <c r="B926" s="0" t="s">
        <v>522</v>
      </c>
      <c r="C926" s="0" t="n">
        <v>60</v>
      </c>
      <c r="D926" s="0" t="n">
        <v>5</v>
      </c>
      <c r="E926" s="0" t="n">
        <v>5</v>
      </c>
      <c r="F926" s="0" t="n">
        <v>57</v>
      </c>
      <c r="G926" s="0" t="n">
        <v>200</v>
      </c>
      <c r="H926" s="0" t="s">
        <v>145</v>
      </c>
      <c r="I926" s="0" t="n">
        <v>200</v>
      </c>
      <c r="J926" s="0" t="n">
        <f aca="false">F926*E926</f>
        <v>285</v>
      </c>
      <c r="K926" s="0" t="str">
        <f aca="false">IF(G926&lt;1000,"1-Low",IF(G926&lt;5000,"2-Medium","3-Bulk"))</f>
        <v>1-Low</v>
      </c>
      <c r="L926" s="0" t="str">
        <f aca="false">IF(H926="TRUE","Out of stock","In stock")</f>
        <v>In stock</v>
      </c>
      <c r="M926" s="0" t="str">
        <f aca="false">IF(D926&lt;5,"1) Under 5%",IF(D926&lt;10,"2) 5-9%",IF(D926&lt;15,"3) 10-14%",IF(D926&lt;25,"4) 15-24%","5) 25%+"))))</f>
        <v>2) 5-9%</v>
      </c>
      <c r="N926" s="0" t="str">
        <f aca="false">IF(F926&lt;50,"1) Under Rs 50",IF(F926&lt;100,"2) Rs 50-99",IF(F926&lt;200,"3) Rs 100-199",IF(F926&lt;500,"4) Rs 200-499","5) Rs 500+"))))</f>
        <v>2) Rs 50-99</v>
      </c>
      <c r="O926" s="0" t="n">
        <f aca="false">G926*E926/1000</f>
        <v>1</v>
      </c>
    </row>
    <row r="927" customFormat="false" ht="15" hidden="false" customHeight="false" outlineLevel="0" collapsed="false">
      <c r="A927" s="0" t="s">
        <v>117</v>
      </c>
      <c r="B927" s="0" t="s">
        <v>523</v>
      </c>
      <c r="C927" s="0" t="n">
        <v>280</v>
      </c>
      <c r="D927" s="0" t="n">
        <v>7</v>
      </c>
      <c r="E927" s="0" t="n">
        <v>6</v>
      </c>
      <c r="F927" s="0" t="n">
        <v>260</v>
      </c>
      <c r="G927" s="0" t="n">
        <v>100</v>
      </c>
      <c r="H927" s="0" t="s">
        <v>145</v>
      </c>
      <c r="I927" s="0" t="n">
        <v>100</v>
      </c>
      <c r="J927" s="0" t="n">
        <f aca="false">F927*E927</f>
        <v>1560</v>
      </c>
      <c r="K927" s="0" t="str">
        <f aca="false">IF(G927&lt;1000,"1-Low",IF(G927&lt;5000,"2-Medium","3-Bulk"))</f>
        <v>1-Low</v>
      </c>
      <c r="L927" s="0" t="str">
        <f aca="false">IF(H927="TRUE","Out of stock","In stock")</f>
        <v>In stock</v>
      </c>
      <c r="M927" s="0" t="str">
        <f aca="false">IF(D927&lt;5,"1) Under 5%",IF(D927&lt;10,"2) 5-9%",IF(D927&lt;15,"3) 10-14%",IF(D927&lt;25,"4) 15-24%","5) 25%+"))))</f>
        <v>2) 5-9%</v>
      </c>
      <c r="N927" s="0" t="str">
        <f aca="false">IF(F927&lt;50,"1) Under Rs 50",IF(F927&lt;100,"2) Rs 50-99",IF(F927&lt;200,"3) Rs 100-199",IF(F927&lt;500,"4) Rs 200-499","5) Rs 500+"))))</f>
        <v>4) Rs 200-499</v>
      </c>
      <c r="O927" s="0" t="n">
        <f aca="false">G927*E927/1000</f>
        <v>0.6</v>
      </c>
    </row>
    <row r="928" customFormat="false" ht="15" hidden="false" customHeight="false" outlineLevel="0" collapsed="false">
      <c r="A928" s="0" t="s">
        <v>117</v>
      </c>
      <c r="B928" s="0" t="s">
        <v>524</v>
      </c>
      <c r="C928" s="0" t="n">
        <v>210</v>
      </c>
      <c r="D928" s="0" t="n">
        <v>0</v>
      </c>
      <c r="E928" s="0" t="n">
        <v>4</v>
      </c>
      <c r="F928" s="0" t="n">
        <v>210</v>
      </c>
      <c r="G928" s="0" t="n">
        <v>250</v>
      </c>
      <c r="H928" s="0" t="s">
        <v>145</v>
      </c>
      <c r="I928" s="0" t="n">
        <v>250</v>
      </c>
      <c r="J928" s="0" t="n">
        <f aca="false">F928*E928</f>
        <v>840</v>
      </c>
      <c r="K928" s="0" t="str">
        <f aca="false">IF(G928&lt;1000,"1-Low",IF(G928&lt;5000,"2-Medium","3-Bulk"))</f>
        <v>1-Low</v>
      </c>
      <c r="L928" s="0" t="str">
        <f aca="false">IF(H928="TRUE","Out of stock","In stock")</f>
        <v>In stock</v>
      </c>
      <c r="M928" s="0" t="str">
        <f aca="false">IF(D928&lt;5,"1) Under 5%",IF(D928&lt;10,"2) 5-9%",IF(D928&lt;15,"3) 10-14%",IF(D928&lt;25,"4) 15-24%","5) 25%+"))))</f>
        <v>1) Under 5%</v>
      </c>
      <c r="N928" s="0" t="str">
        <f aca="false">IF(F928&lt;50,"1) Under Rs 50",IF(F928&lt;100,"2) Rs 50-99",IF(F928&lt;200,"3) Rs 100-199",IF(F928&lt;500,"4) Rs 200-499","5) Rs 500+"))))</f>
        <v>4) Rs 200-499</v>
      </c>
      <c r="O928" s="0" t="n">
        <f aca="false">G928*E928/1000</f>
        <v>1</v>
      </c>
    </row>
    <row r="929" customFormat="false" ht="15" hidden="false" customHeight="false" outlineLevel="0" collapsed="false">
      <c r="A929" s="0" t="s">
        <v>117</v>
      </c>
      <c r="B929" s="0" t="s">
        <v>525</v>
      </c>
      <c r="C929" s="0" t="n">
        <v>250</v>
      </c>
      <c r="D929" s="0" t="n">
        <v>0</v>
      </c>
      <c r="E929" s="0" t="n">
        <v>5</v>
      </c>
      <c r="F929" s="0" t="n">
        <v>250</v>
      </c>
      <c r="G929" s="0" t="n">
        <v>500</v>
      </c>
      <c r="H929" s="0" t="s">
        <v>145</v>
      </c>
      <c r="I929" s="0" t="n">
        <v>500</v>
      </c>
      <c r="J929" s="0" t="n">
        <f aca="false">F929*E929</f>
        <v>1250</v>
      </c>
      <c r="K929" s="0" t="str">
        <f aca="false">IF(G929&lt;1000,"1-Low",IF(G929&lt;5000,"2-Medium","3-Bulk"))</f>
        <v>1-Low</v>
      </c>
      <c r="L929" s="0" t="str">
        <f aca="false">IF(H929="TRUE","Out of stock","In stock")</f>
        <v>In stock</v>
      </c>
      <c r="M929" s="0" t="str">
        <f aca="false">IF(D929&lt;5,"1) Under 5%",IF(D929&lt;10,"2) 5-9%",IF(D929&lt;15,"3) 10-14%",IF(D929&lt;25,"4) 15-24%","5) 25%+"))))</f>
        <v>1) Under 5%</v>
      </c>
      <c r="N929" s="0" t="str">
        <f aca="false">IF(F929&lt;50,"1) Under Rs 50",IF(F929&lt;100,"2) Rs 50-99",IF(F929&lt;200,"3) Rs 100-199",IF(F929&lt;500,"4) Rs 200-499","5) Rs 500+"))))</f>
        <v>4) Rs 200-499</v>
      </c>
      <c r="O929" s="0" t="n">
        <f aca="false">G929*E929/1000</f>
        <v>2.5</v>
      </c>
    </row>
    <row r="930" customFormat="false" ht="15" hidden="false" customHeight="false" outlineLevel="0" collapsed="false">
      <c r="A930" s="0" t="s">
        <v>117</v>
      </c>
      <c r="B930" s="0" t="s">
        <v>526</v>
      </c>
      <c r="C930" s="0" t="n">
        <v>82</v>
      </c>
      <c r="D930" s="0" t="n">
        <v>10</v>
      </c>
      <c r="E930" s="0" t="n">
        <v>5</v>
      </c>
      <c r="F930" s="0" t="n">
        <v>73</v>
      </c>
      <c r="G930" s="0" t="n">
        <v>100</v>
      </c>
      <c r="H930" s="0" t="s">
        <v>145</v>
      </c>
      <c r="I930" s="0" t="n">
        <v>100</v>
      </c>
      <c r="J930" s="0" t="n">
        <f aca="false">F930*E930</f>
        <v>365</v>
      </c>
      <c r="K930" s="0" t="str">
        <f aca="false">IF(G930&lt;1000,"1-Low",IF(G930&lt;5000,"2-Medium","3-Bulk"))</f>
        <v>1-Low</v>
      </c>
      <c r="L930" s="0" t="str">
        <f aca="false">IF(H930="TRUE","Out of stock","In stock")</f>
        <v>In stock</v>
      </c>
      <c r="M930" s="0" t="str">
        <f aca="false">IF(D930&lt;5,"1) Under 5%",IF(D930&lt;10,"2) 5-9%",IF(D930&lt;15,"3) 10-14%",IF(D930&lt;25,"4) 15-24%","5) 25%+"))))</f>
        <v>3) 10-14%</v>
      </c>
      <c r="N930" s="0" t="str">
        <f aca="false">IF(F930&lt;50,"1) Under Rs 50",IF(F930&lt;100,"2) Rs 50-99",IF(F930&lt;200,"3) Rs 100-199",IF(F930&lt;500,"4) Rs 200-499","5) Rs 500+"))))</f>
        <v>2) Rs 50-99</v>
      </c>
      <c r="O930" s="0" t="n">
        <f aca="false">G930*E930/1000</f>
        <v>0.5</v>
      </c>
    </row>
    <row r="931" customFormat="false" ht="15" hidden="false" customHeight="false" outlineLevel="0" collapsed="false">
      <c r="A931" s="0" t="s">
        <v>117</v>
      </c>
      <c r="B931" s="0" t="s">
        <v>527</v>
      </c>
      <c r="C931" s="0" t="n">
        <v>75</v>
      </c>
      <c r="D931" s="0" t="n">
        <v>30</v>
      </c>
      <c r="E931" s="0" t="n">
        <v>6</v>
      </c>
      <c r="F931" s="0" t="n">
        <v>52</v>
      </c>
      <c r="G931" s="0" t="n">
        <v>200</v>
      </c>
      <c r="H931" s="0" t="s">
        <v>145</v>
      </c>
      <c r="I931" s="0" t="n">
        <v>200</v>
      </c>
      <c r="J931" s="0" t="n">
        <f aca="false">F931*E931</f>
        <v>312</v>
      </c>
      <c r="K931" s="0" t="str">
        <f aca="false">IF(G931&lt;1000,"1-Low",IF(G931&lt;5000,"2-Medium","3-Bulk"))</f>
        <v>1-Low</v>
      </c>
      <c r="L931" s="0" t="str">
        <f aca="false">IF(H931="TRUE","Out of stock","In stock")</f>
        <v>In stock</v>
      </c>
      <c r="M931" s="0" t="str">
        <f aca="false">IF(D931&lt;5,"1) Under 5%",IF(D931&lt;10,"2) 5-9%",IF(D931&lt;15,"3) 10-14%",IF(D931&lt;25,"4) 15-24%","5) 25%+"))))</f>
        <v>5) 25%+</v>
      </c>
      <c r="N931" s="0" t="str">
        <f aca="false">IF(F931&lt;50,"1) Under Rs 50",IF(F931&lt;100,"2) Rs 50-99",IF(F931&lt;200,"3) Rs 100-199",IF(F931&lt;500,"4) Rs 200-499","5) Rs 500+"))))</f>
        <v>2) Rs 50-99</v>
      </c>
      <c r="O931" s="0" t="n">
        <f aca="false">G931*E931/1000</f>
        <v>1.2</v>
      </c>
    </row>
    <row r="932" customFormat="false" ht="15" hidden="false" customHeight="false" outlineLevel="0" collapsed="false">
      <c r="A932" s="0" t="s">
        <v>117</v>
      </c>
      <c r="B932" s="0" t="s">
        <v>528</v>
      </c>
      <c r="C932" s="0" t="n">
        <v>270</v>
      </c>
      <c r="D932" s="0" t="n">
        <v>10</v>
      </c>
      <c r="E932" s="0" t="n">
        <v>4</v>
      </c>
      <c r="F932" s="0" t="n">
        <v>243</v>
      </c>
      <c r="G932" s="0" t="n">
        <v>225</v>
      </c>
      <c r="H932" s="0" t="s">
        <v>145</v>
      </c>
      <c r="I932" s="0" t="n">
        <v>225</v>
      </c>
      <c r="J932" s="0" t="n">
        <f aca="false">F932*E932</f>
        <v>972</v>
      </c>
      <c r="K932" s="0" t="str">
        <f aca="false">IF(G932&lt;1000,"1-Low",IF(G932&lt;5000,"2-Medium","3-Bulk"))</f>
        <v>1-Low</v>
      </c>
      <c r="L932" s="0" t="str">
        <f aca="false">IF(H932="TRUE","Out of stock","In stock")</f>
        <v>In stock</v>
      </c>
      <c r="M932" s="0" t="str">
        <f aca="false">IF(D932&lt;5,"1) Under 5%",IF(D932&lt;10,"2) 5-9%",IF(D932&lt;15,"3) 10-14%",IF(D932&lt;25,"4) 15-24%","5) 25%+"))))</f>
        <v>3) 10-14%</v>
      </c>
      <c r="N932" s="0" t="str">
        <f aca="false">IF(F932&lt;50,"1) Under Rs 50",IF(F932&lt;100,"2) Rs 50-99",IF(F932&lt;200,"3) Rs 100-199",IF(F932&lt;500,"4) Rs 200-499","5) Rs 500+"))))</f>
        <v>4) Rs 200-499</v>
      </c>
      <c r="O932" s="0" t="n">
        <f aca="false">G932*E932/1000</f>
        <v>0.9</v>
      </c>
    </row>
    <row r="933" customFormat="false" ht="15" hidden="false" customHeight="false" outlineLevel="0" collapsed="false">
      <c r="A933" s="0" t="s">
        <v>117</v>
      </c>
      <c r="B933" s="0" t="s">
        <v>529</v>
      </c>
      <c r="C933" s="0" t="n">
        <v>45</v>
      </c>
      <c r="D933" s="0" t="n">
        <v>2</v>
      </c>
      <c r="E933" s="0" t="n">
        <v>6</v>
      </c>
      <c r="F933" s="0" t="n">
        <v>44</v>
      </c>
      <c r="G933" s="0" t="n">
        <v>90</v>
      </c>
      <c r="H933" s="0" t="s">
        <v>145</v>
      </c>
      <c r="I933" s="0" t="n">
        <v>90</v>
      </c>
      <c r="J933" s="0" t="n">
        <f aca="false">F933*E933</f>
        <v>264</v>
      </c>
      <c r="K933" s="0" t="str">
        <f aca="false">IF(G933&lt;1000,"1-Low",IF(G933&lt;5000,"2-Medium","3-Bulk"))</f>
        <v>1-Low</v>
      </c>
      <c r="L933" s="0" t="str">
        <f aca="false">IF(H933="TRUE","Out of stock","In stock")</f>
        <v>In stock</v>
      </c>
      <c r="M933" s="0" t="str">
        <f aca="false">IF(D933&lt;5,"1) Under 5%",IF(D933&lt;10,"2) 5-9%",IF(D933&lt;15,"3) 10-14%",IF(D933&lt;25,"4) 15-24%","5) 25%+"))))</f>
        <v>1) Under 5%</v>
      </c>
      <c r="N933" s="0" t="str">
        <f aca="false">IF(F933&lt;50,"1) Under Rs 50",IF(F933&lt;100,"2) Rs 50-99",IF(F933&lt;200,"3) Rs 100-199",IF(F933&lt;500,"4) Rs 200-499","5) Rs 500+"))))</f>
        <v>1) Under Rs 50</v>
      </c>
      <c r="O933" s="0" t="n">
        <f aca="false">G933*E933/1000</f>
        <v>0.54</v>
      </c>
    </row>
    <row r="934" customFormat="false" ht="15" hidden="false" customHeight="false" outlineLevel="0" collapsed="false">
      <c r="A934" s="0" t="s">
        <v>117</v>
      </c>
      <c r="B934" s="0" t="s">
        <v>530</v>
      </c>
      <c r="C934" s="0" t="n">
        <v>130</v>
      </c>
      <c r="D934" s="0" t="n">
        <v>10</v>
      </c>
      <c r="E934" s="0" t="n">
        <v>5</v>
      </c>
      <c r="F934" s="0" t="n">
        <v>117</v>
      </c>
      <c r="G934" s="0" t="n">
        <v>100</v>
      </c>
      <c r="H934" s="0" t="s">
        <v>145</v>
      </c>
      <c r="I934" s="0" t="n">
        <v>100</v>
      </c>
      <c r="J934" s="0" t="n">
        <f aca="false">F934*E934</f>
        <v>585</v>
      </c>
      <c r="K934" s="0" t="str">
        <f aca="false">IF(G934&lt;1000,"1-Low",IF(G934&lt;5000,"2-Medium","3-Bulk"))</f>
        <v>1-Low</v>
      </c>
      <c r="L934" s="0" t="str">
        <f aca="false">IF(H934="TRUE","Out of stock","In stock")</f>
        <v>In stock</v>
      </c>
      <c r="M934" s="0" t="str">
        <f aca="false">IF(D934&lt;5,"1) Under 5%",IF(D934&lt;10,"2) 5-9%",IF(D934&lt;15,"3) 10-14%",IF(D934&lt;25,"4) 15-24%","5) 25%+"))))</f>
        <v>3) 10-14%</v>
      </c>
      <c r="N934" s="0" t="str">
        <f aca="false">IF(F934&lt;50,"1) Under Rs 50",IF(F934&lt;100,"2) Rs 50-99",IF(F934&lt;200,"3) Rs 100-199",IF(F934&lt;500,"4) Rs 200-499","5) Rs 500+"))))</f>
        <v>3) Rs 100-199</v>
      </c>
      <c r="O934" s="0" t="n">
        <f aca="false">G934*E934/1000</f>
        <v>0.5</v>
      </c>
    </row>
    <row r="935" customFormat="false" ht="15" hidden="false" customHeight="false" outlineLevel="0" collapsed="false">
      <c r="A935" s="0" t="s">
        <v>117</v>
      </c>
      <c r="B935" s="0" t="s">
        <v>531</v>
      </c>
      <c r="C935" s="0" t="n">
        <v>380</v>
      </c>
      <c r="D935" s="0" t="n">
        <v>2</v>
      </c>
      <c r="E935" s="0" t="n">
        <v>4</v>
      </c>
      <c r="F935" s="0" t="n">
        <v>372</v>
      </c>
      <c r="G935" s="0" t="n">
        <v>1000</v>
      </c>
      <c r="H935" s="0" t="s">
        <v>145</v>
      </c>
      <c r="I935" s="0" t="n">
        <v>1</v>
      </c>
      <c r="J935" s="0" t="n">
        <f aca="false">F935*E935</f>
        <v>1488</v>
      </c>
      <c r="K935" s="0" t="str">
        <f aca="false">IF(G935&lt;1000,"1-Low",IF(G935&lt;5000,"2-Medium","3-Bulk"))</f>
        <v>2-Medium</v>
      </c>
      <c r="L935" s="0" t="str">
        <f aca="false">IF(H935="TRUE","Out of stock","In stock")</f>
        <v>In stock</v>
      </c>
      <c r="M935" s="0" t="str">
        <f aca="false">IF(D935&lt;5,"1) Under 5%",IF(D935&lt;10,"2) 5-9%",IF(D935&lt;15,"3) 10-14%",IF(D935&lt;25,"4) 15-24%","5) 25%+"))))</f>
        <v>1) Under 5%</v>
      </c>
      <c r="N935" s="0" t="str">
        <f aca="false">IF(F935&lt;50,"1) Under Rs 50",IF(F935&lt;100,"2) Rs 50-99",IF(F935&lt;200,"3) Rs 100-199",IF(F935&lt;500,"4) Rs 200-499","5) Rs 500+"))))</f>
        <v>4) Rs 200-499</v>
      </c>
      <c r="O935" s="0" t="n">
        <f aca="false">G935*E935/1000</f>
        <v>4</v>
      </c>
    </row>
    <row r="936" customFormat="false" ht="15" hidden="false" customHeight="false" outlineLevel="0" collapsed="false">
      <c r="A936" s="0" t="s">
        <v>117</v>
      </c>
      <c r="B936" s="0" t="s">
        <v>532</v>
      </c>
      <c r="C936" s="0" t="n">
        <v>75</v>
      </c>
      <c r="D936" s="0" t="n">
        <v>30</v>
      </c>
      <c r="E936" s="0" t="n">
        <v>5</v>
      </c>
      <c r="F936" s="0" t="n">
        <v>52</v>
      </c>
      <c r="G936" s="0" t="n">
        <v>80</v>
      </c>
      <c r="H936" s="0" t="s">
        <v>145</v>
      </c>
      <c r="I936" s="0" t="n">
        <v>80</v>
      </c>
      <c r="J936" s="0" t="n">
        <f aca="false">F936*E936</f>
        <v>260</v>
      </c>
      <c r="K936" s="0" t="str">
        <f aca="false">IF(G936&lt;1000,"1-Low",IF(G936&lt;5000,"2-Medium","3-Bulk"))</f>
        <v>1-Low</v>
      </c>
      <c r="L936" s="0" t="str">
        <f aca="false">IF(H936="TRUE","Out of stock","In stock")</f>
        <v>In stock</v>
      </c>
      <c r="M936" s="0" t="str">
        <f aca="false">IF(D936&lt;5,"1) Under 5%",IF(D936&lt;10,"2) 5-9%",IF(D936&lt;15,"3) 10-14%",IF(D936&lt;25,"4) 15-24%","5) 25%+"))))</f>
        <v>5) 25%+</v>
      </c>
      <c r="N936" s="0" t="str">
        <f aca="false">IF(F936&lt;50,"1) Under Rs 50",IF(F936&lt;100,"2) Rs 50-99",IF(F936&lt;200,"3) Rs 100-199",IF(F936&lt;500,"4) Rs 200-499","5) Rs 500+"))))</f>
        <v>2) Rs 50-99</v>
      </c>
      <c r="O936" s="0" t="n">
        <f aca="false">G936*E936/1000</f>
        <v>0.4</v>
      </c>
    </row>
    <row r="937" customFormat="false" ht="15" hidden="false" customHeight="false" outlineLevel="0" collapsed="false">
      <c r="A937" s="0" t="s">
        <v>117</v>
      </c>
      <c r="B937" s="0" t="s">
        <v>533</v>
      </c>
      <c r="C937" s="0" t="n">
        <v>50</v>
      </c>
      <c r="D937" s="0" t="n">
        <v>2</v>
      </c>
      <c r="E937" s="0" t="n">
        <v>6</v>
      </c>
      <c r="F937" s="0" t="n">
        <v>49</v>
      </c>
      <c r="G937" s="0" t="n">
        <v>20</v>
      </c>
      <c r="H937" s="0" t="s">
        <v>145</v>
      </c>
      <c r="I937" s="0" t="n">
        <v>20</v>
      </c>
      <c r="J937" s="0" t="n">
        <f aca="false">F937*E937</f>
        <v>294</v>
      </c>
      <c r="K937" s="0" t="str">
        <f aca="false">IF(G937&lt;1000,"1-Low",IF(G937&lt;5000,"2-Medium","3-Bulk"))</f>
        <v>1-Low</v>
      </c>
      <c r="L937" s="0" t="str">
        <f aca="false">IF(H937="TRUE","Out of stock","In stock")</f>
        <v>In stock</v>
      </c>
      <c r="M937" s="0" t="str">
        <f aca="false">IF(D937&lt;5,"1) Under 5%",IF(D937&lt;10,"2) 5-9%",IF(D937&lt;15,"3) 10-14%",IF(D937&lt;25,"4) 15-24%","5) 25%+"))))</f>
        <v>1) Under 5%</v>
      </c>
      <c r="N937" s="0" t="str">
        <f aca="false">IF(F937&lt;50,"1) Under Rs 50",IF(F937&lt;100,"2) Rs 50-99",IF(F937&lt;200,"3) Rs 100-199",IF(F937&lt;500,"4) Rs 200-499","5) Rs 500+"))))</f>
        <v>1) Under Rs 50</v>
      </c>
      <c r="O937" s="0" t="n">
        <f aca="false">G937*E937/1000</f>
        <v>0.12</v>
      </c>
    </row>
    <row r="938" customFormat="false" ht="15" hidden="false" customHeight="false" outlineLevel="0" collapsed="false">
      <c r="A938" s="0" t="s">
        <v>117</v>
      </c>
      <c r="B938" s="0" t="s">
        <v>534</v>
      </c>
      <c r="C938" s="0" t="n">
        <v>50</v>
      </c>
      <c r="D938" s="0" t="n">
        <v>6</v>
      </c>
      <c r="E938" s="0" t="n">
        <v>6</v>
      </c>
      <c r="F938" s="0" t="n">
        <v>47</v>
      </c>
      <c r="G938" s="0" t="n">
        <v>200</v>
      </c>
      <c r="H938" s="0" t="s">
        <v>145</v>
      </c>
      <c r="I938" s="0" t="n">
        <v>200</v>
      </c>
      <c r="J938" s="0" t="n">
        <f aca="false">F938*E938</f>
        <v>282</v>
      </c>
      <c r="K938" s="0" t="str">
        <f aca="false">IF(G938&lt;1000,"1-Low",IF(G938&lt;5000,"2-Medium","3-Bulk"))</f>
        <v>1-Low</v>
      </c>
      <c r="L938" s="0" t="str">
        <f aca="false">IF(H938="TRUE","Out of stock","In stock")</f>
        <v>In stock</v>
      </c>
      <c r="M938" s="0" t="str">
        <f aca="false">IF(D938&lt;5,"1) Under 5%",IF(D938&lt;10,"2) 5-9%",IF(D938&lt;15,"3) 10-14%",IF(D938&lt;25,"4) 15-24%","5) 25%+"))))</f>
        <v>2) 5-9%</v>
      </c>
      <c r="N938" s="0" t="str">
        <f aca="false">IF(F938&lt;50,"1) Under Rs 50",IF(F938&lt;100,"2) Rs 50-99",IF(F938&lt;200,"3) Rs 100-199",IF(F938&lt;500,"4) Rs 200-499","5) Rs 500+"))))</f>
        <v>1) Under Rs 50</v>
      </c>
      <c r="O938" s="0" t="n">
        <f aca="false">G938*E938/1000</f>
        <v>1.2</v>
      </c>
    </row>
    <row r="939" customFormat="false" ht="15" hidden="false" customHeight="false" outlineLevel="0" collapsed="false">
      <c r="A939" s="0" t="s">
        <v>117</v>
      </c>
      <c r="B939" s="0" t="s">
        <v>535</v>
      </c>
      <c r="C939" s="0" t="n">
        <v>120</v>
      </c>
      <c r="D939" s="0" t="n">
        <v>10</v>
      </c>
      <c r="E939" s="0" t="n">
        <v>5</v>
      </c>
      <c r="F939" s="0" t="n">
        <v>108</v>
      </c>
      <c r="G939" s="0" t="n">
        <v>500</v>
      </c>
      <c r="H939" s="0" t="s">
        <v>145</v>
      </c>
      <c r="I939" s="0" t="n">
        <v>500</v>
      </c>
      <c r="J939" s="0" t="n">
        <f aca="false">F939*E939</f>
        <v>540</v>
      </c>
      <c r="K939" s="0" t="str">
        <f aca="false">IF(G939&lt;1000,"1-Low",IF(G939&lt;5000,"2-Medium","3-Bulk"))</f>
        <v>1-Low</v>
      </c>
      <c r="L939" s="0" t="str">
        <f aca="false">IF(H939="TRUE","Out of stock","In stock")</f>
        <v>In stock</v>
      </c>
      <c r="M939" s="0" t="str">
        <f aca="false">IF(D939&lt;5,"1) Under 5%",IF(D939&lt;10,"2) 5-9%",IF(D939&lt;15,"3) 10-14%",IF(D939&lt;25,"4) 15-24%","5) 25%+"))))</f>
        <v>3) 10-14%</v>
      </c>
      <c r="N939" s="0" t="str">
        <f aca="false">IF(F939&lt;50,"1) Under Rs 50",IF(F939&lt;100,"2) Rs 50-99",IF(F939&lt;200,"3) Rs 100-199",IF(F939&lt;500,"4) Rs 200-499","5) Rs 500+"))))</f>
        <v>3) Rs 100-199</v>
      </c>
      <c r="O939" s="0" t="n">
        <f aca="false">G939*E939/1000</f>
        <v>2.5</v>
      </c>
    </row>
    <row r="940" customFormat="false" ht="15" hidden="false" customHeight="false" outlineLevel="0" collapsed="false">
      <c r="A940" s="0" t="s">
        <v>117</v>
      </c>
      <c r="B940" s="0" t="s">
        <v>536</v>
      </c>
      <c r="C940" s="0" t="n">
        <v>276</v>
      </c>
      <c r="D940" s="0" t="n">
        <v>10</v>
      </c>
      <c r="E940" s="0" t="n">
        <v>6</v>
      </c>
      <c r="F940" s="0" t="n">
        <v>248</v>
      </c>
      <c r="G940" s="0" t="n">
        <v>1500</v>
      </c>
      <c r="H940" s="0" t="s">
        <v>145</v>
      </c>
      <c r="I940" s="0" t="n">
        <v>1</v>
      </c>
      <c r="J940" s="0" t="n">
        <f aca="false">F940*E940</f>
        <v>1488</v>
      </c>
      <c r="K940" s="0" t="str">
        <f aca="false">IF(G940&lt;1000,"1-Low",IF(G940&lt;5000,"2-Medium","3-Bulk"))</f>
        <v>2-Medium</v>
      </c>
      <c r="L940" s="0" t="str">
        <f aca="false">IF(H940="TRUE","Out of stock","In stock")</f>
        <v>In stock</v>
      </c>
      <c r="M940" s="0" t="str">
        <f aca="false">IF(D940&lt;5,"1) Under 5%",IF(D940&lt;10,"2) 5-9%",IF(D940&lt;15,"3) 10-14%",IF(D940&lt;25,"4) 15-24%","5) 25%+"))))</f>
        <v>3) 10-14%</v>
      </c>
      <c r="N940" s="0" t="str">
        <f aca="false">IF(F940&lt;50,"1) Under Rs 50",IF(F940&lt;100,"2) Rs 50-99",IF(F940&lt;200,"3) Rs 100-199",IF(F940&lt;500,"4) Rs 200-499","5) Rs 500+"))))</f>
        <v>4) Rs 200-499</v>
      </c>
      <c r="O940" s="0" t="n">
        <f aca="false">G940*E940/1000</f>
        <v>9</v>
      </c>
    </row>
    <row r="941" customFormat="false" ht="15" hidden="false" customHeight="false" outlineLevel="0" collapsed="false">
      <c r="A941" s="0" t="s">
        <v>117</v>
      </c>
      <c r="B941" s="0" t="s">
        <v>537</v>
      </c>
      <c r="C941" s="0" t="n">
        <v>145</v>
      </c>
      <c r="D941" s="0" t="n">
        <v>15</v>
      </c>
      <c r="E941" s="0" t="n">
        <v>4</v>
      </c>
      <c r="F941" s="0" t="n">
        <v>122</v>
      </c>
      <c r="G941" s="0" t="n">
        <v>500</v>
      </c>
      <c r="H941" s="0" t="s">
        <v>145</v>
      </c>
      <c r="I941" s="0" t="n">
        <v>500</v>
      </c>
      <c r="J941" s="0" t="n">
        <f aca="false">F941*E941</f>
        <v>488</v>
      </c>
      <c r="K941" s="0" t="str">
        <f aca="false">IF(G941&lt;1000,"1-Low",IF(G941&lt;5000,"2-Medium","3-Bulk"))</f>
        <v>1-Low</v>
      </c>
      <c r="L941" s="0" t="str">
        <f aca="false">IF(H941="TRUE","Out of stock","In stock")</f>
        <v>In stock</v>
      </c>
      <c r="M941" s="0" t="str">
        <f aca="false">IF(D941&lt;5,"1) Under 5%",IF(D941&lt;10,"2) 5-9%",IF(D941&lt;15,"3) 10-14%",IF(D941&lt;25,"4) 15-24%","5) 25%+"))))</f>
        <v>4) 15-24%</v>
      </c>
      <c r="N941" s="0" t="str">
        <f aca="false">IF(F941&lt;50,"1) Under Rs 50",IF(F941&lt;100,"2) Rs 50-99",IF(F941&lt;200,"3) Rs 100-199",IF(F941&lt;500,"4) Rs 200-499","5) Rs 500+"))))</f>
        <v>3) Rs 100-199</v>
      </c>
      <c r="O941" s="0" t="n">
        <f aca="false">G941*E941/1000</f>
        <v>2</v>
      </c>
    </row>
    <row r="942" customFormat="false" ht="15" hidden="false" customHeight="false" outlineLevel="0" collapsed="false">
      <c r="A942" s="0" t="s">
        <v>117</v>
      </c>
      <c r="B942" s="0" t="s">
        <v>538</v>
      </c>
      <c r="C942" s="0" t="n">
        <v>40</v>
      </c>
      <c r="D942" s="0" t="n">
        <v>2</v>
      </c>
      <c r="E942" s="0" t="n">
        <v>2</v>
      </c>
      <c r="F942" s="0" t="n">
        <v>39</v>
      </c>
      <c r="G942" s="0" t="n">
        <v>100</v>
      </c>
      <c r="H942" s="0" t="s">
        <v>145</v>
      </c>
      <c r="I942" s="0" t="n">
        <v>100</v>
      </c>
      <c r="J942" s="0" t="n">
        <f aca="false">F942*E942</f>
        <v>78</v>
      </c>
      <c r="K942" s="0" t="str">
        <f aca="false">IF(G942&lt;1000,"1-Low",IF(G942&lt;5000,"2-Medium","3-Bulk"))</f>
        <v>1-Low</v>
      </c>
      <c r="L942" s="0" t="str">
        <f aca="false">IF(H942="TRUE","Out of stock","In stock")</f>
        <v>In stock</v>
      </c>
      <c r="M942" s="0" t="str">
        <f aca="false">IF(D942&lt;5,"1) Under 5%",IF(D942&lt;10,"2) 5-9%",IF(D942&lt;15,"3) 10-14%",IF(D942&lt;25,"4) 15-24%","5) 25%+"))))</f>
        <v>1) Under 5%</v>
      </c>
      <c r="N942" s="0" t="str">
        <f aca="false">IF(F942&lt;50,"1) Under Rs 50",IF(F942&lt;100,"2) Rs 50-99",IF(F942&lt;200,"3) Rs 100-199",IF(F942&lt;500,"4) Rs 200-499","5) Rs 500+"))))</f>
        <v>1) Under Rs 50</v>
      </c>
      <c r="O942" s="0" t="n">
        <f aca="false">G942*E942/1000</f>
        <v>0.2</v>
      </c>
    </row>
    <row r="943" customFormat="false" ht="15" hidden="false" customHeight="false" outlineLevel="0" collapsed="false">
      <c r="A943" s="0" t="s">
        <v>117</v>
      </c>
      <c r="B943" s="0" t="s">
        <v>539</v>
      </c>
      <c r="C943" s="0" t="n">
        <v>90</v>
      </c>
      <c r="D943" s="0" t="n">
        <v>10</v>
      </c>
      <c r="E943" s="0" t="n">
        <v>6</v>
      </c>
      <c r="F943" s="0" t="n">
        <v>81</v>
      </c>
      <c r="G943" s="0" t="n">
        <v>500</v>
      </c>
      <c r="H943" s="0" t="s">
        <v>145</v>
      </c>
      <c r="I943" s="0" t="n">
        <v>500</v>
      </c>
      <c r="J943" s="0" t="n">
        <f aca="false">F943*E943</f>
        <v>486</v>
      </c>
      <c r="K943" s="0" t="str">
        <f aca="false">IF(G943&lt;1000,"1-Low",IF(G943&lt;5000,"2-Medium","3-Bulk"))</f>
        <v>1-Low</v>
      </c>
      <c r="L943" s="0" t="str">
        <f aca="false">IF(H943="TRUE","Out of stock","In stock")</f>
        <v>In stock</v>
      </c>
      <c r="M943" s="0" t="str">
        <f aca="false">IF(D943&lt;5,"1) Under 5%",IF(D943&lt;10,"2) 5-9%",IF(D943&lt;15,"3) 10-14%",IF(D943&lt;25,"4) 15-24%","5) 25%+"))))</f>
        <v>3) 10-14%</v>
      </c>
      <c r="N943" s="0" t="str">
        <f aca="false">IF(F943&lt;50,"1) Under Rs 50",IF(F943&lt;100,"2) Rs 50-99",IF(F943&lt;200,"3) Rs 100-199",IF(F943&lt;500,"4) Rs 200-499","5) Rs 500+"))))</f>
        <v>2) Rs 50-99</v>
      </c>
      <c r="O943" s="0" t="n">
        <f aca="false">G943*E943/1000</f>
        <v>3</v>
      </c>
    </row>
    <row r="944" customFormat="false" ht="15" hidden="false" customHeight="false" outlineLevel="0" collapsed="false">
      <c r="A944" s="0" t="s">
        <v>117</v>
      </c>
      <c r="B944" s="0" t="s">
        <v>540</v>
      </c>
      <c r="C944" s="0" t="n">
        <v>109</v>
      </c>
      <c r="D944" s="0" t="n">
        <v>17</v>
      </c>
      <c r="E944" s="0" t="n">
        <v>6</v>
      </c>
      <c r="F944" s="0" t="n">
        <v>90</v>
      </c>
      <c r="G944" s="0" t="n">
        <v>45</v>
      </c>
      <c r="H944" s="0" t="s">
        <v>145</v>
      </c>
      <c r="I944" s="0" t="n">
        <v>45</v>
      </c>
      <c r="J944" s="0" t="n">
        <f aca="false">F944*E944</f>
        <v>540</v>
      </c>
      <c r="K944" s="0" t="str">
        <f aca="false">IF(G944&lt;1000,"1-Low",IF(G944&lt;5000,"2-Medium","3-Bulk"))</f>
        <v>1-Low</v>
      </c>
      <c r="L944" s="0" t="str">
        <f aca="false">IF(H944="TRUE","Out of stock","In stock")</f>
        <v>In stock</v>
      </c>
      <c r="M944" s="0" t="str">
        <f aca="false">IF(D944&lt;5,"1) Under 5%",IF(D944&lt;10,"2) 5-9%",IF(D944&lt;15,"3) 10-14%",IF(D944&lt;25,"4) 15-24%","5) 25%+"))))</f>
        <v>4) 15-24%</v>
      </c>
      <c r="N944" s="0" t="str">
        <f aca="false">IF(F944&lt;50,"1) Under Rs 50",IF(F944&lt;100,"2) Rs 50-99",IF(F944&lt;200,"3) Rs 100-199",IF(F944&lt;500,"4) Rs 200-499","5) Rs 500+"))))</f>
        <v>2) Rs 50-99</v>
      </c>
      <c r="O944" s="0" t="n">
        <f aca="false">G944*E944/1000</f>
        <v>0.27</v>
      </c>
    </row>
    <row r="945" customFormat="false" ht="15" hidden="false" customHeight="false" outlineLevel="0" collapsed="false">
      <c r="A945" s="0" t="s">
        <v>117</v>
      </c>
      <c r="B945" s="0" t="s">
        <v>541</v>
      </c>
      <c r="C945" s="0" t="n">
        <v>109</v>
      </c>
      <c r="D945" s="0" t="n">
        <v>20</v>
      </c>
      <c r="E945" s="0" t="n">
        <v>6</v>
      </c>
      <c r="F945" s="0" t="n">
        <v>87</v>
      </c>
      <c r="G945" s="0" t="n">
        <v>80</v>
      </c>
      <c r="H945" s="0" t="s">
        <v>145</v>
      </c>
      <c r="I945" s="0" t="n">
        <v>80</v>
      </c>
      <c r="J945" s="0" t="n">
        <f aca="false">F945*E945</f>
        <v>522</v>
      </c>
      <c r="K945" s="0" t="str">
        <f aca="false">IF(G945&lt;1000,"1-Low",IF(G945&lt;5000,"2-Medium","3-Bulk"))</f>
        <v>1-Low</v>
      </c>
      <c r="L945" s="0" t="str">
        <f aca="false">IF(H945="TRUE","Out of stock","In stock")</f>
        <v>In stock</v>
      </c>
      <c r="M945" s="0" t="str">
        <f aca="false">IF(D945&lt;5,"1) Under 5%",IF(D945&lt;10,"2) 5-9%",IF(D945&lt;15,"3) 10-14%",IF(D945&lt;25,"4) 15-24%","5) 25%+"))))</f>
        <v>4) 15-24%</v>
      </c>
      <c r="N945" s="0" t="str">
        <f aca="false">IF(F945&lt;50,"1) Under Rs 50",IF(F945&lt;100,"2) Rs 50-99",IF(F945&lt;200,"3) Rs 100-199",IF(F945&lt;500,"4) Rs 200-499","5) Rs 500+"))))</f>
        <v>2) Rs 50-99</v>
      </c>
      <c r="O945" s="0" t="n">
        <f aca="false">G945*E945/1000</f>
        <v>0.48</v>
      </c>
    </row>
    <row r="946" customFormat="false" ht="15" hidden="false" customHeight="false" outlineLevel="0" collapsed="false">
      <c r="A946" s="0" t="s">
        <v>117</v>
      </c>
      <c r="B946" s="0" t="s">
        <v>542</v>
      </c>
      <c r="C946" s="0" t="n">
        <v>135</v>
      </c>
      <c r="D946" s="0" t="n">
        <v>7</v>
      </c>
      <c r="E946" s="0" t="n">
        <v>6</v>
      </c>
      <c r="F946" s="0" t="n">
        <v>125</v>
      </c>
      <c r="G946" s="0" t="n">
        <v>500</v>
      </c>
      <c r="H946" s="0" t="s">
        <v>145</v>
      </c>
      <c r="I946" s="0" t="n">
        <v>500</v>
      </c>
      <c r="J946" s="0" t="n">
        <f aca="false">F946*E946</f>
        <v>750</v>
      </c>
      <c r="K946" s="0" t="str">
        <f aca="false">IF(G946&lt;1000,"1-Low",IF(G946&lt;5000,"2-Medium","3-Bulk"))</f>
        <v>1-Low</v>
      </c>
      <c r="L946" s="0" t="str">
        <f aca="false">IF(H946="TRUE","Out of stock","In stock")</f>
        <v>In stock</v>
      </c>
      <c r="M946" s="0" t="str">
        <f aca="false">IF(D946&lt;5,"1) Under 5%",IF(D946&lt;10,"2) 5-9%",IF(D946&lt;15,"3) 10-14%",IF(D946&lt;25,"4) 15-24%","5) 25%+"))))</f>
        <v>2) 5-9%</v>
      </c>
      <c r="N946" s="0" t="str">
        <f aca="false">IF(F946&lt;50,"1) Under Rs 50",IF(F946&lt;100,"2) Rs 50-99",IF(F946&lt;200,"3) Rs 100-199",IF(F946&lt;500,"4) Rs 200-499","5) Rs 500+"))))</f>
        <v>3) Rs 100-199</v>
      </c>
      <c r="O946" s="0" t="n">
        <f aca="false">G946*E946/1000</f>
        <v>3</v>
      </c>
    </row>
    <row r="947" customFormat="false" ht="15" hidden="false" customHeight="false" outlineLevel="0" collapsed="false">
      <c r="A947" s="0" t="s">
        <v>117</v>
      </c>
      <c r="B947" s="0" t="s">
        <v>543</v>
      </c>
      <c r="C947" s="0" t="n">
        <v>310</v>
      </c>
      <c r="D947" s="0" t="n">
        <v>10</v>
      </c>
      <c r="E947" s="0" t="n">
        <v>6</v>
      </c>
      <c r="F947" s="0" t="n">
        <v>276</v>
      </c>
      <c r="G947" s="0" t="n">
        <v>520</v>
      </c>
      <c r="H947" s="0" t="s">
        <v>145</v>
      </c>
      <c r="I947" s="0" t="n">
        <v>520</v>
      </c>
      <c r="J947" s="0" t="n">
        <f aca="false">F947*E947</f>
        <v>1656</v>
      </c>
      <c r="K947" s="0" t="str">
        <f aca="false">IF(G947&lt;1000,"1-Low",IF(G947&lt;5000,"2-Medium","3-Bulk"))</f>
        <v>1-Low</v>
      </c>
      <c r="L947" s="0" t="str">
        <f aca="false">IF(H947="TRUE","Out of stock","In stock")</f>
        <v>In stock</v>
      </c>
      <c r="M947" s="0" t="str">
        <f aca="false">IF(D947&lt;5,"1) Under 5%",IF(D947&lt;10,"2) 5-9%",IF(D947&lt;15,"3) 10-14%",IF(D947&lt;25,"4) 15-24%","5) 25%+"))))</f>
        <v>3) 10-14%</v>
      </c>
      <c r="N947" s="0" t="str">
        <f aca="false">IF(F947&lt;50,"1) Under Rs 50",IF(F947&lt;100,"2) Rs 50-99",IF(F947&lt;200,"3) Rs 100-199",IF(F947&lt;500,"4) Rs 200-499","5) Rs 500+"))))</f>
        <v>4) Rs 200-499</v>
      </c>
      <c r="O947" s="0" t="n">
        <f aca="false">G947*E947/1000</f>
        <v>3.12</v>
      </c>
    </row>
    <row r="948" customFormat="false" ht="15" hidden="false" customHeight="false" outlineLevel="0" collapsed="false">
      <c r="A948" s="0" t="s">
        <v>117</v>
      </c>
      <c r="B948" s="0" t="s">
        <v>544</v>
      </c>
      <c r="C948" s="0" t="n">
        <v>340</v>
      </c>
      <c r="D948" s="0" t="n">
        <v>20</v>
      </c>
      <c r="E948" s="0" t="n">
        <v>6</v>
      </c>
      <c r="F948" s="0" t="n">
        <v>272</v>
      </c>
      <c r="G948" s="0" t="n">
        <v>200</v>
      </c>
      <c r="H948" s="0" t="s">
        <v>145</v>
      </c>
      <c r="I948" s="0" t="n">
        <v>200</v>
      </c>
      <c r="J948" s="0" t="n">
        <f aca="false">F948*E948</f>
        <v>1632</v>
      </c>
      <c r="K948" s="0" t="str">
        <f aca="false">IF(G948&lt;1000,"1-Low",IF(G948&lt;5000,"2-Medium","3-Bulk"))</f>
        <v>1-Low</v>
      </c>
      <c r="L948" s="0" t="str">
        <f aca="false">IF(H948="TRUE","Out of stock","In stock")</f>
        <v>In stock</v>
      </c>
      <c r="M948" s="0" t="str">
        <f aca="false">IF(D948&lt;5,"1) Under 5%",IF(D948&lt;10,"2) 5-9%",IF(D948&lt;15,"3) 10-14%",IF(D948&lt;25,"4) 15-24%","5) 25%+"))))</f>
        <v>4) 15-24%</v>
      </c>
      <c r="N948" s="0" t="str">
        <f aca="false">IF(F948&lt;50,"1) Under Rs 50",IF(F948&lt;100,"2) Rs 50-99",IF(F948&lt;200,"3) Rs 100-199",IF(F948&lt;500,"4) Rs 200-499","5) Rs 500+"))))</f>
        <v>4) Rs 200-499</v>
      </c>
      <c r="O948" s="0" t="n">
        <f aca="false">G948*E948/1000</f>
        <v>1.2</v>
      </c>
    </row>
    <row r="949" customFormat="false" ht="15" hidden="false" customHeight="false" outlineLevel="0" collapsed="false">
      <c r="A949" s="0" t="s">
        <v>117</v>
      </c>
      <c r="B949" s="0" t="s">
        <v>545</v>
      </c>
      <c r="C949" s="0" t="n">
        <v>205</v>
      </c>
      <c r="D949" s="0" t="n">
        <v>0</v>
      </c>
      <c r="E949" s="0" t="n">
        <v>2</v>
      </c>
      <c r="F949" s="0" t="n">
        <v>205</v>
      </c>
      <c r="G949" s="0" t="n">
        <v>50</v>
      </c>
      <c r="H949" s="0" t="s">
        <v>145</v>
      </c>
      <c r="I949" s="0" t="n">
        <v>50</v>
      </c>
      <c r="J949" s="0" t="n">
        <f aca="false">F949*E949</f>
        <v>410</v>
      </c>
      <c r="K949" s="0" t="str">
        <f aca="false">IF(G949&lt;1000,"1-Low",IF(G949&lt;5000,"2-Medium","3-Bulk"))</f>
        <v>1-Low</v>
      </c>
      <c r="L949" s="0" t="str">
        <f aca="false">IF(H949="TRUE","Out of stock","In stock")</f>
        <v>In stock</v>
      </c>
      <c r="M949" s="0" t="str">
        <f aca="false">IF(D949&lt;5,"1) Under 5%",IF(D949&lt;10,"2) 5-9%",IF(D949&lt;15,"3) 10-14%",IF(D949&lt;25,"4) 15-24%","5) 25%+"))))</f>
        <v>1) Under 5%</v>
      </c>
      <c r="N949" s="0" t="str">
        <f aca="false">IF(F949&lt;50,"1) Under Rs 50",IF(F949&lt;100,"2) Rs 50-99",IF(F949&lt;200,"3) Rs 100-199",IF(F949&lt;500,"4) Rs 200-499","5) Rs 500+"))))</f>
        <v>4) Rs 200-499</v>
      </c>
      <c r="O949" s="0" t="n">
        <f aca="false">G949*E949/1000</f>
        <v>0.1</v>
      </c>
    </row>
    <row r="950" customFormat="false" ht="15" hidden="false" customHeight="false" outlineLevel="0" collapsed="false">
      <c r="A950" s="0" t="s">
        <v>117</v>
      </c>
      <c r="B950" s="0" t="s">
        <v>546</v>
      </c>
      <c r="C950" s="0" t="n">
        <v>295</v>
      </c>
      <c r="D950" s="0" t="n">
        <v>9</v>
      </c>
      <c r="E950" s="0" t="n">
        <v>5</v>
      </c>
      <c r="F950" s="0" t="n">
        <v>266</v>
      </c>
      <c r="G950" s="0" t="n">
        <v>160</v>
      </c>
      <c r="H950" s="0" t="s">
        <v>145</v>
      </c>
      <c r="I950" s="0" t="n">
        <v>160</v>
      </c>
      <c r="J950" s="0" t="n">
        <f aca="false">F950*E950</f>
        <v>1330</v>
      </c>
      <c r="K950" s="0" t="str">
        <f aca="false">IF(G950&lt;1000,"1-Low",IF(G950&lt;5000,"2-Medium","3-Bulk"))</f>
        <v>1-Low</v>
      </c>
      <c r="L950" s="0" t="str">
        <f aca="false">IF(H950="TRUE","Out of stock","In stock")</f>
        <v>In stock</v>
      </c>
      <c r="M950" s="0" t="str">
        <f aca="false">IF(D950&lt;5,"1) Under 5%",IF(D950&lt;10,"2) 5-9%",IF(D950&lt;15,"3) 10-14%",IF(D950&lt;25,"4) 15-24%","5) 25%+"))))</f>
        <v>2) 5-9%</v>
      </c>
      <c r="N950" s="0" t="str">
        <f aca="false">IF(F950&lt;50,"1) Under Rs 50",IF(F950&lt;100,"2) Rs 50-99",IF(F950&lt;200,"3) Rs 100-199",IF(F950&lt;500,"4) Rs 200-499","5) Rs 500+"))))</f>
        <v>4) Rs 200-499</v>
      </c>
      <c r="O950" s="0" t="n">
        <f aca="false">G950*E950/1000</f>
        <v>0.8</v>
      </c>
    </row>
    <row r="951" customFormat="false" ht="15" hidden="false" customHeight="false" outlineLevel="0" collapsed="false">
      <c r="A951" s="0" t="s">
        <v>117</v>
      </c>
      <c r="B951" s="0" t="s">
        <v>547</v>
      </c>
      <c r="C951" s="0" t="n">
        <v>165</v>
      </c>
      <c r="D951" s="0" t="n">
        <v>5</v>
      </c>
      <c r="E951" s="0" t="n">
        <v>6</v>
      </c>
      <c r="F951" s="0" t="n">
        <v>156</v>
      </c>
      <c r="G951" s="0" t="n">
        <v>500</v>
      </c>
      <c r="H951" s="0" t="s">
        <v>145</v>
      </c>
      <c r="I951" s="0" t="n">
        <v>500</v>
      </c>
      <c r="J951" s="0" t="n">
        <f aca="false">F951*E951</f>
        <v>936</v>
      </c>
      <c r="K951" s="0" t="str">
        <f aca="false">IF(G951&lt;1000,"1-Low",IF(G951&lt;5000,"2-Medium","3-Bulk"))</f>
        <v>1-Low</v>
      </c>
      <c r="L951" s="0" t="str">
        <f aca="false">IF(H951="TRUE","Out of stock","In stock")</f>
        <v>In stock</v>
      </c>
      <c r="M951" s="0" t="str">
        <f aca="false">IF(D951&lt;5,"1) Under 5%",IF(D951&lt;10,"2) 5-9%",IF(D951&lt;15,"3) 10-14%",IF(D951&lt;25,"4) 15-24%","5) 25%+"))))</f>
        <v>2) 5-9%</v>
      </c>
      <c r="N951" s="0" t="str">
        <f aca="false">IF(F951&lt;50,"1) Under Rs 50",IF(F951&lt;100,"2) Rs 50-99",IF(F951&lt;200,"3) Rs 100-199",IF(F951&lt;500,"4) Rs 200-499","5) Rs 500+"))))</f>
        <v>3) Rs 100-199</v>
      </c>
      <c r="O951" s="0" t="n">
        <f aca="false">G951*E951/1000</f>
        <v>3</v>
      </c>
    </row>
    <row r="952" customFormat="false" ht="15" hidden="false" customHeight="false" outlineLevel="0" collapsed="false">
      <c r="A952" s="0" t="s">
        <v>117</v>
      </c>
      <c r="B952" s="0" t="s">
        <v>548</v>
      </c>
      <c r="C952" s="0" t="n">
        <v>65</v>
      </c>
      <c r="D952" s="0" t="n">
        <v>6</v>
      </c>
      <c r="E952" s="0" t="n">
        <v>6</v>
      </c>
      <c r="F952" s="0" t="n">
        <v>61</v>
      </c>
      <c r="G952" s="0" t="n">
        <v>180</v>
      </c>
      <c r="H952" s="0" t="s">
        <v>145</v>
      </c>
      <c r="I952" s="0" t="n">
        <v>180</v>
      </c>
      <c r="J952" s="0" t="n">
        <f aca="false">F952*E952</f>
        <v>366</v>
      </c>
      <c r="K952" s="0" t="str">
        <f aca="false">IF(G952&lt;1000,"1-Low",IF(G952&lt;5000,"2-Medium","3-Bulk"))</f>
        <v>1-Low</v>
      </c>
      <c r="L952" s="0" t="str">
        <f aca="false">IF(H952="TRUE","Out of stock","In stock")</f>
        <v>In stock</v>
      </c>
      <c r="M952" s="0" t="str">
        <f aca="false">IF(D952&lt;5,"1) Under 5%",IF(D952&lt;10,"2) 5-9%",IF(D952&lt;15,"3) 10-14%",IF(D952&lt;25,"4) 15-24%","5) 25%+"))))</f>
        <v>2) 5-9%</v>
      </c>
      <c r="N952" s="0" t="str">
        <f aca="false">IF(F952&lt;50,"1) Under Rs 50",IF(F952&lt;100,"2) Rs 50-99",IF(F952&lt;200,"3) Rs 100-199",IF(F952&lt;500,"4) Rs 200-499","5) Rs 500+"))))</f>
        <v>2) Rs 50-99</v>
      </c>
      <c r="O952" s="0" t="n">
        <f aca="false">G952*E952/1000</f>
        <v>1.08</v>
      </c>
    </row>
    <row r="953" customFormat="false" ht="15" hidden="false" customHeight="false" outlineLevel="0" collapsed="false">
      <c r="A953" s="0" t="s">
        <v>117</v>
      </c>
      <c r="B953" s="0" t="s">
        <v>549</v>
      </c>
      <c r="C953" s="0" t="n">
        <v>335</v>
      </c>
      <c r="D953" s="0" t="n">
        <v>29</v>
      </c>
      <c r="E953" s="0" t="n">
        <v>6</v>
      </c>
      <c r="F953" s="0" t="n">
        <v>235</v>
      </c>
      <c r="G953" s="0" t="n">
        <v>200</v>
      </c>
      <c r="H953" s="0" t="s">
        <v>145</v>
      </c>
      <c r="I953" s="0" t="n">
        <v>200</v>
      </c>
      <c r="J953" s="0" t="n">
        <f aca="false">F953*E953</f>
        <v>1410</v>
      </c>
      <c r="K953" s="0" t="str">
        <f aca="false">IF(G953&lt;1000,"1-Low",IF(G953&lt;5000,"2-Medium","3-Bulk"))</f>
        <v>1-Low</v>
      </c>
      <c r="L953" s="0" t="str">
        <f aca="false">IF(H953="TRUE","Out of stock","In stock")</f>
        <v>In stock</v>
      </c>
      <c r="M953" s="0" t="str">
        <f aca="false">IF(D953&lt;5,"1) Under 5%",IF(D953&lt;10,"2) 5-9%",IF(D953&lt;15,"3) 10-14%",IF(D953&lt;25,"4) 15-24%","5) 25%+"))))</f>
        <v>5) 25%+</v>
      </c>
      <c r="N953" s="0" t="str">
        <f aca="false">IF(F953&lt;50,"1) Under Rs 50",IF(F953&lt;100,"2) Rs 50-99",IF(F953&lt;200,"3) Rs 100-199",IF(F953&lt;500,"4) Rs 200-499","5) Rs 500+"))))</f>
        <v>4) Rs 200-499</v>
      </c>
      <c r="O953" s="0" t="n">
        <f aca="false">G953*E953/1000</f>
        <v>1.2</v>
      </c>
    </row>
    <row r="954" customFormat="false" ht="15" hidden="false" customHeight="false" outlineLevel="0" collapsed="false">
      <c r="A954" s="0" t="s">
        <v>117</v>
      </c>
      <c r="B954" s="0" t="s">
        <v>550</v>
      </c>
      <c r="C954" s="0" t="n">
        <v>80</v>
      </c>
      <c r="D954" s="0" t="n">
        <v>0</v>
      </c>
      <c r="E954" s="0" t="n">
        <v>5</v>
      </c>
      <c r="F954" s="0" t="n">
        <v>80</v>
      </c>
      <c r="G954" s="0" t="n">
        <v>100</v>
      </c>
      <c r="H954" s="0" t="s">
        <v>145</v>
      </c>
      <c r="I954" s="0" t="n">
        <v>100</v>
      </c>
      <c r="J954" s="0" t="n">
        <f aca="false">F954*E954</f>
        <v>400</v>
      </c>
      <c r="K954" s="0" t="str">
        <f aca="false">IF(G954&lt;1000,"1-Low",IF(G954&lt;5000,"2-Medium","3-Bulk"))</f>
        <v>1-Low</v>
      </c>
      <c r="L954" s="0" t="str">
        <f aca="false">IF(H954="TRUE","Out of stock","In stock")</f>
        <v>In stock</v>
      </c>
      <c r="M954" s="0" t="str">
        <f aca="false">IF(D954&lt;5,"1) Under 5%",IF(D954&lt;10,"2) 5-9%",IF(D954&lt;15,"3) 10-14%",IF(D954&lt;25,"4) 15-24%","5) 25%+"))))</f>
        <v>1) Under 5%</v>
      </c>
      <c r="N954" s="0" t="str">
        <f aca="false">IF(F954&lt;50,"1) Under Rs 50",IF(F954&lt;100,"2) Rs 50-99",IF(F954&lt;200,"3) Rs 100-199",IF(F954&lt;500,"4) Rs 200-499","5) Rs 500+"))))</f>
        <v>2) Rs 50-99</v>
      </c>
      <c r="O954" s="0" t="n">
        <f aca="false">G954*E954/1000</f>
        <v>0.5</v>
      </c>
    </row>
    <row r="955" customFormat="false" ht="15" hidden="false" customHeight="false" outlineLevel="0" collapsed="false">
      <c r="A955" s="0" t="s">
        <v>117</v>
      </c>
      <c r="B955" s="0" t="s">
        <v>551</v>
      </c>
      <c r="C955" s="0" t="n">
        <v>110</v>
      </c>
      <c r="D955" s="0" t="n">
        <v>5</v>
      </c>
      <c r="E955" s="0" t="n">
        <v>6</v>
      </c>
      <c r="F955" s="0" t="n">
        <v>104</v>
      </c>
      <c r="G955" s="0" t="n">
        <v>400</v>
      </c>
      <c r="H955" s="0" t="s">
        <v>145</v>
      </c>
      <c r="I955" s="0" t="n">
        <v>400</v>
      </c>
      <c r="J955" s="0" t="n">
        <f aca="false">F955*E955</f>
        <v>624</v>
      </c>
      <c r="K955" s="0" t="str">
        <f aca="false">IF(G955&lt;1000,"1-Low",IF(G955&lt;5000,"2-Medium","3-Bulk"))</f>
        <v>1-Low</v>
      </c>
      <c r="L955" s="0" t="str">
        <f aca="false">IF(H955="TRUE","Out of stock","In stock")</f>
        <v>In stock</v>
      </c>
      <c r="M955" s="0" t="str">
        <f aca="false">IF(D955&lt;5,"1) Under 5%",IF(D955&lt;10,"2) 5-9%",IF(D955&lt;15,"3) 10-14%",IF(D955&lt;25,"4) 15-24%","5) 25%+"))))</f>
        <v>2) 5-9%</v>
      </c>
      <c r="N955" s="0" t="str">
        <f aca="false">IF(F955&lt;50,"1) Under Rs 50",IF(F955&lt;100,"2) Rs 50-99",IF(F955&lt;200,"3) Rs 100-199",IF(F955&lt;500,"4) Rs 200-499","5) Rs 500+"))))</f>
        <v>3) Rs 100-199</v>
      </c>
      <c r="O955" s="0" t="n">
        <f aca="false">G955*E955/1000</f>
        <v>2.4</v>
      </c>
    </row>
    <row r="956" customFormat="false" ht="15" hidden="false" customHeight="false" outlineLevel="0" collapsed="false">
      <c r="A956" s="0" t="s">
        <v>117</v>
      </c>
      <c r="B956" s="0" t="s">
        <v>293</v>
      </c>
      <c r="C956" s="0" t="n">
        <v>147</v>
      </c>
      <c r="D956" s="0" t="n">
        <v>10</v>
      </c>
      <c r="E956" s="0" t="n">
        <v>6</v>
      </c>
      <c r="F956" s="0" t="n">
        <v>132</v>
      </c>
      <c r="G956" s="0" t="n">
        <v>200</v>
      </c>
      <c r="H956" s="0" t="s">
        <v>145</v>
      </c>
      <c r="I956" s="0" t="n">
        <v>200</v>
      </c>
      <c r="J956" s="0" t="n">
        <f aca="false">F956*E956</f>
        <v>792</v>
      </c>
      <c r="K956" s="0" t="str">
        <f aca="false">IF(G956&lt;1000,"1-Low",IF(G956&lt;5000,"2-Medium","3-Bulk"))</f>
        <v>1-Low</v>
      </c>
      <c r="L956" s="0" t="str">
        <f aca="false">IF(H956="TRUE","Out of stock","In stock")</f>
        <v>In stock</v>
      </c>
      <c r="M956" s="0" t="str">
        <f aca="false">IF(D956&lt;5,"1) Under 5%",IF(D956&lt;10,"2) 5-9%",IF(D956&lt;15,"3) 10-14%",IF(D956&lt;25,"4) 15-24%","5) 25%+"))))</f>
        <v>3) 10-14%</v>
      </c>
      <c r="N956" s="0" t="str">
        <f aca="false">IF(F956&lt;50,"1) Under Rs 50",IF(F956&lt;100,"2) Rs 50-99",IF(F956&lt;200,"3) Rs 100-199",IF(F956&lt;500,"4) Rs 200-499","5) Rs 500+"))))</f>
        <v>3) Rs 100-199</v>
      </c>
      <c r="O956" s="0" t="n">
        <f aca="false">G956*E956/1000</f>
        <v>1.2</v>
      </c>
    </row>
    <row r="957" customFormat="false" ht="15" hidden="false" customHeight="false" outlineLevel="0" collapsed="false">
      <c r="A957" s="0" t="s">
        <v>117</v>
      </c>
      <c r="B957" s="0" t="s">
        <v>552</v>
      </c>
      <c r="C957" s="0" t="n">
        <v>90</v>
      </c>
      <c r="D957" s="0" t="n">
        <v>4</v>
      </c>
      <c r="E957" s="0" t="n">
        <v>6</v>
      </c>
      <c r="F957" s="0" t="n">
        <v>86</v>
      </c>
      <c r="G957" s="0" t="n">
        <v>200</v>
      </c>
      <c r="H957" s="0" t="s">
        <v>145</v>
      </c>
      <c r="I957" s="0" t="n">
        <v>200</v>
      </c>
      <c r="J957" s="0" t="n">
        <f aca="false">F957*E957</f>
        <v>516</v>
      </c>
      <c r="K957" s="0" t="str">
        <f aca="false">IF(G957&lt;1000,"1-Low",IF(G957&lt;5000,"2-Medium","3-Bulk"))</f>
        <v>1-Low</v>
      </c>
      <c r="L957" s="0" t="str">
        <f aca="false">IF(H957="TRUE","Out of stock","In stock")</f>
        <v>In stock</v>
      </c>
      <c r="M957" s="0" t="str">
        <f aca="false">IF(D957&lt;5,"1) Under 5%",IF(D957&lt;10,"2) 5-9%",IF(D957&lt;15,"3) 10-14%",IF(D957&lt;25,"4) 15-24%","5) 25%+"))))</f>
        <v>1) Under 5%</v>
      </c>
      <c r="N957" s="0" t="str">
        <f aca="false">IF(F957&lt;50,"1) Under Rs 50",IF(F957&lt;100,"2) Rs 50-99",IF(F957&lt;200,"3) Rs 100-199",IF(F957&lt;500,"4) Rs 200-499","5) Rs 500+"))))</f>
        <v>2) Rs 50-99</v>
      </c>
      <c r="O957" s="0" t="n">
        <f aca="false">G957*E957/1000</f>
        <v>1.2</v>
      </c>
    </row>
    <row r="958" customFormat="false" ht="15" hidden="false" customHeight="false" outlineLevel="0" collapsed="false">
      <c r="A958" s="0" t="s">
        <v>117</v>
      </c>
      <c r="B958" s="0" t="s">
        <v>553</v>
      </c>
      <c r="C958" s="0" t="n">
        <v>65</v>
      </c>
      <c r="D958" s="0" t="n">
        <v>10</v>
      </c>
      <c r="E958" s="0" t="n">
        <v>6</v>
      </c>
      <c r="F958" s="0" t="n">
        <v>58</v>
      </c>
      <c r="G958" s="0" t="n">
        <v>100</v>
      </c>
      <c r="H958" s="0" t="s">
        <v>145</v>
      </c>
      <c r="I958" s="0" t="n">
        <v>100</v>
      </c>
      <c r="J958" s="0" t="n">
        <f aca="false">F958*E958</f>
        <v>348</v>
      </c>
      <c r="K958" s="0" t="str">
        <f aca="false">IF(G958&lt;1000,"1-Low",IF(G958&lt;5000,"2-Medium","3-Bulk"))</f>
        <v>1-Low</v>
      </c>
      <c r="L958" s="0" t="str">
        <f aca="false">IF(H958="TRUE","Out of stock","In stock")</f>
        <v>In stock</v>
      </c>
      <c r="M958" s="0" t="str">
        <f aca="false">IF(D958&lt;5,"1) Under 5%",IF(D958&lt;10,"2) 5-9%",IF(D958&lt;15,"3) 10-14%",IF(D958&lt;25,"4) 15-24%","5) 25%+"))))</f>
        <v>3) 10-14%</v>
      </c>
      <c r="N958" s="0" t="str">
        <f aca="false">IF(F958&lt;50,"1) Under Rs 50",IF(F958&lt;100,"2) Rs 50-99",IF(F958&lt;200,"3) Rs 100-199",IF(F958&lt;500,"4) Rs 200-499","5) Rs 500+"))))</f>
        <v>2) Rs 50-99</v>
      </c>
      <c r="O958" s="0" t="n">
        <f aca="false">G958*E958/1000</f>
        <v>0.6</v>
      </c>
    </row>
    <row r="959" customFormat="false" ht="15" hidden="false" customHeight="false" outlineLevel="0" collapsed="false">
      <c r="A959" s="0" t="s">
        <v>117</v>
      </c>
      <c r="B959" s="0" t="s">
        <v>554</v>
      </c>
      <c r="C959" s="0" t="n">
        <v>70</v>
      </c>
      <c r="D959" s="0" t="n">
        <v>10</v>
      </c>
      <c r="E959" s="0" t="n">
        <v>6</v>
      </c>
      <c r="F959" s="0" t="n">
        <v>63</v>
      </c>
      <c r="G959" s="0" t="n">
        <v>500</v>
      </c>
      <c r="H959" s="0" t="s">
        <v>145</v>
      </c>
      <c r="I959" s="0" t="n">
        <v>500</v>
      </c>
      <c r="J959" s="0" t="n">
        <f aca="false">F959*E959</f>
        <v>378</v>
      </c>
      <c r="K959" s="0" t="str">
        <f aca="false">IF(G959&lt;1000,"1-Low",IF(G959&lt;5000,"2-Medium","3-Bulk"))</f>
        <v>1-Low</v>
      </c>
      <c r="L959" s="0" t="str">
        <f aca="false">IF(H959="TRUE","Out of stock","In stock")</f>
        <v>In stock</v>
      </c>
      <c r="M959" s="0" t="str">
        <f aca="false">IF(D959&lt;5,"1) Under 5%",IF(D959&lt;10,"2) 5-9%",IF(D959&lt;15,"3) 10-14%",IF(D959&lt;25,"4) 15-24%","5) 25%+"))))</f>
        <v>3) 10-14%</v>
      </c>
      <c r="N959" s="0" t="str">
        <f aca="false">IF(F959&lt;50,"1) Under Rs 50",IF(F959&lt;100,"2) Rs 50-99",IF(F959&lt;200,"3) Rs 100-199",IF(F959&lt;500,"4) Rs 200-499","5) Rs 500+"))))</f>
        <v>2) Rs 50-99</v>
      </c>
      <c r="O959" s="0" t="n">
        <f aca="false">G959*E959/1000</f>
        <v>3</v>
      </c>
    </row>
    <row r="960" customFormat="false" ht="15" hidden="false" customHeight="false" outlineLevel="0" collapsed="false">
      <c r="A960" s="0" t="s">
        <v>117</v>
      </c>
      <c r="B960" s="0" t="s">
        <v>555</v>
      </c>
      <c r="C960" s="0" t="n">
        <v>135</v>
      </c>
      <c r="D960" s="0" t="n">
        <v>7</v>
      </c>
      <c r="E960" s="0" t="n">
        <v>6</v>
      </c>
      <c r="F960" s="0" t="n">
        <v>125</v>
      </c>
      <c r="G960" s="0" t="n">
        <v>1000</v>
      </c>
      <c r="H960" s="0" t="s">
        <v>145</v>
      </c>
      <c r="I960" s="0" t="n">
        <v>1</v>
      </c>
      <c r="J960" s="0" t="n">
        <f aca="false">F960*E960</f>
        <v>750</v>
      </c>
      <c r="K960" s="0" t="str">
        <f aca="false">IF(G960&lt;1000,"1-Low",IF(G960&lt;5000,"2-Medium","3-Bulk"))</f>
        <v>2-Medium</v>
      </c>
      <c r="L960" s="0" t="str">
        <f aca="false">IF(H960="TRUE","Out of stock","In stock")</f>
        <v>In stock</v>
      </c>
      <c r="M960" s="0" t="str">
        <f aca="false">IF(D960&lt;5,"1) Under 5%",IF(D960&lt;10,"2) 5-9%",IF(D960&lt;15,"3) 10-14%",IF(D960&lt;25,"4) 15-24%","5) 25%+"))))</f>
        <v>2) 5-9%</v>
      </c>
      <c r="N960" s="0" t="str">
        <f aca="false">IF(F960&lt;50,"1) Under Rs 50",IF(F960&lt;100,"2) Rs 50-99",IF(F960&lt;200,"3) Rs 100-199",IF(F960&lt;500,"4) Rs 200-499","5) Rs 500+"))))</f>
        <v>3) Rs 100-199</v>
      </c>
      <c r="O960" s="0" t="n">
        <f aca="false">G960*E960/1000</f>
        <v>6</v>
      </c>
    </row>
    <row r="961" customFormat="false" ht="15" hidden="false" customHeight="false" outlineLevel="0" collapsed="false">
      <c r="A961" s="0" t="s">
        <v>117</v>
      </c>
      <c r="B961" s="0" t="s">
        <v>556</v>
      </c>
      <c r="C961" s="0" t="n">
        <v>140</v>
      </c>
      <c r="D961" s="0" t="n">
        <v>0</v>
      </c>
      <c r="E961" s="0" t="n">
        <v>5</v>
      </c>
      <c r="F961" s="0" t="n">
        <v>140</v>
      </c>
      <c r="G961" s="0" t="n">
        <v>1000</v>
      </c>
      <c r="H961" s="0" t="s">
        <v>145</v>
      </c>
      <c r="I961" s="0" t="n">
        <v>1</v>
      </c>
      <c r="J961" s="0" t="n">
        <f aca="false">F961*E961</f>
        <v>700</v>
      </c>
      <c r="K961" s="0" t="str">
        <f aca="false">IF(G961&lt;1000,"1-Low",IF(G961&lt;5000,"2-Medium","3-Bulk"))</f>
        <v>2-Medium</v>
      </c>
      <c r="L961" s="0" t="str">
        <f aca="false">IF(H961="TRUE","Out of stock","In stock")</f>
        <v>In stock</v>
      </c>
      <c r="M961" s="0" t="str">
        <f aca="false">IF(D961&lt;5,"1) Under 5%",IF(D961&lt;10,"2) 5-9%",IF(D961&lt;15,"3) 10-14%",IF(D961&lt;25,"4) 15-24%","5) 25%+"))))</f>
        <v>1) Under 5%</v>
      </c>
      <c r="N961" s="0" t="str">
        <f aca="false">IF(F961&lt;50,"1) Under Rs 50",IF(F961&lt;100,"2) Rs 50-99",IF(F961&lt;200,"3) Rs 100-199",IF(F961&lt;500,"4) Rs 200-499","5) Rs 500+"))))</f>
        <v>3) Rs 100-199</v>
      </c>
      <c r="O961" s="0" t="n">
        <f aca="false">G961*E961/1000</f>
        <v>5</v>
      </c>
    </row>
    <row r="962" customFormat="false" ht="15" hidden="false" customHeight="false" outlineLevel="0" collapsed="false">
      <c r="A962" s="0" t="s">
        <v>117</v>
      </c>
      <c r="B962" s="0" t="s">
        <v>557</v>
      </c>
      <c r="C962" s="0" t="n">
        <v>44</v>
      </c>
      <c r="D962" s="0" t="n">
        <v>0</v>
      </c>
      <c r="E962" s="0" t="n">
        <v>6</v>
      </c>
      <c r="F962" s="0" t="n">
        <v>44</v>
      </c>
      <c r="G962" s="0" t="n">
        <v>60</v>
      </c>
      <c r="H962" s="0" t="s">
        <v>145</v>
      </c>
      <c r="I962" s="0" t="n">
        <v>60</v>
      </c>
      <c r="J962" s="0" t="n">
        <f aca="false">F962*E962</f>
        <v>264</v>
      </c>
      <c r="K962" s="0" t="str">
        <f aca="false">IF(G962&lt;1000,"1-Low",IF(G962&lt;5000,"2-Medium","3-Bulk"))</f>
        <v>1-Low</v>
      </c>
      <c r="L962" s="0" t="str">
        <f aca="false">IF(H962="TRUE","Out of stock","In stock")</f>
        <v>In stock</v>
      </c>
      <c r="M962" s="0" t="str">
        <f aca="false">IF(D962&lt;5,"1) Under 5%",IF(D962&lt;10,"2) 5-9%",IF(D962&lt;15,"3) 10-14%",IF(D962&lt;25,"4) 15-24%","5) 25%+"))))</f>
        <v>1) Under 5%</v>
      </c>
      <c r="N962" s="0" t="str">
        <f aca="false">IF(F962&lt;50,"1) Under Rs 50",IF(F962&lt;100,"2) Rs 50-99",IF(F962&lt;200,"3) Rs 100-199",IF(F962&lt;500,"4) Rs 200-499","5) Rs 500+"))))</f>
        <v>1) Under Rs 50</v>
      </c>
      <c r="O962" s="0" t="n">
        <f aca="false">G962*E962/1000</f>
        <v>0.36</v>
      </c>
    </row>
    <row r="963" customFormat="false" ht="15" hidden="false" customHeight="false" outlineLevel="0" collapsed="false">
      <c r="A963" s="0" t="s">
        <v>117</v>
      </c>
      <c r="B963" s="0" t="s">
        <v>558</v>
      </c>
      <c r="C963" s="0" t="n">
        <v>200</v>
      </c>
      <c r="D963" s="0" t="n">
        <v>11</v>
      </c>
      <c r="E963" s="0" t="n">
        <v>6</v>
      </c>
      <c r="F963" s="0" t="n">
        <v>178</v>
      </c>
      <c r="G963" s="0" t="n">
        <v>264</v>
      </c>
      <c r="H963" s="0" t="s">
        <v>145</v>
      </c>
      <c r="I963" s="0" t="n">
        <v>264</v>
      </c>
      <c r="J963" s="0" t="n">
        <f aca="false">F963*E963</f>
        <v>1068</v>
      </c>
      <c r="K963" s="0" t="str">
        <f aca="false">IF(G963&lt;1000,"1-Low",IF(G963&lt;5000,"2-Medium","3-Bulk"))</f>
        <v>1-Low</v>
      </c>
      <c r="L963" s="0" t="str">
        <f aca="false">IF(H963="TRUE","Out of stock","In stock")</f>
        <v>In stock</v>
      </c>
      <c r="M963" s="0" t="str">
        <f aca="false">IF(D963&lt;5,"1) Under 5%",IF(D963&lt;10,"2) 5-9%",IF(D963&lt;15,"3) 10-14%",IF(D963&lt;25,"4) 15-24%","5) 25%+"))))</f>
        <v>3) 10-14%</v>
      </c>
      <c r="N963" s="0" t="str">
        <f aca="false">IF(F963&lt;50,"1) Under Rs 50",IF(F963&lt;100,"2) Rs 50-99",IF(F963&lt;200,"3) Rs 100-199",IF(F963&lt;500,"4) Rs 200-499","5) Rs 500+"))))</f>
        <v>3) Rs 100-199</v>
      </c>
      <c r="O963" s="0" t="n">
        <f aca="false">G963*E963/1000</f>
        <v>1.584</v>
      </c>
    </row>
    <row r="964" customFormat="false" ht="15" hidden="false" customHeight="false" outlineLevel="0" collapsed="false">
      <c r="A964" s="0" t="s">
        <v>117</v>
      </c>
      <c r="B964" s="0" t="s">
        <v>433</v>
      </c>
      <c r="C964" s="0" t="n">
        <v>60</v>
      </c>
      <c r="D964" s="0" t="n">
        <v>10</v>
      </c>
      <c r="E964" s="0" t="n">
        <v>5</v>
      </c>
      <c r="F964" s="0" t="n">
        <v>54</v>
      </c>
      <c r="G964" s="0" t="n">
        <v>108</v>
      </c>
      <c r="H964" s="0" t="s">
        <v>145</v>
      </c>
      <c r="I964" s="0" t="n">
        <v>108</v>
      </c>
      <c r="J964" s="0" t="n">
        <f aca="false">F964*E964</f>
        <v>270</v>
      </c>
      <c r="K964" s="0" t="str">
        <f aca="false">IF(G964&lt;1000,"1-Low",IF(G964&lt;5000,"2-Medium","3-Bulk"))</f>
        <v>1-Low</v>
      </c>
      <c r="L964" s="0" t="str">
        <f aca="false">IF(H964="TRUE","Out of stock","In stock")</f>
        <v>In stock</v>
      </c>
      <c r="M964" s="0" t="str">
        <f aca="false">IF(D964&lt;5,"1) Under 5%",IF(D964&lt;10,"2) 5-9%",IF(D964&lt;15,"3) 10-14%",IF(D964&lt;25,"4) 15-24%","5) 25%+"))))</f>
        <v>3) 10-14%</v>
      </c>
      <c r="N964" s="0" t="str">
        <f aca="false">IF(F964&lt;50,"1) Under Rs 50",IF(F964&lt;100,"2) Rs 50-99",IF(F964&lt;200,"3) Rs 100-199",IF(F964&lt;500,"4) Rs 200-499","5) Rs 500+"))))</f>
        <v>2) Rs 50-99</v>
      </c>
      <c r="O964" s="0" t="n">
        <f aca="false">G964*E964/1000</f>
        <v>0.54</v>
      </c>
    </row>
    <row r="965" customFormat="false" ht="15" hidden="false" customHeight="false" outlineLevel="0" collapsed="false">
      <c r="A965" s="0" t="s">
        <v>117</v>
      </c>
      <c r="B965" s="0" t="s">
        <v>559</v>
      </c>
      <c r="C965" s="0" t="n">
        <v>100</v>
      </c>
      <c r="D965" s="0" t="n">
        <v>0</v>
      </c>
      <c r="E965" s="0" t="n">
        <v>1</v>
      </c>
      <c r="F965" s="0" t="n">
        <v>100</v>
      </c>
      <c r="G965" s="0" t="n">
        <v>50</v>
      </c>
      <c r="H965" s="0" t="s">
        <v>145</v>
      </c>
      <c r="I965" s="0" t="n">
        <v>50</v>
      </c>
      <c r="J965" s="0" t="n">
        <f aca="false">F965*E965</f>
        <v>100</v>
      </c>
      <c r="K965" s="0" t="str">
        <f aca="false">IF(G965&lt;1000,"1-Low",IF(G965&lt;5000,"2-Medium","3-Bulk"))</f>
        <v>1-Low</v>
      </c>
      <c r="L965" s="0" t="str">
        <f aca="false">IF(H965="TRUE","Out of stock","In stock")</f>
        <v>In stock</v>
      </c>
      <c r="M965" s="0" t="str">
        <f aca="false">IF(D965&lt;5,"1) Under 5%",IF(D965&lt;10,"2) 5-9%",IF(D965&lt;15,"3) 10-14%",IF(D965&lt;25,"4) 15-24%","5) 25%+"))))</f>
        <v>1) Under 5%</v>
      </c>
      <c r="N965" s="0" t="str">
        <f aca="false">IF(F965&lt;50,"1) Under Rs 50",IF(F965&lt;100,"2) Rs 50-99",IF(F965&lt;200,"3) Rs 100-199",IF(F965&lt;500,"4) Rs 200-499","5) Rs 500+"))))</f>
        <v>3) Rs 100-199</v>
      </c>
      <c r="O965" s="0" t="n">
        <f aca="false">G965*E965/1000</f>
        <v>0.05</v>
      </c>
    </row>
    <row r="966" customFormat="false" ht="15" hidden="false" customHeight="false" outlineLevel="0" collapsed="false">
      <c r="A966" s="0" t="s">
        <v>117</v>
      </c>
      <c r="B966" s="0" t="s">
        <v>560</v>
      </c>
      <c r="C966" s="0" t="n">
        <v>95</v>
      </c>
      <c r="D966" s="0" t="n">
        <v>6</v>
      </c>
      <c r="E966" s="0" t="n">
        <v>6</v>
      </c>
      <c r="F966" s="0" t="n">
        <v>89</v>
      </c>
      <c r="G966" s="0" t="n">
        <v>150</v>
      </c>
      <c r="H966" s="0" t="s">
        <v>145</v>
      </c>
      <c r="I966" s="0" t="n">
        <v>150</v>
      </c>
      <c r="J966" s="0" t="n">
        <f aca="false">F966*E966</f>
        <v>534</v>
      </c>
      <c r="K966" s="0" t="str">
        <f aca="false">IF(G966&lt;1000,"1-Low",IF(G966&lt;5000,"2-Medium","3-Bulk"))</f>
        <v>1-Low</v>
      </c>
      <c r="L966" s="0" t="str">
        <f aca="false">IF(H966="TRUE","Out of stock","In stock")</f>
        <v>In stock</v>
      </c>
      <c r="M966" s="0" t="str">
        <f aca="false">IF(D966&lt;5,"1) Under 5%",IF(D966&lt;10,"2) 5-9%",IF(D966&lt;15,"3) 10-14%",IF(D966&lt;25,"4) 15-24%","5) 25%+"))))</f>
        <v>2) 5-9%</v>
      </c>
      <c r="N966" s="0" t="str">
        <f aca="false">IF(F966&lt;50,"1) Under Rs 50",IF(F966&lt;100,"2) Rs 50-99",IF(F966&lt;200,"3) Rs 100-199",IF(F966&lt;500,"4) Rs 200-499","5) Rs 500+"))))</f>
        <v>2) Rs 50-99</v>
      </c>
      <c r="O966" s="0" t="n">
        <f aca="false">G966*E966/1000</f>
        <v>0.9</v>
      </c>
    </row>
    <row r="967" customFormat="false" ht="15" hidden="false" customHeight="false" outlineLevel="0" collapsed="false">
      <c r="A967" s="0" t="s">
        <v>117</v>
      </c>
      <c r="B967" s="0" t="s">
        <v>561</v>
      </c>
      <c r="C967" s="0" t="n">
        <v>75</v>
      </c>
      <c r="D967" s="0" t="n">
        <v>30</v>
      </c>
      <c r="E967" s="0" t="n">
        <v>6</v>
      </c>
      <c r="F967" s="0" t="n">
        <v>52</v>
      </c>
      <c r="G967" s="0" t="n">
        <v>80</v>
      </c>
      <c r="H967" s="0" t="s">
        <v>145</v>
      </c>
      <c r="I967" s="0" t="n">
        <v>80</v>
      </c>
      <c r="J967" s="0" t="n">
        <f aca="false">F967*E967</f>
        <v>312</v>
      </c>
      <c r="K967" s="0" t="str">
        <f aca="false">IF(G967&lt;1000,"1-Low",IF(G967&lt;5000,"2-Medium","3-Bulk"))</f>
        <v>1-Low</v>
      </c>
      <c r="L967" s="0" t="str">
        <f aca="false">IF(H967="TRUE","Out of stock","In stock")</f>
        <v>In stock</v>
      </c>
      <c r="M967" s="0" t="str">
        <f aca="false">IF(D967&lt;5,"1) Under 5%",IF(D967&lt;10,"2) 5-9%",IF(D967&lt;15,"3) 10-14%",IF(D967&lt;25,"4) 15-24%","5) 25%+"))))</f>
        <v>5) 25%+</v>
      </c>
      <c r="N967" s="0" t="str">
        <f aca="false">IF(F967&lt;50,"1) Under Rs 50",IF(F967&lt;100,"2) Rs 50-99",IF(F967&lt;200,"3) Rs 100-199",IF(F967&lt;500,"4) Rs 200-499","5) Rs 500+"))))</f>
        <v>2) Rs 50-99</v>
      </c>
      <c r="O967" s="0" t="n">
        <f aca="false">G967*E967/1000</f>
        <v>0.48</v>
      </c>
    </row>
    <row r="968" customFormat="false" ht="15" hidden="false" customHeight="false" outlineLevel="0" collapsed="false">
      <c r="A968" s="0" t="s">
        <v>117</v>
      </c>
      <c r="B968" s="0" t="s">
        <v>562</v>
      </c>
      <c r="C968" s="0" t="n">
        <v>195</v>
      </c>
      <c r="D968" s="0" t="n">
        <v>9</v>
      </c>
      <c r="E968" s="0" t="n">
        <v>5</v>
      </c>
      <c r="F968" s="0" t="n">
        <v>176</v>
      </c>
      <c r="G968" s="0" t="n">
        <v>500</v>
      </c>
      <c r="H968" s="0" t="s">
        <v>145</v>
      </c>
      <c r="I968" s="0" t="n">
        <v>500</v>
      </c>
      <c r="J968" s="0" t="n">
        <f aca="false">F968*E968</f>
        <v>880</v>
      </c>
      <c r="K968" s="0" t="str">
        <f aca="false">IF(G968&lt;1000,"1-Low",IF(G968&lt;5000,"2-Medium","3-Bulk"))</f>
        <v>1-Low</v>
      </c>
      <c r="L968" s="0" t="str">
        <f aca="false">IF(H968="TRUE","Out of stock","In stock")</f>
        <v>In stock</v>
      </c>
      <c r="M968" s="0" t="str">
        <f aca="false">IF(D968&lt;5,"1) Under 5%",IF(D968&lt;10,"2) 5-9%",IF(D968&lt;15,"3) 10-14%",IF(D968&lt;25,"4) 15-24%","5) 25%+"))))</f>
        <v>2) 5-9%</v>
      </c>
      <c r="N968" s="0" t="str">
        <f aca="false">IF(F968&lt;50,"1) Under Rs 50",IF(F968&lt;100,"2) Rs 50-99",IF(F968&lt;200,"3) Rs 100-199",IF(F968&lt;500,"4) Rs 200-499","5) Rs 500+"))))</f>
        <v>3) Rs 100-199</v>
      </c>
      <c r="O968" s="0" t="n">
        <f aca="false">G968*E968/1000</f>
        <v>2.5</v>
      </c>
    </row>
    <row r="969" customFormat="false" ht="15" hidden="false" customHeight="false" outlineLevel="0" collapsed="false">
      <c r="A969" s="0" t="s">
        <v>117</v>
      </c>
      <c r="B969" s="0" t="s">
        <v>563</v>
      </c>
      <c r="C969" s="0" t="n">
        <v>42</v>
      </c>
      <c r="D969" s="0" t="n">
        <v>0</v>
      </c>
      <c r="E969" s="0" t="n">
        <v>6</v>
      </c>
      <c r="F969" s="0" t="n">
        <v>42</v>
      </c>
      <c r="G969" s="0" t="n">
        <v>60</v>
      </c>
      <c r="H969" s="0" t="s">
        <v>145</v>
      </c>
      <c r="I969" s="0" t="n">
        <v>60</v>
      </c>
      <c r="J969" s="0" t="n">
        <f aca="false">F969*E969</f>
        <v>252</v>
      </c>
      <c r="K969" s="0" t="str">
        <f aca="false">IF(G969&lt;1000,"1-Low",IF(G969&lt;5000,"2-Medium","3-Bulk"))</f>
        <v>1-Low</v>
      </c>
      <c r="L969" s="0" t="str">
        <f aca="false">IF(H969="TRUE","Out of stock","In stock")</f>
        <v>In stock</v>
      </c>
      <c r="M969" s="0" t="str">
        <f aca="false">IF(D969&lt;5,"1) Under 5%",IF(D969&lt;10,"2) 5-9%",IF(D969&lt;15,"3) 10-14%",IF(D969&lt;25,"4) 15-24%","5) 25%+"))))</f>
        <v>1) Under 5%</v>
      </c>
      <c r="N969" s="0" t="str">
        <f aca="false">IF(F969&lt;50,"1) Under Rs 50",IF(F969&lt;100,"2) Rs 50-99",IF(F969&lt;200,"3) Rs 100-199",IF(F969&lt;500,"4) Rs 200-499","5) Rs 500+"))))</f>
        <v>1) Under Rs 50</v>
      </c>
      <c r="O969" s="0" t="n">
        <f aca="false">G969*E969/1000</f>
        <v>0.36</v>
      </c>
    </row>
    <row r="970" customFormat="false" ht="15" hidden="false" customHeight="false" outlineLevel="0" collapsed="false">
      <c r="A970" s="0" t="s">
        <v>117</v>
      </c>
      <c r="B970" s="0" t="s">
        <v>564</v>
      </c>
      <c r="C970" s="0" t="n">
        <v>110</v>
      </c>
      <c r="D970" s="0" t="n">
        <v>30</v>
      </c>
      <c r="E970" s="0" t="n">
        <v>6</v>
      </c>
      <c r="F970" s="0" t="n">
        <v>77</v>
      </c>
      <c r="G970" s="0" t="n">
        <v>285</v>
      </c>
      <c r="H970" s="0" t="s">
        <v>145</v>
      </c>
      <c r="I970" s="0" t="n">
        <v>285</v>
      </c>
      <c r="J970" s="0" t="n">
        <f aca="false">F970*E970</f>
        <v>462</v>
      </c>
      <c r="K970" s="0" t="str">
        <f aca="false">IF(G970&lt;1000,"1-Low",IF(G970&lt;5000,"2-Medium","3-Bulk"))</f>
        <v>1-Low</v>
      </c>
      <c r="L970" s="0" t="str">
        <f aca="false">IF(H970="TRUE","Out of stock","In stock")</f>
        <v>In stock</v>
      </c>
      <c r="M970" s="0" t="str">
        <f aca="false">IF(D970&lt;5,"1) Under 5%",IF(D970&lt;10,"2) 5-9%",IF(D970&lt;15,"3) 10-14%",IF(D970&lt;25,"4) 15-24%","5) 25%+"))))</f>
        <v>5) 25%+</v>
      </c>
      <c r="N970" s="0" t="str">
        <f aca="false">IF(F970&lt;50,"1) Under Rs 50",IF(F970&lt;100,"2) Rs 50-99",IF(F970&lt;200,"3) Rs 100-199",IF(F970&lt;500,"4) Rs 200-499","5) Rs 500+"))))</f>
        <v>2) Rs 50-99</v>
      </c>
      <c r="O970" s="0" t="n">
        <f aca="false">G970*E970/1000</f>
        <v>1.71</v>
      </c>
    </row>
    <row r="971" customFormat="false" ht="15" hidden="false" customHeight="false" outlineLevel="0" collapsed="false">
      <c r="A971" s="0" t="s">
        <v>117</v>
      </c>
      <c r="B971" s="0" t="s">
        <v>565</v>
      </c>
      <c r="C971" s="0" t="n">
        <v>70</v>
      </c>
      <c r="D971" s="0" t="n">
        <v>10</v>
      </c>
      <c r="E971" s="0" t="n">
        <v>6</v>
      </c>
      <c r="F971" s="0" t="n">
        <v>63</v>
      </c>
      <c r="G971" s="0" t="n">
        <v>500</v>
      </c>
      <c r="H971" s="0" t="s">
        <v>145</v>
      </c>
      <c r="I971" s="0" t="n">
        <v>500</v>
      </c>
      <c r="J971" s="0" t="n">
        <f aca="false">F971*E971</f>
        <v>378</v>
      </c>
      <c r="K971" s="0" t="str">
        <f aca="false">IF(G971&lt;1000,"1-Low",IF(G971&lt;5000,"2-Medium","3-Bulk"))</f>
        <v>1-Low</v>
      </c>
      <c r="L971" s="0" t="str">
        <f aca="false">IF(H971="TRUE","Out of stock","In stock")</f>
        <v>In stock</v>
      </c>
      <c r="M971" s="0" t="str">
        <f aca="false">IF(D971&lt;5,"1) Under 5%",IF(D971&lt;10,"2) 5-9%",IF(D971&lt;15,"3) 10-14%",IF(D971&lt;25,"4) 15-24%","5) 25%+"))))</f>
        <v>3) 10-14%</v>
      </c>
      <c r="N971" s="0" t="str">
        <f aca="false">IF(F971&lt;50,"1) Under Rs 50",IF(F971&lt;100,"2) Rs 50-99",IF(F971&lt;200,"3) Rs 100-199",IF(F971&lt;500,"4) Rs 200-499","5) Rs 500+"))))</f>
        <v>2) Rs 50-99</v>
      </c>
      <c r="O971" s="0" t="n">
        <f aca="false">G971*E971/1000</f>
        <v>3</v>
      </c>
    </row>
    <row r="972" customFormat="false" ht="15" hidden="false" customHeight="false" outlineLevel="0" collapsed="false">
      <c r="A972" s="0" t="s">
        <v>117</v>
      </c>
      <c r="B972" s="0" t="s">
        <v>566</v>
      </c>
      <c r="C972" s="0" t="n">
        <v>75</v>
      </c>
      <c r="D972" s="0" t="n">
        <v>16</v>
      </c>
      <c r="E972" s="0" t="n">
        <v>6</v>
      </c>
      <c r="F972" s="0" t="n">
        <v>63</v>
      </c>
      <c r="G972" s="0" t="n">
        <v>100</v>
      </c>
      <c r="H972" s="0" t="s">
        <v>145</v>
      </c>
      <c r="I972" s="0" t="n">
        <v>100</v>
      </c>
      <c r="J972" s="0" t="n">
        <f aca="false">F972*E972</f>
        <v>378</v>
      </c>
      <c r="K972" s="0" t="str">
        <f aca="false">IF(G972&lt;1000,"1-Low",IF(G972&lt;5000,"2-Medium","3-Bulk"))</f>
        <v>1-Low</v>
      </c>
      <c r="L972" s="0" t="str">
        <f aca="false">IF(H972="TRUE","Out of stock","In stock")</f>
        <v>In stock</v>
      </c>
      <c r="M972" s="0" t="str">
        <f aca="false">IF(D972&lt;5,"1) Under 5%",IF(D972&lt;10,"2) 5-9%",IF(D972&lt;15,"3) 10-14%",IF(D972&lt;25,"4) 15-24%","5) 25%+"))))</f>
        <v>4) 15-24%</v>
      </c>
      <c r="N972" s="0" t="str">
        <f aca="false">IF(F972&lt;50,"1) Under Rs 50",IF(F972&lt;100,"2) Rs 50-99",IF(F972&lt;200,"3) Rs 100-199",IF(F972&lt;500,"4) Rs 200-499","5) Rs 500+"))))</f>
        <v>2) Rs 50-99</v>
      </c>
      <c r="O972" s="0" t="n">
        <f aca="false">G972*E972/1000</f>
        <v>0.6</v>
      </c>
    </row>
    <row r="973" customFormat="false" ht="15" hidden="false" customHeight="false" outlineLevel="0" collapsed="false">
      <c r="A973" s="0" t="s">
        <v>117</v>
      </c>
      <c r="B973" s="0" t="s">
        <v>567</v>
      </c>
      <c r="C973" s="0" t="n">
        <v>80</v>
      </c>
      <c r="D973" s="0" t="n">
        <v>6</v>
      </c>
      <c r="E973" s="0" t="n">
        <v>6</v>
      </c>
      <c r="F973" s="0" t="n">
        <v>75</v>
      </c>
      <c r="G973" s="0" t="n">
        <v>500</v>
      </c>
      <c r="H973" s="0" t="s">
        <v>145</v>
      </c>
      <c r="I973" s="0" t="n">
        <v>500</v>
      </c>
      <c r="J973" s="0" t="n">
        <f aca="false">F973*E973</f>
        <v>450</v>
      </c>
      <c r="K973" s="0" t="str">
        <f aca="false">IF(G973&lt;1000,"1-Low",IF(G973&lt;5000,"2-Medium","3-Bulk"))</f>
        <v>1-Low</v>
      </c>
      <c r="L973" s="0" t="str">
        <f aca="false">IF(H973="TRUE","Out of stock","In stock")</f>
        <v>In stock</v>
      </c>
      <c r="M973" s="0" t="str">
        <f aca="false">IF(D973&lt;5,"1) Under 5%",IF(D973&lt;10,"2) 5-9%",IF(D973&lt;15,"3) 10-14%",IF(D973&lt;25,"4) 15-24%","5) 25%+"))))</f>
        <v>2) 5-9%</v>
      </c>
      <c r="N973" s="0" t="str">
        <f aca="false">IF(F973&lt;50,"1) Under Rs 50",IF(F973&lt;100,"2) Rs 50-99",IF(F973&lt;200,"3) Rs 100-199",IF(F973&lt;500,"4) Rs 200-499","5) Rs 500+"))))</f>
        <v>2) Rs 50-99</v>
      </c>
      <c r="O973" s="0" t="n">
        <f aca="false">G973*E973/1000</f>
        <v>3</v>
      </c>
    </row>
    <row r="974" customFormat="false" ht="15" hidden="false" customHeight="false" outlineLevel="0" collapsed="false">
      <c r="A974" s="0" t="s">
        <v>117</v>
      </c>
      <c r="B974" s="0" t="s">
        <v>568</v>
      </c>
      <c r="C974" s="0" t="n">
        <v>105</v>
      </c>
      <c r="D974" s="0" t="n">
        <v>7</v>
      </c>
      <c r="E974" s="0" t="n">
        <v>6</v>
      </c>
      <c r="F974" s="0" t="n">
        <v>97</v>
      </c>
      <c r="G974" s="0" t="n">
        <v>500</v>
      </c>
      <c r="H974" s="0" t="s">
        <v>145</v>
      </c>
      <c r="I974" s="0" t="n">
        <v>500</v>
      </c>
      <c r="J974" s="0" t="n">
        <f aca="false">F974*E974</f>
        <v>582</v>
      </c>
      <c r="K974" s="0" t="str">
        <f aca="false">IF(G974&lt;1000,"1-Low",IF(G974&lt;5000,"2-Medium","3-Bulk"))</f>
        <v>1-Low</v>
      </c>
      <c r="L974" s="0" t="str">
        <f aca="false">IF(H974="TRUE","Out of stock","In stock")</f>
        <v>In stock</v>
      </c>
      <c r="M974" s="0" t="str">
        <f aca="false">IF(D974&lt;5,"1) Under 5%",IF(D974&lt;10,"2) 5-9%",IF(D974&lt;15,"3) 10-14%",IF(D974&lt;25,"4) 15-24%","5) 25%+"))))</f>
        <v>2) 5-9%</v>
      </c>
      <c r="N974" s="0" t="str">
        <f aca="false">IF(F974&lt;50,"1) Under Rs 50",IF(F974&lt;100,"2) Rs 50-99",IF(F974&lt;200,"3) Rs 100-199",IF(F974&lt;500,"4) Rs 200-499","5) Rs 500+"))))</f>
        <v>2) Rs 50-99</v>
      </c>
      <c r="O974" s="0" t="n">
        <f aca="false">G974*E974/1000</f>
        <v>3</v>
      </c>
    </row>
    <row r="975" customFormat="false" ht="15" hidden="false" customHeight="false" outlineLevel="0" collapsed="false">
      <c r="A975" s="0" t="s">
        <v>117</v>
      </c>
      <c r="B975" s="0" t="s">
        <v>569</v>
      </c>
      <c r="C975" s="0" t="n">
        <v>109</v>
      </c>
      <c r="D975" s="0" t="n">
        <v>10</v>
      </c>
      <c r="E975" s="0" t="n">
        <v>6</v>
      </c>
      <c r="F975" s="0" t="n">
        <v>98</v>
      </c>
      <c r="G975" s="0" t="n">
        <v>35</v>
      </c>
      <c r="H975" s="0" t="s">
        <v>145</v>
      </c>
      <c r="I975" s="0" t="n">
        <v>35</v>
      </c>
      <c r="J975" s="0" t="n">
        <f aca="false">F975*E975</f>
        <v>588</v>
      </c>
      <c r="K975" s="0" t="str">
        <f aca="false">IF(G975&lt;1000,"1-Low",IF(G975&lt;5000,"2-Medium","3-Bulk"))</f>
        <v>1-Low</v>
      </c>
      <c r="L975" s="0" t="str">
        <f aca="false">IF(H975="TRUE","Out of stock","In stock")</f>
        <v>In stock</v>
      </c>
      <c r="M975" s="0" t="str">
        <f aca="false">IF(D975&lt;5,"1) Under 5%",IF(D975&lt;10,"2) 5-9%",IF(D975&lt;15,"3) 10-14%",IF(D975&lt;25,"4) 15-24%","5) 25%+"))))</f>
        <v>3) 10-14%</v>
      </c>
      <c r="N975" s="0" t="str">
        <f aca="false">IF(F975&lt;50,"1) Under Rs 50",IF(F975&lt;100,"2) Rs 50-99",IF(F975&lt;200,"3) Rs 100-199",IF(F975&lt;500,"4) Rs 200-499","5) Rs 500+"))))</f>
        <v>2) Rs 50-99</v>
      </c>
      <c r="O975" s="0" t="n">
        <f aca="false">G975*E975/1000</f>
        <v>0.21</v>
      </c>
    </row>
    <row r="976" customFormat="false" ht="15" hidden="false" customHeight="false" outlineLevel="0" collapsed="false">
      <c r="A976" s="0" t="s">
        <v>117</v>
      </c>
      <c r="B976" s="0" t="s">
        <v>570</v>
      </c>
      <c r="C976" s="0" t="n">
        <v>115</v>
      </c>
      <c r="D976" s="0" t="n">
        <v>0</v>
      </c>
      <c r="E976" s="0" t="n">
        <v>3</v>
      </c>
      <c r="F976" s="0" t="n">
        <v>115</v>
      </c>
      <c r="G976" s="0" t="n">
        <v>200</v>
      </c>
      <c r="H976" s="0" t="s">
        <v>145</v>
      </c>
      <c r="I976" s="0" t="n">
        <v>200</v>
      </c>
      <c r="J976" s="0" t="n">
        <f aca="false">F976*E976</f>
        <v>345</v>
      </c>
      <c r="K976" s="0" t="str">
        <f aca="false">IF(G976&lt;1000,"1-Low",IF(G976&lt;5000,"2-Medium","3-Bulk"))</f>
        <v>1-Low</v>
      </c>
      <c r="L976" s="0" t="str">
        <f aca="false">IF(H976="TRUE","Out of stock","In stock")</f>
        <v>In stock</v>
      </c>
      <c r="M976" s="0" t="str">
        <f aca="false">IF(D976&lt;5,"1) Under 5%",IF(D976&lt;10,"2) 5-9%",IF(D976&lt;15,"3) 10-14%",IF(D976&lt;25,"4) 15-24%","5) 25%+"))))</f>
        <v>1) Under 5%</v>
      </c>
      <c r="N976" s="0" t="str">
        <f aca="false">IF(F976&lt;50,"1) Under Rs 50",IF(F976&lt;100,"2) Rs 50-99",IF(F976&lt;200,"3) Rs 100-199",IF(F976&lt;500,"4) Rs 200-499","5) Rs 500+"))))</f>
        <v>3) Rs 100-199</v>
      </c>
      <c r="O976" s="0" t="n">
        <f aca="false">G976*E976/1000</f>
        <v>0.6</v>
      </c>
    </row>
    <row r="977" customFormat="false" ht="15" hidden="false" customHeight="false" outlineLevel="0" collapsed="false">
      <c r="A977" s="0" t="s">
        <v>117</v>
      </c>
      <c r="B977" s="0" t="s">
        <v>571</v>
      </c>
      <c r="C977" s="0" t="n">
        <v>399</v>
      </c>
      <c r="D977" s="0" t="n">
        <v>25</v>
      </c>
      <c r="E977" s="0" t="n">
        <v>6</v>
      </c>
      <c r="F977" s="0" t="n">
        <v>299</v>
      </c>
      <c r="G977" s="0" t="n">
        <v>200</v>
      </c>
      <c r="H977" s="0" t="s">
        <v>145</v>
      </c>
      <c r="I977" s="0" t="n">
        <v>200</v>
      </c>
      <c r="J977" s="0" t="n">
        <f aca="false">F977*E977</f>
        <v>1794</v>
      </c>
      <c r="K977" s="0" t="str">
        <f aca="false">IF(G977&lt;1000,"1-Low",IF(G977&lt;5000,"2-Medium","3-Bulk"))</f>
        <v>1-Low</v>
      </c>
      <c r="L977" s="0" t="str">
        <f aca="false">IF(H977="TRUE","Out of stock","In stock")</f>
        <v>In stock</v>
      </c>
      <c r="M977" s="0" t="str">
        <f aca="false">IF(D977&lt;5,"1) Under 5%",IF(D977&lt;10,"2) 5-9%",IF(D977&lt;15,"3) 10-14%",IF(D977&lt;25,"4) 15-24%","5) 25%+"))))</f>
        <v>5) 25%+</v>
      </c>
      <c r="N977" s="0" t="str">
        <f aca="false">IF(F977&lt;50,"1) Under Rs 50",IF(F977&lt;100,"2) Rs 50-99",IF(F977&lt;200,"3) Rs 100-199",IF(F977&lt;500,"4) Rs 200-499","5) Rs 500+"))))</f>
        <v>4) Rs 200-499</v>
      </c>
      <c r="O977" s="0" t="n">
        <f aca="false">G977*E977/1000</f>
        <v>1.2</v>
      </c>
    </row>
    <row r="978" customFormat="false" ht="15" hidden="false" customHeight="false" outlineLevel="0" collapsed="false">
      <c r="A978" s="0" t="s">
        <v>117</v>
      </c>
      <c r="B978" s="0" t="s">
        <v>572</v>
      </c>
      <c r="C978" s="0" t="n">
        <v>120</v>
      </c>
      <c r="D978" s="0" t="n">
        <v>10</v>
      </c>
      <c r="E978" s="0" t="n">
        <v>6</v>
      </c>
      <c r="F978" s="0" t="n">
        <v>108</v>
      </c>
      <c r="G978" s="0" t="n">
        <v>500</v>
      </c>
      <c r="H978" s="0" t="s">
        <v>145</v>
      </c>
      <c r="I978" s="0" t="n">
        <v>500</v>
      </c>
      <c r="J978" s="0" t="n">
        <f aca="false">F978*E978</f>
        <v>648</v>
      </c>
      <c r="K978" s="0" t="str">
        <f aca="false">IF(G978&lt;1000,"1-Low",IF(G978&lt;5000,"2-Medium","3-Bulk"))</f>
        <v>1-Low</v>
      </c>
      <c r="L978" s="0" t="str">
        <f aca="false">IF(H978="TRUE","Out of stock","In stock")</f>
        <v>In stock</v>
      </c>
      <c r="M978" s="0" t="str">
        <f aca="false">IF(D978&lt;5,"1) Under 5%",IF(D978&lt;10,"2) 5-9%",IF(D978&lt;15,"3) 10-14%",IF(D978&lt;25,"4) 15-24%","5) 25%+"))))</f>
        <v>3) 10-14%</v>
      </c>
      <c r="N978" s="0" t="str">
        <f aca="false">IF(F978&lt;50,"1) Under Rs 50",IF(F978&lt;100,"2) Rs 50-99",IF(F978&lt;200,"3) Rs 100-199",IF(F978&lt;500,"4) Rs 200-499","5) Rs 500+"))))</f>
        <v>3) Rs 100-199</v>
      </c>
      <c r="O978" s="0" t="n">
        <f aca="false">G978*E978/1000</f>
        <v>3</v>
      </c>
    </row>
    <row r="979" customFormat="false" ht="15" hidden="false" customHeight="false" outlineLevel="0" collapsed="false">
      <c r="A979" s="0" t="s">
        <v>117</v>
      </c>
      <c r="B979" s="0" t="s">
        <v>573</v>
      </c>
      <c r="C979" s="0" t="n">
        <v>99</v>
      </c>
      <c r="D979" s="0" t="n">
        <v>0</v>
      </c>
      <c r="E979" s="0" t="n">
        <v>6</v>
      </c>
      <c r="F979" s="0" t="n">
        <v>99</v>
      </c>
      <c r="G979" s="0" t="n">
        <v>75</v>
      </c>
      <c r="H979" s="0" t="s">
        <v>145</v>
      </c>
      <c r="I979" s="0" t="n">
        <v>75</v>
      </c>
      <c r="J979" s="0" t="n">
        <f aca="false">F979*E979</f>
        <v>594</v>
      </c>
      <c r="K979" s="0" t="str">
        <f aca="false">IF(G979&lt;1000,"1-Low",IF(G979&lt;5000,"2-Medium","3-Bulk"))</f>
        <v>1-Low</v>
      </c>
      <c r="L979" s="0" t="str">
        <f aca="false">IF(H979="TRUE","Out of stock","In stock")</f>
        <v>In stock</v>
      </c>
      <c r="M979" s="0" t="str">
        <f aca="false">IF(D979&lt;5,"1) Under 5%",IF(D979&lt;10,"2) 5-9%",IF(D979&lt;15,"3) 10-14%",IF(D979&lt;25,"4) 15-24%","5) 25%+"))))</f>
        <v>1) Under 5%</v>
      </c>
      <c r="N979" s="0" t="str">
        <f aca="false">IF(F979&lt;50,"1) Under Rs 50",IF(F979&lt;100,"2) Rs 50-99",IF(F979&lt;200,"3) Rs 100-199",IF(F979&lt;500,"4) Rs 200-499","5) Rs 500+"))))</f>
        <v>2) Rs 50-99</v>
      </c>
      <c r="O979" s="0" t="n">
        <f aca="false">G979*E979/1000</f>
        <v>0.45</v>
      </c>
    </row>
    <row r="980" customFormat="false" ht="15" hidden="false" customHeight="false" outlineLevel="0" collapsed="false">
      <c r="A980" s="0" t="s">
        <v>117</v>
      </c>
      <c r="B980" s="0" t="s">
        <v>574</v>
      </c>
      <c r="C980" s="0" t="n">
        <v>63</v>
      </c>
      <c r="D980" s="0" t="n">
        <v>0</v>
      </c>
      <c r="E980" s="0" t="n">
        <v>6</v>
      </c>
      <c r="F980" s="0" t="n">
        <v>63</v>
      </c>
      <c r="G980" s="0" t="n">
        <v>200</v>
      </c>
      <c r="H980" s="0" t="s">
        <v>145</v>
      </c>
      <c r="I980" s="0" t="n">
        <v>200</v>
      </c>
      <c r="J980" s="0" t="n">
        <f aca="false">F980*E980</f>
        <v>378</v>
      </c>
      <c r="K980" s="0" t="str">
        <f aca="false">IF(G980&lt;1000,"1-Low",IF(G980&lt;5000,"2-Medium","3-Bulk"))</f>
        <v>1-Low</v>
      </c>
      <c r="L980" s="0" t="str">
        <f aca="false">IF(H980="TRUE","Out of stock","In stock")</f>
        <v>In stock</v>
      </c>
      <c r="M980" s="0" t="str">
        <f aca="false">IF(D980&lt;5,"1) Under 5%",IF(D980&lt;10,"2) 5-9%",IF(D980&lt;15,"3) 10-14%",IF(D980&lt;25,"4) 15-24%","5) 25%+"))))</f>
        <v>1) Under 5%</v>
      </c>
      <c r="N980" s="0" t="str">
        <f aca="false">IF(F980&lt;50,"1) Under Rs 50",IF(F980&lt;100,"2) Rs 50-99",IF(F980&lt;200,"3) Rs 100-199",IF(F980&lt;500,"4) Rs 200-499","5) Rs 500+"))))</f>
        <v>2) Rs 50-99</v>
      </c>
      <c r="O980" s="0" t="n">
        <f aca="false">G980*E980/1000</f>
        <v>1.2</v>
      </c>
    </row>
    <row r="981" customFormat="false" ht="15" hidden="false" customHeight="false" outlineLevel="0" collapsed="false">
      <c r="A981" s="0" t="s">
        <v>117</v>
      </c>
      <c r="B981" s="0" t="s">
        <v>575</v>
      </c>
      <c r="C981" s="0" t="n">
        <v>200</v>
      </c>
      <c r="D981" s="0" t="n">
        <v>11</v>
      </c>
      <c r="E981" s="0" t="n">
        <v>6</v>
      </c>
      <c r="F981" s="0" t="n">
        <v>178</v>
      </c>
      <c r="G981" s="0" t="n">
        <v>180</v>
      </c>
      <c r="H981" s="0" t="s">
        <v>145</v>
      </c>
      <c r="I981" s="0" t="n">
        <v>180</v>
      </c>
      <c r="J981" s="0" t="n">
        <f aca="false">F981*E981</f>
        <v>1068</v>
      </c>
      <c r="K981" s="0" t="str">
        <f aca="false">IF(G981&lt;1000,"1-Low",IF(G981&lt;5000,"2-Medium","3-Bulk"))</f>
        <v>1-Low</v>
      </c>
      <c r="L981" s="0" t="str">
        <f aca="false">IF(H981="TRUE","Out of stock","In stock")</f>
        <v>In stock</v>
      </c>
      <c r="M981" s="0" t="str">
        <f aca="false">IF(D981&lt;5,"1) Under 5%",IF(D981&lt;10,"2) 5-9%",IF(D981&lt;15,"3) 10-14%",IF(D981&lt;25,"4) 15-24%","5) 25%+"))))</f>
        <v>3) 10-14%</v>
      </c>
      <c r="N981" s="0" t="str">
        <f aca="false">IF(F981&lt;50,"1) Under Rs 50",IF(F981&lt;100,"2) Rs 50-99",IF(F981&lt;200,"3) Rs 100-199",IF(F981&lt;500,"4) Rs 200-499","5) Rs 500+"))))</f>
        <v>3) Rs 100-199</v>
      </c>
      <c r="O981" s="0" t="n">
        <f aca="false">G981*E981/1000</f>
        <v>1.08</v>
      </c>
    </row>
    <row r="982" customFormat="false" ht="15" hidden="false" customHeight="false" outlineLevel="0" collapsed="false">
      <c r="A982" s="0" t="s">
        <v>117</v>
      </c>
      <c r="B982" s="0" t="s">
        <v>576</v>
      </c>
      <c r="C982" s="0" t="n">
        <v>50</v>
      </c>
      <c r="D982" s="0" t="n">
        <v>2</v>
      </c>
      <c r="E982" s="0" t="n">
        <v>6</v>
      </c>
      <c r="F982" s="0" t="n">
        <v>49</v>
      </c>
      <c r="G982" s="0" t="n">
        <v>20</v>
      </c>
      <c r="H982" s="0" t="s">
        <v>145</v>
      </c>
      <c r="I982" s="0" t="n">
        <v>20</v>
      </c>
      <c r="J982" s="0" t="n">
        <f aca="false">F982*E982</f>
        <v>294</v>
      </c>
      <c r="K982" s="0" t="str">
        <f aca="false">IF(G982&lt;1000,"1-Low",IF(G982&lt;5000,"2-Medium","3-Bulk"))</f>
        <v>1-Low</v>
      </c>
      <c r="L982" s="0" t="str">
        <f aca="false">IF(H982="TRUE","Out of stock","In stock")</f>
        <v>In stock</v>
      </c>
      <c r="M982" s="0" t="str">
        <f aca="false">IF(D982&lt;5,"1) Under 5%",IF(D982&lt;10,"2) 5-9%",IF(D982&lt;15,"3) 10-14%",IF(D982&lt;25,"4) 15-24%","5) 25%+"))))</f>
        <v>1) Under 5%</v>
      </c>
      <c r="N982" s="0" t="str">
        <f aca="false">IF(F982&lt;50,"1) Under Rs 50",IF(F982&lt;100,"2) Rs 50-99",IF(F982&lt;200,"3) Rs 100-199",IF(F982&lt;500,"4) Rs 200-499","5) Rs 500+"))))</f>
        <v>1) Under Rs 50</v>
      </c>
      <c r="O982" s="0" t="n">
        <f aca="false">G982*E982/1000</f>
        <v>0.12</v>
      </c>
    </row>
    <row r="983" customFormat="false" ht="15" hidden="false" customHeight="false" outlineLevel="0" collapsed="false">
      <c r="A983" s="0" t="s">
        <v>117</v>
      </c>
      <c r="B983" s="0" t="s">
        <v>423</v>
      </c>
      <c r="C983" s="0" t="n">
        <v>50</v>
      </c>
      <c r="D983" s="0" t="n">
        <v>2</v>
      </c>
      <c r="E983" s="0" t="n">
        <v>2</v>
      </c>
      <c r="F983" s="0" t="n">
        <v>49</v>
      </c>
      <c r="G983" s="0" t="n">
        <v>200</v>
      </c>
      <c r="H983" s="0" t="s">
        <v>145</v>
      </c>
      <c r="I983" s="0" t="n">
        <v>200</v>
      </c>
      <c r="J983" s="0" t="n">
        <f aca="false">F983*E983</f>
        <v>98</v>
      </c>
      <c r="K983" s="0" t="str">
        <f aca="false">IF(G983&lt;1000,"1-Low",IF(G983&lt;5000,"2-Medium","3-Bulk"))</f>
        <v>1-Low</v>
      </c>
      <c r="L983" s="0" t="str">
        <f aca="false">IF(H983="TRUE","Out of stock","In stock")</f>
        <v>In stock</v>
      </c>
      <c r="M983" s="0" t="str">
        <f aca="false">IF(D983&lt;5,"1) Under 5%",IF(D983&lt;10,"2) 5-9%",IF(D983&lt;15,"3) 10-14%",IF(D983&lt;25,"4) 15-24%","5) 25%+"))))</f>
        <v>1) Under 5%</v>
      </c>
      <c r="N983" s="0" t="str">
        <f aca="false">IF(F983&lt;50,"1) Under Rs 50",IF(F983&lt;100,"2) Rs 50-99",IF(F983&lt;200,"3) Rs 100-199",IF(F983&lt;500,"4) Rs 200-499","5) Rs 500+"))))</f>
        <v>1) Under Rs 50</v>
      </c>
      <c r="O983" s="0" t="n">
        <f aca="false">G983*E983/1000</f>
        <v>0.4</v>
      </c>
    </row>
    <row r="984" customFormat="false" ht="15" hidden="false" customHeight="false" outlineLevel="0" collapsed="false">
      <c r="A984" s="0" t="s">
        <v>117</v>
      </c>
      <c r="B984" s="0" t="s">
        <v>130</v>
      </c>
      <c r="C984" s="0" t="n">
        <v>295</v>
      </c>
      <c r="D984" s="0" t="n">
        <v>9</v>
      </c>
      <c r="E984" s="0" t="n">
        <v>6</v>
      </c>
      <c r="F984" s="0" t="n">
        <v>266</v>
      </c>
      <c r="G984" s="0" t="n">
        <v>250</v>
      </c>
      <c r="H984" s="0" t="s">
        <v>145</v>
      </c>
      <c r="I984" s="0" t="n">
        <v>250</v>
      </c>
      <c r="J984" s="0" t="n">
        <f aca="false">F984*E984</f>
        <v>1596</v>
      </c>
      <c r="K984" s="0" t="str">
        <f aca="false">IF(G984&lt;1000,"1-Low",IF(G984&lt;5000,"2-Medium","3-Bulk"))</f>
        <v>1-Low</v>
      </c>
      <c r="L984" s="0" t="str">
        <f aca="false">IF(H984="TRUE","Out of stock","In stock")</f>
        <v>In stock</v>
      </c>
      <c r="M984" s="0" t="str">
        <f aca="false">IF(D984&lt;5,"1) Under 5%",IF(D984&lt;10,"2) 5-9%",IF(D984&lt;15,"3) 10-14%",IF(D984&lt;25,"4) 15-24%","5) 25%+"))))</f>
        <v>2) 5-9%</v>
      </c>
      <c r="N984" s="0" t="str">
        <f aca="false">IF(F984&lt;50,"1) Under Rs 50",IF(F984&lt;100,"2) Rs 50-99",IF(F984&lt;200,"3) Rs 100-199",IF(F984&lt;500,"4) Rs 200-499","5) Rs 500+"))))</f>
        <v>4) Rs 200-499</v>
      </c>
      <c r="O984" s="0" t="n">
        <f aca="false">G984*E984/1000</f>
        <v>1.5</v>
      </c>
    </row>
    <row r="985" customFormat="false" ht="15" hidden="false" customHeight="false" outlineLevel="0" collapsed="false">
      <c r="A985" s="0" t="s">
        <v>117</v>
      </c>
      <c r="B985" s="0" t="s">
        <v>577</v>
      </c>
      <c r="C985" s="0" t="n">
        <v>150</v>
      </c>
      <c r="D985" s="0" t="n">
        <v>0</v>
      </c>
      <c r="E985" s="0" t="n">
        <v>4</v>
      </c>
      <c r="F985" s="0" t="n">
        <v>150</v>
      </c>
      <c r="G985" s="0" t="n">
        <v>400</v>
      </c>
      <c r="H985" s="0" t="s">
        <v>145</v>
      </c>
      <c r="I985" s="0" t="n">
        <v>400</v>
      </c>
      <c r="J985" s="0" t="n">
        <f aca="false">F985*E985</f>
        <v>600</v>
      </c>
      <c r="K985" s="0" t="str">
        <f aca="false">IF(G985&lt;1000,"1-Low",IF(G985&lt;5000,"2-Medium","3-Bulk"))</f>
        <v>1-Low</v>
      </c>
      <c r="L985" s="0" t="str">
        <f aca="false">IF(H985="TRUE","Out of stock","In stock")</f>
        <v>In stock</v>
      </c>
      <c r="M985" s="0" t="str">
        <f aca="false">IF(D985&lt;5,"1) Under 5%",IF(D985&lt;10,"2) 5-9%",IF(D985&lt;15,"3) 10-14%",IF(D985&lt;25,"4) 15-24%","5) 25%+"))))</f>
        <v>1) Under 5%</v>
      </c>
      <c r="N985" s="0" t="str">
        <f aca="false">IF(F985&lt;50,"1) Under Rs 50",IF(F985&lt;100,"2) Rs 50-99",IF(F985&lt;200,"3) Rs 100-199",IF(F985&lt;500,"4) Rs 200-499","5) Rs 500+"))))</f>
        <v>3) Rs 100-199</v>
      </c>
      <c r="O985" s="0" t="n">
        <f aca="false">G985*E985/1000</f>
        <v>1.6</v>
      </c>
    </row>
    <row r="986" customFormat="false" ht="15" hidden="false" customHeight="false" outlineLevel="0" collapsed="false">
      <c r="A986" s="0" t="s">
        <v>117</v>
      </c>
      <c r="B986" s="0" t="s">
        <v>578</v>
      </c>
      <c r="C986" s="0" t="n">
        <v>130</v>
      </c>
      <c r="D986" s="0" t="n">
        <v>10</v>
      </c>
      <c r="E986" s="0" t="n">
        <v>6</v>
      </c>
      <c r="F986" s="0" t="n">
        <v>116</v>
      </c>
      <c r="G986" s="0" t="n">
        <v>500</v>
      </c>
      <c r="H986" s="0" t="s">
        <v>145</v>
      </c>
      <c r="I986" s="0" t="n">
        <v>500</v>
      </c>
      <c r="J986" s="0" t="n">
        <f aca="false">F986*E986</f>
        <v>696</v>
      </c>
      <c r="K986" s="0" t="str">
        <f aca="false">IF(G986&lt;1000,"1-Low",IF(G986&lt;5000,"2-Medium","3-Bulk"))</f>
        <v>1-Low</v>
      </c>
      <c r="L986" s="0" t="str">
        <f aca="false">IF(H986="TRUE","Out of stock","In stock")</f>
        <v>In stock</v>
      </c>
      <c r="M986" s="0" t="str">
        <f aca="false">IF(D986&lt;5,"1) Under 5%",IF(D986&lt;10,"2) 5-9%",IF(D986&lt;15,"3) 10-14%",IF(D986&lt;25,"4) 15-24%","5) 25%+"))))</f>
        <v>3) 10-14%</v>
      </c>
      <c r="N986" s="0" t="str">
        <f aca="false">IF(F986&lt;50,"1) Under Rs 50",IF(F986&lt;100,"2) Rs 50-99",IF(F986&lt;200,"3) Rs 100-199",IF(F986&lt;500,"4) Rs 200-499","5) Rs 500+"))))</f>
        <v>3) Rs 100-199</v>
      </c>
      <c r="O986" s="0" t="n">
        <f aca="false">G986*E986/1000</f>
        <v>3</v>
      </c>
    </row>
    <row r="987" customFormat="false" ht="15" hidden="false" customHeight="false" outlineLevel="0" collapsed="false">
      <c r="A987" s="0" t="s">
        <v>117</v>
      </c>
      <c r="B987" s="0" t="s">
        <v>579</v>
      </c>
      <c r="C987" s="0" t="n">
        <v>430</v>
      </c>
      <c r="D987" s="0" t="n">
        <v>10</v>
      </c>
      <c r="E987" s="0" t="n">
        <v>6</v>
      </c>
      <c r="F987" s="0" t="n">
        <v>387</v>
      </c>
      <c r="G987" s="0" t="n">
        <v>5000</v>
      </c>
      <c r="H987" s="0" t="s">
        <v>145</v>
      </c>
      <c r="I987" s="0" t="n">
        <v>5</v>
      </c>
      <c r="J987" s="0" t="n">
        <f aca="false">F987*E987</f>
        <v>2322</v>
      </c>
      <c r="K987" s="0" t="str">
        <f aca="false">IF(G987&lt;1000,"1-Low",IF(G987&lt;5000,"2-Medium","3-Bulk"))</f>
        <v>3-Bulk</v>
      </c>
      <c r="L987" s="0" t="str">
        <f aca="false">IF(H987="TRUE","Out of stock","In stock")</f>
        <v>In stock</v>
      </c>
      <c r="M987" s="0" t="str">
        <f aca="false">IF(D987&lt;5,"1) Under 5%",IF(D987&lt;10,"2) 5-9%",IF(D987&lt;15,"3) 10-14%",IF(D987&lt;25,"4) 15-24%","5) 25%+"))))</f>
        <v>3) 10-14%</v>
      </c>
      <c r="N987" s="0" t="str">
        <f aca="false">IF(F987&lt;50,"1) Under Rs 50",IF(F987&lt;100,"2) Rs 50-99",IF(F987&lt;200,"3) Rs 100-199",IF(F987&lt;500,"4) Rs 200-499","5) Rs 500+"))))</f>
        <v>4) Rs 200-499</v>
      </c>
      <c r="O987" s="0" t="n">
        <f aca="false">G987*E987/1000</f>
        <v>30</v>
      </c>
    </row>
    <row r="988" customFormat="false" ht="15" hidden="false" customHeight="false" outlineLevel="0" collapsed="false">
      <c r="A988" s="0" t="s">
        <v>117</v>
      </c>
      <c r="B988" s="0" t="s">
        <v>580</v>
      </c>
      <c r="C988" s="0" t="n">
        <v>70</v>
      </c>
      <c r="D988" s="0" t="n">
        <v>18</v>
      </c>
      <c r="E988" s="0" t="n">
        <v>6</v>
      </c>
      <c r="F988" s="0" t="n">
        <v>57</v>
      </c>
      <c r="G988" s="0" t="n">
        <v>400</v>
      </c>
      <c r="H988" s="0" t="s">
        <v>145</v>
      </c>
      <c r="I988" s="0" t="n">
        <v>400</v>
      </c>
      <c r="J988" s="0" t="n">
        <f aca="false">F988*E988</f>
        <v>342</v>
      </c>
      <c r="K988" s="0" t="str">
        <f aca="false">IF(G988&lt;1000,"1-Low",IF(G988&lt;5000,"2-Medium","3-Bulk"))</f>
        <v>1-Low</v>
      </c>
      <c r="L988" s="0" t="str">
        <f aca="false">IF(H988="TRUE","Out of stock","In stock")</f>
        <v>In stock</v>
      </c>
      <c r="M988" s="0" t="str">
        <f aca="false">IF(D988&lt;5,"1) Under 5%",IF(D988&lt;10,"2) 5-9%",IF(D988&lt;15,"3) 10-14%",IF(D988&lt;25,"4) 15-24%","5) 25%+"))))</f>
        <v>4) 15-24%</v>
      </c>
      <c r="N988" s="0" t="str">
        <f aca="false">IF(F988&lt;50,"1) Under Rs 50",IF(F988&lt;100,"2) Rs 50-99",IF(F988&lt;200,"3) Rs 100-199",IF(F988&lt;500,"4) Rs 200-499","5) Rs 500+"))))</f>
        <v>2) Rs 50-99</v>
      </c>
      <c r="O988" s="0" t="n">
        <f aca="false">G988*E988/1000</f>
        <v>2.4</v>
      </c>
    </row>
    <row r="989" customFormat="false" ht="15" hidden="false" customHeight="false" outlineLevel="0" collapsed="false">
      <c r="A989" s="0" t="s">
        <v>117</v>
      </c>
      <c r="B989" s="0" t="s">
        <v>581</v>
      </c>
      <c r="C989" s="0" t="n">
        <v>265</v>
      </c>
      <c r="D989" s="0" t="n">
        <v>9</v>
      </c>
      <c r="E989" s="0" t="n">
        <v>6</v>
      </c>
      <c r="F989" s="0" t="n">
        <v>239</v>
      </c>
      <c r="G989" s="0" t="n">
        <v>1000</v>
      </c>
      <c r="H989" s="0" t="s">
        <v>145</v>
      </c>
      <c r="I989" s="0" t="n">
        <v>1</v>
      </c>
      <c r="J989" s="0" t="n">
        <f aca="false">F989*E989</f>
        <v>1434</v>
      </c>
      <c r="K989" s="0" t="str">
        <f aca="false">IF(G989&lt;1000,"1-Low",IF(G989&lt;5000,"2-Medium","3-Bulk"))</f>
        <v>2-Medium</v>
      </c>
      <c r="L989" s="0" t="str">
        <f aca="false">IF(H989="TRUE","Out of stock","In stock")</f>
        <v>In stock</v>
      </c>
      <c r="M989" s="0" t="str">
        <f aca="false">IF(D989&lt;5,"1) Under 5%",IF(D989&lt;10,"2) 5-9%",IF(D989&lt;15,"3) 10-14%",IF(D989&lt;25,"4) 15-24%","5) 25%+"))))</f>
        <v>2) 5-9%</v>
      </c>
      <c r="N989" s="0" t="str">
        <f aca="false">IF(F989&lt;50,"1) Under Rs 50",IF(F989&lt;100,"2) Rs 50-99",IF(F989&lt;200,"3) Rs 100-199",IF(F989&lt;500,"4) Rs 200-499","5) Rs 500+"))))</f>
        <v>4) Rs 200-499</v>
      </c>
      <c r="O989" s="0" t="n">
        <f aca="false">G989*E989/1000</f>
        <v>6</v>
      </c>
    </row>
    <row r="990" customFormat="false" ht="15" hidden="false" customHeight="false" outlineLevel="0" collapsed="false">
      <c r="A990" s="0" t="s">
        <v>117</v>
      </c>
      <c r="B990" s="0" t="s">
        <v>582</v>
      </c>
      <c r="C990" s="0" t="n">
        <v>540</v>
      </c>
      <c r="D990" s="0" t="n">
        <v>20</v>
      </c>
      <c r="E990" s="0" t="n">
        <v>6</v>
      </c>
      <c r="F990" s="0" t="n">
        <v>432</v>
      </c>
      <c r="G990" s="0" t="n">
        <v>150</v>
      </c>
      <c r="H990" s="0" t="s">
        <v>145</v>
      </c>
      <c r="I990" s="0" t="n">
        <v>150</v>
      </c>
      <c r="J990" s="0" t="n">
        <f aca="false">F990*E990</f>
        <v>2592</v>
      </c>
      <c r="K990" s="0" t="str">
        <f aca="false">IF(G990&lt;1000,"1-Low",IF(G990&lt;5000,"2-Medium","3-Bulk"))</f>
        <v>1-Low</v>
      </c>
      <c r="L990" s="0" t="str">
        <f aca="false">IF(H990="TRUE","Out of stock","In stock")</f>
        <v>In stock</v>
      </c>
      <c r="M990" s="0" t="str">
        <f aca="false">IF(D990&lt;5,"1) Under 5%",IF(D990&lt;10,"2) 5-9%",IF(D990&lt;15,"3) 10-14%",IF(D990&lt;25,"4) 15-24%","5) 25%+"))))</f>
        <v>4) 15-24%</v>
      </c>
      <c r="N990" s="0" t="str">
        <f aca="false">IF(F990&lt;50,"1) Under Rs 50",IF(F990&lt;100,"2) Rs 50-99",IF(F990&lt;200,"3) Rs 100-199",IF(F990&lt;500,"4) Rs 200-499","5) Rs 500+"))))</f>
        <v>4) Rs 200-499</v>
      </c>
      <c r="O990" s="0" t="n">
        <f aca="false">G990*E990/1000</f>
        <v>0.9</v>
      </c>
    </row>
    <row r="991" customFormat="false" ht="15" hidden="false" customHeight="false" outlineLevel="0" collapsed="false">
      <c r="A991" s="0" t="s">
        <v>117</v>
      </c>
      <c r="B991" s="0" t="s">
        <v>583</v>
      </c>
      <c r="C991" s="0" t="n">
        <v>60</v>
      </c>
      <c r="D991" s="0" t="n">
        <v>10</v>
      </c>
      <c r="E991" s="0" t="n">
        <v>6</v>
      </c>
      <c r="F991" s="0" t="n">
        <v>54</v>
      </c>
      <c r="G991" s="0" t="n">
        <v>250</v>
      </c>
      <c r="H991" s="0" t="s">
        <v>145</v>
      </c>
      <c r="I991" s="0" t="n">
        <v>250</v>
      </c>
      <c r="J991" s="0" t="n">
        <f aca="false">F991*E991</f>
        <v>324</v>
      </c>
      <c r="K991" s="0" t="str">
        <f aca="false">IF(G991&lt;1000,"1-Low",IF(G991&lt;5000,"2-Medium","3-Bulk"))</f>
        <v>1-Low</v>
      </c>
      <c r="L991" s="0" t="str">
        <f aca="false">IF(H991="TRUE","Out of stock","In stock")</f>
        <v>In stock</v>
      </c>
      <c r="M991" s="0" t="str">
        <f aca="false">IF(D991&lt;5,"1) Under 5%",IF(D991&lt;10,"2) 5-9%",IF(D991&lt;15,"3) 10-14%",IF(D991&lt;25,"4) 15-24%","5) 25%+"))))</f>
        <v>3) 10-14%</v>
      </c>
      <c r="N991" s="0" t="str">
        <f aca="false">IF(F991&lt;50,"1) Under Rs 50",IF(F991&lt;100,"2) Rs 50-99",IF(F991&lt;200,"3) Rs 100-199",IF(F991&lt;500,"4) Rs 200-499","5) Rs 500+"))))</f>
        <v>2) Rs 50-99</v>
      </c>
      <c r="O991" s="0" t="n">
        <f aca="false">G991*E991/1000</f>
        <v>1.5</v>
      </c>
    </row>
    <row r="992" customFormat="false" ht="15" hidden="false" customHeight="false" outlineLevel="0" collapsed="false">
      <c r="A992" s="0" t="s">
        <v>117</v>
      </c>
      <c r="B992" s="0" t="s">
        <v>584</v>
      </c>
      <c r="C992" s="0" t="n">
        <v>349</v>
      </c>
      <c r="D992" s="0" t="n">
        <v>20</v>
      </c>
      <c r="E992" s="0" t="n">
        <v>6</v>
      </c>
      <c r="F992" s="0" t="n">
        <v>279</v>
      </c>
      <c r="G992" s="0" t="n">
        <v>200</v>
      </c>
      <c r="H992" s="0" t="s">
        <v>145</v>
      </c>
      <c r="I992" s="0" t="n">
        <v>200</v>
      </c>
      <c r="J992" s="0" t="n">
        <f aca="false">F992*E992</f>
        <v>1674</v>
      </c>
      <c r="K992" s="0" t="str">
        <f aca="false">IF(G992&lt;1000,"1-Low",IF(G992&lt;5000,"2-Medium","3-Bulk"))</f>
        <v>1-Low</v>
      </c>
      <c r="L992" s="0" t="str">
        <f aca="false">IF(H992="TRUE","Out of stock","In stock")</f>
        <v>In stock</v>
      </c>
      <c r="M992" s="0" t="str">
        <f aca="false">IF(D992&lt;5,"1) Under 5%",IF(D992&lt;10,"2) 5-9%",IF(D992&lt;15,"3) 10-14%",IF(D992&lt;25,"4) 15-24%","5) 25%+"))))</f>
        <v>4) 15-24%</v>
      </c>
      <c r="N992" s="0" t="str">
        <f aca="false">IF(F992&lt;50,"1) Under Rs 50",IF(F992&lt;100,"2) Rs 50-99",IF(F992&lt;200,"3) Rs 100-199",IF(F992&lt;500,"4) Rs 200-499","5) Rs 500+"))))</f>
        <v>4) Rs 200-499</v>
      </c>
      <c r="O992" s="0" t="n">
        <f aca="false">G992*E992/1000</f>
        <v>1.2</v>
      </c>
    </row>
    <row r="993" customFormat="false" ht="15" hidden="false" customHeight="false" outlineLevel="0" collapsed="false">
      <c r="A993" s="0" t="s">
        <v>117</v>
      </c>
      <c r="B993" s="0" t="s">
        <v>585</v>
      </c>
      <c r="C993" s="0" t="n">
        <v>160</v>
      </c>
      <c r="D993" s="0" t="n">
        <v>6</v>
      </c>
      <c r="E993" s="0" t="n">
        <v>6</v>
      </c>
      <c r="F993" s="0" t="n">
        <v>150</v>
      </c>
      <c r="G993" s="0" t="n">
        <v>900</v>
      </c>
      <c r="H993" s="0" t="s">
        <v>145</v>
      </c>
      <c r="I993" s="0" t="n">
        <v>900</v>
      </c>
      <c r="J993" s="0" t="n">
        <f aca="false">F993*E993</f>
        <v>900</v>
      </c>
      <c r="K993" s="0" t="str">
        <f aca="false">IF(G993&lt;1000,"1-Low",IF(G993&lt;5000,"2-Medium","3-Bulk"))</f>
        <v>1-Low</v>
      </c>
      <c r="L993" s="0" t="str">
        <f aca="false">IF(H993="TRUE","Out of stock","In stock")</f>
        <v>In stock</v>
      </c>
      <c r="M993" s="0" t="str">
        <f aca="false">IF(D993&lt;5,"1) Under 5%",IF(D993&lt;10,"2) 5-9%",IF(D993&lt;15,"3) 10-14%",IF(D993&lt;25,"4) 15-24%","5) 25%+"))))</f>
        <v>2) 5-9%</v>
      </c>
      <c r="N993" s="0" t="str">
        <f aca="false">IF(F993&lt;50,"1) Under Rs 50",IF(F993&lt;100,"2) Rs 50-99",IF(F993&lt;200,"3) Rs 100-199",IF(F993&lt;500,"4) Rs 200-499","5) Rs 500+"))))</f>
        <v>3) Rs 100-199</v>
      </c>
      <c r="O993" s="0" t="n">
        <f aca="false">G993*E993/1000</f>
        <v>5.4</v>
      </c>
    </row>
    <row r="994" customFormat="false" ht="15" hidden="false" customHeight="false" outlineLevel="0" collapsed="false">
      <c r="A994" s="0" t="s">
        <v>117</v>
      </c>
      <c r="B994" s="0" t="s">
        <v>586</v>
      </c>
      <c r="C994" s="0" t="n">
        <v>90</v>
      </c>
      <c r="D994" s="0" t="n">
        <v>6</v>
      </c>
      <c r="E994" s="0" t="n">
        <v>6</v>
      </c>
      <c r="F994" s="0" t="n">
        <v>84</v>
      </c>
      <c r="G994" s="0" t="n">
        <v>500</v>
      </c>
      <c r="H994" s="0" t="s">
        <v>145</v>
      </c>
      <c r="I994" s="0" t="n">
        <v>500</v>
      </c>
      <c r="J994" s="0" t="n">
        <f aca="false">F994*E994</f>
        <v>504</v>
      </c>
      <c r="K994" s="0" t="str">
        <f aca="false">IF(G994&lt;1000,"1-Low",IF(G994&lt;5000,"2-Medium","3-Bulk"))</f>
        <v>1-Low</v>
      </c>
      <c r="L994" s="0" t="str">
        <f aca="false">IF(H994="TRUE","Out of stock","In stock")</f>
        <v>In stock</v>
      </c>
      <c r="M994" s="0" t="str">
        <f aca="false">IF(D994&lt;5,"1) Under 5%",IF(D994&lt;10,"2) 5-9%",IF(D994&lt;15,"3) 10-14%",IF(D994&lt;25,"4) 15-24%","5) 25%+"))))</f>
        <v>2) 5-9%</v>
      </c>
      <c r="N994" s="0" t="str">
        <f aca="false">IF(F994&lt;50,"1) Under Rs 50",IF(F994&lt;100,"2) Rs 50-99",IF(F994&lt;200,"3) Rs 100-199",IF(F994&lt;500,"4) Rs 200-499","5) Rs 500+"))))</f>
        <v>2) Rs 50-99</v>
      </c>
      <c r="O994" s="0" t="n">
        <f aca="false">G994*E994/1000</f>
        <v>3</v>
      </c>
    </row>
    <row r="995" customFormat="false" ht="15" hidden="false" customHeight="false" outlineLevel="0" collapsed="false">
      <c r="A995" s="0" t="s">
        <v>117</v>
      </c>
      <c r="B995" s="0" t="s">
        <v>587</v>
      </c>
      <c r="C995" s="0" t="n">
        <v>115</v>
      </c>
      <c r="D995" s="0" t="n">
        <v>0</v>
      </c>
      <c r="E995" s="0" t="n">
        <v>4</v>
      </c>
      <c r="F995" s="0" t="n">
        <v>115</v>
      </c>
      <c r="G995" s="0" t="n">
        <v>200</v>
      </c>
      <c r="H995" s="0" t="s">
        <v>145</v>
      </c>
      <c r="I995" s="0" t="n">
        <v>200</v>
      </c>
      <c r="J995" s="0" t="n">
        <f aca="false">F995*E995</f>
        <v>460</v>
      </c>
      <c r="K995" s="0" t="str">
        <f aca="false">IF(G995&lt;1000,"1-Low",IF(G995&lt;5000,"2-Medium","3-Bulk"))</f>
        <v>1-Low</v>
      </c>
      <c r="L995" s="0" t="str">
        <f aca="false">IF(H995="TRUE","Out of stock","In stock")</f>
        <v>In stock</v>
      </c>
      <c r="M995" s="0" t="str">
        <f aca="false">IF(D995&lt;5,"1) Under 5%",IF(D995&lt;10,"2) 5-9%",IF(D995&lt;15,"3) 10-14%",IF(D995&lt;25,"4) 15-24%","5) 25%+"))))</f>
        <v>1) Under 5%</v>
      </c>
      <c r="N995" s="0" t="str">
        <f aca="false">IF(F995&lt;50,"1) Under Rs 50",IF(F995&lt;100,"2) Rs 50-99",IF(F995&lt;200,"3) Rs 100-199",IF(F995&lt;500,"4) Rs 200-499","5) Rs 500+"))))</f>
        <v>3) Rs 100-199</v>
      </c>
      <c r="O995" s="0" t="n">
        <f aca="false">G995*E995/1000</f>
        <v>0.8</v>
      </c>
    </row>
    <row r="996" customFormat="false" ht="15" hidden="false" customHeight="false" outlineLevel="0" collapsed="false">
      <c r="A996" s="0" t="s">
        <v>117</v>
      </c>
      <c r="B996" s="0" t="s">
        <v>410</v>
      </c>
      <c r="C996" s="0" t="n">
        <v>173</v>
      </c>
      <c r="D996" s="0" t="n">
        <v>6</v>
      </c>
      <c r="E996" s="0" t="n">
        <v>6</v>
      </c>
      <c r="F996" s="0" t="n">
        <v>162</v>
      </c>
      <c r="G996" s="0" t="n">
        <v>500</v>
      </c>
      <c r="H996" s="0" t="s">
        <v>145</v>
      </c>
      <c r="I996" s="0" t="n">
        <v>500</v>
      </c>
      <c r="J996" s="0" t="n">
        <f aca="false">F996*E996</f>
        <v>972</v>
      </c>
      <c r="K996" s="0" t="str">
        <f aca="false">IF(G996&lt;1000,"1-Low",IF(G996&lt;5000,"2-Medium","3-Bulk"))</f>
        <v>1-Low</v>
      </c>
      <c r="L996" s="0" t="str">
        <f aca="false">IF(H996="TRUE","Out of stock","In stock")</f>
        <v>In stock</v>
      </c>
      <c r="M996" s="0" t="str">
        <f aca="false">IF(D996&lt;5,"1) Under 5%",IF(D996&lt;10,"2) 5-9%",IF(D996&lt;15,"3) 10-14%",IF(D996&lt;25,"4) 15-24%","5) 25%+"))))</f>
        <v>2) 5-9%</v>
      </c>
      <c r="N996" s="0" t="str">
        <f aca="false">IF(F996&lt;50,"1) Under Rs 50",IF(F996&lt;100,"2) Rs 50-99",IF(F996&lt;200,"3) Rs 100-199",IF(F996&lt;500,"4) Rs 200-499","5) Rs 500+"))))</f>
        <v>3) Rs 100-199</v>
      </c>
      <c r="O996" s="0" t="n">
        <f aca="false">G996*E996/1000</f>
        <v>3</v>
      </c>
    </row>
    <row r="997" customFormat="false" ht="15" hidden="false" customHeight="false" outlineLevel="0" collapsed="false">
      <c r="A997" s="0" t="s">
        <v>117</v>
      </c>
      <c r="B997" s="0" t="s">
        <v>588</v>
      </c>
      <c r="C997" s="0" t="n">
        <v>75</v>
      </c>
      <c r="D997" s="0" t="n">
        <v>30</v>
      </c>
      <c r="E997" s="0" t="n">
        <v>5</v>
      </c>
      <c r="F997" s="0" t="n">
        <v>52</v>
      </c>
      <c r="G997" s="0" t="n">
        <v>80</v>
      </c>
      <c r="H997" s="0" t="s">
        <v>145</v>
      </c>
      <c r="I997" s="0" t="n">
        <v>80</v>
      </c>
      <c r="J997" s="0" t="n">
        <f aca="false">F997*E997</f>
        <v>260</v>
      </c>
      <c r="K997" s="0" t="str">
        <f aca="false">IF(G997&lt;1000,"1-Low",IF(G997&lt;5000,"2-Medium","3-Bulk"))</f>
        <v>1-Low</v>
      </c>
      <c r="L997" s="0" t="str">
        <f aca="false">IF(H997="TRUE","Out of stock","In stock")</f>
        <v>In stock</v>
      </c>
      <c r="M997" s="0" t="str">
        <f aca="false">IF(D997&lt;5,"1) Under 5%",IF(D997&lt;10,"2) 5-9%",IF(D997&lt;15,"3) 10-14%",IF(D997&lt;25,"4) 15-24%","5) 25%+"))))</f>
        <v>5) 25%+</v>
      </c>
      <c r="N997" s="0" t="str">
        <f aca="false">IF(F997&lt;50,"1) Under Rs 50",IF(F997&lt;100,"2) Rs 50-99",IF(F997&lt;200,"3) Rs 100-199",IF(F997&lt;500,"4) Rs 200-499","5) Rs 500+"))))</f>
        <v>2) Rs 50-99</v>
      </c>
      <c r="O997" s="0" t="n">
        <f aca="false">G997*E997/1000</f>
        <v>0.4</v>
      </c>
    </row>
    <row r="998" customFormat="false" ht="15" hidden="false" customHeight="false" outlineLevel="0" collapsed="false">
      <c r="A998" s="0" t="s">
        <v>117</v>
      </c>
      <c r="B998" s="0" t="s">
        <v>589</v>
      </c>
      <c r="C998" s="0" t="n">
        <v>100</v>
      </c>
      <c r="D998" s="0" t="n">
        <v>0</v>
      </c>
      <c r="E998" s="0" t="n">
        <v>2</v>
      </c>
      <c r="F998" s="0" t="n">
        <v>100</v>
      </c>
      <c r="G998" s="0" t="n">
        <v>950</v>
      </c>
      <c r="H998" s="0" t="s">
        <v>145</v>
      </c>
      <c r="I998" s="0" t="n">
        <v>950</v>
      </c>
      <c r="J998" s="0" t="n">
        <f aca="false">F998*E998</f>
        <v>200</v>
      </c>
      <c r="K998" s="0" t="str">
        <f aca="false">IF(G998&lt;1000,"1-Low",IF(G998&lt;5000,"2-Medium","3-Bulk"))</f>
        <v>1-Low</v>
      </c>
      <c r="L998" s="0" t="str">
        <f aca="false">IF(H998="TRUE","Out of stock","In stock")</f>
        <v>In stock</v>
      </c>
      <c r="M998" s="0" t="str">
        <f aca="false">IF(D998&lt;5,"1) Under 5%",IF(D998&lt;10,"2) 5-9%",IF(D998&lt;15,"3) 10-14%",IF(D998&lt;25,"4) 15-24%","5) 25%+"))))</f>
        <v>1) Under 5%</v>
      </c>
      <c r="N998" s="0" t="str">
        <f aca="false">IF(F998&lt;50,"1) Under Rs 50",IF(F998&lt;100,"2) Rs 50-99",IF(F998&lt;200,"3) Rs 100-199",IF(F998&lt;500,"4) Rs 200-499","5) Rs 500+"))))</f>
        <v>3) Rs 100-199</v>
      </c>
      <c r="O998" s="0" t="n">
        <f aca="false">G998*E998/1000</f>
        <v>1.9</v>
      </c>
    </row>
    <row r="999" customFormat="false" ht="15" hidden="false" customHeight="false" outlineLevel="0" collapsed="false">
      <c r="A999" s="0" t="s">
        <v>117</v>
      </c>
      <c r="B999" s="0" t="s">
        <v>590</v>
      </c>
      <c r="C999" s="0" t="n">
        <v>170</v>
      </c>
      <c r="D999" s="0" t="n">
        <v>6</v>
      </c>
      <c r="E999" s="0" t="n">
        <v>6</v>
      </c>
      <c r="F999" s="0" t="n">
        <v>159</v>
      </c>
      <c r="G999" s="0" t="n">
        <v>500</v>
      </c>
      <c r="H999" s="0" t="s">
        <v>145</v>
      </c>
      <c r="I999" s="0" t="n">
        <v>500</v>
      </c>
      <c r="J999" s="0" t="n">
        <f aca="false">F999*E999</f>
        <v>954</v>
      </c>
      <c r="K999" s="0" t="str">
        <f aca="false">IF(G999&lt;1000,"1-Low",IF(G999&lt;5000,"2-Medium","3-Bulk"))</f>
        <v>1-Low</v>
      </c>
      <c r="L999" s="0" t="str">
        <f aca="false">IF(H999="TRUE","Out of stock","In stock")</f>
        <v>In stock</v>
      </c>
      <c r="M999" s="0" t="str">
        <f aca="false">IF(D999&lt;5,"1) Under 5%",IF(D999&lt;10,"2) 5-9%",IF(D999&lt;15,"3) 10-14%",IF(D999&lt;25,"4) 15-24%","5) 25%+"))))</f>
        <v>2) 5-9%</v>
      </c>
      <c r="N999" s="0" t="str">
        <f aca="false">IF(F999&lt;50,"1) Under Rs 50",IF(F999&lt;100,"2) Rs 50-99",IF(F999&lt;200,"3) Rs 100-199",IF(F999&lt;500,"4) Rs 200-499","5) Rs 500+"))))</f>
        <v>3) Rs 100-199</v>
      </c>
      <c r="O999" s="0" t="n">
        <f aca="false">G999*E999/1000</f>
        <v>3</v>
      </c>
    </row>
    <row r="1000" customFormat="false" ht="15" hidden="false" customHeight="false" outlineLevel="0" collapsed="false">
      <c r="A1000" s="0" t="s">
        <v>117</v>
      </c>
      <c r="B1000" s="0" t="s">
        <v>591</v>
      </c>
      <c r="C1000" s="0" t="n">
        <v>195</v>
      </c>
      <c r="D1000" s="0" t="n">
        <v>9</v>
      </c>
      <c r="E1000" s="0" t="n">
        <v>6</v>
      </c>
      <c r="F1000" s="0" t="n">
        <v>176</v>
      </c>
      <c r="G1000" s="0" t="n">
        <v>500</v>
      </c>
      <c r="H1000" s="0" t="s">
        <v>145</v>
      </c>
      <c r="I1000" s="0" t="n">
        <v>500</v>
      </c>
      <c r="J1000" s="0" t="n">
        <f aca="false">F1000*E1000</f>
        <v>1056</v>
      </c>
      <c r="K1000" s="0" t="str">
        <f aca="false">IF(G1000&lt;1000,"1-Low",IF(G1000&lt;5000,"2-Medium","3-Bulk"))</f>
        <v>1-Low</v>
      </c>
      <c r="L1000" s="0" t="str">
        <f aca="false">IF(H1000="TRUE","Out of stock","In stock")</f>
        <v>In stock</v>
      </c>
      <c r="M1000" s="0" t="str">
        <f aca="false">IF(D1000&lt;5,"1) Under 5%",IF(D1000&lt;10,"2) 5-9%",IF(D1000&lt;15,"3) 10-14%",IF(D1000&lt;25,"4) 15-24%","5) 25%+"))))</f>
        <v>2) 5-9%</v>
      </c>
      <c r="N1000" s="0" t="str">
        <f aca="false">IF(F1000&lt;50,"1) Under Rs 50",IF(F1000&lt;100,"2) Rs 50-99",IF(F1000&lt;200,"3) Rs 100-199",IF(F1000&lt;500,"4) Rs 200-499","5) Rs 500+"))))</f>
        <v>3) Rs 100-199</v>
      </c>
      <c r="O1000" s="0" t="n">
        <f aca="false">G1000*E1000/1000</f>
        <v>3</v>
      </c>
    </row>
    <row r="1001" customFormat="false" ht="15" hidden="false" customHeight="false" outlineLevel="0" collapsed="false">
      <c r="A1001" s="0" t="s">
        <v>117</v>
      </c>
      <c r="B1001" s="0" t="s">
        <v>490</v>
      </c>
      <c r="C1001" s="0" t="n">
        <v>199</v>
      </c>
      <c r="D1001" s="0" t="n">
        <v>0</v>
      </c>
      <c r="E1001" s="0" t="n">
        <v>2</v>
      </c>
      <c r="F1001" s="0" t="n">
        <v>199</v>
      </c>
      <c r="G1001" s="0" t="n">
        <v>240</v>
      </c>
      <c r="H1001" s="0" t="s">
        <v>145</v>
      </c>
      <c r="I1001" s="0" t="n">
        <v>240</v>
      </c>
      <c r="J1001" s="0" t="n">
        <f aca="false">F1001*E1001</f>
        <v>398</v>
      </c>
      <c r="K1001" s="0" t="str">
        <f aca="false">IF(G1001&lt;1000,"1-Low",IF(G1001&lt;5000,"2-Medium","3-Bulk"))</f>
        <v>1-Low</v>
      </c>
      <c r="L1001" s="0" t="str">
        <f aca="false">IF(H1001="TRUE","Out of stock","In stock")</f>
        <v>In stock</v>
      </c>
      <c r="M1001" s="0" t="str">
        <f aca="false">IF(D1001&lt;5,"1) Under 5%",IF(D1001&lt;10,"2) 5-9%",IF(D1001&lt;15,"3) 10-14%",IF(D1001&lt;25,"4) 15-24%","5) 25%+"))))</f>
        <v>1) Under 5%</v>
      </c>
      <c r="N1001" s="0" t="str">
        <f aca="false">IF(F1001&lt;50,"1) Under Rs 50",IF(F1001&lt;100,"2) Rs 50-99",IF(F1001&lt;200,"3) Rs 100-199",IF(F1001&lt;500,"4) Rs 200-499","5) Rs 500+"))))</f>
        <v>3) Rs 100-199</v>
      </c>
      <c r="O1001" s="0" t="n">
        <f aca="false">G1001*E1001/1000</f>
        <v>0.48</v>
      </c>
    </row>
    <row r="1002" customFormat="false" ht="15" hidden="false" customHeight="false" outlineLevel="0" collapsed="false">
      <c r="A1002" s="0" t="s">
        <v>117</v>
      </c>
      <c r="B1002" s="0" t="s">
        <v>592</v>
      </c>
      <c r="C1002" s="0" t="n">
        <v>99</v>
      </c>
      <c r="D1002" s="0" t="n">
        <v>0</v>
      </c>
      <c r="E1002" s="0" t="n">
        <v>6</v>
      </c>
      <c r="F1002" s="0" t="n">
        <v>99</v>
      </c>
      <c r="G1002" s="0" t="n">
        <v>14</v>
      </c>
      <c r="H1002" s="0" t="s">
        <v>145</v>
      </c>
      <c r="I1002" s="0" t="n">
        <v>14</v>
      </c>
      <c r="J1002" s="0" t="n">
        <f aca="false">F1002*E1002</f>
        <v>594</v>
      </c>
      <c r="K1002" s="0" t="str">
        <f aca="false">IF(G1002&lt;1000,"1-Low",IF(G1002&lt;5000,"2-Medium","3-Bulk"))</f>
        <v>1-Low</v>
      </c>
      <c r="L1002" s="0" t="str">
        <f aca="false">IF(H1002="TRUE","Out of stock","In stock")</f>
        <v>In stock</v>
      </c>
      <c r="M1002" s="0" t="str">
        <f aca="false">IF(D1002&lt;5,"1) Under 5%",IF(D1002&lt;10,"2) 5-9%",IF(D1002&lt;15,"3) 10-14%",IF(D1002&lt;25,"4) 15-24%","5) 25%+"))))</f>
        <v>1) Under 5%</v>
      </c>
      <c r="N1002" s="0" t="str">
        <f aca="false">IF(F1002&lt;50,"1) Under Rs 50",IF(F1002&lt;100,"2) Rs 50-99",IF(F1002&lt;200,"3) Rs 100-199",IF(F1002&lt;500,"4) Rs 200-499","5) Rs 500+"))))</f>
        <v>2) Rs 50-99</v>
      </c>
      <c r="O1002" s="0" t="n">
        <f aca="false">G1002*E1002/1000</f>
        <v>0.084</v>
      </c>
    </row>
    <row r="1003" customFormat="false" ht="15" hidden="false" customHeight="false" outlineLevel="0" collapsed="false">
      <c r="A1003" s="0" t="s">
        <v>117</v>
      </c>
      <c r="B1003" s="0" t="s">
        <v>593</v>
      </c>
      <c r="C1003" s="0" t="n">
        <v>80</v>
      </c>
      <c r="D1003" s="0" t="n">
        <v>10</v>
      </c>
      <c r="E1003" s="0" t="n">
        <v>6</v>
      </c>
      <c r="F1003" s="0" t="n">
        <v>72</v>
      </c>
      <c r="G1003" s="0" t="n">
        <v>500</v>
      </c>
      <c r="H1003" s="0" t="s">
        <v>145</v>
      </c>
      <c r="I1003" s="0" t="n">
        <v>500</v>
      </c>
      <c r="J1003" s="0" t="n">
        <f aca="false">F1003*E1003</f>
        <v>432</v>
      </c>
      <c r="K1003" s="0" t="str">
        <f aca="false">IF(G1003&lt;1000,"1-Low",IF(G1003&lt;5000,"2-Medium","3-Bulk"))</f>
        <v>1-Low</v>
      </c>
      <c r="L1003" s="0" t="str">
        <f aca="false">IF(H1003="TRUE","Out of stock","In stock")</f>
        <v>In stock</v>
      </c>
      <c r="M1003" s="0" t="str">
        <f aca="false">IF(D1003&lt;5,"1) Under 5%",IF(D1003&lt;10,"2) 5-9%",IF(D1003&lt;15,"3) 10-14%",IF(D1003&lt;25,"4) 15-24%","5) 25%+"))))</f>
        <v>3) 10-14%</v>
      </c>
      <c r="N1003" s="0" t="str">
        <f aca="false">IF(F1003&lt;50,"1) Under Rs 50",IF(F1003&lt;100,"2) Rs 50-99",IF(F1003&lt;200,"3) Rs 100-199",IF(F1003&lt;500,"4) Rs 200-499","5) Rs 500+"))))</f>
        <v>2) Rs 50-99</v>
      </c>
      <c r="O1003" s="0" t="n">
        <f aca="false">G1003*E1003/1000</f>
        <v>3</v>
      </c>
    </row>
    <row r="1004" customFormat="false" ht="15" hidden="false" customHeight="false" outlineLevel="0" collapsed="false">
      <c r="A1004" s="0" t="s">
        <v>117</v>
      </c>
      <c r="B1004" s="0" t="s">
        <v>594</v>
      </c>
      <c r="C1004" s="0" t="n">
        <v>55</v>
      </c>
      <c r="D1004" s="0" t="n">
        <v>0</v>
      </c>
      <c r="E1004" s="0" t="n">
        <v>4</v>
      </c>
      <c r="F1004" s="0" t="n">
        <v>55</v>
      </c>
      <c r="G1004" s="0" t="n">
        <v>80</v>
      </c>
      <c r="H1004" s="0" t="s">
        <v>145</v>
      </c>
      <c r="I1004" s="0" t="n">
        <v>80</v>
      </c>
      <c r="J1004" s="0" t="n">
        <f aca="false">F1004*E1004</f>
        <v>220</v>
      </c>
      <c r="K1004" s="0" t="str">
        <f aca="false">IF(G1004&lt;1000,"1-Low",IF(G1004&lt;5000,"2-Medium","3-Bulk"))</f>
        <v>1-Low</v>
      </c>
      <c r="L1004" s="0" t="str">
        <f aca="false">IF(H1004="TRUE","Out of stock","In stock")</f>
        <v>In stock</v>
      </c>
      <c r="M1004" s="0" t="str">
        <f aca="false">IF(D1004&lt;5,"1) Under 5%",IF(D1004&lt;10,"2) 5-9%",IF(D1004&lt;15,"3) 10-14%",IF(D1004&lt;25,"4) 15-24%","5) 25%+"))))</f>
        <v>1) Under 5%</v>
      </c>
      <c r="N1004" s="0" t="str">
        <f aca="false">IF(F1004&lt;50,"1) Under Rs 50",IF(F1004&lt;100,"2) Rs 50-99",IF(F1004&lt;200,"3) Rs 100-199",IF(F1004&lt;500,"4) Rs 200-499","5) Rs 500+"))))</f>
        <v>2) Rs 50-99</v>
      </c>
      <c r="O1004" s="0" t="n">
        <f aca="false">G1004*E1004/1000</f>
        <v>0.32</v>
      </c>
    </row>
    <row r="1005" customFormat="false" ht="15" hidden="false" customHeight="false" outlineLevel="0" collapsed="false">
      <c r="A1005" s="0" t="s">
        <v>117</v>
      </c>
      <c r="B1005" s="0" t="s">
        <v>595</v>
      </c>
      <c r="C1005" s="0" t="n">
        <v>170</v>
      </c>
      <c r="D1005" s="0" t="n">
        <v>0</v>
      </c>
      <c r="E1005" s="0" t="n">
        <v>5</v>
      </c>
      <c r="F1005" s="0" t="n">
        <v>170</v>
      </c>
      <c r="G1005" s="0" t="n">
        <v>500</v>
      </c>
      <c r="H1005" s="0" t="s">
        <v>145</v>
      </c>
      <c r="I1005" s="0" t="n">
        <v>500</v>
      </c>
      <c r="J1005" s="0" t="n">
        <f aca="false">F1005*E1005</f>
        <v>850</v>
      </c>
      <c r="K1005" s="0" t="str">
        <f aca="false">IF(G1005&lt;1000,"1-Low",IF(G1005&lt;5000,"2-Medium","3-Bulk"))</f>
        <v>1-Low</v>
      </c>
      <c r="L1005" s="0" t="str">
        <f aca="false">IF(H1005="TRUE","Out of stock","In stock")</f>
        <v>In stock</v>
      </c>
      <c r="M1005" s="0" t="str">
        <f aca="false">IF(D1005&lt;5,"1) Under 5%",IF(D1005&lt;10,"2) 5-9%",IF(D1005&lt;15,"3) 10-14%",IF(D1005&lt;25,"4) 15-24%","5) 25%+"))))</f>
        <v>1) Under 5%</v>
      </c>
      <c r="N1005" s="0" t="str">
        <f aca="false">IF(F1005&lt;50,"1) Under Rs 50",IF(F1005&lt;100,"2) Rs 50-99",IF(F1005&lt;200,"3) Rs 100-199",IF(F1005&lt;500,"4) Rs 200-499","5) Rs 500+"))))</f>
        <v>3) Rs 100-199</v>
      </c>
      <c r="O1005" s="0" t="n">
        <f aca="false">G1005*E1005/1000</f>
        <v>2.5</v>
      </c>
    </row>
    <row r="1006" customFormat="false" ht="15" hidden="false" customHeight="false" outlineLevel="0" collapsed="false">
      <c r="A1006" s="0" t="s">
        <v>117</v>
      </c>
      <c r="B1006" s="0" t="s">
        <v>596</v>
      </c>
      <c r="C1006" s="0" t="n">
        <v>220</v>
      </c>
      <c r="D1006" s="0" t="n">
        <v>50</v>
      </c>
      <c r="E1006" s="0" t="n">
        <v>6</v>
      </c>
      <c r="F1006" s="0" t="n">
        <v>110</v>
      </c>
      <c r="G1006" s="0" t="n">
        <v>200</v>
      </c>
      <c r="H1006" s="0" t="s">
        <v>145</v>
      </c>
      <c r="I1006" s="0" t="n">
        <v>200</v>
      </c>
      <c r="J1006" s="0" t="n">
        <f aca="false">F1006*E1006</f>
        <v>660</v>
      </c>
      <c r="K1006" s="0" t="str">
        <f aca="false">IF(G1006&lt;1000,"1-Low",IF(G1006&lt;5000,"2-Medium","3-Bulk"))</f>
        <v>1-Low</v>
      </c>
      <c r="L1006" s="0" t="str">
        <f aca="false">IF(H1006="TRUE","Out of stock","In stock")</f>
        <v>In stock</v>
      </c>
      <c r="M1006" s="0" t="str">
        <f aca="false">IF(D1006&lt;5,"1) Under 5%",IF(D1006&lt;10,"2) 5-9%",IF(D1006&lt;15,"3) 10-14%",IF(D1006&lt;25,"4) 15-24%","5) 25%+"))))</f>
        <v>5) 25%+</v>
      </c>
      <c r="N1006" s="0" t="str">
        <f aca="false">IF(F1006&lt;50,"1) Under Rs 50",IF(F1006&lt;100,"2) Rs 50-99",IF(F1006&lt;200,"3) Rs 100-199",IF(F1006&lt;500,"4) Rs 200-499","5) Rs 500+"))))</f>
        <v>3) Rs 100-199</v>
      </c>
      <c r="O1006" s="0" t="n">
        <f aca="false">G1006*E1006/1000</f>
        <v>1.2</v>
      </c>
    </row>
    <row r="1007" customFormat="false" ht="15" hidden="false" customHeight="false" outlineLevel="0" collapsed="false">
      <c r="A1007" s="0" t="s">
        <v>117</v>
      </c>
      <c r="B1007" s="0" t="s">
        <v>597</v>
      </c>
      <c r="C1007" s="0" t="n">
        <v>399</v>
      </c>
      <c r="D1007" s="0" t="n">
        <v>0</v>
      </c>
      <c r="E1007" s="0" t="n">
        <v>6</v>
      </c>
      <c r="F1007" s="0" t="n">
        <v>399</v>
      </c>
      <c r="G1007" s="0" t="n">
        <v>1000</v>
      </c>
      <c r="H1007" s="0" t="s">
        <v>145</v>
      </c>
      <c r="I1007" s="0" t="n">
        <v>1</v>
      </c>
      <c r="J1007" s="0" t="n">
        <f aca="false">F1007*E1007</f>
        <v>2394</v>
      </c>
      <c r="K1007" s="0" t="str">
        <f aca="false">IF(G1007&lt;1000,"1-Low",IF(G1007&lt;5000,"2-Medium","3-Bulk"))</f>
        <v>2-Medium</v>
      </c>
      <c r="L1007" s="0" t="str">
        <f aca="false">IF(H1007="TRUE","Out of stock","In stock")</f>
        <v>In stock</v>
      </c>
      <c r="M1007" s="0" t="str">
        <f aca="false">IF(D1007&lt;5,"1) Under 5%",IF(D1007&lt;10,"2) 5-9%",IF(D1007&lt;15,"3) 10-14%",IF(D1007&lt;25,"4) 15-24%","5) 25%+"))))</f>
        <v>1) Under 5%</v>
      </c>
      <c r="N1007" s="0" t="str">
        <f aca="false">IF(F1007&lt;50,"1) Under Rs 50",IF(F1007&lt;100,"2) Rs 50-99",IF(F1007&lt;200,"3) Rs 100-199",IF(F1007&lt;500,"4) Rs 200-499","5) Rs 500+"))))</f>
        <v>4) Rs 200-499</v>
      </c>
      <c r="O1007" s="0" t="n">
        <f aca="false">G1007*E1007/1000</f>
        <v>6</v>
      </c>
    </row>
    <row r="1008" customFormat="false" ht="15" hidden="false" customHeight="false" outlineLevel="0" collapsed="false">
      <c r="A1008" s="0" t="s">
        <v>117</v>
      </c>
      <c r="B1008" s="0" t="s">
        <v>598</v>
      </c>
      <c r="C1008" s="0" t="n">
        <v>66</v>
      </c>
      <c r="D1008" s="0" t="n">
        <v>0</v>
      </c>
      <c r="E1008" s="0" t="n">
        <v>6</v>
      </c>
      <c r="F1008" s="0" t="n">
        <v>66</v>
      </c>
      <c r="G1008" s="0" t="n">
        <v>50</v>
      </c>
      <c r="H1008" s="0" t="s">
        <v>145</v>
      </c>
      <c r="I1008" s="0" t="n">
        <v>50</v>
      </c>
      <c r="J1008" s="0" t="n">
        <f aca="false">F1008*E1008</f>
        <v>396</v>
      </c>
      <c r="K1008" s="0" t="str">
        <f aca="false">IF(G1008&lt;1000,"1-Low",IF(G1008&lt;5000,"2-Medium","3-Bulk"))</f>
        <v>1-Low</v>
      </c>
      <c r="L1008" s="0" t="str">
        <f aca="false">IF(H1008="TRUE","Out of stock","In stock")</f>
        <v>In stock</v>
      </c>
      <c r="M1008" s="0" t="str">
        <f aca="false">IF(D1008&lt;5,"1) Under 5%",IF(D1008&lt;10,"2) 5-9%",IF(D1008&lt;15,"3) 10-14%",IF(D1008&lt;25,"4) 15-24%","5) 25%+"))))</f>
        <v>1) Under 5%</v>
      </c>
      <c r="N1008" s="0" t="str">
        <f aca="false">IF(F1008&lt;50,"1) Under Rs 50",IF(F1008&lt;100,"2) Rs 50-99",IF(F1008&lt;200,"3) Rs 100-199",IF(F1008&lt;500,"4) Rs 200-499","5) Rs 500+"))))</f>
        <v>2) Rs 50-99</v>
      </c>
      <c r="O1008" s="0" t="n">
        <f aca="false">G1008*E1008/1000</f>
        <v>0.3</v>
      </c>
    </row>
    <row r="1009" customFormat="false" ht="15" hidden="false" customHeight="false" outlineLevel="0" collapsed="false">
      <c r="A1009" s="0" t="s">
        <v>117</v>
      </c>
      <c r="B1009" s="0" t="s">
        <v>599</v>
      </c>
      <c r="C1009" s="0" t="n">
        <v>99</v>
      </c>
      <c r="D1009" s="0" t="n">
        <v>0</v>
      </c>
      <c r="E1009" s="0" t="n">
        <v>6</v>
      </c>
      <c r="F1009" s="0" t="n">
        <v>99</v>
      </c>
      <c r="G1009" s="0" t="n">
        <v>100</v>
      </c>
      <c r="H1009" s="0" t="s">
        <v>145</v>
      </c>
      <c r="I1009" s="0" t="n">
        <v>100</v>
      </c>
      <c r="J1009" s="0" t="n">
        <f aca="false">F1009*E1009</f>
        <v>594</v>
      </c>
      <c r="K1009" s="0" t="str">
        <f aca="false">IF(G1009&lt;1000,"1-Low",IF(G1009&lt;5000,"2-Medium","3-Bulk"))</f>
        <v>1-Low</v>
      </c>
      <c r="L1009" s="0" t="str">
        <f aca="false">IF(H1009="TRUE","Out of stock","In stock")</f>
        <v>In stock</v>
      </c>
      <c r="M1009" s="0" t="str">
        <f aca="false">IF(D1009&lt;5,"1) Under 5%",IF(D1009&lt;10,"2) 5-9%",IF(D1009&lt;15,"3) 10-14%",IF(D1009&lt;25,"4) 15-24%","5) 25%+"))))</f>
        <v>1) Under 5%</v>
      </c>
      <c r="N1009" s="0" t="str">
        <f aca="false">IF(F1009&lt;50,"1) Under Rs 50",IF(F1009&lt;100,"2) Rs 50-99",IF(F1009&lt;200,"3) Rs 100-199",IF(F1009&lt;500,"4) Rs 200-499","5) Rs 500+"))))</f>
        <v>2) Rs 50-99</v>
      </c>
      <c r="O1009" s="0" t="n">
        <f aca="false">G1009*E1009/1000</f>
        <v>0.6</v>
      </c>
    </row>
    <row r="1010" customFormat="false" ht="15" hidden="false" customHeight="false" outlineLevel="0" collapsed="false">
      <c r="A1010" s="0" t="s">
        <v>117</v>
      </c>
      <c r="B1010" s="0" t="s">
        <v>600</v>
      </c>
      <c r="C1010" s="0" t="n">
        <v>40</v>
      </c>
      <c r="D1010" s="0" t="n">
        <v>2</v>
      </c>
      <c r="E1010" s="0" t="n">
        <v>6</v>
      </c>
      <c r="F1010" s="0" t="n">
        <v>39</v>
      </c>
      <c r="G1010" s="0" t="n">
        <v>100</v>
      </c>
      <c r="H1010" s="0" t="s">
        <v>145</v>
      </c>
      <c r="I1010" s="0" t="n">
        <v>100</v>
      </c>
      <c r="J1010" s="0" t="n">
        <f aca="false">F1010*E1010</f>
        <v>234</v>
      </c>
      <c r="K1010" s="0" t="str">
        <f aca="false">IF(G1010&lt;1000,"1-Low",IF(G1010&lt;5000,"2-Medium","3-Bulk"))</f>
        <v>1-Low</v>
      </c>
      <c r="L1010" s="0" t="str">
        <f aca="false">IF(H1010="TRUE","Out of stock","In stock")</f>
        <v>In stock</v>
      </c>
      <c r="M1010" s="0" t="str">
        <f aca="false">IF(D1010&lt;5,"1) Under 5%",IF(D1010&lt;10,"2) 5-9%",IF(D1010&lt;15,"3) 10-14%",IF(D1010&lt;25,"4) 15-24%","5) 25%+"))))</f>
        <v>1) Under 5%</v>
      </c>
      <c r="N1010" s="0" t="str">
        <f aca="false">IF(F1010&lt;50,"1) Under Rs 50",IF(F1010&lt;100,"2) Rs 50-99",IF(F1010&lt;200,"3) Rs 100-199",IF(F1010&lt;500,"4) Rs 200-499","5) Rs 500+"))))</f>
        <v>1) Under Rs 50</v>
      </c>
      <c r="O1010" s="0" t="n">
        <f aca="false">G1010*E1010/1000</f>
        <v>0.6</v>
      </c>
    </row>
    <row r="1011" customFormat="false" ht="15" hidden="false" customHeight="false" outlineLevel="0" collapsed="false">
      <c r="A1011" s="0" t="s">
        <v>117</v>
      </c>
      <c r="B1011" s="0" t="s">
        <v>601</v>
      </c>
      <c r="C1011" s="0" t="n">
        <v>170</v>
      </c>
      <c r="D1011" s="0" t="n">
        <v>6</v>
      </c>
      <c r="E1011" s="0" t="n">
        <v>6</v>
      </c>
      <c r="F1011" s="0" t="n">
        <v>159</v>
      </c>
      <c r="G1011" s="0" t="n">
        <v>270</v>
      </c>
      <c r="H1011" s="0" t="s">
        <v>145</v>
      </c>
      <c r="I1011" s="0" t="n">
        <v>270</v>
      </c>
      <c r="J1011" s="0" t="n">
        <f aca="false">F1011*E1011</f>
        <v>954</v>
      </c>
      <c r="K1011" s="0" t="str">
        <f aca="false">IF(G1011&lt;1000,"1-Low",IF(G1011&lt;5000,"2-Medium","3-Bulk"))</f>
        <v>1-Low</v>
      </c>
      <c r="L1011" s="0" t="str">
        <f aca="false">IF(H1011="TRUE","Out of stock","In stock")</f>
        <v>In stock</v>
      </c>
      <c r="M1011" s="0" t="str">
        <f aca="false">IF(D1011&lt;5,"1) Under 5%",IF(D1011&lt;10,"2) 5-9%",IF(D1011&lt;15,"3) 10-14%",IF(D1011&lt;25,"4) 15-24%","5) 25%+"))))</f>
        <v>2) 5-9%</v>
      </c>
      <c r="N1011" s="0" t="str">
        <f aca="false">IF(F1011&lt;50,"1) Under Rs 50",IF(F1011&lt;100,"2) Rs 50-99",IF(F1011&lt;200,"3) Rs 100-199",IF(F1011&lt;500,"4) Rs 200-499","5) Rs 500+"))))</f>
        <v>3) Rs 100-199</v>
      </c>
      <c r="O1011" s="0" t="n">
        <f aca="false">G1011*E1011/1000</f>
        <v>1.62</v>
      </c>
    </row>
    <row r="1012" customFormat="false" ht="15" hidden="false" customHeight="false" outlineLevel="0" collapsed="false">
      <c r="A1012" s="0" t="s">
        <v>117</v>
      </c>
      <c r="B1012" s="0" t="s">
        <v>602</v>
      </c>
      <c r="C1012" s="0" t="n">
        <v>25</v>
      </c>
      <c r="D1012" s="0" t="n">
        <v>0</v>
      </c>
      <c r="E1012" s="0" t="n">
        <v>1</v>
      </c>
      <c r="F1012" s="0" t="n">
        <v>25</v>
      </c>
      <c r="G1012" s="0" t="n">
        <v>77</v>
      </c>
      <c r="H1012" s="0" t="s">
        <v>145</v>
      </c>
      <c r="I1012" s="0" t="n">
        <v>77</v>
      </c>
      <c r="J1012" s="0" t="n">
        <f aca="false">F1012*E1012</f>
        <v>25</v>
      </c>
      <c r="K1012" s="0" t="str">
        <f aca="false">IF(G1012&lt;1000,"1-Low",IF(G1012&lt;5000,"2-Medium","3-Bulk"))</f>
        <v>1-Low</v>
      </c>
      <c r="L1012" s="0" t="str">
        <f aca="false">IF(H1012="TRUE","Out of stock","In stock")</f>
        <v>In stock</v>
      </c>
      <c r="M1012" s="0" t="str">
        <f aca="false">IF(D1012&lt;5,"1) Under 5%",IF(D1012&lt;10,"2) 5-9%",IF(D1012&lt;15,"3) 10-14%",IF(D1012&lt;25,"4) 15-24%","5) 25%+"))))</f>
        <v>1) Under 5%</v>
      </c>
      <c r="N1012" s="0" t="str">
        <f aca="false">IF(F1012&lt;50,"1) Under Rs 50",IF(F1012&lt;100,"2) Rs 50-99",IF(F1012&lt;200,"3) Rs 100-199",IF(F1012&lt;500,"4) Rs 200-499","5) Rs 500+"))))</f>
        <v>1) Under Rs 50</v>
      </c>
      <c r="O1012" s="0" t="n">
        <f aca="false">G1012*E1012/1000</f>
        <v>0.077</v>
      </c>
    </row>
    <row r="1013" customFormat="false" ht="15" hidden="false" customHeight="false" outlineLevel="0" collapsed="false">
      <c r="A1013" s="0" t="s">
        <v>117</v>
      </c>
      <c r="B1013" s="0" t="s">
        <v>603</v>
      </c>
      <c r="C1013" s="0" t="n">
        <v>110</v>
      </c>
      <c r="D1013" s="0" t="n">
        <v>6</v>
      </c>
      <c r="E1013" s="0" t="n">
        <v>6</v>
      </c>
      <c r="F1013" s="0" t="n">
        <v>103</v>
      </c>
      <c r="G1013" s="0" t="n">
        <v>500</v>
      </c>
      <c r="H1013" s="0" t="s">
        <v>145</v>
      </c>
      <c r="I1013" s="0" t="n">
        <v>500</v>
      </c>
      <c r="J1013" s="0" t="n">
        <f aca="false">F1013*E1013</f>
        <v>618</v>
      </c>
      <c r="K1013" s="0" t="str">
        <f aca="false">IF(G1013&lt;1000,"1-Low",IF(G1013&lt;5000,"2-Medium","3-Bulk"))</f>
        <v>1-Low</v>
      </c>
      <c r="L1013" s="0" t="str">
        <f aca="false">IF(H1013="TRUE","Out of stock","In stock")</f>
        <v>In stock</v>
      </c>
      <c r="M1013" s="0" t="str">
        <f aca="false">IF(D1013&lt;5,"1) Under 5%",IF(D1013&lt;10,"2) 5-9%",IF(D1013&lt;15,"3) 10-14%",IF(D1013&lt;25,"4) 15-24%","5) 25%+"))))</f>
        <v>2) 5-9%</v>
      </c>
      <c r="N1013" s="0" t="str">
        <f aca="false">IF(F1013&lt;50,"1) Under Rs 50",IF(F1013&lt;100,"2) Rs 50-99",IF(F1013&lt;200,"3) Rs 100-199",IF(F1013&lt;500,"4) Rs 200-499","5) Rs 500+"))))</f>
        <v>3) Rs 100-199</v>
      </c>
      <c r="O1013" s="0" t="n">
        <f aca="false">G1013*E1013/1000</f>
        <v>3</v>
      </c>
    </row>
    <row r="1014" customFormat="false" ht="15" hidden="false" customHeight="false" outlineLevel="0" collapsed="false">
      <c r="A1014" s="0" t="s">
        <v>117</v>
      </c>
      <c r="B1014" s="0" t="s">
        <v>513</v>
      </c>
      <c r="C1014" s="0" t="n">
        <v>270</v>
      </c>
      <c r="D1014" s="0" t="n">
        <v>7</v>
      </c>
      <c r="E1014" s="0" t="n">
        <v>6</v>
      </c>
      <c r="F1014" s="0" t="n">
        <v>251</v>
      </c>
      <c r="G1014" s="0" t="n">
        <v>50</v>
      </c>
      <c r="H1014" s="0" t="s">
        <v>145</v>
      </c>
      <c r="I1014" s="0" t="n">
        <v>50</v>
      </c>
      <c r="J1014" s="0" t="n">
        <f aca="false">F1014*E1014</f>
        <v>1506</v>
      </c>
      <c r="K1014" s="0" t="str">
        <f aca="false">IF(G1014&lt;1000,"1-Low",IF(G1014&lt;5000,"2-Medium","3-Bulk"))</f>
        <v>1-Low</v>
      </c>
      <c r="L1014" s="0" t="str">
        <f aca="false">IF(H1014="TRUE","Out of stock","In stock")</f>
        <v>In stock</v>
      </c>
      <c r="M1014" s="0" t="str">
        <f aca="false">IF(D1014&lt;5,"1) Under 5%",IF(D1014&lt;10,"2) 5-9%",IF(D1014&lt;15,"3) 10-14%",IF(D1014&lt;25,"4) 15-24%","5) 25%+"))))</f>
        <v>2) 5-9%</v>
      </c>
      <c r="N1014" s="0" t="str">
        <f aca="false">IF(F1014&lt;50,"1) Under Rs 50",IF(F1014&lt;100,"2) Rs 50-99",IF(F1014&lt;200,"3) Rs 100-199",IF(F1014&lt;500,"4) Rs 200-499","5) Rs 500+"))))</f>
        <v>4) Rs 200-499</v>
      </c>
      <c r="O1014" s="0" t="n">
        <f aca="false">G1014*E1014/1000</f>
        <v>0.3</v>
      </c>
    </row>
    <row r="1015" customFormat="false" ht="15" hidden="false" customHeight="false" outlineLevel="0" collapsed="false">
      <c r="A1015" s="0" t="s">
        <v>117</v>
      </c>
      <c r="B1015" s="0" t="s">
        <v>604</v>
      </c>
      <c r="C1015" s="0" t="n">
        <v>295</v>
      </c>
      <c r="D1015" s="0" t="n">
        <v>0</v>
      </c>
      <c r="E1015" s="0" t="n">
        <v>4</v>
      </c>
      <c r="F1015" s="0" t="n">
        <v>295</v>
      </c>
      <c r="G1015" s="0" t="n">
        <v>500</v>
      </c>
      <c r="H1015" s="0" t="s">
        <v>145</v>
      </c>
      <c r="I1015" s="0" t="n">
        <v>500</v>
      </c>
      <c r="J1015" s="0" t="n">
        <f aca="false">F1015*E1015</f>
        <v>1180</v>
      </c>
      <c r="K1015" s="0" t="str">
        <f aca="false">IF(G1015&lt;1000,"1-Low",IF(G1015&lt;5000,"2-Medium","3-Bulk"))</f>
        <v>1-Low</v>
      </c>
      <c r="L1015" s="0" t="str">
        <f aca="false">IF(H1015="TRUE","Out of stock","In stock")</f>
        <v>In stock</v>
      </c>
      <c r="M1015" s="0" t="str">
        <f aca="false">IF(D1015&lt;5,"1) Under 5%",IF(D1015&lt;10,"2) 5-9%",IF(D1015&lt;15,"3) 10-14%",IF(D1015&lt;25,"4) 15-24%","5) 25%+"))))</f>
        <v>1) Under 5%</v>
      </c>
      <c r="N1015" s="0" t="str">
        <f aca="false">IF(F1015&lt;50,"1) Under Rs 50",IF(F1015&lt;100,"2) Rs 50-99",IF(F1015&lt;200,"3) Rs 100-199",IF(F1015&lt;500,"4) Rs 200-499","5) Rs 500+"))))</f>
        <v>4) Rs 200-499</v>
      </c>
      <c r="O1015" s="0" t="n">
        <f aca="false">G1015*E1015/1000</f>
        <v>2</v>
      </c>
    </row>
    <row r="1016" customFormat="false" ht="15" hidden="false" customHeight="false" outlineLevel="0" collapsed="false">
      <c r="A1016" s="0" t="s">
        <v>117</v>
      </c>
      <c r="B1016" s="0" t="s">
        <v>605</v>
      </c>
      <c r="C1016" s="0" t="n">
        <v>250</v>
      </c>
      <c r="D1016" s="0" t="n">
        <v>0</v>
      </c>
      <c r="E1016" s="0" t="n">
        <v>5</v>
      </c>
      <c r="F1016" s="0" t="n">
        <v>250</v>
      </c>
      <c r="G1016" s="0" t="n">
        <v>400</v>
      </c>
      <c r="H1016" s="0" t="s">
        <v>145</v>
      </c>
      <c r="I1016" s="0" t="n">
        <v>400</v>
      </c>
      <c r="J1016" s="0" t="n">
        <f aca="false">F1016*E1016</f>
        <v>1250</v>
      </c>
      <c r="K1016" s="0" t="str">
        <f aca="false">IF(G1016&lt;1000,"1-Low",IF(G1016&lt;5000,"2-Medium","3-Bulk"))</f>
        <v>1-Low</v>
      </c>
      <c r="L1016" s="0" t="str">
        <f aca="false">IF(H1016="TRUE","Out of stock","In stock")</f>
        <v>In stock</v>
      </c>
      <c r="M1016" s="0" t="str">
        <f aca="false">IF(D1016&lt;5,"1) Under 5%",IF(D1016&lt;10,"2) 5-9%",IF(D1016&lt;15,"3) 10-14%",IF(D1016&lt;25,"4) 15-24%","5) 25%+"))))</f>
        <v>1) Under 5%</v>
      </c>
      <c r="N1016" s="0" t="str">
        <f aca="false">IF(F1016&lt;50,"1) Under Rs 50",IF(F1016&lt;100,"2) Rs 50-99",IF(F1016&lt;200,"3) Rs 100-199",IF(F1016&lt;500,"4) Rs 200-499","5) Rs 500+"))))</f>
        <v>4) Rs 200-499</v>
      </c>
      <c r="O1016" s="0" t="n">
        <f aca="false">G1016*E1016/1000</f>
        <v>2</v>
      </c>
    </row>
    <row r="1017" customFormat="false" ht="15" hidden="false" customHeight="false" outlineLevel="0" collapsed="false">
      <c r="A1017" s="0" t="s">
        <v>117</v>
      </c>
      <c r="B1017" s="0" t="s">
        <v>606</v>
      </c>
      <c r="C1017" s="0" t="n">
        <v>490</v>
      </c>
      <c r="D1017" s="0" t="n">
        <v>11</v>
      </c>
      <c r="E1017" s="0" t="n">
        <v>6</v>
      </c>
      <c r="F1017" s="0" t="n">
        <v>436</v>
      </c>
      <c r="G1017" s="0" t="n">
        <v>2000</v>
      </c>
      <c r="H1017" s="0" t="s">
        <v>145</v>
      </c>
      <c r="I1017" s="0" t="n">
        <v>2</v>
      </c>
      <c r="J1017" s="0" t="n">
        <f aca="false">F1017*E1017</f>
        <v>2616</v>
      </c>
      <c r="K1017" s="0" t="str">
        <f aca="false">IF(G1017&lt;1000,"1-Low",IF(G1017&lt;5000,"2-Medium","3-Bulk"))</f>
        <v>2-Medium</v>
      </c>
      <c r="L1017" s="0" t="str">
        <f aca="false">IF(H1017="TRUE","Out of stock","In stock")</f>
        <v>In stock</v>
      </c>
      <c r="M1017" s="0" t="str">
        <f aca="false">IF(D1017&lt;5,"1) Under 5%",IF(D1017&lt;10,"2) 5-9%",IF(D1017&lt;15,"3) 10-14%",IF(D1017&lt;25,"4) 15-24%","5) 25%+"))))</f>
        <v>3) 10-14%</v>
      </c>
      <c r="N1017" s="0" t="str">
        <f aca="false">IF(F1017&lt;50,"1) Under Rs 50",IF(F1017&lt;100,"2) Rs 50-99",IF(F1017&lt;200,"3) Rs 100-199",IF(F1017&lt;500,"4) Rs 200-499","5) Rs 500+"))))</f>
        <v>4) Rs 200-499</v>
      </c>
      <c r="O1017" s="0" t="n">
        <f aca="false">G1017*E1017/1000</f>
        <v>12</v>
      </c>
    </row>
    <row r="1018" customFormat="false" ht="15" hidden="false" customHeight="false" outlineLevel="0" collapsed="false">
      <c r="A1018" s="0" t="s">
        <v>117</v>
      </c>
      <c r="B1018" s="0" t="s">
        <v>607</v>
      </c>
      <c r="C1018" s="0" t="n">
        <v>140</v>
      </c>
      <c r="D1018" s="0" t="n">
        <v>0</v>
      </c>
      <c r="E1018" s="0" t="n">
        <v>6</v>
      </c>
      <c r="F1018" s="0" t="n">
        <v>140</v>
      </c>
      <c r="G1018" s="0" t="n">
        <v>500</v>
      </c>
      <c r="H1018" s="0" t="s">
        <v>145</v>
      </c>
      <c r="I1018" s="0" t="n">
        <v>500</v>
      </c>
      <c r="J1018" s="0" t="n">
        <f aca="false">F1018*E1018</f>
        <v>840</v>
      </c>
      <c r="K1018" s="0" t="str">
        <f aca="false">IF(G1018&lt;1000,"1-Low",IF(G1018&lt;5000,"2-Medium","3-Bulk"))</f>
        <v>1-Low</v>
      </c>
      <c r="L1018" s="0" t="str">
        <f aca="false">IF(H1018="TRUE","Out of stock","In stock")</f>
        <v>In stock</v>
      </c>
      <c r="M1018" s="0" t="str">
        <f aca="false">IF(D1018&lt;5,"1) Under 5%",IF(D1018&lt;10,"2) 5-9%",IF(D1018&lt;15,"3) 10-14%",IF(D1018&lt;25,"4) 15-24%","5) 25%+"))))</f>
        <v>1) Under 5%</v>
      </c>
      <c r="N1018" s="0" t="str">
        <f aca="false">IF(F1018&lt;50,"1) Under Rs 50",IF(F1018&lt;100,"2) Rs 50-99",IF(F1018&lt;200,"3) Rs 100-199",IF(F1018&lt;500,"4) Rs 200-499","5) Rs 500+"))))</f>
        <v>3) Rs 100-199</v>
      </c>
      <c r="O1018" s="0" t="n">
        <f aca="false">G1018*E1018/1000</f>
        <v>3</v>
      </c>
    </row>
    <row r="1019" customFormat="false" ht="15" hidden="false" customHeight="false" outlineLevel="0" collapsed="false">
      <c r="A1019" s="0" t="s">
        <v>117</v>
      </c>
      <c r="B1019" s="0" t="s">
        <v>415</v>
      </c>
      <c r="C1019" s="0" t="n">
        <v>185</v>
      </c>
      <c r="D1019" s="0" t="n">
        <v>5</v>
      </c>
      <c r="E1019" s="0" t="n">
        <v>3</v>
      </c>
      <c r="F1019" s="0" t="n">
        <v>175</v>
      </c>
      <c r="G1019" s="0" t="n">
        <v>300</v>
      </c>
      <c r="H1019" s="0" t="s">
        <v>145</v>
      </c>
      <c r="I1019" s="0" t="n">
        <v>300</v>
      </c>
      <c r="J1019" s="0" t="n">
        <f aca="false">F1019*E1019</f>
        <v>525</v>
      </c>
      <c r="K1019" s="0" t="str">
        <f aca="false">IF(G1019&lt;1000,"1-Low",IF(G1019&lt;5000,"2-Medium","3-Bulk"))</f>
        <v>1-Low</v>
      </c>
      <c r="L1019" s="0" t="str">
        <f aca="false">IF(H1019="TRUE","Out of stock","In stock")</f>
        <v>In stock</v>
      </c>
      <c r="M1019" s="0" t="str">
        <f aca="false">IF(D1019&lt;5,"1) Under 5%",IF(D1019&lt;10,"2) 5-9%",IF(D1019&lt;15,"3) 10-14%",IF(D1019&lt;25,"4) 15-24%","5) 25%+"))))</f>
        <v>2) 5-9%</v>
      </c>
      <c r="N1019" s="0" t="str">
        <f aca="false">IF(F1019&lt;50,"1) Under Rs 50",IF(F1019&lt;100,"2) Rs 50-99",IF(F1019&lt;200,"3) Rs 100-199",IF(F1019&lt;500,"4) Rs 200-499","5) Rs 500+"))))</f>
        <v>3) Rs 100-199</v>
      </c>
      <c r="O1019" s="0" t="n">
        <f aca="false">G1019*E1019/1000</f>
        <v>0.9</v>
      </c>
    </row>
    <row r="1020" customFormat="false" ht="15" hidden="false" customHeight="false" outlineLevel="0" collapsed="false">
      <c r="A1020" s="0" t="s">
        <v>117</v>
      </c>
      <c r="B1020" s="0" t="s">
        <v>608</v>
      </c>
      <c r="C1020" s="0" t="n">
        <v>250</v>
      </c>
      <c r="D1020" s="0" t="n">
        <v>14</v>
      </c>
      <c r="E1020" s="0" t="n">
        <v>6</v>
      </c>
      <c r="F1020" s="0" t="n">
        <v>213</v>
      </c>
      <c r="G1020" s="0" t="n">
        <v>410</v>
      </c>
      <c r="H1020" s="0" t="s">
        <v>145</v>
      </c>
      <c r="I1020" s="0" t="n">
        <v>410</v>
      </c>
      <c r="J1020" s="0" t="n">
        <f aca="false">F1020*E1020</f>
        <v>1278</v>
      </c>
      <c r="K1020" s="0" t="str">
        <f aca="false">IF(G1020&lt;1000,"1-Low",IF(G1020&lt;5000,"2-Medium","3-Bulk"))</f>
        <v>1-Low</v>
      </c>
      <c r="L1020" s="0" t="str">
        <f aca="false">IF(H1020="TRUE","Out of stock","In stock")</f>
        <v>In stock</v>
      </c>
      <c r="M1020" s="0" t="str">
        <f aca="false">IF(D1020&lt;5,"1) Under 5%",IF(D1020&lt;10,"2) 5-9%",IF(D1020&lt;15,"3) 10-14%",IF(D1020&lt;25,"4) 15-24%","5) 25%+"))))</f>
        <v>3) 10-14%</v>
      </c>
      <c r="N1020" s="0" t="str">
        <f aca="false">IF(F1020&lt;50,"1) Under Rs 50",IF(F1020&lt;100,"2) Rs 50-99",IF(F1020&lt;200,"3) Rs 100-199",IF(F1020&lt;500,"4) Rs 200-499","5) Rs 500+"))))</f>
        <v>4) Rs 200-499</v>
      </c>
      <c r="O1020" s="0" t="n">
        <f aca="false">G1020*E1020/1000</f>
        <v>2.46</v>
      </c>
    </row>
    <row r="1021" customFormat="false" ht="15" hidden="false" customHeight="false" outlineLevel="0" collapsed="false">
      <c r="A1021" s="0" t="s">
        <v>117</v>
      </c>
      <c r="B1021" s="0" t="s">
        <v>609</v>
      </c>
      <c r="C1021" s="0" t="n">
        <v>175</v>
      </c>
      <c r="D1021" s="0" t="n">
        <v>10</v>
      </c>
      <c r="E1021" s="0" t="n">
        <v>6</v>
      </c>
      <c r="F1021" s="0" t="n">
        <v>156</v>
      </c>
      <c r="G1021" s="0" t="n">
        <v>225</v>
      </c>
      <c r="H1021" s="0" t="s">
        <v>145</v>
      </c>
      <c r="I1021" s="0" t="n">
        <v>225</v>
      </c>
      <c r="J1021" s="0" t="n">
        <f aca="false">F1021*E1021</f>
        <v>936</v>
      </c>
      <c r="K1021" s="0" t="str">
        <f aca="false">IF(G1021&lt;1000,"1-Low",IF(G1021&lt;5000,"2-Medium","3-Bulk"))</f>
        <v>1-Low</v>
      </c>
      <c r="L1021" s="0" t="str">
        <f aca="false">IF(H1021="TRUE","Out of stock","In stock")</f>
        <v>In stock</v>
      </c>
      <c r="M1021" s="0" t="str">
        <f aca="false">IF(D1021&lt;5,"1) Under 5%",IF(D1021&lt;10,"2) 5-9%",IF(D1021&lt;15,"3) 10-14%",IF(D1021&lt;25,"4) 15-24%","5) 25%+"))))</f>
        <v>3) 10-14%</v>
      </c>
      <c r="N1021" s="0" t="str">
        <f aca="false">IF(F1021&lt;50,"1) Under Rs 50",IF(F1021&lt;100,"2) Rs 50-99",IF(F1021&lt;200,"3) Rs 100-199",IF(F1021&lt;500,"4) Rs 200-499","5) Rs 500+"))))</f>
        <v>3) Rs 100-199</v>
      </c>
      <c r="O1021" s="0" t="n">
        <f aca="false">G1021*E1021/1000</f>
        <v>1.35</v>
      </c>
    </row>
    <row r="1022" customFormat="false" ht="15" hidden="false" customHeight="false" outlineLevel="0" collapsed="false">
      <c r="A1022" s="0" t="s">
        <v>117</v>
      </c>
      <c r="B1022" s="0" t="s">
        <v>610</v>
      </c>
      <c r="C1022" s="0" t="n">
        <v>200</v>
      </c>
      <c r="D1022" s="0" t="n">
        <v>0</v>
      </c>
      <c r="E1022" s="0" t="n">
        <v>6</v>
      </c>
      <c r="F1022" s="0" t="n">
        <v>200</v>
      </c>
      <c r="G1022" s="0" t="n">
        <v>450</v>
      </c>
      <c r="H1022" s="0" t="s">
        <v>145</v>
      </c>
      <c r="I1022" s="0" t="n">
        <v>450</v>
      </c>
      <c r="J1022" s="0" t="n">
        <f aca="false">F1022*E1022</f>
        <v>1200</v>
      </c>
      <c r="K1022" s="0" t="str">
        <f aca="false">IF(G1022&lt;1000,"1-Low",IF(G1022&lt;5000,"2-Medium","3-Bulk"))</f>
        <v>1-Low</v>
      </c>
      <c r="L1022" s="0" t="str">
        <f aca="false">IF(H1022="TRUE","Out of stock","In stock")</f>
        <v>In stock</v>
      </c>
      <c r="M1022" s="0" t="str">
        <f aca="false">IF(D1022&lt;5,"1) Under 5%",IF(D1022&lt;10,"2) 5-9%",IF(D1022&lt;15,"3) 10-14%",IF(D1022&lt;25,"4) 15-24%","5) 25%+"))))</f>
        <v>1) Under 5%</v>
      </c>
      <c r="N1022" s="0" t="str">
        <f aca="false">IF(F1022&lt;50,"1) Under Rs 50",IF(F1022&lt;100,"2) Rs 50-99",IF(F1022&lt;200,"3) Rs 100-199",IF(F1022&lt;500,"4) Rs 200-499","5) Rs 500+"))))</f>
        <v>4) Rs 200-499</v>
      </c>
      <c r="O1022" s="0" t="n">
        <f aca="false">G1022*E1022/1000</f>
        <v>2.7</v>
      </c>
    </row>
    <row r="1023" customFormat="false" ht="15" hidden="false" customHeight="false" outlineLevel="0" collapsed="false">
      <c r="A1023" s="0" t="s">
        <v>117</v>
      </c>
      <c r="B1023" s="0" t="s">
        <v>611</v>
      </c>
      <c r="C1023" s="0" t="n">
        <v>80</v>
      </c>
      <c r="D1023" s="0" t="n">
        <v>0</v>
      </c>
      <c r="E1023" s="0" t="n">
        <v>6</v>
      </c>
      <c r="F1023" s="0" t="n">
        <v>80</v>
      </c>
      <c r="G1023" s="0" t="n">
        <v>100</v>
      </c>
      <c r="H1023" s="0" t="s">
        <v>145</v>
      </c>
      <c r="I1023" s="0" t="n">
        <v>100</v>
      </c>
      <c r="J1023" s="0" t="n">
        <f aca="false">F1023*E1023</f>
        <v>480</v>
      </c>
      <c r="K1023" s="0" t="str">
        <f aca="false">IF(G1023&lt;1000,"1-Low",IF(G1023&lt;5000,"2-Medium","3-Bulk"))</f>
        <v>1-Low</v>
      </c>
      <c r="L1023" s="0" t="str">
        <f aca="false">IF(H1023="TRUE","Out of stock","In stock")</f>
        <v>In stock</v>
      </c>
      <c r="M1023" s="0" t="str">
        <f aca="false">IF(D1023&lt;5,"1) Under 5%",IF(D1023&lt;10,"2) 5-9%",IF(D1023&lt;15,"3) 10-14%",IF(D1023&lt;25,"4) 15-24%","5) 25%+"))))</f>
        <v>1) Under 5%</v>
      </c>
      <c r="N1023" s="0" t="str">
        <f aca="false">IF(F1023&lt;50,"1) Under Rs 50",IF(F1023&lt;100,"2) Rs 50-99",IF(F1023&lt;200,"3) Rs 100-199",IF(F1023&lt;500,"4) Rs 200-499","5) Rs 500+"))))</f>
        <v>2) Rs 50-99</v>
      </c>
      <c r="O1023" s="0" t="n">
        <f aca="false">G1023*E1023/1000</f>
        <v>0.6</v>
      </c>
    </row>
    <row r="1024" customFormat="false" ht="15" hidden="false" customHeight="false" outlineLevel="0" collapsed="false">
      <c r="A1024" s="0" t="s">
        <v>117</v>
      </c>
      <c r="B1024" s="0" t="s">
        <v>612</v>
      </c>
      <c r="C1024" s="0" t="n">
        <v>66</v>
      </c>
      <c r="D1024" s="0" t="n">
        <v>0</v>
      </c>
      <c r="E1024" s="0" t="n">
        <v>6</v>
      </c>
      <c r="F1024" s="0" t="n">
        <v>66</v>
      </c>
      <c r="G1024" s="0" t="n">
        <v>50</v>
      </c>
      <c r="H1024" s="0" t="s">
        <v>145</v>
      </c>
      <c r="I1024" s="0" t="n">
        <v>50</v>
      </c>
      <c r="J1024" s="0" t="n">
        <f aca="false">F1024*E1024</f>
        <v>396</v>
      </c>
      <c r="K1024" s="0" t="str">
        <f aca="false">IF(G1024&lt;1000,"1-Low",IF(G1024&lt;5000,"2-Medium","3-Bulk"))</f>
        <v>1-Low</v>
      </c>
      <c r="L1024" s="0" t="str">
        <f aca="false">IF(H1024="TRUE","Out of stock","In stock")</f>
        <v>In stock</v>
      </c>
      <c r="M1024" s="0" t="str">
        <f aca="false">IF(D1024&lt;5,"1) Under 5%",IF(D1024&lt;10,"2) 5-9%",IF(D1024&lt;15,"3) 10-14%",IF(D1024&lt;25,"4) 15-24%","5) 25%+"))))</f>
        <v>1) Under 5%</v>
      </c>
      <c r="N1024" s="0" t="str">
        <f aca="false">IF(F1024&lt;50,"1) Under Rs 50",IF(F1024&lt;100,"2) Rs 50-99",IF(F1024&lt;200,"3) Rs 100-199",IF(F1024&lt;500,"4) Rs 200-499","5) Rs 500+"))))</f>
        <v>2) Rs 50-99</v>
      </c>
      <c r="O1024" s="0" t="n">
        <f aca="false">G1024*E1024/1000</f>
        <v>0.3</v>
      </c>
    </row>
    <row r="1025" customFormat="false" ht="15" hidden="false" customHeight="false" outlineLevel="0" collapsed="false">
      <c r="A1025" s="0" t="s">
        <v>117</v>
      </c>
      <c r="B1025" s="0" t="s">
        <v>613</v>
      </c>
      <c r="C1025" s="0" t="n">
        <v>135</v>
      </c>
      <c r="D1025" s="0" t="n">
        <v>0</v>
      </c>
      <c r="E1025" s="0" t="n">
        <v>6</v>
      </c>
      <c r="F1025" s="0" t="n">
        <v>135</v>
      </c>
      <c r="G1025" s="0" t="n">
        <v>500</v>
      </c>
      <c r="H1025" s="0" t="s">
        <v>145</v>
      </c>
      <c r="I1025" s="0" t="n">
        <v>500</v>
      </c>
      <c r="J1025" s="0" t="n">
        <f aca="false">F1025*E1025</f>
        <v>810</v>
      </c>
      <c r="K1025" s="0" t="str">
        <f aca="false">IF(G1025&lt;1000,"1-Low",IF(G1025&lt;5000,"2-Medium","3-Bulk"))</f>
        <v>1-Low</v>
      </c>
      <c r="L1025" s="0" t="str">
        <f aca="false">IF(H1025="TRUE","Out of stock","In stock")</f>
        <v>In stock</v>
      </c>
      <c r="M1025" s="0" t="str">
        <f aca="false">IF(D1025&lt;5,"1) Under 5%",IF(D1025&lt;10,"2) 5-9%",IF(D1025&lt;15,"3) 10-14%",IF(D1025&lt;25,"4) 15-24%","5) 25%+"))))</f>
        <v>1) Under 5%</v>
      </c>
      <c r="N1025" s="0" t="str">
        <f aca="false">IF(F1025&lt;50,"1) Under Rs 50",IF(F1025&lt;100,"2) Rs 50-99",IF(F1025&lt;200,"3) Rs 100-199",IF(F1025&lt;500,"4) Rs 200-499","5) Rs 500+"))))</f>
        <v>3) Rs 100-199</v>
      </c>
      <c r="O1025" s="0" t="n">
        <f aca="false">G1025*E1025/1000</f>
        <v>3</v>
      </c>
    </row>
    <row r="1026" customFormat="false" ht="15" hidden="false" customHeight="false" outlineLevel="0" collapsed="false">
      <c r="A1026" s="0" t="s">
        <v>117</v>
      </c>
      <c r="B1026" s="0" t="s">
        <v>490</v>
      </c>
      <c r="C1026" s="0" t="n">
        <v>199</v>
      </c>
      <c r="D1026" s="0" t="n">
        <v>10</v>
      </c>
      <c r="E1026" s="0" t="n">
        <v>6</v>
      </c>
      <c r="F1026" s="0" t="n">
        <v>179</v>
      </c>
      <c r="G1026" s="0" t="n">
        <v>240</v>
      </c>
      <c r="H1026" s="0" t="s">
        <v>145</v>
      </c>
      <c r="I1026" s="0" t="n">
        <v>240</v>
      </c>
      <c r="J1026" s="0" t="n">
        <f aca="false">F1026*E1026</f>
        <v>1074</v>
      </c>
      <c r="K1026" s="0" t="str">
        <f aca="false">IF(G1026&lt;1000,"1-Low",IF(G1026&lt;5000,"2-Medium","3-Bulk"))</f>
        <v>1-Low</v>
      </c>
      <c r="L1026" s="0" t="str">
        <f aca="false">IF(H1026="TRUE","Out of stock","In stock")</f>
        <v>In stock</v>
      </c>
      <c r="M1026" s="0" t="str">
        <f aca="false">IF(D1026&lt;5,"1) Under 5%",IF(D1026&lt;10,"2) 5-9%",IF(D1026&lt;15,"3) 10-14%",IF(D1026&lt;25,"4) 15-24%","5) 25%+"))))</f>
        <v>3) 10-14%</v>
      </c>
      <c r="N1026" s="0" t="str">
        <f aca="false">IF(F1026&lt;50,"1) Under Rs 50",IF(F1026&lt;100,"2) Rs 50-99",IF(F1026&lt;200,"3) Rs 100-199",IF(F1026&lt;500,"4) Rs 200-499","5) Rs 500+"))))</f>
        <v>3) Rs 100-199</v>
      </c>
      <c r="O1026" s="0" t="n">
        <f aca="false">G1026*E1026/1000</f>
        <v>1.44</v>
      </c>
    </row>
    <row r="1027" customFormat="false" ht="15" hidden="false" customHeight="false" outlineLevel="0" collapsed="false">
      <c r="A1027" s="0" t="s">
        <v>117</v>
      </c>
      <c r="B1027" s="0" t="s">
        <v>83</v>
      </c>
      <c r="C1027" s="0" t="n">
        <v>1050</v>
      </c>
      <c r="D1027" s="0" t="n">
        <v>0</v>
      </c>
      <c r="E1027" s="0" t="n">
        <v>2</v>
      </c>
      <c r="F1027" s="0" t="n">
        <v>1050</v>
      </c>
      <c r="G1027" s="0" t="n">
        <v>5000</v>
      </c>
      <c r="H1027" s="0" t="s">
        <v>145</v>
      </c>
      <c r="I1027" s="0" t="n">
        <v>5</v>
      </c>
      <c r="J1027" s="0" t="n">
        <f aca="false">F1027*E1027</f>
        <v>2100</v>
      </c>
      <c r="K1027" s="0" t="str">
        <f aca="false">IF(G1027&lt;1000,"1-Low",IF(G1027&lt;5000,"2-Medium","3-Bulk"))</f>
        <v>3-Bulk</v>
      </c>
      <c r="L1027" s="0" t="str">
        <f aca="false">IF(H1027="TRUE","Out of stock","In stock")</f>
        <v>In stock</v>
      </c>
      <c r="M1027" s="0" t="str">
        <f aca="false">IF(D1027&lt;5,"1) Under 5%",IF(D1027&lt;10,"2) 5-9%",IF(D1027&lt;15,"3) 10-14%",IF(D1027&lt;25,"4) 15-24%","5) 25%+"))))</f>
        <v>1) Under 5%</v>
      </c>
      <c r="N1027" s="0" t="str">
        <f aca="false">IF(F1027&lt;50,"1) Under Rs 50",IF(F1027&lt;100,"2) Rs 50-99",IF(F1027&lt;200,"3) Rs 100-199",IF(F1027&lt;500,"4) Rs 200-499","5) Rs 500+"))))</f>
        <v>5) Rs 500+</v>
      </c>
      <c r="O1027" s="0" t="n">
        <f aca="false">G1027*E1027/1000</f>
        <v>10</v>
      </c>
    </row>
    <row r="1028" customFormat="false" ht="15" hidden="false" customHeight="false" outlineLevel="0" collapsed="false">
      <c r="A1028" s="0" t="s">
        <v>117</v>
      </c>
      <c r="B1028" s="0" t="s">
        <v>614</v>
      </c>
      <c r="C1028" s="0" t="n">
        <v>475</v>
      </c>
      <c r="D1028" s="0" t="n">
        <v>10</v>
      </c>
      <c r="E1028" s="0" t="n">
        <v>6</v>
      </c>
      <c r="F1028" s="0" t="n">
        <v>423</v>
      </c>
      <c r="G1028" s="0" t="n">
        <v>5000</v>
      </c>
      <c r="H1028" s="0" t="s">
        <v>145</v>
      </c>
      <c r="I1028" s="0" t="n">
        <v>5</v>
      </c>
      <c r="J1028" s="0" t="n">
        <f aca="false">F1028*E1028</f>
        <v>2538</v>
      </c>
      <c r="K1028" s="0" t="str">
        <f aca="false">IF(G1028&lt;1000,"1-Low",IF(G1028&lt;5000,"2-Medium","3-Bulk"))</f>
        <v>3-Bulk</v>
      </c>
      <c r="L1028" s="0" t="str">
        <f aca="false">IF(H1028="TRUE","Out of stock","In stock")</f>
        <v>In stock</v>
      </c>
      <c r="M1028" s="0" t="str">
        <f aca="false">IF(D1028&lt;5,"1) Under 5%",IF(D1028&lt;10,"2) 5-9%",IF(D1028&lt;15,"3) 10-14%",IF(D1028&lt;25,"4) 15-24%","5) 25%+"))))</f>
        <v>3) 10-14%</v>
      </c>
      <c r="N1028" s="0" t="str">
        <f aca="false">IF(F1028&lt;50,"1) Under Rs 50",IF(F1028&lt;100,"2) Rs 50-99",IF(F1028&lt;200,"3) Rs 100-199",IF(F1028&lt;500,"4) Rs 200-499","5) Rs 500+"))))</f>
        <v>4) Rs 200-499</v>
      </c>
      <c r="O1028" s="0" t="n">
        <f aca="false">G1028*E1028/1000</f>
        <v>30</v>
      </c>
    </row>
    <row r="1029" customFormat="false" ht="15" hidden="false" customHeight="false" outlineLevel="0" collapsed="false">
      <c r="A1029" s="0" t="s">
        <v>117</v>
      </c>
      <c r="B1029" s="0" t="s">
        <v>615</v>
      </c>
      <c r="C1029" s="0" t="n">
        <v>130</v>
      </c>
      <c r="D1029" s="0" t="n">
        <v>7</v>
      </c>
      <c r="E1029" s="0" t="n">
        <v>6</v>
      </c>
      <c r="F1029" s="0" t="n">
        <v>120</v>
      </c>
      <c r="G1029" s="0" t="n">
        <v>500</v>
      </c>
      <c r="H1029" s="0" t="s">
        <v>145</v>
      </c>
      <c r="I1029" s="0" t="n">
        <v>500</v>
      </c>
      <c r="J1029" s="0" t="n">
        <f aca="false">F1029*E1029</f>
        <v>720</v>
      </c>
      <c r="K1029" s="0" t="str">
        <f aca="false">IF(G1029&lt;1000,"1-Low",IF(G1029&lt;5000,"2-Medium","3-Bulk"))</f>
        <v>1-Low</v>
      </c>
      <c r="L1029" s="0" t="str">
        <f aca="false">IF(H1029="TRUE","Out of stock","In stock")</f>
        <v>In stock</v>
      </c>
      <c r="M1029" s="0" t="str">
        <f aca="false">IF(D1029&lt;5,"1) Under 5%",IF(D1029&lt;10,"2) 5-9%",IF(D1029&lt;15,"3) 10-14%",IF(D1029&lt;25,"4) 15-24%","5) 25%+"))))</f>
        <v>2) 5-9%</v>
      </c>
      <c r="N1029" s="0" t="str">
        <f aca="false">IF(F1029&lt;50,"1) Under Rs 50",IF(F1029&lt;100,"2) Rs 50-99",IF(F1029&lt;200,"3) Rs 100-199",IF(F1029&lt;500,"4) Rs 200-499","5) Rs 500+"))))</f>
        <v>3) Rs 100-199</v>
      </c>
      <c r="O1029" s="0" t="n">
        <f aca="false">G1029*E1029/1000</f>
        <v>3</v>
      </c>
    </row>
    <row r="1030" customFormat="false" ht="15" hidden="false" customHeight="false" outlineLevel="0" collapsed="false">
      <c r="A1030" s="0" t="s">
        <v>117</v>
      </c>
      <c r="B1030" s="0" t="s">
        <v>616</v>
      </c>
      <c r="C1030" s="0" t="n">
        <v>70</v>
      </c>
      <c r="D1030" s="0" t="n">
        <v>0</v>
      </c>
      <c r="E1030" s="0" t="n">
        <v>6</v>
      </c>
      <c r="F1030" s="0" t="n">
        <v>70</v>
      </c>
      <c r="G1030" s="0" t="n">
        <v>100</v>
      </c>
      <c r="H1030" s="0" t="s">
        <v>145</v>
      </c>
      <c r="I1030" s="0" t="n">
        <v>100</v>
      </c>
      <c r="J1030" s="0" t="n">
        <f aca="false">F1030*E1030</f>
        <v>420</v>
      </c>
      <c r="K1030" s="0" t="str">
        <f aca="false">IF(G1030&lt;1000,"1-Low",IF(G1030&lt;5000,"2-Medium","3-Bulk"))</f>
        <v>1-Low</v>
      </c>
      <c r="L1030" s="0" t="str">
        <f aca="false">IF(H1030="TRUE","Out of stock","In stock")</f>
        <v>In stock</v>
      </c>
      <c r="M1030" s="0" t="str">
        <f aca="false">IF(D1030&lt;5,"1) Under 5%",IF(D1030&lt;10,"2) 5-9%",IF(D1030&lt;15,"3) 10-14%",IF(D1030&lt;25,"4) 15-24%","5) 25%+"))))</f>
        <v>1) Under 5%</v>
      </c>
      <c r="N1030" s="0" t="str">
        <f aca="false">IF(F1030&lt;50,"1) Under Rs 50",IF(F1030&lt;100,"2) Rs 50-99",IF(F1030&lt;200,"3) Rs 100-199",IF(F1030&lt;500,"4) Rs 200-499","5) Rs 500+"))))</f>
        <v>2) Rs 50-99</v>
      </c>
      <c r="O1030" s="0" t="n">
        <f aca="false">G1030*E1030/1000</f>
        <v>0.6</v>
      </c>
    </row>
    <row r="1031" customFormat="false" ht="15" hidden="false" customHeight="false" outlineLevel="0" collapsed="false">
      <c r="A1031" s="0" t="s">
        <v>117</v>
      </c>
      <c r="B1031" s="0" t="s">
        <v>617</v>
      </c>
      <c r="C1031" s="0" t="n">
        <v>100</v>
      </c>
      <c r="D1031" s="0" t="n">
        <v>11</v>
      </c>
      <c r="E1031" s="0" t="n">
        <v>6</v>
      </c>
      <c r="F1031" s="0" t="n">
        <v>89</v>
      </c>
      <c r="G1031" s="0" t="n">
        <v>500</v>
      </c>
      <c r="H1031" s="0" t="s">
        <v>145</v>
      </c>
      <c r="I1031" s="0" t="n">
        <v>500</v>
      </c>
      <c r="J1031" s="0" t="n">
        <f aca="false">F1031*E1031</f>
        <v>534</v>
      </c>
      <c r="K1031" s="0" t="str">
        <f aca="false">IF(G1031&lt;1000,"1-Low",IF(G1031&lt;5000,"2-Medium","3-Bulk"))</f>
        <v>1-Low</v>
      </c>
      <c r="L1031" s="0" t="str">
        <f aca="false">IF(H1031="TRUE","Out of stock","In stock")</f>
        <v>In stock</v>
      </c>
      <c r="M1031" s="0" t="str">
        <f aca="false">IF(D1031&lt;5,"1) Under 5%",IF(D1031&lt;10,"2) 5-9%",IF(D1031&lt;15,"3) 10-14%",IF(D1031&lt;25,"4) 15-24%","5) 25%+"))))</f>
        <v>3) 10-14%</v>
      </c>
      <c r="N1031" s="0" t="str">
        <f aca="false">IF(F1031&lt;50,"1) Under Rs 50",IF(F1031&lt;100,"2) Rs 50-99",IF(F1031&lt;200,"3) Rs 100-199",IF(F1031&lt;500,"4) Rs 200-499","5) Rs 500+"))))</f>
        <v>2) Rs 50-99</v>
      </c>
      <c r="O1031" s="0" t="n">
        <f aca="false">G1031*E1031/1000</f>
        <v>3</v>
      </c>
    </row>
    <row r="1032" customFormat="false" ht="15" hidden="false" customHeight="false" outlineLevel="0" collapsed="false">
      <c r="A1032" s="0" t="s">
        <v>117</v>
      </c>
      <c r="B1032" s="0" t="s">
        <v>618</v>
      </c>
      <c r="C1032" s="0" t="n">
        <v>295</v>
      </c>
      <c r="D1032" s="0" t="n">
        <v>0</v>
      </c>
      <c r="E1032" s="0" t="n">
        <v>6</v>
      </c>
      <c r="F1032" s="0" t="n">
        <v>295</v>
      </c>
      <c r="G1032" s="0" t="n">
        <v>475</v>
      </c>
      <c r="H1032" s="0" t="s">
        <v>145</v>
      </c>
      <c r="I1032" s="0" t="n">
        <v>475</v>
      </c>
      <c r="J1032" s="0" t="n">
        <f aca="false">F1032*E1032</f>
        <v>1770</v>
      </c>
      <c r="K1032" s="0" t="str">
        <f aca="false">IF(G1032&lt;1000,"1-Low",IF(G1032&lt;5000,"2-Medium","3-Bulk"))</f>
        <v>1-Low</v>
      </c>
      <c r="L1032" s="0" t="str">
        <f aca="false">IF(H1032="TRUE","Out of stock","In stock")</f>
        <v>In stock</v>
      </c>
      <c r="M1032" s="0" t="str">
        <f aca="false">IF(D1032&lt;5,"1) Under 5%",IF(D1032&lt;10,"2) 5-9%",IF(D1032&lt;15,"3) 10-14%",IF(D1032&lt;25,"4) 15-24%","5) 25%+"))))</f>
        <v>1) Under 5%</v>
      </c>
      <c r="N1032" s="0" t="str">
        <f aca="false">IF(F1032&lt;50,"1) Under Rs 50",IF(F1032&lt;100,"2) Rs 50-99",IF(F1032&lt;200,"3) Rs 100-199",IF(F1032&lt;500,"4) Rs 200-499","5) Rs 500+"))))</f>
        <v>4) Rs 200-499</v>
      </c>
      <c r="O1032" s="0" t="n">
        <f aca="false">G1032*E1032/1000</f>
        <v>2.85</v>
      </c>
    </row>
    <row r="1033" customFormat="false" ht="15" hidden="false" customHeight="false" outlineLevel="0" collapsed="false">
      <c r="A1033" s="0" t="s">
        <v>117</v>
      </c>
      <c r="B1033" s="0" t="s">
        <v>75</v>
      </c>
      <c r="C1033" s="0" t="n">
        <v>2600</v>
      </c>
      <c r="D1033" s="0" t="n">
        <v>46</v>
      </c>
      <c r="E1033" s="0" t="n">
        <v>6</v>
      </c>
      <c r="F1033" s="0" t="n">
        <v>1399</v>
      </c>
      <c r="G1033" s="0" t="n">
        <v>2000</v>
      </c>
      <c r="H1033" s="0" t="s">
        <v>145</v>
      </c>
      <c r="I1033" s="0" t="n">
        <v>2</v>
      </c>
      <c r="J1033" s="0" t="n">
        <f aca="false">F1033*E1033</f>
        <v>8394</v>
      </c>
      <c r="K1033" s="0" t="str">
        <f aca="false">IF(G1033&lt;1000,"1-Low",IF(G1033&lt;5000,"2-Medium","3-Bulk"))</f>
        <v>2-Medium</v>
      </c>
      <c r="L1033" s="0" t="str">
        <f aca="false">IF(H1033="TRUE","Out of stock","In stock")</f>
        <v>In stock</v>
      </c>
      <c r="M1033" s="0" t="str">
        <f aca="false">IF(D1033&lt;5,"1) Under 5%",IF(D1033&lt;10,"2) 5-9%",IF(D1033&lt;15,"3) 10-14%",IF(D1033&lt;25,"4) 15-24%","5) 25%+"))))</f>
        <v>5) 25%+</v>
      </c>
      <c r="N1033" s="0" t="str">
        <f aca="false">IF(F1033&lt;50,"1) Under Rs 50",IF(F1033&lt;100,"2) Rs 50-99",IF(F1033&lt;200,"3) Rs 100-199",IF(F1033&lt;500,"4) Rs 200-499","5) Rs 500+"))))</f>
        <v>5) Rs 500+</v>
      </c>
      <c r="O1033" s="0" t="n">
        <f aca="false">G1033*E1033/1000</f>
        <v>12</v>
      </c>
    </row>
    <row r="1034" customFormat="false" ht="15" hidden="false" customHeight="false" outlineLevel="0" collapsed="false">
      <c r="A1034" s="0" t="s">
        <v>117</v>
      </c>
      <c r="B1034" s="0" t="s">
        <v>619</v>
      </c>
      <c r="C1034" s="0" t="n">
        <v>60</v>
      </c>
      <c r="D1034" s="0" t="n">
        <v>0</v>
      </c>
      <c r="E1034" s="0" t="n">
        <v>6</v>
      </c>
      <c r="F1034" s="0" t="n">
        <v>60</v>
      </c>
      <c r="G1034" s="0" t="n">
        <v>20</v>
      </c>
      <c r="H1034" s="0" t="s">
        <v>145</v>
      </c>
      <c r="I1034" s="0" t="n">
        <v>20</v>
      </c>
      <c r="J1034" s="0" t="n">
        <f aca="false">F1034*E1034</f>
        <v>360</v>
      </c>
      <c r="K1034" s="0" t="str">
        <f aca="false">IF(G1034&lt;1000,"1-Low",IF(G1034&lt;5000,"2-Medium","3-Bulk"))</f>
        <v>1-Low</v>
      </c>
      <c r="L1034" s="0" t="str">
        <f aca="false">IF(H1034="TRUE","Out of stock","In stock")</f>
        <v>In stock</v>
      </c>
      <c r="M1034" s="0" t="str">
        <f aca="false">IF(D1034&lt;5,"1) Under 5%",IF(D1034&lt;10,"2) 5-9%",IF(D1034&lt;15,"3) 10-14%",IF(D1034&lt;25,"4) 15-24%","5) 25%+"))))</f>
        <v>1) Under 5%</v>
      </c>
      <c r="N1034" s="0" t="str">
        <f aca="false">IF(F1034&lt;50,"1) Under Rs 50",IF(F1034&lt;100,"2) Rs 50-99",IF(F1034&lt;200,"3) Rs 100-199",IF(F1034&lt;500,"4) Rs 200-499","5) Rs 500+"))))</f>
        <v>2) Rs 50-99</v>
      </c>
      <c r="O1034" s="0" t="n">
        <f aca="false">G1034*E1034/1000</f>
        <v>0.12</v>
      </c>
    </row>
    <row r="1035" customFormat="false" ht="15" hidden="false" customHeight="false" outlineLevel="0" collapsed="false">
      <c r="A1035" s="0" t="s">
        <v>117</v>
      </c>
      <c r="B1035" s="0" t="s">
        <v>620</v>
      </c>
      <c r="C1035" s="0" t="n">
        <v>95</v>
      </c>
      <c r="D1035" s="0" t="n">
        <v>0</v>
      </c>
      <c r="E1035" s="0" t="n">
        <v>6</v>
      </c>
      <c r="F1035" s="0" t="n">
        <v>95</v>
      </c>
      <c r="G1035" s="0" t="n">
        <v>100</v>
      </c>
      <c r="H1035" s="0" t="s">
        <v>145</v>
      </c>
      <c r="I1035" s="0" t="n">
        <v>100</v>
      </c>
      <c r="J1035" s="0" t="n">
        <f aca="false">F1035*E1035</f>
        <v>570</v>
      </c>
      <c r="K1035" s="0" t="str">
        <f aca="false">IF(G1035&lt;1000,"1-Low",IF(G1035&lt;5000,"2-Medium","3-Bulk"))</f>
        <v>1-Low</v>
      </c>
      <c r="L1035" s="0" t="str">
        <f aca="false">IF(H1035="TRUE","Out of stock","In stock")</f>
        <v>In stock</v>
      </c>
      <c r="M1035" s="0" t="str">
        <f aca="false">IF(D1035&lt;5,"1) Under 5%",IF(D1035&lt;10,"2) 5-9%",IF(D1035&lt;15,"3) 10-14%",IF(D1035&lt;25,"4) 15-24%","5) 25%+"))))</f>
        <v>1) Under 5%</v>
      </c>
      <c r="N1035" s="0" t="str">
        <f aca="false">IF(F1035&lt;50,"1) Under Rs 50",IF(F1035&lt;100,"2) Rs 50-99",IF(F1035&lt;200,"3) Rs 100-199",IF(F1035&lt;500,"4) Rs 200-499","5) Rs 500+"))))</f>
        <v>2) Rs 50-99</v>
      </c>
      <c r="O1035" s="0" t="n">
        <f aca="false">G1035*E1035/1000</f>
        <v>0.6</v>
      </c>
    </row>
    <row r="1036" customFormat="false" ht="15" hidden="false" customHeight="false" outlineLevel="0" collapsed="false">
      <c r="A1036" s="0" t="s">
        <v>117</v>
      </c>
      <c r="B1036" s="0" t="s">
        <v>621</v>
      </c>
      <c r="C1036" s="0" t="n">
        <v>700</v>
      </c>
      <c r="D1036" s="0" t="n">
        <v>10</v>
      </c>
      <c r="E1036" s="0" t="n">
        <v>3</v>
      </c>
      <c r="F1036" s="0" t="n">
        <v>630</v>
      </c>
      <c r="G1036" s="0" t="n">
        <v>5000</v>
      </c>
      <c r="H1036" s="0" t="s">
        <v>145</v>
      </c>
      <c r="I1036" s="0" t="n">
        <v>5</v>
      </c>
      <c r="J1036" s="0" t="n">
        <f aca="false">F1036*E1036</f>
        <v>1890</v>
      </c>
      <c r="K1036" s="0" t="str">
        <f aca="false">IF(G1036&lt;1000,"1-Low",IF(G1036&lt;5000,"2-Medium","3-Bulk"))</f>
        <v>3-Bulk</v>
      </c>
      <c r="L1036" s="0" t="str">
        <f aca="false">IF(H1036="TRUE","Out of stock","In stock")</f>
        <v>In stock</v>
      </c>
      <c r="M1036" s="0" t="str">
        <f aca="false">IF(D1036&lt;5,"1) Under 5%",IF(D1036&lt;10,"2) 5-9%",IF(D1036&lt;15,"3) 10-14%",IF(D1036&lt;25,"4) 15-24%","5) 25%+"))))</f>
        <v>3) 10-14%</v>
      </c>
      <c r="N1036" s="0" t="str">
        <f aca="false">IF(F1036&lt;50,"1) Under Rs 50",IF(F1036&lt;100,"2) Rs 50-99",IF(F1036&lt;200,"3) Rs 100-199",IF(F1036&lt;500,"4) Rs 200-499","5) Rs 500+"))))</f>
        <v>5) Rs 500+</v>
      </c>
      <c r="O1036" s="0" t="n">
        <f aca="false">G1036*E1036/1000</f>
        <v>15</v>
      </c>
    </row>
    <row r="1037" customFormat="false" ht="15" hidden="false" customHeight="false" outlineLevel="0" collapsed="false">
      <c r="A1037" s="0" t="s">
        <v>117</v>
      </c>
      <c r="B1037" s="0" t="s">
        <v>622</v>
      </c>
      <c r="C1037" s="0" t="n">
        <v>50</v>
      </c>
      <c r="D1037" s="0" t="n">
        <v>0</v>
      </c>
      <c r="E1037" s="0" t="n">
        <v>6</v>
      </c>
      <c r="F1037" s="0" t="n">
        <v>50</v>
      </c>
      <c r="G1037" s="0" t="n">
        <v>20</v>
      </c>
      <c r="H1037" s="0" t="s">
        <v>145</v>
      </c>
      <c r="I1037" s="0" t="n">
        <v>20</v>
      </c>
      <c r="J1037" s="0" t="n">
        <f aca="false">F1037*E1037</f>
        <v>300</v>
      </c>
      <c r="K1037" s="0" t="str">
        <f aca="false">IF(G1037&lt;1000,"1-Low",IF(G1037&lt;5000,"2-Medium","3-Bulk"))</f>
        <v>1-Low</v>
      </c>
      <c r="L1037" s="0" t="str">
        <f aca="false">IF(H1037="TRUE","Out of stock","In stock")</f>
        <v>In stock</v>
      </c>
      <c r="M1037" s="0" t="str">
        <f aca="false">IF(D1037&lt;5,"1) Under 5%",IF(D1037&lt;10,"2) 5-9%",IF(D1037&lt;15,"3) 10-14%",IF(D1037&lt;25,"4) 15-24%","5) 25%+"))))</f>
        <v>1) Under 5%</v>
      </c>
      <c r="N1037" s="0" t="str">
        <f aca="false">IF(F1037&lt;50,"1) Under Rs 50",IF(F1037&lt;100,"2) Rs 50-99",IF(F1037&lt;200,"3) Rs 100-199",IF(F1037&lt;500,"4) Rs 200-499","5) Rs 500+"))))</f>
        <v>2) Rs 50-99</v>
      </c>
      <c r="O1037" s="0" t="n">
        <f aca="false">G1037*E1037/1000</f>
        <v>0.12</v>
      </c>
    </row>
    <row r="1038" customFormat="false" ht="15" hidden="false" customHeight="false" outlineLevel="0" collapsed="false">
      <c r="A1038" s="0" t="s">
        <v>117</v>
      </c>
      <c r="B1038" s="0" t="s">
        <v>623</v>
      </c>
      <c r="C1038" s="0" t="n">
        <v>200</v>
      </c>
      <c r="D1038" s="0" t="n">
        <v>0</v>
      </c>
      <c r="E1038" s="0" t="n">
        <v>1</v>
      </c>
      <c r="F1038" s="0" t="n">
        <v>200</v>
      </c>
      <c r="G1038" s="0" t="n">
        <v>500</v>
      </c>
      <c r="H1038" s="0" t="s">
        <v>145</v>
      </c>
      <c r="I1038" s="0" t="n">
        <v>500</v>
      </c>
      <c r="J1038" s="0" t="n">
        <f aca="false">F1038*E1038</f>
        <v>200</v>
      </c>
      <c r="K1038" s="0" t="str">
        <f aca="false">IF(G1038&lt;1000,"1-Low",IF(G1038&lt;5000,"2-Medium","3-Bulk"))</f>
        <v>1-Low</v>
      </c>
      <c r="L1038" s="0" t="str">
        <f aca="false">IF(H1038="TRUE","Out of stock","In stock")</f>
        <v>In stock</v>
      </c>
      <c r="M1038" s="0" t="str">
        <f aca="false">IF(D1038&lt;5,"1) Under 5%",IF(D1038&lt;10,"2) 5-9%",IF(D1038&lt;15,"3) 10-14%",IF(D1038&lt;25,"4) 15-24%","5) 25%+"))))</f>
        <v>1) Under 5%</v>
      </c>
      <c r="N1038" s="0" t="str">
        <f aca="false">IF(F1038&lt;50,"1) Under Rs 50",IF(F1038&lt;100,"2) Rs 50-99",IF(F1038&lt;200,"3) Rs 100-199",IF(F1038&lt;500,"4) Rs 200-499","5) Rs 500+"))))</f>
        <v>4) Rs 200-499</v>
      </c>
      <c r="O1038" s="0" t="n">
        <f aca="false">G1038*E1038/1000</f>
        <v>0.5</v>
      </c>
    </row>
    <row r="1039" customFormat="false" ht="15" hidden="false" customHeight="false" outlineLevel="0" collapsed="false">
      <c r="A1039" s="0" t="s">
        <v>117</v>
      </c>
      <c r="B1039" s="0" t="s">
        <v>624</v>
      </c>
      <c r="C1039" s="0" t="n">
        <v>99</v>
      </c>
      <c r="D1039" s="0" t="n">
        <v>0</v>
      </c>
      <c r="E1039" s="0" t="n">
        <v>6</v>
      </c>
      <c r="F1039" s="0" t="n">
        <v>99</v>
      </c>
      <c r="G1039" s="0" t="n">
        <v>30</v>
      </c>
      <c r="H1039" s="0" t="s">
        <v>145</v>
      </c>
      <c r="I1039" s="0" t="n">
        <v>30</v>
      </c>
      <c r="J1039" s="0" t="n">
        <f aca="false">F1039*E1039</f>
        <v>594</v>
      </c>
      <c r="K1039" s="0" t="str">
        <f aca="false">IF(G1039&lt;1000,"1-Low",IF(G1039&lt;5000,"2-Medium","3-Bulk"))</f>
        <v>1-Low</v>
      </c>
      <c r="L1039" s="0" t="str">
        <f aca="false">IF(H1039="TRUE","Out of stock","In stock")</f>
        <v>In stock</v>
      </c>
      <c r="M1039" s="0" t="str">
        <f aca="false">IF(D1039&lt;5,"1) Under 5%",IF(D1039&lt;10,"2) 5-9%",IF(D1039&lt;15,"3) 10-14%",IF(D1039&lt;25,"4) 15-24%","5) 25%+"))))</f>
        <v>1) Under 5%</v>
      </c>
      <c r="N1039" s="0" t="str">
        <f aca="false">IF(F1039&lt;50,"1) Under Rs 50",IF(F1039&lt;100,"2) Rs 50-99",IF(F1039&lt;200,"3) Rs 100-199",IF(F1039&lt;500,"4) Rs 200-499","5) Rs 500+"))))</f>
        <v>2) Rs 50-99</v>
      </c>
      <c r="O1039" s="0" t="n">
        <f aca="false">G1039*E1039/1000</f>
        <v>0.18</v>
      </c>
    </row>
    <row r="1040" customFormat="false" ht="15" hidden="false" customHeight="false" outlineLevel="0" collapsed="false">
      <c r="A1040" s="0" t="s">
        <v>117</v>
      </c>
      <c r="B1040" s="0" t="s">
        <v>625</v>
      </c>
      <c r="C1040" s="0" t="n">
        <v>70</v>
      </c>
      <c r="D1040" s="0" t="n">
        <v>0</v>
      </c>
      <c r="E1040" s="0" t="n">
        <v>6</v>
      </c>
      <c r="F1040" s="0" t="n">
        <v>70</v>
      </c>
      <c r="G1040" s="0" t="n">
        <v>500</v>
      </c>
      <c r="H1040" s="0" t="s">
        <v>145</v>
      </c>
      <c r="I1040" s="0" t="n">
        <v>500</v>
      </c>
      <c r="J1040" s="0" t="n">
        <f aca="false">F1040*E1040</f>
        <v>420</v>
      </c>
      <c r="K1040" s="0" t="str">
        <f aca="false">IF(G1040&lt;1000,"1-Low",IF(G1040&lt;5000,"2-Medium","3-Bulk"))</f>
        <v>1-Low</v>
      </c>
      <c r="L1040" s="0" t="str">
        <f aca="false">IF(H1040="TRUE","Out of stock","In stock")</f>
        <v>In stock</v>
      </c>
      <c r="M1040" s="0" t="str">
        <f aca="false">IF(D1040&lt;5,"1) Under 5%",IF(D1040&lt;10,"2) 5-9%",IF(D1040&lt;15,"3) 10-14%",IF(D1040&lt;25,"4) 15-24%","5) 25%+"))))</f>
        <v>1) Under 5%</v>
      </c>
      <c r="N1040" s="0" t="str">
        <f aca="false">IF(F1040&lt;50,"1) Under Rs 50",IF(F1040&lt;100,"2) Rs 50-99",IF(F1040&lt;200,"3) Rs 100-199",IF(F1040&lt;500,"4) Rs 200-499","5) Rs 500+"))))</f>
        <v>2) Rs 50-99</v>
      </c>
      <c r="O1040" s="0" t="n">
        <f aca="false">G1040*E1040/1000</f>
        <v>3</v>
      </c>
    </row>
    <row r="1041" customFormat="false" ht="15" hidden="false" customHeight="false" outlineLevel="0" collapsed="false">
      <c r="A1041" s="0" t="s">
        <v>117</v>
      </c>
      <c r="B1041" s="0" t="s">
        <v>626</v>
      </c>
      <c r="C1041" s="0" t="n">
        <v>99</v>
      </c>
      <c r="D1041" s="0" t="n">
        <v>0</v>
      </c>
      <c r="E1041" s="0" t="n">
        <v>6</v>
      </c>
      <c r="F1041" s="0" t="n">
        <v>99</v>
      </c>
      <c r="G1041" s="0" t="n">
        <v>28</v>
      </c>
      <c r="H1041" s="0" t="s">
        <v>145</v>
      </c>
      <c r="I1041" s="0" t="n">
        <v>28</v>
      </c>
      <c r="J1041" s="0" t="n">
        <f aca="false">F1041*E1041</f>
        <v>594</v>
      </c>
      <c r="K1041" s="0" t="str">
        <f aca="false">IF(G1041&lt;1000,"1-Low",IF(G1041&lt;5000,"2-Medium","3-Bulk"))</f>
        <v>1-Low</v>
      </c>
      <c r="L1041" s="0" t="str">
        <f aca="false">IF(H1041="TRUE","Out of stock","In stock")</f>
        <v>In stock</v>
      </c>
      <c r="M1041" s="0" t="str">
        <f aca="false">IF(D1041&lt;5,"1) Under 5%",IF(D1041&lt;10,"2) 5-9%",IF(D1041&lt;15,"3) 10-14%",IF(D1041&lt;25,"4) 15-24%","5) 25%+"))))</f>
        <v>1) Under 5%</v>
      </c>
      <c r="N1041" s="0" t="str">
        <f aca="false">IF(F1041&lt;50,"1) Under Rs 50",IF(F1041&lt;100,"2) Rs 50-99",IF(F1041&lt;200,"3) Rs 100-199",IF(F1041&lt;500,"4) Rs 200-499","5) Rs 500+"))))</f>
        <v>2) Rs 50-99</v>
      </c>
      <c r="O1041" s="0" t="n">
        <f aca="false">G1041*E1041/1000</f>
        <v>0.168</v>
      </c>
    </row>
    <row r="1042" customFormat="false" ht="15" hidden="false" customHeight="false" outlineLevel="0" collapsed="false">
      <c r="A1042" s="0" t="s">
        <v>117</v>
      </c>
      <c r="B1042" s="0" t="s">
        <v>627</v>
      </c>
      <c r="C1042" s="0" t="n">
        <v>120</v>
      </c>
      <c r="D1042" s="0" t="n">
        <v>30</v>
      </c>
      <c r="E1042" s="0" t="n">
        <v>4</v>
      </c>
      <c r="F1042" s="0" t="n">
        <v>84</v>
      </c>
      <c r="G1042" s="0" t="n">
        <v>285</v>
      </c>
      <c r="H1042" s="0" t="s">
        <v>145</v>
      </c>
      <c r="I1042" s="0" t="n">
        <v>285</v>
      </c>
      <c r="J1042" s="0" t="n">
        <f aca="false">F1042*E1042</f>
        <v>336</v>
      </c>
      <c r="K1042" s="0" t="str">
        <f aca="false">IF(G1042&lt;1000,"1-Low",IF(G1042&lt;5000,"2-Medium","3-Bulk"))</f>
        <v>1-Low</v>
      </c>
      <c r="L1042" s="0" t="str">
        <f aca="false">IF(H1042="TRUE","Out of stock","In stock")</f>
        <v>In stock</v>
      </c>
      <c r="M1042" s="0" t="str">
        <f aca="false">IF(D1042&lt;5,"1) Under 5%",IF(D1042&lt;10,"2) 5-9%",IF(D1042&lt;15,"3) 10-14%",IF(D1042&lt;25,"4) 15-24%","5) 25%+"))))</f>
        <v>5) 25%+</v>
      </c>
      <c r="N1042" s="0" t="str">
        <f aca="false">IF(F1042&lt;50,"1) Under Rs 50",IF(F1042&lt;100,"2) Rs 50-99",IF(F1042&lt;200,"3) Rs 100-199",IF(F1042&lt;500,"4) Rs 200-499","5) Rs 500+"))))</f>
        <v>2) Rs 50-99</v>
      </c>
      <c r="O1042" s="0" t="n">
        <f aca="false">G1042*E1042/1000</f>
        <v>1.14</v>
      </c>
    </row>
    <row r="1043" customFormat="false" ht="15" hidden="false" customHeight="false" outlineLevel="0" collapsed="false">
      <c r="A1043" s="0" t="s">
        <v>117</v>
      </c>
      <c r="B1043" s="0" t="s">
        <v>628</v>
      </c>
      <c r="C1043" s="0" t="n">
        <v>295</v>
      </c>
      <c r="D1043" s="0" t="n">
        <v>0</v>
      </c>
      <c r="E1043" s="0" t="n">
        <v>6</v>
      </c>
      <c r="F1043" s="0" t="n">
        <v>295</v>
      </c>
      <c r="G1043" s="0" t="n">
        <v>500</v>
      </c>
      <c r="H1043" s="0" t="s">
        <v>145</v>
      </c>
      <c r="I1043" s="0" t="n">
        <v>500</v>
      </c>
      <c r="J1043" s="0" t="n">
        <f aca="false">F1043*E1043</f>
        <v>1770</v>
      </c>
      <c r="K1043" s="0" t="str">
        <f aca="false">IF(G1043&lt;1000,"1-Low",IF(G1043&lt;5000,"2-Medium","3-Bulk"))</f>
        <v>1-Low</v>
      </c>
      <c r="L1043" s="0" t="str">
        <f aca="false">IF(H1043="TRUE","Out of stock","In stock")</f>
        <v>In stock</v>
      </c>
      <c r="M1043" s="0" t="str">
        <f aca="false">IF(D1043&lt;5,"1) Under 5%",IF(D1043&lt;10,"2) 5-9%",IF(D1043&lt;15,"3) 10-14%",IF(D1043&lt;25,"4) 15-24%","5) 25%+"))))</f>
        <v>1) Under 5%</v>
      </c>
      <c r="N1043" s="0" t="str">
        <f aca="false">IF(F1043&lt;50,"1) Under Rs 50",IF(F1043&lt;100,"2) Rs 50-99",IF(F1043&lt;200,"3) Rs 100-199",IF(F1043&lt;500,"4) Rs 200-499","5) Rs 500+"))))</f>
        <v>4) Rs 200-499</v>
      </c>
      <c r="O1043" s="0" t="n">
        <f aca="false">G1043*E1043/1000</f>
        <v>3</v>
      </c>
    </row>
    <row r="1044" customFormat="false" ht="15" hidden="false" customHeight="false" outlineLevel="0" collapsed="false">
      <c r="A1044" s="0" t="s">
        <v>117</v>
      </c>
      <c r="B1044" s="0" t="s">
        <v>629</v>
      </c>
      <c r="C1044" s="0" t="n">
        <v>95</v>
      </c>
      <c r="D1044" s="0" t="n">
        <v>0</v>
      </c>
      <c r="E1044" s="0" t="n">
        <v>6</v>
      </c>
      <c r="F1044" s="0" t="n">
        <v>95</v>
      </c>
      <c r="G1044" s="0" t="n">
        <v>150</v>
      </c>
      <c r="H1044" s="0" t="s">
        <v>145</v>
      </c>
      <c r="I1044" s="0" t="n">
        <v>150</v>
      </c>
      <c r="J1044" s="0" t="n">
        <f aca="false">F1044*E1044</f>
        <v>570</v>
      </c>
      <c r="K1044" s="0" t="str">
        <f aca="false">IF(G1044&lt;1000,"1-Low",IF(G1044&lt;5000,"2-Medium","3-Bulk"))</f>
        <v>1-Low</v>
      </c>
      <c r="L1044" s="0" t="str">
        <f aca="false">IF(H1044="TRUE","Out of stock","In stock")</f>
        <v>In stock</v>
      </c>
      <c r="M1044" s="0" t="str">
        <f aca="false">IF(D1044&lt;5,"1) Under 5%",IF(D1044&lt;10,"2) 5-9%",IF(D1044&lt;15,"3) 10-14%",IF(D1044&lt;25,"4) 15-24%","5) 25%+"))))</f>
        <v>1) Under 5%</v>
      </c>
      <c r="N1044" s="0" t="str">
        <f aca="false">IF(F1044&lt;50,"1) Under Rs 50",IF(F1044&lt;100,"2) Rs 50-99",IF(F1044&lt;200,"3) Rs 100-199",IF(F1044&lt;500,"4) Rs 200-499","5) Rs 500+"))))</f>
        <v>2) Rs 50-99</v>
      </c>
      <c r="O1044" s="0" t="n">
        <f aca="false">G1044*E1044/1000</f>
        <v>0.9</v>
      </c>
    </row>
    <row r="1045" customFormat="false" ht="15" hidden="false" customHeight="false" outlineLevel="0" collapsed="false">
      <c r="A1045" s="0" t="s">
        <v>117</v>
      </c>
      <c r="B1045" s="0" t="s">
        <v>630</v>
      </c>
      <c r="C1045" s="0" t="n">
        <v>165</v>
      </c>
      <c r="D1045" s="0" t="n">
        <v>10</v>
      </c>
      <c r="E1045" s="0" t="n">
        <v>6</v>
      </c>
      <c r="F1045" s="0" t="n">
        <v>147</v>
      </c>
      <c r="G1045" s="0" t="n">
        <v>1000</v>
      </c>
      <c r="H1045" s="0" t="s">
        <v>145</v>
      </c>
      <c r="I1045" s="0" t="n">
        <v>1</v>
      </c>
      <c r="J1045" s="0" t="n">
        <f aca="false">F1045*E1045</f>
        <v>882</v>
      </c>
      <c r="K1045" s="0" t="str">
        <f aca="false">IF(G1045&lt;1000,"1-Low",IF(G1045&lt;5000,"2-Medium","3-Bulk"))</f>
        <v>2-Medium</v>
      </c>
      <c r="L1045" s="0" t="str">
        <f aca="false">IF(H1045="TRUE","Out of stock","In stock")</f>
        <v>In stock</v>
      </c>
      <c r="M1045" s="0" t="str">
        <f aca="false">IF(D1045&lt;5,"1) Under 5%",IF(D1045&lt;10,"2) 5-9%",IF(D1045&lt;15,"3) 10-14%",IF(D1045&lt;25,"4) 15-24%","5) 25%+"))))</f>
        <v>3) 10-14%</v>
      </c>
      <c r="N1045" s="0" t="str">
        <f aca="false">IF(F1045&lt;50,"1) Under Rs 50",IF(F1045&lt;100,"2) Rs 50-99",IF(F1045&lt;200,"3) Rs 100-199",IF(F1045&lt;500,"4) Rs 200-499","5) Rs 500+"))))</f>
        <v>3) Rs 100-199</v>
      </c>
      <c r="O1045" s="0" t="n">
        <f aca="false">G1045*E1045/1000</f>
        <v>6</v>
      </c>
    </row>
    <row r="1046" customFormat="false" ht="15" hidden="false" customHeight="false" outlineLevel="0" collapsed="false">
      <c r="A1046" s="0" t="s">
        <v>117</v>
      </c>
      <c r="B1046" s="0" t="s">
        <v>631</v>
      </c>
      <c r="C1046" s="0" t="n">
        <v>295</v>
      </c>
      <c r="D1046" s="0" t="n">
        <v>0</v>
      </c>
      <c r="E1046" s="0" t="n">
        <v>6</v>
      </c>
      <c r="F1046" s="0" t="n">
        <v>295</v>
      </c>
      <c r="G1046" s="0" t="n">
        <v>500</v>
      </c>
      <c r="H1046" s="0" t="s">
        <v>145</v>
      </c>
      <c r="I1046" s="0" t="n">
        <v>500</v>
      </c>
      <c r="J1046" s="0" t="n">
        <f aca="false">F1046*E1046</f>
        <v>1770</v>
      </c>
      <c r="K1046" s="0" t="str">
        <f aca="false">IF(G1046&lt;1000,"1-Low",IF(G1046&lt;5000,"2-Medium","3-Bulk"))</f>
        <v>1-Low</v>
      </c>
      <c r="L1046" s="0" t="str">
        <f aca="false">IF(H1046="TRUE","Out of stock","In stock")</f>
        <v>In stock</v>
      </c>
      <c r="M1046" s="0" t="str">
        <f aca="false">IF(D1046&lt;5,"1) Under 5%",IF(D1046&lt;10,"2) 5-9%",IF(D1046&lt;15,"3) 10-14%",IF(D1046&lt;25,"4) 15-24%","5) 25%+"))))</f>
        <v>1) Under 5%</v>
      </c>
      <c r="N1046" s="0" t="str">
        <f aca="false">IF(F1046&lt;50,"1) Under Rs 50",IF(F1046&lt;100,"2) Rs 50-99",IF(F1046&lt;200,"3) Rs 100-199",IF(F1046&lt;500,"4) Rs 200-499","5) Rs 500+"))))</f>
        <v>4) Rs 200-499</v>
      </c>
      <c r="O1046" s="0" t="n">
        <f aca="false">G1046*E1046/1000</f>
        <v>3</v>
      </c>
    </row>
    <row r="1047" customFormat="false" ht="15" hidden="false" customHeight="false" outlineLevel="0" collapsed="false">
      <c r="A1047" s="0" t="s">
        <v>117</v>
      </c>
      <c r="B1047" s="0" t="s">
        <v>632</v>
      </c>
      <c r="C1047" s="0" t="n">
        <v>75</v>
      </c>
      <c r="D1047" s="0" t="n">
        <v>0</v>
      </c>
      <c r="E1047" s="0" t="n">
        <v>2</v>
      </c>
      <c r="F1047" s="0" t="n">
        <v>75</v>
      </c>
      <c r="G1047" s="0" t="n">
        <v>100</v>
      </c>
      <c r="H1047" s="0" t="s">
        <v>145</v>
      </c>
      <c r="I1047" s="0" t="n">
        <v>100</v>
      </c>
      <c r="J1047" s="0" t="n">
        <f aca="false">F1047*E1047</f>
        <v>150</v>
      </c>
      <c r="K1047" s="0" t="str">
        <f aca="false">IF(G1047&lt;1000,"1-Low",IF(G1047&lt;5000,"2-Medium","3-Bulk"))</f>
        <v>1-Low</v>
      </c>
      <c r="L1047" s="0" t="str">
        <f aca="false">IF(H1047="TRUE","Out of stock","In stock")</f>
        <v>In stock</v>
      </c>
      <c r="M1047" s="0" t="str">
        <f aca="false">IF(D1047&lt;5,"1) Under 5%",IF(D1047&lt;10,"2) 5-9%",IF(D1047&lt;15,"3) 10-14%",IF(D1047&lt;25,"4) 15-24%","5) 25%+"))))</f>
        <v>1) Under 5%</v>
      </c>
      <c r="N1047" s="0" t="str">
        <f aca="false">IF(F1047&lt;50,"1) Under Rs 50",IF(F1047&lt;100,"2) Rs 50-99",IF(F1047&lt;200,"3) Rs 100-199",IF(F1047&lt;500,"4) Rs 200-499","5) Rs 500+"))))</f>
        <v>2) Rs 50-99</v>
      </c>
      <c r="O1047" s="0" t="n">
        <f aca="false">G1047*E1047/1000</f>
        <v>0.2</v>
      </c>
    </row>
    <row r="1048" customFormat="false" ht="15" hidden="false" customHeight="false" outlineLevel="0" collapsed="false">
      <c r="A1048" s="0" t="s">
        <v>117</v>
      </c>
      <c r="B1048" s="0" t="s">
        <v>633</v>
      </c>
      <c r="C1048" s="0" t="n">
        <v>99</v>
      </c>
      <c r="D1048" s="0" t="n">
        <v>0</v>
      </c>
      <c r="E1048" s="0" t="n">
        <v>6</v>
      </c>
      <c r="F1048" s="0" t="n">
        <v>99</v>
      </c>
      <c r="G1048" s="0" t="n">
        <v>75</v>
      </c>
      <c r="H1048" s="0" t="s">
        <v>145</v>
      </c>
      <c r="I1048" s="0" t="n">
        <v>75</v>
      </c>
      <c r="J1048" s="0" t="n">
        <f aca="false">F1048*E1048</f>
        <v>594</v>
      </c>
      <c r="K1048" s="0" t="str">
        <f aca="false">IF(G1048&lt;1000,"1-Low",IF(G1048&lt;5000,"2-Medium","3-Bulk"))</f>
        <v>1-Low</v>
      </c>
      <c r="L1048" s="0" t="str">
        <f aca="false">IF(H1048="TRUE","Out of stock","In stock")</f>
        <v>In stock</v>
      </c>
      <c r="M1048" s="0" t="str">
        <f aca="false">IF(D1048&lt;5,"1) Under 5%",IF(D1048&lt;10,"2) 5-9%",IF(D1048&lt;15,"3) 10-14%",IF(D1048&lt;25,"4) 15-24%","5) 25%+"))))</f>
        <v>1) Under 5%</v>
      </c>
      <c r="N1048" s="0" t="str">
        <f aca="false">IF(F1048&lt;50,"1) Under Rs 50",IF(F1048&lt;100,"2) Rs 50-99",IF(F1048&lt;200,"3) Rs 100-199",IF(F1048&lt;500,"4) Rs 200-499","5) Rs 500+"))))</f>
        <v>2) Rs 50-99</v>
      </c>
      <c r="O1048" s="0" t="n">
        <f aca="false">G1048*E1048/1000</f>
        <v>0.45</v>
      </c>
    </row>
    <row r="1049" customFormat="false" ht="15" hidden="false" customHeight="false" outlineLevel="0" collapsed="false">
      <c r="A1049" s="0" t="s">
        <v>117</v>
      </c>
      <c r="B1049" s="0" t="s">
        <v>634</v>
      </c>
      <c r="C1049" s="0" t="n">
        <v>89</v>
      </c>
      <c r="D1049" s="0" t="n">
        <v>10</v>
      </c>
      <c r="E1049" s="0" t="n">
        <v>6</v>
      </c>
      <c r="F1049" s="0" t="n">
        <v>80</v>
      </c>
      <c r="G1049" s="0" t="n">
        <v>100</v>
      </c>
      <c r="H1049" s="0" t="s">
        <v>145</v>
      </c>
      <c r="I1049" s="0" t="n">
        <v>100</v>
      </c>
      <c r="J1049" s="0" t="n">
        <f aca="false">F1049*E1049</f>
        <v>480</v>
      </c>
      <c r="K1049" s="0" t="str">
        <f aca="false">IF(G1049&lt;1000,"1-Low",IF(G1049&lt;5000,"2-Medium","3-Bulk"))</f>
        <v>1-Low</v>
      </c>
      <c r="L1049" s="0" t="str">
        <f aca="false">IF(H1049="TRUE","Out of stock","In stock")</f>
        <v>In stock</v>
      </c>
      <c r="M1049" s="0" t="str">
        <f aca="false">IF(D1049&lt;5,"1) Under 5%",IF(D1049&lt;10,"2) 5-9%",IF(D1049&lt;15,"3) 10-14%",IF(D1049&lt;25,"4) 15-24%","5) 25%+"))))</f>
        <v>3) 10-14%</v>
      </c>
      <c r="N1049" s="0" t="str">
        <f aca="false">IF(F1049&lt;50,"1) Under Rs 50",IF(F1049&lt;100,"2) Rs 50-99",IF(F1049&lt;200,"3) Rs 100-199",IF(F1049&lt;500,"4) Rs 200-499","5) Rs 500+"))))</f>
        <v>2) Rs 50-99</v>
      </c>
      <c r="O1049" s="0" t="n">
        <f aca="false">G1049*E1049/1000</f>
        <v>0.6</v>
      </c>
    </row>
    <row r="1050" customFormat="false" ht="15" hidden="false" customHeight="false" outlineLevel="0" collapsed="false">
      <c r="A1050" s="0" t="s">
        <v>117</v>
      </c>
      <c r="B1050" s="0" t="s">
        <v>635</v>
      </c>
      <c r="C1050" s="0" t="n">
        <v>45</v>
      </c>
      <c r="D1050" s="0" t="n">
        <v>2</v>
      </c>
      <c r="E1050" s="0" t="n">
        <v>6</v>
      </c>
      <c r="F1050" s="0" t="n">
        <v>44</v>
      </c>
      <c r="G1050" s="0" t="n">
        <v>90</v>
      </c>
      <c r="H1050" s="0" t="s">
        <v>145</v>
      </c>
      <c r="I1050" s="0" t="n">
        <v>90</v>
      </c>
      <c r="J1050" s="0" t="n">
        <f aca="false">F1050*E1050</f>
        <v>264</v>
      </c>
      <c r="K1050" s="0" t="str">
        <f aca="false">IF(G1050&lt;1000,"1-Low",IF(G1050&lt;5000,"2-Medium","3-Bulk"))</f>
        <v>1-Low</v>
      </c>
      <c r="L1050" s="0" t="str">
        <f aca="false">IF(H1050="TRUE","Out of stock","In stock")</f>
        <v>In stock</v>
      </c>
      <c r="M1050" s="0" t="str">
        <f aca="false">IF(D1050&lt;5,"1) Under 5%",IF(D1050&lt;10,"2) 5-9%",IF(D1050&lt;15,"3) 10-14%",IF(D1050&lt;25,"4) 15-24%","5) 25%+"))))</f>
        <v>1) Under 5%</v>
      </c>
      <c r="N1050" s="0" t="str">
        <f aca="false">IF(F1050&lt;50,"1) Under Rs 50",IF(F1050&lt;100,"2) Rs 50-99",IF(F1050&lt;200,"3) Rs 100-199",IF(F1050&lt;500,"4) Rs 200-499","5) Rs 500+"))))</f>
        <v>1) Under Rs 50</v>
      </c>
      <c r="O1050" s="0" t="n">
        <f aca="false">G1050*E1050/1000</f>
        <v>0.54</v>
      </c>
    </row>
    <row r="1051" customFormat="false" ht="15" hidden="false" customHeight="false" outlineLevel="0" collapsed="false">
      <c r="A1051" s="0" t="s">
        <v>117</v>
      </c>
      <c r="B1051" s="0" t="s">
        <v>636</v>
      </c>
      <c r="C1051" s="0" t="n">
        <v>190</v>
      </c>
      <c r="D1051" s="0" t="n">
        <v>11</v>
      </c>
      <c r="E1051" s="0" t="n">
        <v>6</v>
      </c>
      <c r="F1051" s="0" t="n">
        <v>169</v>
      </c>
      <c r="G1051" s="0" t="n">
        <v>500</v>
      </c>
      <c r="H1051" s="0" t="s">
        <v>145</v>
      </c>
      <c r="I1051" s="0" t="n">
        <v>500</v>
      </c>
      <c r="J1051" s="0" t="n">
        <f aca="false">F1051*E1051</f>
        <v>1014</v>
      </c>
      <c r="K1051" s="0" t="str">
        <f aca="false">IF(G1051&lt;1000,"1-Low",IF(G1051&lt;5000,"2-Medium","3-Bulk"))</f>
        <v>1-Low</v>
      </c>
      <c r="L1051" s="0" t="str">
        <f aca="false">IF(H1051="TRUE","Out of stock","In stock")</f>
        <v>In stock</v>
      </c>
      <c r="M1051" s="0" t="str">
        <f aca="false">IF(D1051&lt;5,"1) Under 5%",IF(D1051&lt;10,"2) 5-9%",IF(D1051&lt;15,"3) 10-14%",IF(D1051&lt;25,"4) 15-24%","5) 25%+"))))</f>
        <v>3) 10-14%</v>
      </c>
      <c r="N1051" s="0" t="str">
        <f aca="false">IF(F1051&lt;50,"1) Under Rs 50",IF(F1051&lt;100,"2) Rs 50-99",IF(F1051&lt;200,"3) Rs 100-199",IF(F1051&lt;500,"4) Rs 200-499","5) Rs 500+"))))</f>
        <v>3) Rs 100-199</v>
      </c>
      <c r="O1051" s="0" t="n">
        <f aca="false">G1051*E1051/1000</f>
        <v>3</v>
      </c>
    </row>
    <row r="1052" customFormat="false" ht="15" hidden="false" customHeight="false" outlineLevel="0" collapsed="false">
      <c r="A1052" s="0" t="s">
        <v>117</v>
      </c>
      <c r="B1052" s="0" t="s">
        <v>637</v>
      </c>
      <c r="C1052" s="0" t="n">
        <v>89</v>
      </c>
      <c r="D1052" s="0" t="n">
        <v>0</v>
      </c>
      <c r="E1052" s="0" t="n">
        <v>6</v>
      </c>
      <c r="F1052" s="0" t="n">
        <v>89</v>
      </c>
      <c r="G1052" s="0" t="n">
        <v>100</v>
      </c>
      <c r="H1052" s="0" t="s">
        <v>145</v>
      </c>
      <c r="I1052" s="0" t="n">
        <v>100</v>
      </c>
      <c r="J1052" s="0" t="n">
        <f aca="false">F1052*E1052</f>
        <v>534</v>
      </c>
      <c r="K1052" s="0" t="str">
        <f aca="false">IF(G1052&lt;1000,"1-Low",IF(G1052&lt;5000,"2-Medium","3-Bulk"))</f>
        <v>1-Low</v>
      </c>
      <c r="L1052" s="0" t="str">
        <f aca="false">IF(H1052="TRUE","Out of stock","In stock")</f>
        <v>In stock</v>
      </c>
      <c r="M1052" s="0" t="str">
        <f aca="false">IF(D1052&lt;5,"1) Under 5%",IF(D1052&lt;10,"2) 5-9%",IF(D1052&lt;15,"3) 10-14%",IF(D1052&lt;25,"4) 15-24%","5) 25%+"))))</f>
        <v>1) Under 5%</v>
      </c>
      <c r="N1052" s="0" t="str">
        <f aca="false">IF(F1052&lt;50,"1) Under Rs 50",IF(F1052&lt;100,"2) Rs 50-99",IF(F1052&lt;200,"3) Rs 100-199",IF(F1052&lt;500,"4) Rs 200-499","5) Rs 500+"))))</f>
        <v>2) Rs 50-99</v>
      </c>
      <c r="O1052" s="0" t="n">
        <f aca="false">G1052*E1052/1000</f>
        <v>0.6</v>
      </c>
    </row>
    <row r="1053" customFormat="false" ht="15" hidden="false" customHeight="false" outlineLevel="0" collapsed="false">
      <c r="A1053" s="0" t="s">
        <v>117</v>
      </c>
      <c r="B1053" s="0" t="s">
        <v>638</v>
      </c>
      <c r="C1053" s="0" t="n">
        <v>399</v>
      </c>
      <c r="D1053" s="0" t="n">
        <v>20</v>
      </c>
      <c r="E1053" s="0" t="n">
        <v>6</v>
      </c>
      <c r="F1053" s="0" t="n">
        <v>319</v>
      </c>
      <c r="G1053" s="0" t="n">
        <v>200</v>
      </c>
      <c r="H1053" s="0" t="s">
        <v>145</v>
      </c>
      <c r="I1053" s="0" t="n">
        <v>200</v>
      </c>
      <c r="J1053" s="0" t="n">
        <f aca="false">F1053*E1053</f>
        <v>1914</v>
      </c>
      <c r="K1053" s="0" t="str">
        <f aca="false">IF(G1053&lt;1000,"1-Low",IF(G1053&lt;5000,"2-Medium","3-Bulk"))</f>
        <v>1-Low</v>
      </c>
      <c r="L1053" s="0" t="str">
        <f aca="false">IF(H1053="TRUE","Out of stock","In stock")</f>
        <v>In stock</v>
      </c>
      <c r="M1053" s="0" t="str">
        <f aca="false">IF(D1053&lt;5,"1) Under 5%",IF(D1053&lt;10,"2) 5-9%",IF(D1053&lt;15,"3) 10-14%",IF(D1053&lt;25,"4) 15-24%","5) 25%+"))))</f>
        <v>4) 15-24%</v>
      </c>
      <c r="N1053" s="0" t="str">
        <f aca="false">IF(F1053&lt;50,"1) Under Rs 50",IF(F1053&lt;100,"2) Rs 50-99",IF(F1053&lt;200,"3) Rs 100-199",IF(F1053&lt;500,"4) Rs 200-499","5) Rs 500+"))))</f>
        <v>4) Rs 200-499</v>
      </c>
      <c r="O1053" s="0" t="n">
        <f aca="false">G1053*E1053/1000</f>
        <v>1.2</v>
      </c>
    </row>
    <row r="1054" customFormat="false" ht="15" hidden="false" customHeight="false" outlineLevel="0" collapsed="false">
      <c r="A1054" s="0" t="s">
        <v>117</v>
      </c>
      <c r="B1054" s="0" t="s">
        <v>545</v>
      </c>
      <c r="C1054" s="0" t="n">
        <v>205</v>
      </c>
      <c r="D1054" s="0" t="n">
        <v>0</v>
      </c>
      <c r="E1054" s="0" t="n">
        <v>6</v>
      </c>
      <c r="F1054" s="0" t="n">
        <v>205</v>
      </c>
      <c r="G1054" s="0" t="n">
        <v>50</v>
      </c>
      <c r="H1054" s="0" t="s">
        <v>145</v>
      </c>
      <c r="I1054" s="0" t="n">
        <v>20</v>
      </c>
      <c r="J1054" s="0" t="n">
        <f aca="false">F1054*E1054</f>
        <v>1230</v>
      </c>
      <c r="K1054" s="0" t="str">
        <f aca="false">IF(G1054&lt;1000,"1-Low",IF(G1054&lt;5000,"2-Medium","3-Bulk"))</f>
        <v>1-Low</v>
      </c>
      <c r="L1054" s="0" t="str">
        <f aca="false">IF(H1054="TRUE","Out of stock","In stock")</f>
        <v>In stock</v>
      </c>
      <c r="M1054" s="0" t="str">
        <f aca="false">IF(D1054&lt;5,"1) Under 5%",IF(D1054&lt;10,"2) 5-9%",IF(D1054&lt;15,"3) 10-14%",IF(D1054&lt;25,"4) 15-24%","5) 25%+"))))</f>
        <v>1) Under 5%</v>
      </c>
      <c r="N1054" s="0" t="str">
        <f aca="false">IF(F1054&lt;50,"1) Under Rs 50",IF(F1054&lt;100,"2) Rs 50-99",IF(F1054&lt;200,"3) Rs 100-199",IF(F1054&lt;500,"4) Rs 200-499","5) Rs 500+"))))</f>
        <v>4) Rs 200-499</v>
      </c>
      <c r="O1054" s="0" t="n">
        <f aca="false">G1054*E1054/1000</f>
        <v>0.3</v>
      </c>
    </row>
    <row r="1055" customFormat="false" ht="15" hidden="false" customHeight="false" outlineLevel="0" collapsed="false">
      <c r="A1055" s="0" t="s">
        <v>117</v>
      </c>
      <c r="B1055" s="0" t="s">
        <v>639</v>
      </c>
      <c r="C1055" s="0" t="n">
        <v>139</v>
      </c>
      <c r="D1055" s="0" t="n">
        <v>10</v>
      </c>
      <c r="E1055" s="0" t="n">
        <v>6</v>
      </c>
      <c r="F1055" s="0" t="n">
        <v>125</v>
      </c>
      <c r="G1055" s="0" t="n">
        <v>100</v>
      </c>
      <c r="H1055" s="0" t="s">
        <v>145</v>
      </c>
      <c r="I1055" s="0" t="n">
        <v>100</v>
      </c>
      <c r="J1055" s="0" t="n">
        <f aca="false">F1055*E1055</f>
        <v>750</v>
      </c>
      <c r="K1055" s="0" t="str">
        <f aca="false">IF(G1055&lt;1000,"1-Low",IF(G1055&lt;5000,"2-Medium","3-Bulk"))</f>
        <v>1-Low</v>
      </c>
      <c r="L1055" s="0" t="str">
        <f aca="false">IF(H1055="TRUE","Out of stock","In stock")</f>
        <v>In stock</v>
      </c>
      <c r="M1055" s="0" t="str">
        <f aca="false">IF(D1055&lt;5,"1) Under 5%",IF(D1055&lt;10,"2) 5-9%",IF(D1055&lt;15,"3) 10-14%",IF(D1055&lt;25,"4) 15-24%","5) 25%+"))))</f>
        <v>3) 10-14%</v>
      </c>
      <c r="N1055" s="0" t="str">
        <f aca="false">IF(F1055&lt;50,"1) Under Rs 50",IF(F1055&lt;100,"2) Rs 50-99",IF(F1055&lt;200,"3) Rs 100-199",IF(F1055&lt;500,"4) Rs 200-499","5) Rs 500+"))))</f>
        <v>3) Rs 100-199</v>
      </c>
      <c r="O1055" s="0" t="n">
        <f aca="false">G1055*E1055/1000</f>
        <v>0.6</v>
      </c>
    </row>
    <row r="1056" customFormat="false" ht="15" hidden="false" customHeight="false" outlineLevel="0" collapsed="false">
      <c r="A1056" s="0" t="s">
        <v>117</v>
      </c>
      <c r="B1056" s="0" t="s">
        <v>640</v>
      </c>
      <c r="C1056" s="0" t="n">
        <v>45</v>
      </c>
      <c r="D1056" s="0" t="n">
        <v>0</v>
      </c>
      <c r="E1056" s="0" t="n">
        <v>4</v>
      </c>
      <c r="F1056" s="0" t="n">
        <v>45</v>
      </c>
      <c r="G1056" s="0" t="n">
        <v>80</v>
      </c>
      <c r="H1056" s="0" t="s">
        <v>145</v>
      </c>
      <c r="I1056" s="0" t="n">
        <v>80</v>
      </c>
      <c r="J1056" s="0" t="n">
        <f aca="false">F1056*E1056</f>
        <v>180</v>
      </c>
      <c r="K1056" s="0" t="str">
        <f aca="false">IF(G1056&lt;1000,"1-Low",IF(G1056&lt;5000,"2-Medium","3-Bulk"))</f>
        <v>1-Low</v>
      </c>
      <c r="L1056" s="0" t="str">
        <f aca="false">IF(H1056="TRUE","Out of stock","In stock")</f>
        <v>In stock</v>
      </c>
      <c r="M1056" s="0" t="str">
        <f aca="false">IF(D1056&lt;5,"1) Under 5%",IF(D1056&lt;10,"2) 5-9%",IF(D1056&lt;15,"3) 10-14%",IF(D1056&lt;25,"4) 15-24%","5) 25%+"))))</f>
        <v>1) Under 5%</v>
      </c>
      <c r="N1056" s="0" t="str">
        <f aca="false">IF(F1056&lt;50,"1) Under Rs 50",IF(F1056&lt;100,"2) Rs 50-99",IF(F1056&lt;200,"3) Rs 100-199",IF(F1056&lt;500,"4) Rs 200-499","5) Rs 500+"))))</f>
        <v>1) Under Rs 50</v>
      </c>
      <c r="O1056" s="0" t="n">
        <f aca="false">G1056*E1056/1000</f>
        <v>0.32</v>
      </c>
    </row>
    <row r="1057" customFormat="false" ht="15" hidden="false" customHeight="false" outlineLevel="0" collapsed="false">
      <c r="A1057" s="0" t="s">
        <v>117</v>
      </c>
      <c r="B1057" s="0" t="s">
        <v>641</v>
      </c>
      <c r="C1057" s="0" t="n">
        <v>139</v>
      </c>
      <c r="D1057" s="0" t="n">
        <v>0</v>
      </c>
      <c r="E1057" s="0" t="n">
        <v>6</v>
      </c>
      <c r="F1057" s="0" t="n">
        <v>139</v>
      </c>
      <c r="G1057" s="0" t="n">
        <v>45</v>
      </c>
      <c r="H1057" s="0" t="s">
        <v>145</v>
      </c>
      <c r="I1057" s="0" t="n">
        <v>45</v>
      </c>
      <c r="J1057" s="0" t="n">
        <f aca="false">F1057*E1057</f>
        <v>834</v>
      </c>
      <c r="K1057" s="0" t="str">
        <f aca="false">IF(G1057&lt;1000,"1-Low",IF(G1057&lt;5000,"2-Medium","3-Bulk"))</f>
        <v>1-Low</v>
      </c>
      <c r="L1057" s="0" t="str">
        <f aca="false">IF(H1057="TRUE","Out of stock","In stock")</f>
        <v>In stock</v>
      </c>
      <c r="M1057" s="0" t="str">
        <f aca="false">IF(D1057&lt;5,"1) Under 5%",IF(D1057&lt;10,"2) 5-9%",IF(D1057&lt;15,"3) 10-14%",IF(D1057&lt;25,"4) 15-24%","5) 25%+"))))</f>
        <v>1) Under 5%</v>
      </c>
      <c r="N1057" s="0" t="str">
        <f aca="false">IF(F1057&lt;50,"1) Under Rs 50",IF(F1057&lt;100,"2) Rs 50-99",IF(F1057&lt;200,"3) Rs 100-199",IF(F1057&lt;500,"4) Rs 200-499","5) Rs 500+"))))</f>
        <v>3) Rs 100-199</v>
      </c>
      <c r="O1057" s="0" t="n">
        <f aca="false">G1057*E1057/1000</f>
        <v>0.27</v>
      </c>
    </row>
    <row r="1058" customFormat="false" ht="15" hidden="false" customHeight="false" outlineLevel="0" collapsed="false">
      <c r="A1058" s="0" t="s">
        <v>117</v>
      </c>
      <c r="B1058" s="0" t="s">
        <v>642</v>
      </c>
      <c r="C1058" s="0" t="n">
        <v>325</v>
      </c>
      <c r="D1058" s="0" t="n">
        <v>8</v>
      </c>
      <c r="E1058" s="0" t="n">
        <v>1</v>
      </c>
      <c r="F1058" s="0" t="n">
        <v>299</v>
      </c>
      <c r="G1058" s="0" t="n">
        <v>200</v>
      </c>
      <c r="H1058" s="0" t="s">
        <v>145</v>
      </c>
      <c r="I1058" s="0" t="n">
        <v>200</v>
      </c>
      <c r="J1058" s="0" t="n">
        <f aca="false">F1058*E1058</f>
        <v>299</v>
      </c>
      <c r="K1058" s="0" t="str">
        <f aca="false">IF(G1058&lt;1000,"1-Low",IF(G1058&lt;5000,"2-Medium","3-Bulk"))</f>
        <v>1-Low</v>
      </c>
      <c r="L1058" s="0" t="str">
        <f aca="false">IF(H1058="TRUE","Out of stock","In stock")</f>
        <v>In stock</v>
      </c>
      <c r="M1058" s="0" t="str">
        <f aca="false">IF(D1058&lt;5,"1) Under 5%",IF(D1058&lt;10,"2) 5-9%",IF(D1058&lt;15,"3) 10-14%",IF(D1058&lt;25,"4) 15-24%","5) 25%+"))))</f>
        <v>2) 5-9%</v>
      </c>
      <c r="N1058" s="0" t="str">
        <f aca="false">IF(F1058&lt;50,"1) Under Rs 50",IF(F1058&lt;100,"2) Rs 50-99",IF(F1058&lt;200,"3) Rs 100-199",IF(F1058&lt;500,"4) Rs 200-499","5) Rs 500+"))))</f>
        <v>4) Rs 200-499</v>
      </c>
      <c r="O1058" s="0" t="n">
        <f aca="false">G1058*E1058/1000</f>
        <v>0.2</v>
      </c>
    </row>
    <row r="1059" customFormat="false" ht="15" hidden="false" customHeight="false" outlineLevel="0" collapsed="false">
      <c r="A1059" s="0" t="s">
        <v>117</v>
      </c>
      <c r="B1059" s="0" t="s">
        <v>643</v>
      </c>
      <c r="C1059" s="0" t="n">
        <v>60</v>
      </c>
      <c r="D1059" s="0" t="n">
        <v>6</v>
      </c>
      <c r="E1059" s="0" t="n">
        <v>0</v>
      </c>
      <c r="F1059" s="0" t="n">
        <v>56</v>
      </c>
      <c r="G1059" s="0" t="n">
        <v>1000</v>
      </c>
      <c r="H1059" s="0" t="s">
        <v>230</v>
      </c>
      <c r="I1059" s="0" t="n">
        <v>1</v>
      </c>
      <c r="J1059" s="0" t="n">
        <f aca="false">F1059*E1059</f>
        <v>0</v>
      </c>
      <c r="K1059" s="0" t="str">
        <f aca="false">IF(G1059&lt;1000,"1-Low",IF(G1059&lt;5000,"2-Medium","3-Bulk"))</f>
        <v>2-Medium</v>
      </c>
      <c r="L1059" s="0" t="str">
        <f aca="false">IF(H1059="TRUE","Out of stock","In stock")</f>
        <v>Out of stock</v>
      </c>
      <c r="M1059" s="0" t="str">
        <f aca="false">IF(D1059&lt;5,"1) Under 5%",IF(D1059&lt;10,"2) 5-9%",IF(D1059&lt;15,"3) 10-14%",IF(D1059&lt;25,"4) 15-24%","5) 25%+"))))</f>
        <v>2) 5-9%</v>
      </c>
      <c r="N1059" s="0" t="str">
        <f aca="false">IF(F1059&lt;50,"1) Under Rs 50",IF(F1059&lt;100,"2) Rs 50-99",IF(F1059&lt;200,"3) Rs 100-199",IF(F1059&lt;500,"4) Rs 200-499","5) Rs 500+"))))</f>
        <v>2) Rs 50-99</v>
      </c>
      <c r="O1059" s="0" t="n">
        <f aca="false">G1059*E1059/1000</f>
        <v>0</v>
      </c>
    </row>
    <row r="1060" customFormat="false" ht="15" hidden="false" customHeight="false" outlineLevel="0" collapsed="false">
      <c r="A1060" s="0" t="s">
        <v>117</v>
      </c>
      <c r="B1060" s="0" t="s">
        <v>250</v>
      </c>
      <c r="C1060" s="0" t="n">
        <v>63</v>
      </c>
      <c r="D1060" s="0" t="n">
        <v>0</v>
      </c>
      <c r="E1060" s="0" t="n">
        <v>0</v>
      </c>
      <c r="F1060" s="0" t="n">
        <v>63</v>
      </c>
      <c r="G1060" s="0" t="n">
        <v>250</v>
      </c>
      <c r="H1060" s="0" t="s">
        <v>230</v>
      </c>
      <c r="I1060" s="0" t="n">
        <v>250</v>
      </c>
      <c r="J1060" s="0" t="n">
        <f aca="false">F1060*E1060</f>
        <v>0</v>
      </c>
      <c r="K1060" s="0" t="str">
        <f aca="false">IF(G1060&lt;1000,"1-Low",IF(G1060&lt;5000,"2-Medium","3-Bulk"))</f>
        <v>1-Low</v>
      </c>
      <c r="L1060" s="0" t="str">
        <f aca="false">IF(H1060="TRUE","Out of stock","In stock")</f>
        <v>Out of stock</v>
      </c>
      <c r="M1060" s="0" t="str">
        <f aca="false">IF(D1060&lt;5,"1) Under 5%",IF(D1060&lt;10,"2) 5-9%",IF(D1060&lt;15,"3) 10-14%",IF(D1060&lt;25,"4) 15-24%","5) 25%+"))))</f>
        <v>1) Under 5%</v>
      </c>
      <c r="N1060" s="0" t="str">
        <f aca="false">IF(F1060&lt;50,"1) Under Rs 50",IF(F1060&lt;100,"2) Rs 50-99",IF(F1060&lt;200,"3) Rs 100-199",IF(F1060&lt;500,"4) Rs 200-499","5) Rs 500+"))))</f>
        <v>2) Rs 50-99</v>
      </c>
      <c r="O1060" s="0" t="n">
        <f aca="false">G1060*E1060/1000</f>
        <v>0</v>
      </c>
    </row>
    <row r="1061" customFormat="false" ht="15" hidden="false" customHeight="false" outlineLevel="0" collapsed="false">
      <c r="A1061" s="0" t="s">
        <v>117</v>
      </c>
      <c r="B1061" s="0" t="s">
        <v>644</v>
      </c>
      <c r="C1061" s="0" t="n">
        <v>295</v>
      </c>
      <c r="D1061" s="0" t="n">
        <v>9</v>
      </c>
      <c r="E1061" s="0" t="n">
        <v>0</v>
      </c>
      <c r="F1061" s="0" t="n">
        <v>266</v>
      </c>
      <c r="G1061" s="0" t="n">
        <v>5000</v>
      </c>
      <c r="H1061" s="0" t="s">
        <v>230</v>
      </c>
      <c r="I1061" s="0" t="n">
        <v>5</v>
      </c>
      <c r="J1061" s="0" t="n">
        <f aca="false">F1061*E1061</f>
        <v>0</v>
      </c>
      <c r="K1061" s="0" t="str">
        <f aca="false">IF(G1061&lt;1000,"1-Low",IF(G1061&lt;5000,"2-Medium","3-Bulk"))</f>
        <v>3-Bulk</v>
      </c>
      <c r="L1061" s="0" t="str">
        <f aca="false">IF(H1061="TRUE","Out of stock","In stock")</f>
        <v>Out of stock</v>
      </c>
      <c r="M1061" s="0" t="str">
        <f aca="false">IF(D1061&lt;5,"1) Under 5%",IF(D1061&lt;10,"2) 5-9%",IF(D1061&lt;15,"3) 10-14%",IF(D1061&lt;25,"4) 15-24%","5) 25%+"))))</f>
        <v>2) 5-9%</v>
      </c>
      <c r="N1061" s="0" t="str">
        <f aca="false">IF(F1061&lt;50,"1) Under Rs 50",IF(F1061&lt;100,"2) Rs 50-99",IF(F1061&lt;200,"3) Rs 100-199",IF(F1061&lt;500,"4) Rs 200-499","5) Rs 500+"))))</f>
        <v>4) Rs 200-499</v>
      </c>
      <c r="O1061" s="0" t="n">
        <f aca="false">G1061*E1061/1000</f>
        <v>0</v>
      </c>
    </row>
    <row r="1062" customFormat="false" ht="15" hidden="false" customHeight="false" outlineLevel="0" collapsed="false">
      <c r="A1062" s="0" t="s">
        <v>117</v>
      </c>
      <c r="B1062" s="0" t="s">
        <v>645</v>
      </c>
      <c r="C1062" s="0" t="n">
        <v>35</v>
      </c>
      <c r="D1062" s="0" t="n">
        <v>8</v>
      </c>
      <c r="E1062" s="0" t="n">
        <v>0</v>
      </c>
      <c r="F1062" s="0" t="n">
        <v>32</v>
      </c>
      <c r="G1062" s="0" t="n">
        <v>500</v>
      </c>
      <c r="H1062" s="0" t="s">
        <v>230</v>
      </c>
      <c r="I1062" s="0" t="n">
        <v>500</v>
      </c>
      <c r="J1062" s="0" t="n">
        <f aca="false">F1062*E1062</f>
        <v>0</v>
      </c>
      <c r="K1062" s="0" t="str">
        <f aca="false">IF(G1062&lt;1000,"1-Low",IF(G1062&lt;5000,"2-Medium","3-Bulk"))</f>
        <v>1-Low</v>
      </c>
      <c r="L1062" s="0" t="str">
        <f aca="false">IF(H1062="TRUE","Out of stock","In stock")</f>
        <v>Out of stock</v>
      </c>
      <c r="M1062" s="0" t="str">
        <f aca="false">IF(D1062&lt;5,"1) Under 5%",IF(D1062&lt;10,"2) 5-9%",IF(D1062&lt;15,"3) 10-14%",IF(D1062&lt;25,"4) 15-24%","5) 25%+"))))</f>
        <v>2) 5-9%</v>
      </c>
      <c r="N1062" s="0" t="str">
        <f aca="false">IF(F1062&lt;50,"1) Under Rs 50",IF(F1062&lt;100,"2) Rs 50-99",IF(F1062&lt;200,"3) Rs 100-199",IF(F1062&lt;500,"4) Rs 200-499","5) Rs 500+"))))</f>
        <v>1) Under Rs 50</v>
      </c>
      <c r="O1062" s="0" t="n">
        <f aca="false">G1062*E1062/1000</f>
        <v>0</v>
      </c>
    </row>
    <row r="1063" customFormat="false" ht="15" hidden="false" customHeight="false" outlineLevel="0" collapsed="false">
      <c r="A1063" s="0" t="s">
        <v>117</v>
      </c>
      <c r="B1063" s="0" t="s">
        <v>646</v>
      </c>
      <c r="C1063" s="0" t="n">
        <v>53</v>
      </c>
      <c r="D1063" s="0" t="n">
        <v>1</v>
      </c>
      <c r="E1063" s="0" t="n">
        <v>0</v>
      </c>
      <c r="F1063" s="0" t="n">
        <v>52</v>
      </c>
      <c r="G1063" s="0" t="n">
        <v>1000</v>
      </c>
      <c r="H1063" s="0" t="s">
        <v>230</v>
      </c>
      <c r="I1063" s="0" t="n">
        <v>1</v>
      </c>
      <c r="J1063" s="0" t="n">
        <f aca="false">F1063*E1063</f>
        <v>0</v>
      </c>
      <c r="K1063" s="0" t="str">
        <f aca="false">IF(G1063&lt;1000,"1-Low",IF(G1063&lt;5000,"2-Medium","3-Bulk"))</f>
        <v>2-Medium</v>
      </c>
      <c r="L1063" s="0" t="str">
        <f aca="false">IF(H1063="TRUE","Out of stock","In stock")</f>
        <v>Out of stock</v>
      </c>
      <c r="M1063" s="0" t="str">
        <f aca="false">IF(D1063&lt;5,"1) Under 5%",IF(D1063&lt;10,"2) 5-9%",IF(D1063&lt;15,"3) 10-14%",IF(D1063&lt;25,"4) 15-24%","5) 25%+"))))</f>
        <v>1) Under 5%</v>
      </c>
      <c r="N1063" s="0" t="str">
        <f aca="false">IF(F1063&lt;50,"1) Under Rs 50",IF(F1063&lt;100,"2) Rs 50-99",IF(F1063&lt;200,"3) Rs 100-199",IF(F1063&lt;500,"4) Rs 200-499","5) Rs 500+"))))</f>
        <v>2) Rs 50-99</v>
      </c>
      <c r="O1063" s="0" t="n">
        <f aca="false">G1063*E1063/1000</f>
        <v>0</v>
      </c>
    </row>
    <row r="1064" customFormat="false" ht="15" hidden="false" customHeight="false" outlineLevel="0" collapsed="false">
      <c r="A1064" s="0" t="s">
        <v>117</v>
      </c>
      <c r="B1064" s="0" t="s">
        <v>110</v>
      </c>
      <c r="C1064" s="0" t="n">
        <v>210</v>
      </c>
      <c r="D1064" s="0" t="n">
        <v>13</v>
      </c>
      <c r="E1064" s="0" t="n">
        <v>0</v>
      </c>
      <c r="F1064" s="0" t="n">
        <v>181</v>
      </c>
      <c r="G1064" s="0" t="n">
        <v>1000</v>
      </c>
      <c r="H1064" s="0" t="s">
        <v>230</v>
      </c>
      <c r="I1064" s="0" t="n">
        <v>1</v>
      </c>
      <c r="J1064" s="0" t="n">
        <f aca="false">F1064*E1064</f>
        <v>0</v>
      </c>
      <c r="K1064" s="0" t="str">
        <f aca="false">IF(G1064&lt;1000,"1-Low",IF(G1064&lt;5000,"2-Medium","3-Bulk"))</f>
        <v>2-Medium</v>
      </c>
      <c r="L1064" s="0" t="str">
        <f aca="false">IF(H1064="TRUE","Out of stock","In stock")</f>
        <v>Out of stock</v>
      </c>
      <c r="M1064" s="0" t="str">
        <f aca="false">IF(D1064&lt;5,"1) Under 5%",IF(D1064&lt;10,"2) 5-9%",IF(D1064&lt;15,"3) 10-14%",IF(D1064&lt;25,"4) 15-24%","5) 25%+"))))</f>
        <v>3) 10-14%</v>
      </c>
      <c r="N1064" s="0" t="str">
        <f aca="false">IF(F1064&lt;50,"1) Under Rs 50",IF(F1064&lt;100,"2) Rs 50-99",IF(F1064&lt;200,"3) Rs 100-199",IF(F1064&lt;500,"4) Rs 200-499","5) Rs 500+"))))</f>
        <v>3) Rs 100-199</v>
      </c>
      <c r="O1064" s="0" t="n">
        <f aca="false">G1064*E1064/1000</f>
        <v>0</v>
      </c>
    </row>
    <row r="1065" customFormat="false" ht="15" hidden="false" customHeight="false" outlineLevel="0" collapsed="false">
      <c r="A1065" s="0" t="s">
        <v>117</v>
      </c>
      <c r="B1065" s="0" t="s">
        <v>647</v>
      </c>
      <c r="C1065" s="0" t="n">
        <v>58</v>
      </c>
      <c r="D1065" s="0" t="n">
        <v>6</v>
      </c>
      <c r="E1065" s="0" t="n">
        <v>0</v>
      </c>
      <c r="F1065" s="0" t="n">
        <v>54</v>
      </c>
      <c r="G1065" s="0" t="n">
        <v>72</v>
      </c>
      <c r="H1065" s="0" t="s">
        <v>230</v>
      </c>
      <c r="I1065" s="0" t="n">
        <v>72</v>
      </c>
      <c r="J1065" s="0" t="n">
        <f aca="false">F1065*E1065</f>
        <v>0</v>
      </c>
      <c r="K1065" s="0" t="str">
        <f aca="false">IF(G1065&lt;1000,"1-Low",IF(G1065&lt;5000,"2-Medium","3-Bulk"))</f>
        <v>1-Low</v>
      </c>
      <c r="L1065" s="0" t="str">
        <f aca="false">IF(H1065="TRUE","Out of stock","In stock")</f>
        <v>Out of stock</v>
      </c>
      <c r="M1065" s="0" t="str">
        <f aca="false">IF(D1065&lt;5,"1) Under 5%",IF(D1065&lt;10,"2) 5-9%",IF(D1065&lt;15,"3) 10-14%",IF(D1065&lt;25,"4) 15-24%","5) 25%+"))))</f>
        <v>2) 5-9%</v>
      </c>
      <c r="N1065" s="0" t="str">
        <f aca="false">IF(F1065&lt;50,"1) Under Rs 50",IF(F1065&lt;100,"2) Rs 50-99",IF(F1065&lt;200,"3) Rs 100-199",IF(F1065&lt;500,"4) Rs 200-499","5) Rs 500+"))))</f>
        <v>2) Rs 50-99</v>
      </c>
      <c r="O1065" s="0" t="n">
        <f aca="false">G1065*E1065/1000</f>
        <v>0</v>
      </c>
    </row>
    <row r="1066" customFormat="false" ht="15" hidden="false" customHeight="false" outlineLevel="0" collapsed="false">
      <c r="A1066" s="0" t="s">
        <v>117</v>
      </c>
      <c r="B1066" s="0" t="s">
        <v>648</v>
      </c>
      <c r="C1066" s="0" t="n">
        <v>22</v>
      </c>
      <c r="D1066" s="0" t="n">
        <v>13</v>
      </c>
      <c r="E1066" s="0" t="n">
        <v>0</v>
      </c>
      <c r="F1066" s="0" t="n">
        <v>19</v>
      </c>
      <c r="G1066" s="0" t="n">
        <v>1000</v>
      </c>
      <c r="H1066" s="0" t="s">
        <v>230</v>
      </c>
      <c r="I1066" s="0" t="n">
        <v>1</v>
      </c>
      <c r="J1066" s="0" t="n">
        <f aca="false">F1066*E1066</f>
        <v>0</v>
      </c>
      <c r="K1066" s="0" t="str">
        <f aca="false">IF(G1066&lt;1000,"1-Low",IF(G1066&lt;5000,"2-Medium","3-Bulk"))</f>
        <v>2-Medium</v>
      </c>
      <c r="L1066" s="0" t="str">
        <f aca="false">IF(H1066="TRUE","Out of stock","In stock")</f>
        <v>Out of stock</v>
      </c>
      <c r="M1066" s="0" t="str">
        <f aca="false">IF(D1066&lt;5,"1) Under 5%",IF(D1066&lt;10,"2) 5-9%",IF(D1066&lt;15,"3) 10-14%",IF(D1066&lt;25,"4) 15-24%","5) 25%+"))))</f>
        <v>3) 10-14%</v>
      </c>
      <c r="N1066" s="0" t="str">
        <f aca="false">IF(F1066&lt;50,"1) Under Rs 50",IF(F1066&lt;100,"2) Rs 50-99",IF(F1066&lt;200,"3) Rs 100-199",IF(F1066&lt;500,"4) Rs 200-499","5) Rs 500+"))))</f>
        <v>1) Under Rs 50</v>
      </c>
      <c r="O1066" s="0" t="n">
        <f aca="false">G1066*E1066/1000</f>
        <v>0</v>
      </c>
    </row>
    <row r="1067" customFormat="false" ht="15" hidden="false" customHeight="false" outlineLevel="0" collapsed="false">
      <c r="A1067" s="0" t="s">
        <v>117</v>
      </c>
      <c r="B1067" s="0" t="s">
        <v>649</v>
      </c>
      <c r="C1067" s="0" t="n">
        <v>44</v>
      </c>
      <c r="D1067" s="0" t="n">
        <v>0</v>
      </c>
      <c r="E1067" s="0" t="n">
        <v>0</v>
      </c>
      <c r="F1067" s="0" t="n">
        <v>44</v>
      </c>
      <c r="G1067" s="0" t="n">
        <v>280</v>
      </c>
      <c r="H1067" s="0" t="s">
        <v>230</v>
      </c>
      <c r="I1067" s="0" t="n">
        <v>280</v>
      </c>
      <c r="J1067" s="0" t="n">
        <f aca="false">F1067*E1067</f>
        <v>0</v>
      </c>
      <c r="K1067" s="0" t="str">
        <f aca="false">IF(G1067&lt;1000,"1-Low",IF(G1067&lt;5000,"2-Medium","3-Bulk"))</f>
        <v>1-Low</v>
      </c>
      <c r="L1067" s="0" t="str">
        <f aca="false">IF(H1067="TRUE","Out of stock","In stock")</f>
        <v>Out of stock</v>
      </c>
      <c r="M1067" s="0" t="str">
        <f aca="false">IF(D1067&lt;5,"1) Under 5%",IF(D1067&lt;10,"2) 5-9%",IF(D1067&lt;15,"3) 10-14%",IF(D1067&lt;25,"4) 15-24%","5) 25%+"))))</f>
        <v>1) Under 5%</v>
      </c>
      <c r="N1067" s="0" t="str">
        <f aca="false">IF(F1067&lt;50,"1) Under Rs 50",IF(F1067&lt;100,"2) Rs 50-99",IF(F1067&lt;200,"3) Rs 100-199",IF(F1067&lt;500,"4) Rs 200-499","5) Rs 500+"))))</f>
        <v>1) Under Rs 50</v>
      </c>
      <c r="O1067" s="0" t="n">
        <f aca="false">G1067*E1067/1000</f>
        <v>0</v>
      </c>
    </row>
    <row r="1068" customFormat="false" ht="15" hidden="false" customHeight="false" outlineLevel="0" collapsed="false">
      <c r="A1068" s="0" t="s">
        <v>117</v>
      </c>
      <c r="B1068" s="0" t="s">
        <v>650</v>
      </c>
      <c r="C1068" s="0" t="n">
        <v>150</v>
      </c>
      <c r="D1068" s="0" t="n">
        <v>14</v>
      </c>
      <c r="E1068" s="0" t="n">
        <v>0</v>
      </c>
      <c r="F1068" s="0" t="n">
        <v>128</v>
      </c>
      <c r="G1068" s="0" t="n">
        <v>100</v>
      </c>
      <c r="H1068" s="0" t="s">
        <v>230</v>
      </c>
      <c r="I1068" s="0" t="n">
        <v>100</v>
      </c>
      <c r="J1068" s="0" t="n">
        <f aca="false">F1068*E1068</f>
        <v>0</v>
      </c>
      <c r="K1068" s="0" t="str">
        <f aca="false">IF(G1068&lt;1000,"1-Low",IF(G1068&lt;5000,"2-Medium","3-Bulk"))</f>
        <v>1-Low</v>
      </c>
      <c r="L1068" s="0" t="str">
        <f aca="false">IF(H1068="TRUE","Out of stock","In stock")</f>
        <v>Out of stock</v>
      </c>
      <c r="M1068" s="0" t="str">
        <f aca="false">IF(D1068&lt;5,"1) Under 5%",IF(D1068&lt;10,"2) 5-9%",IF(D1068&lt;15,"3) 10-14%",IF(D1068&lt;25,"4) 15-24%","5) 25%+"))))</f>
        <v>3) 10-14%</v>
      </c>
      <c r="N1068" s="0" t="str">
        <f aca="false">IF(F1068&lt;50,"1) Under Rs 50",IF(F1068&lt;100,"2) Rs 50-99",IF(F1068&lt;200,"3) Rs 100-199",IF(F1068&lt;500,"4) Rs 200-499","5) Rs 500+"))))</f>
        <v>3) Rs 100-199</v>
      </c>
      <c r="O1068" s="0" t="n">
        <f aca="false">G1068*E1068/1000</f>
        <v>0</v>
      </c>
    </row>
    <row r="1069" customFormat="false" ht="15" hidden="false" customHeight="false" outlineLevel="0" collapsed="false">
      <c r="A1069" s="0" t="s">
        <v>117</v>
      </c>
      <c r="B1069" s="0" t="s">
        <v>651</v>
      </c>
      <c r="C1069" s="0" t="n">
        <v>315</v>
      </c>
      <c r="D1069" s="0" t="n">
        <v>8</v>
      </c>
      <c r="E1069" s="0" t="n">
        <v>0</v>
      </c>
      <c r="F1069" s="0" t="n">
        <v>287</v>
      </c>
      <c r="G1069" s="0" t="n">
        <v>5000</v>
      </c>
      <c r="H1069" s="0" t="s">
        <v>230</v>
      </c>
      <c r="I1069" s="0" t="n">
        <v>5</v>
      </c>
      <c r="J1069" s="0" t="n">
        <f aca="false">F1069*E1069</f>
        <v>0</v>
      </c>
      <c r="K1069" s="0" t="str">
        <f aca="false">IF(G1069&lt;1000,"1-Low",IF(G1069&lt;5000,"2-Medium","3-Bulk"))</f>
        <v>3-Bulk</v>
      </c>
      <c r="L1069" s="0" t="str">
        <f aca="false">IF(H1069="TRUE","Out of stock","In stock")</f>
        <v>Out of stock</v>
      </c>
      <c r="M1069" s="0" t="str">
        <f aca="false">IF(D1069&lt;5,"1) Under 5%",IF(D1069&lt;10,"2) 5-9%",IF(D1069&lt;15,"3) 10-14%",IF(D1069&lt;25,"4) 15-24%","5) 25%+"))))</f>
        <v>2) 5-9%</v>
      </c>
      <c r="N1069" s="0" t="str">
        <f aca="false">IF(F1069&lt;50,"1) Under Rs 50",IF(F1069&lt;100,"2) Rs 50-99",IF(F1069&lt;200,"3) Rs 100-199",IF(F1069&lt;500,"4) Rs 200-499","5) Rs 500+"))))</f>
        <v>4) Rs 200-499</v>
      </c>
      <c r="O1069" s="0" t="n">
        <f aca="false">G1069*E1069/1000</f>
        <v>0</v>
      </c>
    </row>
    <row r="1070" customFormat="false" ht="15" hidden="false" customHeight="false" outlineLevel="0" collapsed="false">
      <c r="A1070" s="0" t="s">
        <v>117</v>
      </c>
      <c r="B1070" s="0" t="s">
        <v>652</v>
      </c>
      <c r="C1070" s="0" t="n">
        <v>44</v>
      </c>
      <c r="D1070" s="0" t="n">
        <v>6</v>
      </c>
      <c r="E1070" s="0" t="n">
        <v>0</v>
      </c>
      <c r="F1070" s="0" t="n">
        <v>41</v>
      </c>
      <c r="G1070" s="0" t="n">
        <v>500</v>
      </c>
      <c r="H1070" s="0" t="s">
        <v>230</v>
      </c>
      <c r="I1070" s="0" t="n">
        <v>500</v>
      </c>
      <c r="J1070" s="0" t="n">
        <f aca="false">F1070*E1070</f>
        <v>0</v>
      </c>
      <c r="K1070" s="0" t="str">
        <f aca="false">IF(G1070&lt;1000,"1-Low",IF(G1070&lt;5000,"2-Medium","3-Bulk"))</f>
        <v>1-Low</v>
      </c>
      <c r="L1070" s="0" t="str">
        <f aca="false">IF(H1070="TRUE","Out of stock","In stock")</f>
        <v>Out of stock</v>
      </c>
      <c r="M1070" s="0" t="str">
        <f aca="false">IF(D1070&lt;5,"1) Under 5%",IF(D1070&lt;10,"2) 5-9%",IF(D1070&lt;15,"3) 10-14%",IF(D1070&lt;25,"4) 15-24%","5) 25%+"))))</f>
        <v>2) 5-9%</v>
      </c>
      <c r="N1070" s="0" t="str">
        <f aca="false">IF(F1070&lt;50,"1) Under Rs 50",IF(F1070&lt;100,"2) Rs 50-99",IF(F1070&lt;200,"3) Rs 100-199",IF(F1070&lt;500,"4) Rs 200-499","5) Rs 500+"))))</f>
        <v>1) Under Rs 50</v>
      </c>
      <c r="O1070" s="0" t="n">
        <f aca="false">G1070*E1070/1000</f>
        <v>0</v>
      </c>
    </row>
    <row r="1071" customFormat="false" ht="15" hidden="false" customHeight="false" outlineLevel="0" collapsed="false">
      <c r="A1071" s="0" t="s">
        <v>117</v>
      </c>
      <c r="B1071" s="0" t="s">
        <v>653</v>
      </c>
      <c r="C1071" s="0" t="n">
        <v>120</v>
      </c>
      <c r="D1071" s="0" t="n">
        <v>0</v>
      </c>
      <c r="E1071" s="0" t="n">
        <v>0</v>
      </c>
      <c r="F1071" s="0" t="n">
        <v>120</v>
      </c>
      <c r="G1071" s="0" t="n">
        <v>1000</v>
      </c>
      <c r="H1071" s="0" t="s">
        <v>230</v>
      </c>
      <c r="I1071" s="0" t="n">
        <v>1</v>
      </c>
      <c r="J1071" s="0" t="n">
        <f aca="false">F1071*E1071</f>
        <v>0</v>
      </c>
      <c r="K1071" s="0" t="str">
        <f aca="false">IF(G1071&lt;1000,"1-Low",IF(G1071&lt;5000,"2-Medium","3-Bulk"))</f>
        <v>2-Medium</v>
      </c>
      <c r="L1071" s="0" t="str">
        <f aca="false">IF(H1071="TRUE","Out of stock","In stock")</f>
        <v>Out of stock</v>
      </c>
      <c r="M1071" s="0" t="str">
        <f aca="false">IF(D1071&lt;5,"1) Under 5%",IF(D1071&lt;10,"2) 5-9%",IF(D1071&lt;15,"3) 10-14%",IF(D1071&lt;25,"4) 15-24%","5) 25%+"))))</f>
        <v>1) Under 5%</v>
      </c>
      <c r="N1071" s="0" t="str">
        <f aca="false">IF(F1071&lt;50,"1) Under Rs 50",IF(F1071&lt;100,"2) Rs 50-99",IF(F1071&lt;200,"3) Rs 100-199",IF(F1071&lt;500,"4) Rs 200-499","5) Rs 500+"))))</f>
        <v>3) Rs 100-199</v>
      </c>
      <c r="O1071" s="0" t="n">
        <f aca="false">G1071*E1071/1000</f>
        <v>0</v>
      </c>
    </row>
    <row r="1072" customFormat="false" ht="15" hidden="false" customHeight="false" outlineLevel="0" collapsed="false">
      <c r="A1072" s="0" t="s">
        <v>117</v>
      </c>
      <c r="B1072" s="0" t="s">
        <v>248</v>
      </c>
      <c r="C1072" s="0" t="n">
        <v>80</v>
      </c>
      <c r="D1072" s="0" t="n">
        <v>7</v>
      </c>
      <c r="E1072" s="0" t="n">
        <v>0</v>
      </c>
      <c r="F1072" s="0" t="n">
        <v>74</v>
      </c>
      <c r="G1072" s="0" t="n">
        <v>500</v>
      </c>
      <c r="H1072" s="0" t="s">
        <v>230</v>
      </c>
      <c r="I1072" s="0" t="n">
        <v>500</v>
      </c>
      <c r="J1072" s="0" t="n">
        <f aca="false">F1072*E1072</f>
        <v>0</v>
      </c>
      <c r="K1072" s="0" t="str">
        <f aca="false">IF(G1072&lt;1000,"1-Low",IF(G1072&lt;5000,"2-Medium","3-Bulk"))</f>
        <v>1-Low</v>
      </c>
      <c r="L1072" s="0" t="str">
        <f aca="false">IF(H1072="TRUE","Out of stock","In stock")</f>
        <v>Out of stock</v>
      </c>
      <c r="M1072" s="0" t="str">
        <f aca="false">IF(D1072&lt;5,"1) Under 5%",IF(D1072&lt;10,"2) 5-9%",IF(D1072&lt;15,"3) 10-14%",IF(D1072&lt;25,"4) 15-24%","5) 25%+"))))</f>
        <v>2) 5-9%</v>
      </c>
      <c r="N1072" s="0" t="str">
        <f aca="false">IF(F1072&lt;50,"1) Under Rs 50",IF(F1072&lt;100,"2) Rs 50-99",IF(F1072&lt;200,"3) Rs 100-199",IF(F1072&lt;500,"4) Rs 200-499","5) Rs 500+"))))</f>
        <v>2) Rs 50-99</v>
      </c>
      <c r="O1072" s="0" t="n">
        <f aca="false">G1072*E1072/1000</f>
        <v>0</v>
      </c>
    </row>
    <row r="1073" customFormat="false" ht="15" hidden="false" customHeight="false" outlineLevel="0" collapsed="false">
      <c r="A1073" s="0" t="s">
        <v>117</v>
      </c>
      <c r="B1073" s="0" t="s">
        <v>654</v>
      </c>
      <c r="C1073" s="0" t="n">
        <v>47</v>
      </c>
      <c r="D1073" s="0" t="n">
        <v>2</v>
      </c>
      <c r="E1073" s="0" t="n">
        <v>0</v>
      </c>
      <c r="F1073" s="0" t="n">
        <v>46</v>
      </c>
      <c r="G1073" s="0" t="n">
        <v>100</v>
      </c>
      <c r="H1073" s="0" t="s">
        <v>230</v>
      </c>
      <c r="I1073" s="0" t="n">
        <v>100</v>
      </c>
      <c r="J1073" s="0" t="n">
        <f aca="false">F1073*E1073</f>
        <v>0</v>
      </c>
      <c r="K1073" s="0" t="str">
        <f aca="false">IF(G1073&lt;1000,"1-Low",IF(G1073&lt;5000,"2-Medium","3-Bulk"))</f>
        <v>1-Low</v>
      </c>
      <c r="L1073" s="0" t="str">
        <f aca="false">IF(H1073="TRUE","Out of stock","In stock")</f>
        <v>Out of stock</v>
      </c>
      <c r="M1073" s="0" t="str">
        <f aca="false">IF(D1073&lt;5,"1) Under 5%",IF(D1073&lt;10,"2) 5-9%",IF(D1073&lt;15,"3) 10-14%",IF(D1073&lt;25,"4) 15-24%","5) 25%+"))))</f>
        <v>1) Under 5%</v>
      </c>
      <c r="N1073" s="0" t="str">
        <f aca="false">IF(F1073&lt;50,"1) Under Rs 50",IF(F1073&lt;100,"2) Rs 50-99",IF(F1073&lt;200,"3) Rs 100-199",IF(F1073&lt;500,"4) Rs 200-499","5) Rs 500+"))))</f>
        <v>1) Under Rs 50</v>
      </c>
      <c r="O1073" s="0" t="n">
        <f aca="false">G1073*E1073/1000</f>
        <v>0</v>
      </c>
    </row>
    <row r="1074" customFormat="false" ht="15" hidden="false" customHeight="false" outlineLevel="0" collapsed="false">
      <c r="A1074" s="0" t="s">
        <v>117</v>
      </c>
      <c r="B1074" s="0" t="s">
        <v>655</v>
      </c>
      <c r="C1074" s="0" t="n">
        <v>50</v>
      </c>
      <c r="D1074" s="0" t="n">
        <v>2</v>
      </c>
      <c r="E1074" s="0" t="n">
        <v>0</v>
      </c>
      <c r="F1074" s="0" t="n">
        <v>49</v>
      </c>
      <c r="G1074" s="0" t="n">
        <v>100</v>
      </c>
      <c r="H1074" s="0" t="s">
        <v>230</v>
      </c>
      <c r="I1074" s="0" t="n">
        <v>100</v>
      </c>
      <c r="J1074" s="0" t="n">
        <f aca="false">F1074*E1074</f>
        <v>0</v>
      </c>
      <c r="K1074" s="0" t="str">
        <f aca="false">IF(G1074&lt;1000,"1-Low",IF(G1074&lt;5000,"2-Medium","3-Bulk"))</f>
        <v>1-Low</v>
      </c>
      <c r="L1074" s="0" t="str">
        <f aca="false">IF(H1074="TRUE","Out of stock","In stock")</f>
        <v>Out of stock</v>
      </c>
      <c r="M1074" s="0" t="str">
        <f aca="false">IF(D1074&lt;5,"1) Under 5%",IF(D1074&lt;10,"2) 5-9%",IF(D1074&lt;15,"3) 10-14%",IF(D1074&lt;25,"4) 15-24%","5) 25%+"))))</f>
        <v>1) Under 5%</v>
      </c>
      <c r="N1074" s="0" t="str">
        <f aca="false">IF(F1074&lt;50,"1) Under Rs 50",IF(F1074&lt;100,"2) Rs 50-99",IF(F1074&lt;200,"3) Rs 100-199",IF(F1074&lt;500,"4) Rs 200-499","5) Rs 500+"))))</f>
        <v>1) Under Rs 50</v>
      </c>
      <c r="O1074" s="0" t="n">
        <f aca="false">G1074*E1074/1000</f>
        <v>0</v>
      </c>
    </row>
    <row r="1075" customFormat="false" ht="15" hidden="false" customHeight="false" outlineLevel="0" collapsed="false">
      <c r="A1075" s="0" t="s">
        <v>117</v>
      </c>
      <c r="B1075" s="0" t="s">
        <v>656</v>
      </c>
      <c r="C1075" s="0" t="n">
        <v>179</v>
      </c>
      <c r="D1075" s="0" t="n">
        <v>1</v>
      </c>
      <c r="E1075" s="0" t="n">
        <v>0</v>
      </c>
      <c r="F1075" s="0" t="n">
        <v>177</v>
      </c>
      <c r="G1075" s="0" t="n">
        <v>1000</v>
      </c>
      <c r="H1075" s="0" t="s">
        <v>230</v>
      </c>
      <c r="I1075" s="0" t="n">
        <v>200</v>
      </c>
      <c r="J1075" s="0" t="n">
        <f aca="false">F1075*E1075</f>
        <v>0</v>
      </c>
      <c r="K1075" s="0" t="str">
        <f aca="false">IF(G1075&lt;1000,"1-Low",IF(G1075&lt;5000,"2-Medium","3-Bulk"))</f>
        <v>2-Medium</v>
      </c>
      <c r="L1075" s="0" t="str">
        <f aca="false">IF(H1075="TRUE","Out of stock","In stock")</f>
        <v>Out of stock</v>
      </c>
      <c r="M1075" s="0" t="str">
        <f aca="false">IF(D1075&lt;5,"1) Under 5%",IF(D1075&lt;10,"2) 5-9%",IF(D1075&lt;15,"3) 10-14%",IF(D1075&lt;25,"4) 15-24%","5) 25%+"))))</f>
        <v>1) Under 5%</v>
      </c>
      <c r="N1075" s="0" t="str">
        <f aca="false">IF(F1075&lt;50,"1) Under Rs 50",IF(F1075&lt;100,"2) Rs 50-99",IF(F1075&lt;200,"3) Rs 100-199",IF(F1075&lt;500,"4) Rs 200-499","5) Rs 500+"))))</f>
        <v>3) Rs 100-199</v>
      </c>
      <c r="O1075" s="0" t="n">
        <f aca="false">G1075*E1075/1000</f>
        <v>0</v>
      </c>
    </row>
    <row r="1076" customFormat="false" ht="15" hidden="false" customHeight="false" outlineLevel="0" collapsed="false">
      <c r="A1076" s="0" t="s">
        <v>117</v>
      </c>
      <c r="B1076" s="0" t="s">
        <v>657</v>
      </c>
      <c r="C1076" s="0" t="n">
        <v>32</v>
      </c>
      <c r="D1076" s="0" t="n">
        <v>3</v>
      </c>
      <c r="E1076" s="0" t="n">
        <v>0</v>
      </c>
      <c r="F1076" s="0" t="n">
        <v>31</v>
      </c>
      <c r="G1076" s="0" t="n">
        <v>100</v>
      </c>
      <c r="H1076" s="0" t="s">
        <v>230</v>
      </c>
      <c r="I1076" s="0" t="n">
        <v>100</v>
      </c>
      <c r="J1076" s="0" t="n">
        <f aca="false">F1076*E1076</f>
        <v>0</v>
      </c>
      <c r="K1076" s="0" t="str">
        <f aca="false">IF(G1076&lt;1000,"1-Low",IF(G1076&lt;5000,"2-Medium","3-Bulk"))</f>
        <v>1-Low</v>
      </c>
      <c r="L1076" s="0" t="str">
        <f aca="false">IF(H1076="TRUE","Out of stock","In stock")</f>
        <v>Out of stock</v>
      </c>
      <c r="M1076" s="0" t="str">
        <f aca="false">IF(D1076&lt;5,"1) Under 5%",IF(D1076&lt;10,"2) 5-9%",IF(D1076&lt;15,"3) 10-14%",IF(D1076&lt;25,"4) 15-24%","5) 25%+"))))</f>
        <v>1) Under 5%</v>
      </c>
      <c r="N1076" s="0" t="str">
        <f aca="false">IF(F1076&lt;50,"1) Under Rs 50",IF(F1076&lt;100,"2) Rs 50-99",IF(F1076&lt;200,"3) Rs 100-199",IF(F1076&lt;500,"4) Rs 200-499","5) Rs 500+"))))</f>
        <v>1) Under Rs 50</v>
      </c>
      <c r="O1076" s="0" t="n">
        <f aca="false">G1076*E1076/1000</f>
        <v>0</v>
      </c>
    </row>
    <row r="1077" customFormat="false" ht="15" hidden="false" customHeight="false" outlineLevel="0" collapsed="false">
      <c r="A1077" s="0" t="s">
        <v>117</v>
      </c>
      <c r="B1077" s="0" t="s">
        <v>658</v>
      </c>
      <c r="C1077" s="0" t="n">
        <v>38</v>
      </c>
      <c r="D1077" s="0" t="n">
        <v>7</v>
      </c>
      <c r="E1077" s="0" t="n">
        <v>0</v>
      </c>
      <c r="F1077" s="0" t="n">
        <v>35</v>
      </c>
      <c r="G1077" s="0" t="n">
        <v>500</v>
      </c>
      <c r="H1077" s="0" t="s">
        <v>230</v>
      </c>
      <c r="I1077" s="0" t="n">
        <v>500</v>
      </c>
      <c r="J1077" s="0" t="n">
        <f aca="false">F1077*E1077</f>
        <v>0</v>
      </c>
      <c r="K1077" s="0" t="str">
        <f aca="false">IF(G1077&lt;1000,"1-Low",IF(G1077&lt;5000,"2-Medium","3-Bulk"))</f>
        <v>1-Low</v>
      </c>
      <c r="L1077" s="0" t="str">
        <f aca="false">IF(H1077="TRUE","Out of stock","In stock")</f>
        <v>Out of stock</v>
      </c>
      <c r="M1077" s="0" t="str">
        <f aca="false">IF(D1077&lt;5,"1) Under 5%",IF(D1077&lt;10,"2) 5-9%",IF(D1077&lt;15,"3) 10-14%",IF(D1077&lt;25,"4) 15-24%","5) 25%+"))))</f>
        <v>2) 5-9%</v>
      </c>
      <c r="N1077" s="0" t="str">
        <f aca="false">IF(F1077&lt;50,"1) Under Rs 50",IF(F1077&lt;100,"2) Rs 50-99",IF(F1077&lt;200,"3) Rs 100-199",IF(F1077&lt;500,"4) Rs 200-499","5) Rs 500+"))))</f>
        <v>1) Under Rs 50</v>
      </c>
      <c r="O1077" s="0" t="n">
        <f aca="false">G1077*E1077/1000</f>
        <v>0</v>
      </c>
    </row>
    <row r="1078" customFormat="false" ht="15" hidden="false" customHeight="false" outlineLevel="0" collapsed="false">
      <c r="A1078" s="0" t="s">
        <v>117</v>
      </c>
      <c r="B1078" s="0" t="s">
        <v>659</v>
      </c>
      <c r="C1078" s="0" t="n">
        <v>75</v>
      </c>
      <c r="D1078" s="0" t="n">
        <v>0</v>
      </c>
      <c r="E1078" s="0" t="n">
        <v>0</v>
      </c>
      <c r="F1078" s="0" t="n">
        <v>75</v>
      </c>
      <c r="G1078" s="0" t="n">
        <v>1000</v>
      </c>
      <c r="H1078" s="0" t="s">
        <v>230</v>
      </c>
      <c r="I1078" s="0" t="n">
        <v>1</v>
      </c>
      <c r="J1078" s="0" t="n">
        <f aca="false">F1078*E1078</f>
        <v>0</v>
      </c>
      <c r="K1078" s="0" t="str">
        <f aca="false">IF(G1078&lt;1000,"1-Low",IF(G1078&lt;5000,"2-Medium","3-Bulk"))</f>
        <v>2-Medium</v>
      </c>
      <c r="L1078" s="0" t="str">
        <f aca="false">IF(H1078="TRUE","Out of stock","In stock")</f>
        <v>Out of stock</v>
      </c>
      <c r="M1078" s="0" t="str">
        <f aca="false">IF(D1078&lt;5,"1) Under 5%",IF(D1078&lt;10,"2) 5-9%",IF(D1078&lt;15,"3) 10-14%",IF(D1078&lt;25,"4) 15-24%","5) 25%+"))))</f>
        <v>1) Under 5%</v>
      </c>
      <c r="N1078" s="0" t="str">
        <f aca="false">IF(F1078&lt;50,"1) Under Rs 50",IF(F1078&lt;100,"2) Rs 50-99",IF(F1078&lt;200,"3) Rs 100-199",IF(F1078&lt;500,"4) Rs 200-499","5) Rs 500+"))))</f>
        <v>2) Rs 50-99</v>
      </c>
      <c r="O1078" s="0" t="n">
        <f aca="false">G1078*E1078/1000</f>
        <v>0</v>
      </c>
    </row>
    <row r="1079" customFormat="false" ht="15" hidden="false" customHeight="false" outlineLevel="0" collapsed="false">
      <c r="A1079" s="0" t="s">
        <v>117</v>
      </c>
      <c r="B1079" s="0" t="s">
        <v>660</v>
      </c>
      <c r="C1079" s="0" t="n">
        <v>64</v>
      </c>
      <c r="D1079" s="0" t="n">
        <v>0</v>
      </c>
      <c r="E1079" s="0" t="n">
        <v>0</v>
      </c>
      <c r="F1079" s="0" t="n">
        <v>64</v>
      </c>
      <c r="G1079" s="0" t="n">
        <v>500</v>
      </c>
      <c r="H1079" s="0" t="s">
        <v>230</v>
      </c>
      <c r="I1079" s="0" t="n">
        <v>500</v>
      </c>
      <c r="J1079" s="0" t="n">
        <f aca="false">F1079*E1079</f>
        <v>0</v>
      </c>
      <c r="K1079" s="0" t="str">
        <f aca="false">IF(G1079&lt;1000,"1-Low",IF(G1079&lt;5000,"2-Medium","3-Bulk"))</f>
        <v>1-Low</v>
      </c>
      <c r="L1079" s="0" t="str">
        <f aca="false">IF(H1079="TRUE","Out of stock","In stock")</f>
        <v>Out of stock</v>
      </c>
      <c r="M1079" s="0" t="str">
        <f aca="false">IF(D1079&lt;5,"1) Under 5%",IF(D1079&lt;10,"2) 5-9%",IF(D1079&lt;15,"3) 10-14%",IF(D1079&lt;25,"4) 15-24%","5) 25%+"))))</f>
        <v>1) Under 5%</v>
      </c>
      <c r="N1079" s="0" t="str">
        <f aca="false">IF(F1079&lt;50,"1) Under Rs 50",IF(F1079&lt;100,"2) Rs 50-99",IF(F1079&lt;200,"3) Rs 100-199",IF(F1079&lt;500,"4) Rs 200-499","5) Rs 500+"))))</f>
        <v>2) Rs 50-99</v>
      </c>
      <c r="O1079" s="0" t="n">
        <f aca="false">G1079*E1079/1000</f>
        <v>0</v>
      </c>
    </row>
    <row r="1080" customFormat="false" ht="15" hidden="false" customHeight="false" outlineLevel="0" collapsed="false">
      <c r="A1080" s="0" t="s">
        <v>117</v>
      </c>
      <c r="B1080" s="0" t="s">
        <v>661</v>
      </c>
      <c r="C1080" s="0" t="n">
        <v>119</v>
      </c>
      <c r="D1080" s="0" t="n">
        <v>6</v>
      </c>
      <c r="E1080" s="0" t="n">
        <v>0</v>
      </c>
      <c r="F1080" s="0" t="n">
        <v>111</v>
      </c>
      <c r="G1080" s="0" t="n">
        <v>500</v>
      </c>
      <c r="H1080" s="0" t="s">
        <v>230</v>
      </c>
      <c r="I1080" s="0" t="n">
        <v>500</v>
      </c>
      <c r="J1080" s="0" t="n">
        <f aca="false">F1080*E1080</f>
        <v>0</v>
      </c>
      <c r="K1080" s="0" t="str">
        <f aca="false">IF(G1080&lt;1000,"1-Low",IF(G1080&lt;5000,"2-Medium","3-Bulk"))</f>
        <v>1-Low</v>
      </c>
      <c r="L1080" s="0" t="str">
        <f aca="false">IF(H1080="TRUE","Out of stock","In stock")</f>
        <v>Out of stock</v>
      </c>
      <c r="M1080" s="0" t="str">
        <f aca="false">IF(D1080&lt;5,"1) Under 5%",IF(D1080&lt;10,"2) 5-9%",IF(D1080&lt;15,"3) 10-14%",IF(D1080&lt;25,"4) 15-24%","5) 25%+"))))</f>
        <v>2) 5-9%</v>
      </c>
      <c r="N1080" s="0" t="str">
        <f aca="false">IF(F1080&lt;50,"1) Under Rs 50",IF(F1080&lt;100,"2) Rs 50-99",IF(F1080&lt;200,"3) Rs 100-199",IF(F1080&lt;500,"4) Rs 200-499","5) Rs 500+"))))</f>
        <v>3) Rs 100-199</v>
      </c>
      <c r="O1080" s="0" t="n">
        <f aca="false">G1080*E1080/1000</f>
        <v>0</v>
      </c>
    </row>
    <row r="1081" customFormat="false" ht="15" hidden="false" customHeight="false" outlineLevel="0" collapsed="false">
      <c r="A1081" s="0" t="s">
        <v>117</v>
      </c>
      <c r="B1081" s="0" t="s">
        <v>662</v>
      </c>
      <c r="C1081" s="0" t="n">
        <v>88</v>
      </c>
      <c r="D1081" s="0" t="n">
        <v>6</v>
      </c>
      <c r="E1081" s="0" t="n">
        <v>0</v>
      </c>
      <c r="F1081" s="0" t="n">
        <v>82</v>
      </c>
      <c r="G1081" s="0" t="n">
        <v>500</v>
      </c>
      <c r="H1081" s="0" t="s">
        <v>230</v>
      </c>
      <c r="I1081" s="0" t="n">
        <v>500</v>
      </c>
      <c r="J1081" s="0" t="n">
        <f aca="false">F1081*E1081</f>
        <v>0</v>
      </c>
      <c r="K1081" s="0" t="str">
        <f aca="false">IF(G1081&lt;1000,"1-Low",IF(G1081&lt;5000,"2-Medium","3-Bulk"))</f>
        <v>1-Low</v>
      </c>
      <c r="L1081" s="0" t="str">
        <f aca="false">IF(H1081="TRUE","Out of stock","In stock")</f>
        <v>Out of stock</v>
      </c>
      <c r="M1081" s="0" t="str">
        <f aca="false">IF(D1081&lt;5,"1) Under 5%",IF(D1081&lt;10,"2) 5-9%",IF(D1081&lt;15,"3) 10-14%",IF(D1081&lt;25,"4) 15-24%","5) 25%+"))))</f>
        <v>2) 5-9%</v>
      </c>
      <c r="N1081" s="0" t="str">
        <f aca="false">IF(F1081&lt;50,"1) Under Rs 50",IF(F1081&lt;100,"2) Rs 50-99",IF(F1081&lt;200,"3) Rs 100-199",IF(F1081&lt;500,"4) Rs 200-499","5) Rs 500+"))))</f>
        <v>2) Rs 50-99</v>
      </c>
      <c r="O1081" s="0" t="n">
        <f aca="false">G1081*E1081/1000</f>
        <v>0</v>
      </c>
    </row>
    <row r="1082" customFormat="false" ht="15" hidden="false" customHeight="false" outlineLevel="0" collapsed="false">
      <c r="A1082" s="0" t="s">
        <v>117</v>
      </c>
      <c r="B1082" s="0" t="s">
        <v>663</v>
      </c>
      <c r="C1082" s="0" t="n">
        <v>91</v>
      </c>
      <c r="D1082" s="0" t="n">
        <v>2</v>
      </c>
      <c r="E1082" s="0" t="n">
        <v>0</v>
      </c>
      <c r="F1082" s="0" t="n">
        <v>89</v>
      </c>
      <c r="G1082" s="0" t="n">
        <v>500</v>
      </c>
      <c r="H1082" s="0" t="s">
        <v>230</v>
      </c>
      <c r="I1082" s="0" t="n">
        <v>500</v>
      </c>
      <c r="J1082" s="0" t="n">
        <f aca="false">F1082*E1082</f>
        <v>0</v>
      </c>
      <c r="K1082" s="0" t="str">
        <f aca="false">IF(G1082&lt;1000,"1-Low",IF(G1082&lt;5000,"2-Medium","3-Bulk"))</f>
        <v>1-Low</v>
      </c>
      <c r="L1082" s="0" t="str">
        <f aca="false">IF(H1082="TRUE","Out of stock","In stock")</f>
        <v>Out of stock</v>
      </c>
      <c r="M1082" s="0" t="str">
        <f aca="false">IF(D1082&lt;5,"1) Under 5%",IF(D1082&lt;10,"2) 5-9%",IF(D1082&lt;15,"3) 10-14%",IF(D1082&lt;25,"4) 15-24%","5) 25%+"))))</f>
        <v>1) Under 5%</v>
      </c>
      <c r="N1082" s="0" t="str">
        <f aca="false">IF(F1082&lt;50,"1) Under Rs 50",IF(F1082&lt;100,"2) Rs 50-99",IF(F1082&lt;200,"3) Rs 100-199",IF(F1082&lt;500,"4) Rs 200-499","5) Rs 500+"))))</f>
        <v>2) Rs 50-99</v>
      </c>
      <c r="O1082" s="0" t="n">
        <f aca="false">G1082*E1082/1000</f>
        <v>0</v>
      </c>
    </row>
    <row r="1083" customFormat="false" ht="15" hidden="false" customHeight="false" outlineLevel="0" collapsed="false">
      <c r="A1083" s="0" t="s">
        <v>117</v>
      </c>
      <c r="B1083" s="0" t="s">
        <v>664</v>
      </c>
      <c r="C1083" s="0" t="n">
        <v>10</v>
      </c>
      <c r="D1083" s="0" t="n">
        <v>0</v>
      </c>
      <c r="E1083" s="0" t="n">
        <v>0</v>
      </c>
      <c r="F1083" s="0" t="n">
        <v>10</v>
      </c>
      <c r="G1083" s="0" t="n">
        <v>20</v>
      </c>
      <c r="H1083" s="0" t="s">
        <v>230</v>
      </c>
      <c r="I1083" s="0" t="n">
        <v>20</v>
      </c>
      <c r="J1083" s="0" t="n">
        <f aca="false">F1083*E1083</f>
        <v>0</v>
      </c>
      <c r="K1083" s="0" t="str">
        <f aca="false">IF(G1083&lt;1000,"1-Low",IF(G1083&lt;5000,"2-Medium","3-Bulk"))</f>
        <v>1-Low</v>
      </c>
      <c r="L1083" s="0" t="str">
        <f aca="false">IF(H1083="TRUE","Out of stock","In stock")</f>
        <v>Out of stock</v>
      </c>
      <c r="M1083" s="0" t="str">
        <f aca="false">IF(D1083&lt;5,"1) Under 5%",IF(D1083&lt;10,"2) 5-9%",IF(D1083&lt;15,"3) 10-14%",IF(D1083&lt;25,"4) 15-24%","5) 25%+"))))</f>
        <v>1) Under 5%</v>
      </c>
      <c r="N1083" s="0" t="str">
        <f aca="false">IF(F1083&lt;50,"1) Under Rs 50",IF(F1083&lt;100,"2) Rs 50-99",IF(F1083&lt;200,"3) Rs 100-199",IF(F1083&lt;500,"4) Rs 200-499","5) Rs 500+"))))</f>
        <v>1) Under Rs 50</v>
      </c>
      <c r="O1083" s="0" t="n">
        <f aca="false">G1083*E1083/1000</f>
        <v>0</v>
      </c>
    </row>
    <row r="1084" customFormat="false" ht="15" hidden="false" customHeight="false" outlineLevel="0" collapsed="false">
      <c r="A1084" s="0" t="s">
        <v>117</v>
      </c>
      <c r="B1084" s="0" t="s">
        <v>665</v>
      </c>
      <c r="C1084" s="0" t="n">
        <v>65</v>
      </c>
      <c r="D1084" s="0" t="n">
        <v>9</v>
      </c>
      <c r="E1084" s="0" t="n">
        <v>0</v>
      </c>
      <c r="F1084" s="0" t="n">
        <v>59</v>
      </c>
      <c r="G1084" s="0" t="n">
        <v>100</v>
      </c>
      <c r="H1084" s="0" t="s">
        <v>230</v>
      </c>
      <c r="I1084" s="0" t="n">
        <v>100</v>
      </c>
      <c r="J1084" s="0" t="n">
        <f aca="false">F1084*E1084</f>
        <v>0</v>
      </c>
      <c r="K1084" s="0" t="str">
        <f aca="false">IF(G1084&lt;1000,"1-Low",IF(G1084&lt;5000,"2-Medium","3-Bulk"))</f>
        <v>1-Low</v>
      </c>
      <c r="L1084" s="0" t="str">
        <f aca="false">IF(H1084="TRUE","Out of stock","In stock")</f>
        <v>Out of stock</v>
      </c>
      <c r="M1084" s="0" t="str">
        <f aca="false">IF(D1084&lt;5,"1) Under 5%",IF(D1084&lt;10,"2) 5-9%",IF(D1084&lt;15,"3) 10-14%",IF(D1084&lt;25,"4) 15-24%","5) 25%+"))))</f>
        <v>2) 5-9%</v>
      </c>
      <c r="N1084" s="0" t="str">
        <f aca="false">IF(F1084&lt;50,"1) Under Rs 50",IF(F1084&lt;100,"2) Rs 50-99",IF(F1084&lt;200,"3) Rs 100-199",IF(F1084&lt;500,"4) Rs 200-499","5) Rs 500+"))))</f>
        <v>2) Rs 50-99</v>
      </c>
      <c r="O1084" s="0" t="n">
        <f aca="false">G1084*E1084/1000</f>
        <v>0</v>
      </c>
    </row>
    <row r="1085" customFormat="false" ht="15" hidden="false" customHeight="false" outlineLevel="0" collapsed="false">
      <c r="A1085" s="0" t="s">
        <v>117</v>
      </c>
      <c r="B1085" s="0" t="s">
        <v>666</v>
      </c>
      <c r="C1085" s="0" t="n">
        <v>55</v>
      </c>
      <c r="D1085" s="0" t="n">
        <v>9</v>
      </c>
      <c r="E1085" s="0" t="n">
        <v>0</v>
      </c>
      <c r="F1085" s="0" t="n">
        <v>50</v>
      </c>
      <c r="G1085" s="0" t="n">
        <v>500</v>
      </c>
      <c r="H1085" s="0" t="s">
        <v>230</v>
      </c>
      <c r="I1085" s="0" t="n">
        <v>500</v>
      </c>
      <c r="J1085" s="0" t="n">
        <f aca="false">F1085*E1085</f>
        <v>0</v>
      </c>
      <c r="K1085" s="0" t="str">
        <f aca="false">IF(G1085&lt;1000,"1-Low",IF(G1085&lt;5000,"2-Medium","3-Bulk"))</f>
        <v>1-Low</v>
      </c>
      <c r="L1085" s="0" t="str">
        <f aca="false">IF(H1085="TRUE","Out of stock","In stock")</f>
        <v>Out of stock</v>
      </c>
      <c r="M1085" s="0" t="str">
        <f aca="false">IF(D1085&lt;5,"1) Under 5%",IF(D1085&lt;10,"2) 5-9%",IF(D1085&lt;15,"3) 10-14%",IF(D1085&lt;25,"4) 15-24%","5) 25%+"))))</f>
        <v>2) 5-9%</v>
      </c>
      <c r="N1085" s="0" t="str">
        <f aca="false">IF(F1085&lt;50,"1) Under Rs 50",IF(F1085&lt;100,"2) Rs 50-99",IF(F1085&lt;200,"3) Rs 100-199",IF(F1085&lt;500,"4) Rs 200-499","5) Rs 500+"))))</f>
        <v>2) Rs 50-99</v>
      </c>
      <c r="O1085" s="0" t="n">
        <f aca="false">G1085*E1085/1000</f>
        <v>0</v>
      </c>
    </row>
    <row r="1086" customFormat="false" ht="15" hidden="false" customHeight="false" outlineLevel="0" collapsed="false">
      <c r="A1086" s="0" t="s">
        <v>117</v>
      </c>
      <c r="B1086" s="0" t="s">
        <v>260</v>
      </c>
      <c r="C1086" s="0" t="n">
        <v>50</v>
      </c>
      <c r="D1086" s="0" t="n">
        <v>6</v>
      </c>
      <c r="E1086" s="0" t="n">
        <v>0</v>
      </c>
      <c r="F1086" s="0" t="n">
        <v>47</v>
      </c>
      <c r="G1086" s="0" t="n">
        <v>200</v>
      </c>
      <c r="H1086" s="0" t="s">
        <v>230</v>
      </c>
      <c r="I1086" s="0" t="n">
        <v>200</v>
      </c>
      <c r="J1086" s="0" t="n">
        <f aca="false">F1086*E1086</f>
        <v>0</v>
      </c>
      <c r="K1086" s="0" t="str">
        <f aca="false">IF(G1086&lt;1000,"1-Low",IF(G1086&lt;5000,"2-Medium","3-Bulk"))</f>
        <v>1-Low</v>
      </c>
      <c r="L1086" s="0" t="str">
        <f aca="false">IF(H1086="TRUE","Out of stock","In stock")</f>
        <v>Out of stock</v>
      </c>
      <c r="M1086" s="0" t="str">
        <f aca="false">IF(D1086&lt;5,"1) Under 5%",IF(D1086&lt;10,"2) 5-9%",IF(D1086&lt;15,"3) 10-14%",IF(D1086&lt;25,"4) 15-24%","5) 25%+"))))</f>
        <v>2) 5-9%</v>
      </c>
      <c r="N1086" s="0" t="str">
        <f aca="false">IF(F1086&lt;50,"1) Under Rs 50",IF(F1086&lt;100,"2) Rs 50-99",IF(F1086&lt;200,"3) Rs 100-199",IF(F1086&lt;500,"4) Rs 200-499","5) Rs 500+"))))</f>
        <v>1) Under Rs 50</v>
      </c>
      <c r="O1086" s="0" t="n">
        <f aca="false">G1086*E1086/1000</f>
        <v>0</v>
      </c>
    </row>
    <row r="1087" customFormat="false" ht="15" hidden="false" customHeight="false" outlineLevel="0" collapsed="false">
      <c r="A1087" s="0" t="s">
        <v>117</v>
      </c>
      <c r="B1087" s="0" t="s">
        <v>667</v>
      </c>
      <c r="C1087" s="0" t="n">
        <v>107</v>
      </c>
      <c r="D1087" s="0" t="n">
        <v>0</v>
      </c>
      <c r="E1087" s="0" t="n">
        <v>0</v>
      </c>
      <c r="F1087" s="0" t="n">
        <v>107</v>
      </c>
      <c r="G1087" s="0" t="n">
        <v>600</v>
      </c>
      <c r="H1087" s="0" t="s">
        <v>230</v>
      </c>
      <c r="I1087" s="0" t="n">
        <v>600</v>
      </c>
      <c r="J1087" s="0" t="n">
        <f aca="false">F1087*E1087</f>
        <v>0</v>
      </c>
      <c r="K1087" s="0" t="str">
        <f aca="false">IF(G1087&lt;1000,"1-Low",IF(G1087&lt;5000,"2-Medium","3-Bulk"))</f>
        <v>1-Low</v>
      </c>
      <c r="L1087" s="0" t="str">
        <f aca="false">IF(H1087="TRUE","Out of stock","In stock")</f>
        <v>Out of stock</v>
      </c>
      <c r="M1087" s="0" t="str">
        <f aca="false">IF(D1087&lt;5,"1) Under 5%",IF(D1087&lt;10,"2) 5-9%",IF(D1087&lt;15,"3) 10-14%",IF(D1087&lt;25,"4) 15-24%","5) 25%+"))))</f>
        <v>1) Under 5%</v>
      </c>
      <c r="N1087" s="0" t="str">
        <f aca="false">IF(F1087&lt;50,"1) Under Rs 50",IF(F1087&lt;100,"2) Rs 50-99",IF(F1087&lt;200,"3) Rs 100-199",IF(F1087&lt;500,"4) Rs 200-499","5) Rs 500+"))))</f>
        <v>3) Rs 100-199</v>
      </c>
      <c r="O1087" s="0" t="n">
        <f aca="false">G1087*E1087/1000</f>
        <v>0</v>
      </c>
    </row>
    <row r="1088" customFormat="false" ht="15" hidden="false" customHeight="false" outlineLevel="0" collapsed="false">
      <c r="A1088" s="0" t="s">
        <v>117</v>
      </c>
      <c r="B1088" s="0" t="s">
        <v>668</v>
      </c>
      <c r="C1088" s="0" t="n">
        <v>15</v>
      </c>
      <c r="D1088" s="0" t="n">
        <v>0</v>
      </c>
      <c r="E1088" s="0" t="n">
        <v>0</v>
      </c>
      <c r="F1088" s="0" t="n">
        <v>15</v>
      </c>
      <c r="G1088" s="0" t="n">
        <v>38</v>
      </c>
      <c r="H1088" s="0" t="s">
        <v>230</v>
      </c>
      <c r="I1088" s="0" t="n">
        <v>38</v>
      </c>
      <c r="J1088" s="0" t="n">
        <f aca="false">F1088*E1088</f>
        <v>0</v>
      </c>
      <c r="K1088" s="0" t="str">
        <f aca="false">IF(G1088&lt;1000,"1-Low",IF(G1088&lt;5000,"2-Medium","3-Bulk"))</f>
        <v>1-Low</v>
      </c>
      <c r="L1088" s="0" t="str">
        <f aca="false">IF(H1088="TRUE","Out of stock","In stock")</f>
        <v>Out of stock</v>
      </c>
      <c r="M1088" s="0" t="str">
        <f aca="false">IF(D1088&lt;5,"1) Under 5%",IF(D1088&lt;10,"2) 5-9%",IF(D1088&lt;15,"3) 10-14%",IF(D1088&lt;25,"4) 15-24%","5) 25%+"))))</f>
        <v>1) Under 5%</v>
      </c>
      <c r="N1088" s="0" t="str">
        <f aca="false">IF(F1088&lt;50,"1) Under Rs 50",IF(F1088&lt;100,"2) Rs 50-99",IF(F1088&lt;200,"3) Rs 100-199",IF(F1088&lt;500,"4) Rs 200-499","5) Rs 500+"))))</f>
        <v>1) Under Rs 50</v>
      </c>
      <c r="O1088" s="0" t="n">
        <f aca="false">G1088*E1088/1000</f>
        <v>0</v>
      </c>
    </row>
    <row r="1089" customFormat="false" ht="15" hidden="false" customHeight="false" outlineLevel="0" collapsed="false">
      <c r="A1089" s="0" t="s">
        <v>117</v>
      </c>
      <c r="B1089" s="0" t="s">
        <v>669</v>
      </c>
      <c r="C1089" s="0" t="n">
        <v>310</v>
      </c>
      <c r="D1089" s="0" t="n">
        <v>10</v>
      </c>
      <c r="E1089" s="0" t="n">
        <v>0</v>
      </c>
      <c r="F1089" s="0" t="n">
        <v>279</v>
      </c>
      <c r="G1089" s="0" t="n">
        <v>500</v>
      </c>
      <c r="H1089" s="0" t="s">
        <v>230</v>
      </c>
      <c r="I1089" s="0" t="n">
        <v>500</v>
      </c>
      <c r="J1089" s="0" t="n">
        <f aca="false">F1089*E1089</f>
        <v>0</v>
      </c>
      <c r="K1089" s="0" t="str">
        <f aca="false">IF(G1089&lt;1000,"1-Low",IF(G1089&lt;5000,"2-Medium","3-Bulk"))</f>
        <v>1-Low</v>
      </c>
      <c r="L1089" s="0" t="str">
        <f aca="false">IF(H1089="TRUE","Out of stock","In stock")</f>
        <v>Out of stock</v>
      </c>
      <c r="M1089" s="0" t="str">
        <f aca="false">IF(D1089&lt;5,"1) Under 5%",IF(D1089&lt;10,"2) 5-9%",IF(D1089&lt;15,"3) 10-14%",IF(D1089&lt;25,"4) 15-24%","5) 25%+"))))</f>
        <v>3) 10-14%</v>
      </c>
      <c r="N1089" s="0" t="str">
        <f aca="false">IF(F1089&lt;50,"1) Under Rs 50",IF(F1089&lt;100,"2) Rs 50-99",IF(F1089&lt;200,"3) Rs 100-199",IF(F1089&lt;500,"4) Rs 200-499","5) Rs 500+"))))</f>
        <v>4) Rs 200-499</v>
      </c>
      <c r="O1089" s="0" t="n">
        <f aca="false">G1089*E1089/1000</f>
        <v>0</v>
      </c>
    </row>
    <row r="1090" customFormat="false" ht="15" hidden="false" customHeight="false" outlineLevel="0" collapsed="false">
      <c r="A1090" s="0" t="s">
        <v>117</v>
      </c>
      <c r="B1090" s="0" t="s">
        <v>670</v>
      </c>
      <c r="C1090" s="0" t="n">
        <v>60</v>
      </c>
      <c r="D1090" s="0" t="n">
        <v>10</v>
      </c>
      <c r="E1090" s="0" t="n">
        <v>0</v>
      </c>
      <c r="F1090" s="0" t="n">
        <v>54</v>
      </c>
      <c r="G1090" s="0" t="n">
        <v>100</v>
      </c>
      <c r="H1090" s="0" t="s">
        <v>230</v>
      </c>
      <c r="I1090" s="0" t="n">
        <v>100</v>
      </c>
      <c r="J1090" s="0" t="n">
        <f aca="false">F1090*E1090</f>
        <v>0</v>
      </c>
      <c r="K1090" s="0" t="str">
        <f aca="false">IF(G1090&lt;1000,"1-Low",IF(G1090&lt;5000,"2-Medium","3-Bulk"))</f>
        <v>1-Low</v>
      </c>
      <c r="L1090" s="0" t="str">
        <f aca="false">IF(H1090="TRUE","Out of stock","In stock")</f>
        <v>Out of stock</v>
      </c>
      <c r="M1090" s="0" t="str">
        <f aca="false">IF(D1090&lt;5,"1) Under 5%",IF(D1090&lt;10,"2) 5-9%",IF(D1090&lt;15,"3) 10-14%",IF(D1090&lt;25,"4) 15-24%","5) 25%+"))))</f>
        <v>3) 10-14%</v>
      </c>
      <c r="N1090" s="0" t="str">
        <f aca="false">IF(F1090&lt;50,"1) Under Rs 50",IF(F1090&lt;100,"2) Rs 50-99",IF(F1090&lt;200,"3) Rs 100-199",IF(F1090&lt;500,"4) Rs 200-499","5) Rs 500+"))))</f>
        <v>2) Rs 50-99</v>
      </c>
      <c r="O1090" s="0" t="n">
        <f aca="false">G1090*E1090/1000</f>
        <v>0</v>
      </c>
    </row>
    <row r="1091" customFormat="false" ht="15" hidden="false" customHeight="false" outlineLevel="0" collapsed="false">
      <c r="A1091" s="0" t="s">
        <v>117</v>
      </c>
      <c r="B1091" s="0" t="s">
        <v>671</v>
      </c>
      <c r="C1091" s="0" t="n">
        <v>79</v>
      </c>
      <c r="D1091" s="0" t="n">
        <v>0</v>
      </c>
      <c r="E1091" s="0" t="n">
        <v>0</v>
      </c>
      <c r="F1091" s="0" t="n">
        <v>79</v>
      </c>
      <c r="G1091" s="0" t="n">
        <v>1000</v>
      </c>
      <c r="H1091" s="0" t="s">
        <v>230</v>
      </c>
      <c r="I1091" s="0" t="n">
        <v>1</v>
      </c>
      <c r="J1091" s="0" t="n">
        <f aca="false">F1091*E1091</f>
        <v>0</v>
      </c>
      <c r="K1091" s="0" t="str">
        <f aca="false">IF(G1091&lt;1000,"1-Low",IF(G1091&lt;5000,"2-Medium","3-Bulk"))</f>
        <v>2-Medium</v>
      </c>
      <c r="L1091" s="0" t="str">
        <f aca="false">IF(H1091="TRUE","Out of stock","In stock")</f>
        <v>Out of stock</v>
      </c>
      <c r="M1091" s="0" t="str">
        <f aca="false">IF(D1091&lt;5,"1) Under 5%",IF(D1091&lt;10,"2) 5-9%",IF(D1091&lt;15,"3) 10-14%",IF(D1091&lt;25,"4) 15-24%","5) 25%+"))))</f>
        <v>1) Under 5%</v>
      </c>
      <c r="N1091" s="0" t="str">
        <f aca="false">IF(F1091&lt;50,"1) Under Rs 50",IF(F1091&lt;100,"2) Rs 50-99",IF(F1091&lt;200,"3) Rs 100-199",IF(F1091&lt;500,"4) Rs 200-499","5) Rs 500+"))))</f>
        <v>2) Rs 50-99</v>
      </c>
      <c r="O1091" s="0" t="n">
        <f aca="false">G1091*E1091/1000</f>
        <v>0</v>
      </c>
    </row>
    <row r="1092" customFormat="false" ht="15" hidden="false" customHeight="false" outlineLevel="0" collapsed="false">
      <c r="A1092" s="0" t="s">
        <v>117</v>
      </c>
      <c r="B1092" s="0" t="s">
        <v>672</v>
      </c>
      <c r="C1092" s="0" t="n">
        <v>30</v>
      </c>
      <c r="D1092" s="0" t="n">
        <v>3</v>
      </c>
      <c r="E1092" s="0" t="n">
        <v>0</v>
      </c>
      <c r="F1092" s="0" t="n">
        <v>29</v>
      </c>
      <c r="G1092" s="0" t="n">
        <v>50</v>
      </c>
      <c r="H1092" s="0" t="s">
        <v>230</v>
      </c>
      <c r="I1092" s="0" t="n">
        <v>50</v>
      </c>
      <c r="J1092" s="0" t="n">
        <f aca="false">F1092*E1092</f>
        <v>0</v>
      </c>
      <c r="K1092" s="0" t="str">
        <f aca="false">IF(G1092&lt;1000,"1-Low",IF(G1092&lt;5000,"2-Medium","3-Bulk"))</f>
        <v>1-Low</v>
      </c>
      <c r="L1092" s="0" t="str">
        <f aca="false">IF(H1092="TRUE","Out of stock","In stock")</f>
        <v>Out of stock</v>
      </c>
      <c r="M1092" s="0" t="str">
        <f aca="false">IF(D1092&lt;5,"1) Under 5%",IF(D1092&lt;10,"2) 5-9%",IF(D1092&lt;15,"3) 10-14%",IF(D1092&lt;25,"4) 15-24%","5) 25%+"))))</f>
        <v>1) Under 5%</v>
      </c>
      <c r="N1092" s="0" t="str">
        <f aca="false">IF(F1092&lt;50,"1) Under Rs 50",IF(F1092&lt;100,"2) Rs 50-99",IF(F1092&lt;200,"3) Rs 100-199",IF(F1092&lt;500,"4) Rs 200-499","5) Rs 500+"))))</f>
        <v>1) Under Rs 50</v>
      </c>
      <c r="O1092" s="0" t="n">
        <f aca="false">G1092*E1092/1000</f>
        <v>0</v>
      </c>
    </row>
    <row r="1093" customFormat="false" ht="15" hidden="false" customHeight="false" outlineLevel="0" collapsed="false">
      <c r="A1093" s="0" t="s">
        <v>117</v>
      </c>
      <c r="B1093" s="0" t="s">
        <v>673</v>
      </c>
      <c r="C1093" s="0" t="n">
        <v>34</v>
      </c>
      <c r="D1093" s="0" t="n">
        <v>2</v>
      </c>
      <c r="E1093" s="0" t="n">
        <v>0</v>
      </c>
      <c r="F1093" s="0" t="n">
        <v>33</v>
      </c>
      <c r="G1093" s="0" t="n">
        <v>50</v>
      </c>
      <c r="H1093" s="0" t="s">
        <v>230</v>
      </c>
      <c r="I1093" s="0" t="n">
        <v>50</v>
      </c>
      <c r="J1093" s="0" t="n">
        <f aca="false">F1093*E1093</f>
        <v>0</v>
      </c>
      <c r="K1093" s="0" t="str">
        <f aca="false">IF(G1093&lt;1000,"1-Low",IF(G1093&lt;5000,"2-Medium","3-Bulk"))</f>
        <v>1-Low</v>
      </c>
      <c r="L1093" s="0" t="str">
        <f aca="false">IF(H1093="TRUE","Out of stock","In stock")</f>
        <v>Out of stock</v>
      </c>
      <c r="M1093" s="0" t="str">
        <f aca="false">IF(D1093&lt;5,"1) Under 5%",IF(D1093&lt;10,"2) 5-9%",IF(D1093&lt;15,"3) 10-14%",IF(D1093&lt;25,"4) 15-24%","5) 25%+"))))</f>
        <v>1) Under 5%</v>
      </c>
      <c r="N1093" s="0" t="str">
        <f aca="false">IF(F1093&lt;50,"1) Under Rs 50",IF(F1093&lt;100,"2) Rs 50-99",IF(F1093&lt;200,"3) Rs 100-199",IF(F1093&lt;500,"4) Rs 200-499","5) Rs 500+"))))</f>
        <v>1) Under Rs 50</v>
      </c>
      <c r="O1093" s="0" t="n">
        <f aca="false">G1093*E1093/1000</f>
        <v>0</v>
      </c>
    </row>
    <row r="1094" customFormat="false" ht="15" hidden="false" customHeight="false" outlineLevel="0" collapsed="false">
      <c r="A1094" s="0" t="s">
        <v>117</v>
      </c>
      <c r="B1094" s="0" t="s">
        <v>674</v>
      </c>
      <c r="C1094" s="0" t="n">
        <v>50</v>
      </c>
      <c r="D1094" s="0" t="n">
        <v>0</v>
      </c>
      <c r="E1094" s="0" t="n">
        <v>0</v>
      </c>
      <c r="F1094" s="0" t="n">
        <v>50</v>
      </c>
      <c r="G1094" s="0" t="n">
        <v>70</v>
      </c>
      <c r="H1094" s="0" t="s">
        <v>230</v>
      </c>
      <c r="I1094" s="0" t="n">
        <v>70</v>
      </c>
      <c r="J1094" s="0" t="n">
        <f aca="false">F1094*E1094</f>
        <v>0</v>
      </c>
      <c r="K1094" s="0" t="str">
        <f aca="false">IF(G1094&lt;1000,"1-Low",IF(G1094&lt;5000,"2-Medium","3-Bulk"))</f>
        <v>1-Low</v>
      </c>
      <c r="L1094" s="0" t="str">
        <f aca="false">IF(H1094="TRUE","Out of stock","In stock")</f>
        <v>Out of stock</v>
      </c>
      <c r="M1094" s="0" t="str">
        <f aca="false">IF(D1094&lt;5,"1) Under 5%",IF(D1094&lt;10,"2) 5-9%",IF(D1094&lt;15,"3) 10-14%",IF(D1094&lt;25,"4) 15-24%","5) 25%+"))))</f>
        <v>1) Under 5%</v>
      </c>
      <c r="N1094" s="0" t="str">
        <f aca="false">IF(F1094&lt;50,"1) Under Rs 50",IF(F1094&lt;100,"2) Rs 50-99",IF(F1094&lt;200,"3) Rs 100-199",IF(F1094&lt;500,"4) Rs 200-499","5) Rs 500+"))))</f>
        <v>2) Rs 50-99</v>
      </c>
      <c r="O1094" s="0" t="n">
        <f aca="false">G1094*E1094/1000</f>
        <v>0</v>
      </c>
    </row>
    <row r="1095" customFormat="false" ht="15" hidden="false" customHeight="false" outlineLevel="0" collapsed="false">
      <c r="A1095" s="0" t="s">
        <v>117</v>
      </c>
      <c r="B1095" s="0" t="s">
        <v>675</v>
      </c>
      <c r="C1095" s="0" t="n">
        <v>20</v>
      </c>
      <c r="D1095" s="0" t="n">
        <v>0</v>
      </c>
      <c r="E1095" s="0" t="n">
        <v>0</v>
      </c>
      <c r="F1095" s="0" t="n">
        <v>20</v>
      </c>
      <c r="G1095" s="0" t="n">
        <v>100</v>
      </c>
      <c r="H1095" s="0" t="s">
        <v>230</v>
      </c>
      <c r="I1095" s="0" t="n">
        <v>100</v>
      </c>
      <c r="J1095" s="0" t="n">
        <f aca="false">F1095*E1095</f>
        <v>0</v>
      </c>
      <c r="K1095" s="0" t="str">
        <f aca="false">IF(G1095&lt;1000,"1-Low",IF(G1095&lt;5000,"2-Medium","3-Bulk"))</f>
        <v>1-Low</v>
      </c>
      <c r="L1095" s="0" t="str">
        <f aca="false">IF(H1095="TRUE","Out of stock","In stock")</f>
        <v>Out of stock</v>
      </c>
      <c r="M1095" s="0" t="str">
        <f aca="false">IF(D1095&lt;5,"1) Under 5%",IF(D1095&lt;10,"2) 5-9%",IF(D1095&lt;15,"3) 10-14%",IF(D1095&lt;25,"4) 15-24%","5) 25%+"))))</f>
        <v>1) Under 5%</v>
      </c>
      <c r="N1095" s="0" t="str">
        <f aca="false">IF(F1095&lt;50,"1) Under Rs 50",IF(F1095&lt;100,"2) Rs 50-99",IF(F1095&lt;200,"3) Rs 100-199",IF(F1095&lt;500,"4) Rs 200-499","5) Rs 500+"))))</f>
        <v>1) Under Rs 50</v>
      </c>
      <c r="O1095" s="0" t="n">
        <f aca="false">G1095*E1095/1000</f>
        <v>0</v>
      </c>
    </row>
    <row r="1096" customFormat="false" ht="15" hidden="false" customHeight="false" outlineLevel="0" collapsed="false">
      <c r="A1096" s="0" t="s">
        <v>117</v>
      </c>
      <c r="B1096" s="0" t="s">
        <v>676</v>
      </c>
      <c r="C1096" s="0" t="n">
        <v>565</v>
      </c>
      <c r="D1096" s="0" t="n">
        <v>0</v>
      </c>
      <c r="E1096" s="0" t="n">
        <v>0</v>
      </c>
      <c r="F1096" s="0" t="n">
        <v>565</v>
      </c>
      <c r="G1096" s="0" t="n">
        <v>1000</v>
      </c>
      <c r="H1096" s="0" t="s">
        <v>230</v>
      </c>
      <c r="I1096" s="0" t="n">
        <v>1</v>
      </c>
      <c r="J1096" s="0" t="n">
        <f aca="false">F1096*E1096</f>
        <v>0</v>
      </c>
      <c r="K1096" s="0" t="str">
        <f aca="false">IF(G1096&lt;1000,"1-Low",IF(G1096&lt;5000,"2-Medium","3-Bulk"))</f>
        <v>2-Medium</v>
      </c>
      <c r="L1096" s="0" t="str">
        <f aca="false">IF(H1096="TRUE","Out of stock","In stock")</f>
        <v>Out of stock</v>
      </c>
      <c r="M1096" s="0" t="str">
        <f aca="false">IF(D1096&lt;5,"1) Under 5%",IF(D1096&lt;10,"2) 5-9%",IF(D1096&lt;15,"3) 10-14%",IF(D1096&lt;25,"4) 15-24%","5) 25%+"))))</f>
        <v>1) Under 5%</v>
      </c>
      <c r="N1096" s="0" t="str">
        <f aca="false">IF(F1096&lt;50,"1) Under Rs 50",IF(F1096&lt;100,"2) Rs 50-99",IF(F1096&lt;200,"3) Rs 100-199",IF(F1096&lt;500,"4) Rs 200-499","5) Rs 500+"))))</f>
        <v>5) Rs 500+</v>
      </c>
      <c r="O1096" s="0" t="n">
        <f aca="false">G1096*E1096/1000</f>
        <v>0</v>
      </c>
    </row>
    <row r="1097" customFormat="false" ht="15" hidden="false" customHeight="false" outlineLevel="0" collapsed="false">
      <c r="A1097" s="0" t="s">
        <v>117</v>
      </c>
      <c r="B1097" s="0" t="s">
        <v>677</v>
      </c>
      <c r="C1097" s="0" t="n">
        <v>42</v>
      </c>
      <c r="D1097" s="0" t="n">
        <v>2</v>
      </c>
      <c r="E1097" s="0" t="n">
        <v>0</v>
      </c>
      <c r="F1097" s="0" t="n">
        <v>41</v>
      </c>
      <c r="G1097" s="0" t="n">
        <v>50</v>
      </c>
      <c r="H1097" s="0" t="s">
        <v>230</v>
      </c>
      <c r="I1097" s="0" t="n">
        <v>50</v>
      </c>
      <c r="J1097" s="0" t="n">
        <f aca="false">F1097*E1097</f>
        <v>0</v>
      </c>
      <c r="K1097" s="0" t="str">
        <f aca="false">IF(G1097&lt;1000,"1-Low",IF(G1097&lt;5000,"2-Medium","3-Bulk"))</f>
        <v>1-Low</v>
      </c>
      <c r="L1097" s="0" t="str">
        <f aca="false">IF(H1097="TRUE","Out of stock","In stock")</f>
        <v>Out of stock</v>
      </c>
      <c r="M1097" s="0" t="str">
        <f aca="false">IF(D1097&lt;5,"1) Under 5%",IF(D1097&lt;10,"2) 5-9%",IF(D1097&lt;15,"3) 10-14%",IF(D1097&lt;25,"4) 15-24%","5) 25%+"))))</f>
        <v>1) Under 5%</v>
      </c>
      <c r="N1097" s="0" t="str">
        <f aca="false">IF(F1097&lt;50,"1) Under Rs 50",IF(F1097&lt;100,"2) Rs 50-99",IF(F1097&lt;200,"3) Rs 100-199",IF(F1097&lt;500,"4) Rs 200-499","5) Rs 500+"))))</f>
        <v>1) Under Rs 50</v>
      </c>
      <c r="O1097" s="0" t="n">
        <f aca="false">G1097*E1097/1000</f>
        <v>0</v>
      </c>
    </row>
    <row r="1098" customFormat="false" ht="15" hidden="false" customHeight="false" outlineLevel="0" collapsed="false">
      <c r="A1098" s="0" t="s">
        <v>117</v>
      </c>
      <c r="B1098" s="0" t="s">
        <v>678</v>
      </c>
      <c r="C1098" s="0" t="n">
        <v>185</v>
      </c>
      <c r="D1098" s="0" t="n">
        <v>8</v>
      </c>
      <c r="E1098" s="0" t="n">
        <v>0</v>
      </c>
      <c r="F1098" s="0" t="n">
        <v>169</v>
      </c>
      <c r="G1098" s="0" t="n">
        <v>1000</v>
      </c>
      <c r="H1098" s="0" t="s">
        <v>230</v>
      </c>
      <c r="I1098" s="0" t="n">
        <v>1</v>
      </c>
      <c r="J1098" s="0" t="n">
        <f aca="false">F1098*E1098</f>
        <v>0</v>
      </c>
      <c r="K1098" s="0" t="str">
        <f aca="false">IF(G1098&lt;1000,"1-Low",IF(G1098&lt;5000,"2-Medium","3-Bulk"))</f>
        <v>2-Medium</v>
      </c>
      <c r="L1098" s="0" t="str">
        <f aca="false">IF(H1098="TRUE","Out of stock","In stock")</f>
        <v>Out of stock</v>
      </c>
      <c r="M1098" s="0" t="str">
        <f aca="false">IF(D1098&lt;5,"1) Under 5%",IF(D1098&lt;10,"2) 5-9%",IF(D1098&lt;15,"3) 10-14%",IF(D1098&lt;25,"4) 15-24%","5) 25%+"))))</f>
        <v>2) 5-9%</v>
      </c>
      <c r="N1098" s="0" t="str">
        <f aca="false">IF(F1098&lt;50,"1) Under Rs 50",IF(F1098&lt;100,"2) Rs 50-99",IF(F1098&lt;200,"3) Rs 100-199",IF(F1098&lt;500,"4) Rs 200-499","5) Rs 500+"))))</f>
        <v>3) Rs 100-199</v>
      </c>
      <c r="O1098" s="0" t="n">
        <f aca="false">G1098*E1098/1000</f>
        <v>0</v>
      </c>
    </row>
    <row r="1099" customFormat="false" ht="15" hidden="false" customHeight="false" outlineLevel="0" collapsed="false">
      <c r="A1099" s="0" t="s">
        <v>117</v>
      </c>
      <c r="B1099" s="0" t="s">
        <v>679</v>
      </c>
      <c r="C1099" s="0" t="n">
        <v>60</v>
      </c>
      <c r="D1099" s="0" t="n">
        <v>10</v>
      </c>
      <c r="E1099" s="0" t="n">
        <v>0</v>
      </c>
      <c r="F1099" s="0" t="n">
        <v>54</v>
      </c>
      <c r="G1099" s="0" t="n">
        <v>500</v>
      </c>
      <c r="H1099" s="0" t="s">
        <v>230</v>
      </c>
      <c r="I1099" s="0" t="n">
        <v>500</v>
      </c>
      <c r="J1099" s="0" t="n">
        <f aca="false">F1099*E1099</f>
        <v>0</v>
      </c>
      <c r="K1099" s="0" t="str">
        <f aca="false">IF(G1099&lt;1000,"1-Low",IF(G1099&lt;5000,"2-Medium","3-Bulk"))</f>
        <v>1-Low</v>
      </c>
      <c r="L1099" s="0" t="str">
        <f aca="false">IF(H1099="TRUE","Out of stock","In stock")</f>
        <v>Out of stock</v>
      </c>
      <c r="M1099" s="0" t="str">
        <f aca="false">IF(D1099&lt;5,"1) Under 5%",IF(D1099&lt;10,"2) 5-9%",IF(D1099&lt;15,"3) 10-14%",IF(D1099&lt;25,"4) 15-24%","5) 25%+"))))</f>
        <v>3) 10-14%</v>
      </c>
      <c r="N1099" s="0" t="str">
        <f aca="false">IF(F1099&lt;50,"1) Under Rs 50",IF(F1099&lt;100,"2) Rs 50-99",IF(F1099&lt;200,"3) Rs 100-199",IF(F1099&lt;500,"4) Rs 200-499","5) Rs 500+"))))</f>
        <v>2) Rs 50-99</v>
      </c>
      <c r="O1099" s="0" t="n">
        <f aca="false">G1099*E1099/1000</f>
        <v>0</v>
      </c>
    </row>
    <row r="1100" customFormat="false" ht="15" hidden="false" customHeight="false" outlineLevel="0" collapsed="false">
      <c r="A1100" s="0" t="s">
        <v>117</v>
      </c>
      <c r="B1100" s="0" t="s">
        <v>680</v>
      </c>
      <c r="C1100" s="0" t="n">
        <v>40</v>
      </c>
      <c r="D1100" s="0" t="n">
        <v>0</v>
      </c>
      <c r="E1100" s="0" t="n">
        <v>0</v>
      </c>
      <c r="F1100" s="0" t="n">
        <v>40</v>
      </c>
      <c r="G1100" s="0" t="n">
        <v>500</v>
      </c>
      <c r="H1100" s="0" t="s">
        <v>230</v>
      </c>
      <c r="I1100" s="0" t="n">
        <v>500</v>
      </c>
      <c r="J1100" s="0" t="n">
        <f aca="false">F1100*E1100</f>
        <v>0</v>
      </c>
      <c r="K1100" s="0" t="str">
        <f aca="false">IF(G1100&lt;1000,"1-Low",IF(G1100&lt;5000,"2-Medium","3-Bulk"))</f>
        <v>1-Low</v>
      </c>
      <c r="L1100" s="0" t="str">
        <f aca="false">IF(H1100="TRUE","Out of stock","In stock")</f>
        <v>Out of stock</v>
      </c>
      <c r="M1100" s="0" t="str">
        <f aca="false">IF(D1100&lt;5,"1) Under 5%",IF(D1100&lt;10,"2) 5-9%",IF(D1100&lt;15,"3) 10-14%",IF(D1100&lt;25,"4) 15-24%","5) 25%+"))))</f>
        <v>1) Under 5%</v>
      </c>
      <c r="N1100" s="0" t="str">
        <f aca="false">IF(F1100&lt;50,"1) Under Rs 50",IF(F1100&lt;100,"2) Rs 50-99",IF(F1100&lt;200,"3) Rs 100-199",IF(F1100&lt;500,"4) Rs 200-499","5) Rs 500+"))))</f>
        <v>1) Under Rs 50</v>
      </c>
      <c r="O1100" s="0" t="n">
        <f aca="false">G1100*E1100/1000</f>
        <v>0</v>
      </c>
    </row>
    <row r="1101" customFormat="false" ht="15" hidden="false" customHeight="false" outlineLevel="0" collapsed="false">
      <c r="A1101" s="0" t="s">
        <v>117</v>
      </c>
      <c r="B1101" s="0" t="s">
        <v>657</v>
      </c>
      <c r="C1101" s="0" t="n">
        <v>70</v>
      </c>
      <c r="D1101" s="0" t="n">
        <v>10</v>
      </c>
      <c r="E1101" s="0" t="n">
        <v>0</v>
      </c>
      <c r="F1101" s="0" t="n">
        <v>63</v>
      </c>
      <c r="G1101" s="0" t="n">
        <v>200</v>
      </c>
      <c r="H1101" s="0" t="s">
        <v>230</v>
      </c>
      <c r="I1101" s="0" t="n">
        <v>200</v>
      </c>
      <c r="J1101" s="0" t="n">
        <f aca="false">F1101*E1101</f>
        <v>0</v>
      </c>
      <c r="K1101" s="0" t="str">
        <f aca="false">IF(G1101&lt;1000,"1-Low",IF(G1101&lt;5000,"2-Medium","3-Bulk"))</f>
        <v>1-Low</v>
      </c>
      <c r="L1101" s="0" t="str">
        <f aca="false">IF(H1101="TRUE","Out of stock","In stock")</f>
        <v>Out of stock</v>
      </c>
      <c r="M1101" s="0" t="str">
        <f aca="false">IF(D1101&lt;5,"1) Under 5%",IF(D1101&lt;10,"2) 5-9%",IF(D1101&lt;15,"3) 10-14%",IF(D1101&lt;25,"4) 15-24%","5) 25%+"))))</f>
        <v>3) 10-14%</v>
      </c>
      <c r="N1101" s="0" t="str">
        <f aca="false">IF(F1101&lt;50,"1) Under Rs 50",IF(F1101&lt;100,"2) Rs 50-99",IF(F1101&lt;200,"3) Rs 100-199",IF(F1101&lt;500,"4) Rs 200-499","5) Rs 500+"))))</f>
        <v>2) Rs 50-99</v>
      </c>
      <c r="O1101" s="0" t="n">
        <f aca="false">G1101*E1101/1000</f>
        <v>0</v>
      </c>
    </row>
    <row r="1102" customFormat="false" ht="15" hidden="false" customHeight="false" outlineLevel="0" collapsed="false">
      <c r="A1102" s="0" t="s">
        <v>117</v>
      </c>
      <c r="B1102" s="0" t="s">
        <v>681</v>
      </c>
      <c r="C1102" s="0" t="n">
        <v>48</v>
      </c>
      <c r="D1102" s="0" t="n">
        <v>6</v>
      </c>
      <c r="E1102" s="0" t="n">
        <v>0</v>
      </c>
      <c r="F1102" s="0" t="n">
        <v>45</v>
      </c>
      <c r="G1102" s="0" t="n">
        <v>240</v>
      </c>
      <c r="H1102" s="0" t="s">
        <v>230</v>
      </c>
      <c r="I1102" s="0" t="n">
        <v>240</v>
      </c>
      <c r="J1102" s="0" t="n">
        <f aca="false">F1102*E1102</f>
        <v>0</v>
      </c>
      <c r="K1102" s="0" t="str">
        <f aca="false">IF(G1102&lt;1000,"1-Low",IF(G1102&lt;5000,"2-Medium","3-Bulk"))</f>
        <v>1-Low</v>
      </c>
      <c r="L1102" s="0" t="str">
        <f aca="false">IF(H1102="TRUE","Out of stock","In stock")</f>
        <v>Out of stock</v>
      </c>
      <c r="M1102" s="0" t="str">
        <f aca="false">IF(D1102&lt;5,"1) Under 5%",IF(D1102&lt;10,"2) 5-9%",IF(D1102&lt;15,"3) 10-14%",IF(D1102&lt;25,"4) 15-24%","5) 25%+"))))</f>
        <v>2) 5-9%</v>
      </c>
      <c r="N1102" s="0" t="str">
        <f aca="false">IF(F1102&lt;50,"1) Under Rs 50",IF(F1102&lt;100,"2) Rs 50-99",IF(F1102&lt;200,"3) Rs 100-199",IF(F1102&lt;500,"4) Rs 200-499","5) Rs 500+"))))</f>
        <v>1) Under Rs 50</v>
      </c>
      <c r="O1102" s="0" t="n">
        <f aca="false">G1102*E1102/1000</f>
        <v>0</v>
      </c>
    </row>
    <row r="1103" customFormat="false" ht="15" hidden="false" customHeight="false" outlineLevel="0" collapsed="false">
      <c r="A1103" s="0" t="s">
        <v>117</v>
      </c>
      <c r="B1103" s="0" t="s">
        <v>682</v>
      </c>
      <c r="C1103" s="0" t="n">
        <v>35</v>
      </c>
      <c r="D1103" s="0" t="n">
        <v>0</v>
      </c>
      <c r="E1103" s="0" t="n">
        <v>0</v>
      </c>
      <c r="F1103" s="0" t="n">
        <v>35</v>
      </c>
      <c r="G1103" s="0" t="n">
        <v>100</v>
      </c>
      <c r="H1103" s="0" t="s">
        <v>230</v>
      </c>
      <c r="I1103" s="0" t="n">
        <v>200</v>
      </c>
      <c r="J1103" s="0" t="n">
        <f aca="false">F1103*E1103</f>
        <v>0</v>
      </c>
      <c r="K1103" s="0" t="str">
        <f aca="false">IF(G1103&lt;1000,"1-Low",IF(G1103&lt;5000,"2-Medium","3-Bulk"))</f>
        <v>1-Low</v>
      </c>
      <c r="L1103" s="0" t="str">
        <f aca="false">IF(H1103="TRUE","Out of stock","In stock")</f>
        <v>Out of stock</v>
      </c>
      <c r="M1103" s="0" t="str">
        <f aca="false">IF(D1103&lt;5,"1) Under 5%",IF(D1103&lt;10,"2) 5-9%",IF(D1103&lt;15,"3) 10-14%",IF(D1103&lt;25,"4) 15-24%","5) 25%+"))))</f>
        <v>1) Under 5%</v>
      </c>
      <c r="N1103" s="0" t="str">
        <f aca="false">IF(F1103&lt;50,"1) Under Rs 50",IF(F1103&lt;100,"2) Rs 50-99",IF(F1103&lt;200,"3) Rs 100-199",IF(F1103&lt;500,"4) Rs 200-499","5) Rs 500+"))))</f>
        <v>1) Under Rs 50</v>
      </c>
      <c r="O1103" s="0" t="n">
        <f aca="false">G1103*E1103/1000</f>
        <v>0</v>
      </c>
    </row>
    <row r="1104" customFormat="false" ht="15" hidden="false" customHeight="false" outlineLevel="0" collapsed="false">
      <c r="A1104" s="0" t="s">
        <v>117</v>
      </c>
      <c r="B1104" s="0" t="s">
        <v>683</v>
      </c>
      <c r="C1104" s="0" t="n">
        <v>90</v>
      </c>
      <c r="D1104" s="0" t="n">
        <v>1</v>
      </c>
      <c r="E1104" s="0" t="n">
        <v>0</v>
      </c>
      <c r="F1104" s="0" t="n">
        <v>89</v>
      </c>
      <c r="G1104" s="0" t="n">
        <v>1000</v>
      </c>
      <c r="H1104" s="0" t="s">
        <v>230</v>
      </c>
      <c r="I1104" s="0" t="n">
        <v>1</v>
      </c>
      <c r="J1104" s="0" t="n">
        <f aca="false">F1104*E1104</f>
        <v>0</v>
      </c>
      <c r="K1104" s="0" t="str">
        <f aca="false">IF(G1104&lt;1000,"1-Low",IF(G1104&lt;5000,"2-Medium","3-Bulk"))</f>
        <v>2-Medium</v>
      </c>
      <c r="L1104" s="0" t="str">
        <f aca="false">IF(H1104="TRUE","Out of stock","In stock")</f>
        <v>Out of stock</v>
      </c>
      <c r="M1104" s="0" t="str">
        <f aca="false">IF(D1104&lt;5,"1) Under 5%",IF(D1104&lt;10,"2) 5-9%",IF(D1104&lt;15,"3) 10-14%",IF(D1104&lt;25,"4) 15-24%","5) 25%+"))))</f>
        <v>1) Under 5%</v>
      </c>
      <c r="N1104" s="0" t="str">
        <f aca="false">IF(F1104&lt;50,"1) Under Rs 50",IF(F1104&lt;100,"2) Rs 50-99",IF(F1104&lt;200,"3) Rs 100-199",IF(F1104&lt;500,"4) Rs 200-499","5) Rs 500+"))))</f>
        <v>2) Rs 50-99</v>
      </c>
      <c r="O1104" s="0" t="n">
        <f aca="false">G1104*E1104/1000</f>
        <v>0</v>
      </c>
    </row>
    <row r="1105" customFormat="false" ht="15" hidden="false" customHeight="false" outlineLevel="0" collapsed="false">
      <c r="A1105" s="0" t="s">
        <v>117</v>
      </c>
      <c r="B1105" s="0" t="s">
        <v>684</v>
      </c>
      <c r="C1105" s="0" t="n">
        <v>91</v>
      </c>
      <c r="D1105" s="0" t="n">
        <v>9</v>
      </c>
      <c r="E1105" s="0" t="n">
        <v>0</v>
      </c>
      <c r="F1105" s="0" t="n">
        <v>82</v>
      </c>
      <c r="G1105" s="0" t="n">
        <v>560</v>
      </c>
      <c r="H1105" s="0" t="s">
        <v>230</v>
      </c>
      <c r="I1105" s="0" t="n">
        <v>560</v>
      </c>
      <c r="J1105" s="0" t="n">
        <f aca="false">F1105*E1105</f>
        <v>0</v>
      </c>
      <c r="K1105" s="0" t="str">
        <f aca="false">IF(G1105&lt;1000,"1-Low",IF(G1105&lt;5000,"2-Medium","3-Bulk"))</f>
        <v>1-Low</v>
      </c>
      <c r="L1105" s="0" t="str">
        <f aca="false">IF(H1105="TRUE","Out of stock","In stock")</f>
        <v>Out of stock</v>
      </c>
      <c r="M1105" s="0" t="str">
        <f aca="false">IF(D1105&lt;5,"1) Under 5%",IF(D1105&lt;10,"2) 5-9%",IF(D1105&lt;15,"3) 10-14%",IF(D1105&lt;25,"4) 15-24%","5) 25%+"))))</f>
        <v>2) 5-9%</v>
      </c>
      <c r="N1105" s="0" t="str">
        <f aca="false">IF(F1105&lt;50,"1) Under Rs 50",IF(F1105&lt;100,"2) Rs 50-99",IF(F1105&lt;200,"3) Rs 100-199",IF(F1105&lt;500,"4) Rs 200-499","5) Rs 500+"))))</f>
        <v>2) Rs 50-99</v>
      </c>
      <c r="O1105" s="0" t="n">
        <f aca="false">G1105*E1105/1000</f>
        <v>0</v>
      </c>
    </row>
    <row r="1106" customFormat="false" ht="15" hidden="false" customHeight="false" outlineLevel="0" collapsed="false">
      <c r="A1106" s="0" t="s">
        <v>117</v>
      </c>
      <c r="B1106" s="0" t="s">
        <v>685</v>
      </c>
      <c r="C1106" s="0" t="n">
        <v>67</v>
      </c>
      <c r="D1106" s="0" t="n">
        <v>10</v>
      </c>
      <c r="E1106" s="0" t="n">
        <v>0</v>
      </c>
      <c r="F1106" s="0" t="n">
        <v>60</v>
      </c>
      <c r="G1106" s="0" t="n">
        <v>200</v>
      </c>
      <c r="H1106" s="0" t="s">
        <v>230</v>
      </c>
      <c r="I1106" s="0" t="n">
        <v>200</v>
      </c>
      <c r="J1106" s="0" t="n">
        <f aca="false">F1106*E1106</f>
        <v>0</v>
      </c>
      <c r="K1106" s="0" t="str">
        <f aca="false">IF(G1106&lt;1000,"1-Low",IF(G1106&lt;5000,"2-Medium","3-Bulk"))</f>
        <v>1-Low</v>
      </c>
      <c r="L1106" s="0" t="str">
        <f aca="false">IF(H1106="TRUE","Out of stock","In stock")</f>
        <v>Out of stock</v>
      </c>
      <c r="M1106" s="0" t="str">
        <f aca="false">IF(D1106&lt;5,"1) Under 5%",IF(D1106&lt;10,"2) 5-9%",IF(D1106&lt;15,"3) 10-14%",IF(D1106&lt;25,"4) 15-24%","5) 25%+"))))</f>
        <v>3) 10-14%</v>
      </c>
      <c r="N1106" s="0" t="str">
        <f aca="false">IF(F1106&lt;50,"1) Under Rs 50",IF(F1106&lt;100,"2) Rs 50-99",IF(F1106&lt;200,"3) Rs 100-199",IF(F1106&lt;500,"4) Rs 200-499","5) Rs 500+"))))</f>
        <v>2) Rs 50-99</v>
      </c>
      <c r="O1106" s="0" t="n">
        <f aca="false">G1106*E1106/1000</f>
        <v>0</v>
      </c>
    </row>
    <row r="1107" customFormat="false" ht="15" hidden="false" customHeight="false" outlineLevel="0" collapsed="false">
      <c r="A1107" s="0" t="s">
        <v>117</v>
      </c>
      <c r="B1107" s="0" t="s">
        <v>686</v>
      </c>
      <c r="C1107" s="0" t="n">
        <v>125</v>
      </c>
      <c r="D1107" s="0" t="n">
        <v>9</v>
      </c>
      <c r="E1107" s="0" t="n">
        <v>0</v>
      </c>
      <c r="F1107" s="0" t="n">
        <v>113</v>
      </c>
      <c r="G1107" s="0" t="n">
        <v>500</v>
      </c>
      <c r="H1107" s="0" t="s">
        <v>230</v>
      </c>
      <c r="I1107" s="0" t="n">
        <v>500</v>
      </c>
      <c r="J1107" s="0" t="n">
        <f aca="false">F1107*E1107</f>
        <v>0</v>
      </c>
      <c r="K1107" s="0" t="str">
        <f aca="false">IF(G1107&lt;1000,"1-Low",IF(G1107&lt;5000,"2-Medium","3-Bulk"))</f>
        <v>1-Low</v>
      </c>
      <c r="L1107" s="0" t="str">
        <f aca="false">IF(H1107="TRUE","Out of stock","In stock")</f>
        <v>Out of stock</v>
      </c>
      <c r="M1107" s="0" t="str">
        <f aca="false">IF(D1107&lt;5,"1) Under 5%",IF(D1107&lt;10,"2) 5-9%",IF(D1107&lt;15,"3) 10-14%",IF(D1107&lt;25,"4) 15-24%","5) 25%+"))))</f>
        <v>2) 5-9%</v>
      </c>
      <c r="N1107" s="0" t="str">
        <f aca="false">IF(F1107&lt;50,"1) Under Rs 50",IF(F1107&lt;100,"2) Rs 50-99",IF(F1107&lt;200,"3) Rs 100-199",IF(F1107&lt;500,"4) Rs 200-499","5) Rs 500+"))))</f>
        <v>3) Rs 100-199</v>
      </c>
      <c r="O1107" s="0" t="n">
        <f aca="false">G1107*E1107/1000</f>
        <v>0</v>
      </c>
    </row>
    <row r="1108" customFormat="false" ht="15" hidden="false" customHeight="false" outlineLevel="0" collapsed="false">
      <c r="A1108" s="0" t="s">
        <v>117</v>
      </c>
      <c r="B1108" s="0" t="s">
        <v>687</v>
      </c>
      <c r="C1108" s="0" t="n">
        <v>109</v>
      </c>
      <c r="D1108" s="0" t="n">
        <v>11</v>
      </c>
      <c r="E1108" s="0" t="n">
        <v>0</v>
      </c>
      <c r="F1108" s="0" t="n">
        <v>97</v>
      </c>
      <c r="G1108" s="0" t="n">
        <v>80</v>
      </c>
      <c r="H1108" s="0" t="s">
        <v>230</v>
      </c>
      <c r="I1108" s="0" t="n">
        <v>80</v>
      </c>
      <c r="J1108" s="0" t="n">
        <f aca="false">F1108*E1108</f>
        <v>0</v>
      </c>
      <c r="K1108" s="0" t="str">
        <f aca="false">IF(G1108&lt;1000,"1-Low",IF(G1108&lt;5000,"2-Medium","3-Bulk"))</f>
        <v>1-Low</v>
      </c>
      <c r="L1108" s="0" t="str">
        <f aca="false">IF(H1108="TRUE","Out of stock","In stock")</f>
        <v>Out of stock</v>
      </c>
      <c r="M1108" s="0" t="str">
        <f aca="false">IF(D1108&lt;5,"1) Under 5%",IF(D1108&lt;10,"2) 5-9%",IF(D1108&lt;15,"3) 10-14%",IF(D1108&lt;25,"4) 15-24%","5) 25%+"))))</f>
        <v>3) 10-14%</v>
      </c>
      <c r="N1108" s="0" t="str">
        <f aca="false">IF(F1108&lt;50,"1) Under Rs 50",IF(F1108&lt;100,"2) Rs 50-99",IF(F1108&lt;200,"3) Rs 100-199",IF(F1108&lt;500,"4) Rs 200-499","5) Rs 500+"))))</f>
        <v>2) Rs 50-99</v>
      </c>
      <c r="O1108" s="0" t="n">
        <f aca="false">G1108*E1108/1000</f>
        <v>0</v>
      </c>
    </row>
    <row r="1109" customFormat="false" ht="15" hidden="false" customHeight="false" outlineLevel="0" collapsed="false">
      <c r="A1109" s="0" t="s">
        <v>117</v>
      </c>
      <c r="B1109" s="0" t="s">
        <v>688</v>
      </c>
      <c r="C1109" s="0" t="n">
        <v>160</v>
      </c>
      <c r="D1109" s="0" t="n">
        <v>50</v>
      </c>
      <c r="E1109" s="0" t="n">
        <v>0</v>
      </c>
      <c r="F1109" s="0" t="n">
        <v>80</v>
      </c>
      <c r="G1109" s="0" t="n">
        <v>500</v>
      </c>
      <c r="H1109" s="0" t="s">
        <v>230</v>
      </c>
      <c r="I1109" s="0" t="n">
        <v>500</v>
      </c>
      <c r="J1109" s="0" t="n">
        <f aca="false">F1109*E1109</f>
        <v>0</v>
      </c>
      <c r="K1109" s="0" t="str">
        <f aca="false">IF(G1109&lt;1000,"1-Low",IF(G1109&lt;5000,"2-Medium","3-Bulk"))</f>
        <v>1-Low</v>
      </c>
      <c r="L1109" s="0" t="str">
        <f aca="false">IF(H1109="TRUE","Out of stock","In stock")</f>
        <v>Out of stock</v>
      </c>
      <c r="M1109" s="0" t="str">
        <f aca="false">IF(D1109&lt;5,"1) Under 5%",IF(D1109&lt;10,"2) 5-9%",IF(D1109&lt;15,"3) 10-14%",IF(D1109&lt;25,"4) 15-24%","5) 25%+"))))</f>
        <v>5) 25%+</v>
      </c>
      <c r="N1109" s="0" t="str">
        <f aca="false">IF(F1109&lt;50,"1) Under Rs 50",IF(F1109&lt;100,"2) Rs 50-99",IF(F1109&lt;200,"3) Rs 100-199",IF(F1109&lt;500,"4) Rs 200-499","5) Rs 500+"))))</f>
        <v>2) Rs 50-99</v>
      </c>
      <c r="O1109" s="0" t="n">
        <f aca="false">G1109*E1109/1000</f>
        <v>0</v>
      </c>
    </row>
    <row r="1110" customFormat="false" ht="15" hidden="false" customHeight="false" outlineLevel="0" collapsed="false">
      <c r="A1110" s="0" t="s">
        <v>117</v>
      </c>
      <c r="B1110" s="0" t="s">
        <v>335</v>
      </c>
      <c r="C1110" s="0" t="n">
        <v>125</v>
      </c>
      <c r="D1110" s="0" t="n">
        <v>0</v>
      </c>
      <c r="E1110" s="0" t="n">
        <v>0</v>
      </c>
      <c r="F1110" s="0" t="n">
        <v>125</v>
      </c>
      <c r="G1110" s="0" t="n">
        <v>1000</v>
      </c>
      <c r="H1110" s="0" t="s">
        <v>230</v>
      </c>
      <c r="I1110" s="0" t="n">
        <v>1</v>
      </c>
      <c r="J1110" s="0" t="n">
        <f aca="false">F1110*E1110</f>
        <v>0</v>
      </c>
      <c r="K1110" s="0" t="str">
        <f aca="false">IF(G1110&lt;1000,"1-Low",IF(G1110&lt;5000,"2-Medium","3-Bulk"))</f>
        <v>2-Medium</v>
      </c>
      <c r="L1110" s="0" t="str">
        <f aca="false">IF(H1110="TRUE","Out of stock","In stock")</f>
        <v>Out of stock</v>
      </c>
      <c r="M1110" s="0" t="str">
        <f aca="false">IF(D1110&lt;5,"1) Under 5%",IF(D1110&lt;10,"2) 5-9%",IF(D1110&lt;15,"3) 10-14%",IF(D1110&lt;25,"4) 15-24%","5) 25%+"))))</f>
        <v>1) Under 5%</v>
      </c>
      <c r="N1110" s="0" t="str">
        <f aca="false">IF(F1110&lt;50,"1) Under Rs 50",IF(F1110&lt;100,"2) Rs 50-99",IF(F1110&lt;200,"3) Rs 100-199",IF(F1110&lt;500,"4) Rs 200-499","5) Rs 500+"))))</f>
        <v>3) Rs 100-199</v>
      </c>
      <c r="O1110" s="0" t="n">
        <f aca="false">G1110*E1110/1000</f>
        <v>0</v>
      </c>
    </row>
    <row r="1111" customFormat="false" ht="15" hidden="false" customHeight="false" outlineLevel="0" collapsed="false">
      <c r="A1111" s="0" t="s">
        <v>117</v>
      </c>
      <c r="B1111" s="0" t="s">
        <v>689</v>
      </c>
      <c r="C1111" s="0" t="n">
        <v>210</v>
      </c>
      <c r="D1111" s="0" t="n">
        <v>0</v>
      </c>
      <c r="E1111" s="0" t="n">
        <v>0</v>
      </c>
      <c r="F1111" s="0" t="n">
        <v>210</v>
      </c>
      <c r="G1111" s="0" t="n">
        <v>1000</v>
      </c>
      <c r="H1111" s="0" t="s">
        <v>230</v>
      </c>
      <c r="I1111" s="0" t="n">
        <v>1</v>
      </c>
      <c r="J1111" s="0" t="n">
        <f aca="false">F1111*E1111</f>
        <v>0</v>
      </c>
      <c r="K1111" s="0" t="str">
        <f aca="false">IF(G1111&lt;1000,"1-Low",IF(G1111&lt;5000,"2-Medium","3-Bulk"))</f>
        <v>2-Medium</v>
      </c>
      <c r="L1111" s="0" t="str">
        <f aca="false">IF(H1111="TRUE","Out of stock","In stock")</f>
        <v>Out of stock</v>
      </c>
      <c r="M1111" s="0" t="str">
        <f aca="false">IF(D1111&lt;5,"1) Under 5%",IF(D1111&lt;10,"2) 5-9%",IF(D1111&lt;15,"3) 10-14%",IF(D1111&lt;25,"4) 15-24%","5) 25%+"))))</f>
        <v>1) Under 5%</v>
      </c>
      <c r="N1111" s="0" t="str">
        <f aca="false">IF(F1111&lt;50,"1) Under Rs 50",IF(F1111&lt;100,"2) Rs 50-99",IF(F1111&lt;200,"3) Rs 100-199",IF(F1111&lt;500,"4) Rs 200-499","5) Rs 500+"))))</f>
        <v>4) Rs 200-499</v>
      </c>
      <c r="O1111" s="0" t="n">
        <f aca="false">G1111*E1111/1000</f>
        <v>0</v>
      </c>
    </row>
    <row r="1112" customFormat="false" ht="15" hidden="false" customHeight="false" outlineLevel="0" collapsed="false">
      <c r="A1112" s="0" t="s">
        <v>117</v>
      </c>
      <c r="B1112" s="0" t="s">
        <v>690</v>
      </c>
      <c r="C1112" s="0" t="n">
        <v>64</v>
      </c>
      <c r="D1112" s="0" t="n">
        <v>7</v>
      </c>
      <c r="E1112" s="0" t="n">
        <v>0</v>
      </c>
      <c r="F1112" s="0" t="n">
        <v>59</v>
      </c>
      <c r="G1112" s="0" t="n">
        <v>1000</v>
      </c>
      <c r="H1112" s="0" t="s">
        <v>230</v>
      </c>
      <c r="I1112" s="0" t="n">
        <v>1</v>
      </c>
      <c r="J1112" s="0" t="n">
        <f aca="false">F1112*E1112</f>
        <v>0</v>
      </c>
      <c r="K1112" s="0" t="str">
        <f aca="false">IF(G1112&lt;1000,"1-Low",IF(G1112&lt;5000,"2-Medium","3-Bulk"))</f>
        <v>2-Medium</v>
      </c>
      <c r="L1112" s="0" t="str">
        <f aca="false">IF(H1112="TRUE","Out of stock","In stock")</f>
        <v>Out of stock</v>
      </c>
      <c r="M1112" s="0" t="str">
        <f aca="false">IF(D1112&lt;5,"1) Under 5%",IF(D1112&lt;10,"2) 5-9%",IF(D1112&lt;15,"3) 10-14%",IF(D1112&lt;25,"4) 15-24%","5) 25%+"))))</f>
        <v>2) 5-9%</v>
      </c>
      <c r="N1112" s="0" t="str">
        <f aca="false">IF(F1112&lt;50,"1) Under Rs 50",IF(F1112&lt;100,"2) Rs 50-99",IF(F1112&lt;200,"3) Rs 100-199",IF(F1112&lt;500,"4) Rs 200-499","5) Rs 500+"))))</f>
        <v>2) Rs 50-99</v>
      </c>
      <c r="O1112" s="0" t="n">
        <f aca="false">G1112*E1112/1000</f>
        <v>0</v>
      </c>
    </row>
    <row r="1113" customFormat="false" ht="15" hidden="false" customHeight="false" outlineLevel="0" collapsed="false">
      <c r="A1113" s="0" t="s">
        <v>117</v>
      </c>
      <c r="B1113" s="0" t="s">
        <v>691</v>
      </c>
      <c r="C1113" s="0" t="n">
        <v>190</v>
      </c>
      <c r="D1113" s="0" t="n">
        <v>0</v>
      </c>
      <c r="E1113" s="0" t="n">
        <v>0</v>
      </c>
      <c r="F1113" s="0" t="n">
        <v>190</v>
      </c>
      <c r="G1113" s="0" t="n">
        <v>300</v>
      </c>
      <c r="H1113" s="0" t="s">
        <v>230</v>
      </c>
      <c r="I1113" s="0" t="n">
        <v>300</v>
      </c>
      <c r="J1113" s="0" t="n">
        <f aca="false">F1113*E1113</f>
        <v>0</v>
      </c>
      <c r="K1113" s="0" t="str">
        <f aca="false">IF(G1113&lt;1000,"1-Low",IF(G1113&lt;5000,"2-Medium","3-Bulk"))</f>
        <v>1-Low</v>
      </c>
      <c r="L1113" s="0" t="str">
        <f aca="false">IF(H1113="TRUE","Out of stock","In stock")</f>
        <v>Out of stock</v>
      </c>
      <c r="M1113" s="0" t="str">
        <f aca="false">IF(D1113&lt;5,"1) Under 5%",IF(D1113&lt;10,"2) 5-9%",IF(D1113&lt;15,"3) 10-14%",IF(D1113&lt;25,"4) 15-24%","5) 25%+"))))</f>
        <v>1) Under 5%</v>
      </c>
      <c r="N1113" s="0" t="str">
        <f aca="false">IF(F1113&lt;50,"1) Under Rs 50",IF(F1113&lt;100,"2) Rs 50-99",IF(F1113&lt;200,"3) Rs 100-199",IF(F1113&lt;500,"4) Rs 200-499","5) Rs 500+"))))</f>
        <v>3) Rs 100-199</v>
      </c>
      <c r="O1113" s="0" t="n">
        <f aca="false">G1113*E1113/1000</f>
        <v>0</v>
      </c>
    </row>
    <row r="1114" customFormat="false" ht="15" hidden="false" customHeight="false" outlineLevel="0" collapsed="false">
      <c r="A1114" s="0" t="s">
        <v>117</v>
      </c>
      <c r="B1114" s="0" t="s">
        <v>692</v>
      </c>
      <c r="C1114" s="0" t="n">
        <v>28</v>
      </c>
      <c r="D1114" s="0" t="n">
        <v>17</v>
      </c>
      <c r="E1114" s="0" t="n">
        <v>0</v>
      </c>
      <c r="F1114" s="0" t="n">
        <v>23</v>
      </c>
      <c r="G1114" s="0" t="n">
        <v>65</v>
      </c>
      <c r="H1114" s="0" t="s">
        <v>230</v>
      </c>
      <c r="I1114" s="0" t="n">
        <v>65</v>
      </c>
      <c r="J1114" s="0" t="n">
        <f aca="false">F1114*E1114</f>
        <v>0</v>
      </c>
      <c r="K1114" s="0" t="str">
        <f aca="false">IF(G1114&lt;1000,"1-Low",IF(G1114&lt;5000,"2-Medium","3-Bulk"))</f>
        <v>1-Low</v>
      </c>
      <c r="L1114" s="0" t="str">
        <f aca="false">IF(H1114="TRUE","Out of stock","In stock")</f>
        <v>Out of stock</v>
      </c>
      <c r="M1114" s="0" t="str">
        <f aca="false">IF(D1114&lt;5,"1) Under 5%",IF(D1114&lt;10,"2) 5-9%",IF(D1114&lt;15,"3) 10-14%",IF(D1114&lt;25,"4) 15-24%","5) 25%+"))))</f>
        <v>4) 15-24%</v>
      </c>
      <c r="N1114" s="0" t="str">
        <f aca="false">IF(F1114&lt;50,"1) Under Rs 50",IF(F1114&lt;100,"2) Rs 50-99",IF(F1114&lt;200,"3) Rs 100-199",IF(F1114&lt;500,"4) Rs 200-499","5) Rs 500+"))))</f>
        <v>1) Under Rs 50</v>
      </c>
      <c r="O1114" s="0" t="n">
        <f aca="false">G1114*E1114/1000</f>
        <v>0</v>
      </c>
    </row>
    <row r="1115" customFormat="false" ht="15" hidden="false" customHeight="false" outlineLevel="0" collapsed="false">
      <c r="A1115" s="0" t="s">
        <v>117</v>
      </c>
      <c r="B1115" s="0" t="s">
        <v>693</v>
      </c>
      <c r="C1115" s="0" t="n">
        <v>99</v>
      </c>
      <c r="D1115" s="0" t="n">
        <v>40</v>
      </c>
      <c r="E1115" s="0" t="n">
        <v>0</v>
      </c>
      <c r="F1115" s="0" t="n">
        <v>59</v>
      </c>
      <c r="G1115" s="0" t="n">
        <v>500</v>
      </c>
      <c r="H1115" s="0" t="s">
        <v>230</v>
      </c>
      <c r="I1115" s="0" t="n">
        <v>500</v>
      </c>
      <c r="J1115" s="0" t="n">
        <f aca="false">F1115*E1115</f>
        <v>0</v>
      </c>
      <c r="K1115" s="0" t="str">
        <f aca="false">IF(G1115&lt;1000,"1-Low",IF(G1115&lt;5000,"2-Medium","3-Bulk"))</f>
        <v>1-Low</v>
      </c>
      <c r="L1115" s="0" t="str">
        <f aca="false">IF(H1115="TRUE","Out of stock","In stock")</f>
        <v>Out of stock</v>
      </c>
      <c r="M1115" s="0" t="str">
        <f aca="false">IF(D1115&lt;5,"1) Under 5%",IF(D1115&lt;10,"2) 5-9%",IF(D1115&lt;15,"3) 10-14%",IF(D1115&lt;25,"4) 15-24%","5) 25%+"))))</f>
        <v>5) 25%+</v>
      </c>
      <c r="N1115" s="0" t="str">
        <f aca="false">IF(F1115&lt;50,"1) Under Rs 50",IF(F1115&lt;100,"2) Rs 50-99",IF(F1115&lt;200,"3) Rs 100-199",IF(F1115&lt;500,"4) Rs 200-499","5) Rs 500+"))))</f>
        <v>2) Rs 50-99</v>
      </c>
      <c r="O1115" s="0" t="n">
        <f aca="false">G1115*E1115/1000</f>
        <v>0</v>
      </c>
    </row>
    <row r="1116" customFormat="false" ht="15" hidden="false" customHeight="false" outlineLevel="0" collapsed="false">
      <c r="A1116" s="0" t="s">
        <v>117</v>
      </c>
      <c r="B1116" s="0" t="s">
        <v>694</v>
      </c>
      <c r="C1116" s="0" t="n">
        <v>60</v>
      </c>
      <c r="D1116" s="0" t="n">
        <v>15</v>
      </c>
      <c r="E1116" s="0" t="n">
        <v>0</v>
      </c>
      <c r="F1116" s="0" t="n">
        <v>51</v>
      </c>
      <c r="G1116" s="0" t="n">
        <v>100</v>
      </c>
      <c r="H1116" s="0" t="s">
        <v>230</v>
      </c>
      <c r="I1116" s="0" t="n">
        <v>100</v>
      </c>
      <c r="J1116" s="0" t="n">
        <f aca="false">F1116*E1116</f>
        <v>0</v>
      </c>
      <c r="K1116" s="0" t="str">
        <f aca="false">IF(G1116&lt;1000,"1-Low",IF(G1116&lt;5000,"2-Medium","3-Bulk"))</f>
        <v>1-Low</v>
      </c>
      <c r="L1116" s="0" t="str">
        <f aca="false">IF(H1116="TRUE","Out of stock","In stock")</f>
        <v>Out of stock</v>
      </c>
      <c r="M1116" s="0" t="str">
        <f aca="false">IF(D1116&lt;5,"1) Under 5%",IF(D1116&lt;10,"2) 5-9%",IF(D1116&lt;15,"3) 10-14%",IF(D1116&lt;25,"4) 15-24%","5) 25%+"))))</f>
        <v>4) 15-24%</v>
      </c>
      <c r="N1116" s="0" t="str">
        <f aca="false">IF(F1116&lt;50,"1) Under Rs 50",IF(F1116&lt;100,"2) Rs 50-99",IF(F1116&lt;200,"3) Rs 100-199",IF(F1116&lt;500,"4) Rs 200-499","5) Rs 500+"))))</f>
        <v>2) Rs 50-99</v>
      </c>
      <c r="O1116" s="0" t="n">
        <f aca="false">G1116*E1116/1000</f>
        <v>0</v>
      </c>
    </row>
    <row r="1117" customFormat="false" ht="15" hidden="false" customHeight="false" outlineLevel="0" collapsed="false">
      <c r="A1117" s="0" t="s">
        <v>117</v>
      </c>
      <c r="B1117" s="0" t="s">
        <v>695</v>
      </c>
      <c r="C1117" s="0" t="n">
        <v>95</v>
      </c>
      <c r="D1117" s="0" t="n">
        <v>0</v>
      </c>
      <c r="E1117" s="0" t="n">
        <v>0</v>
      </c>
      <c r="F1117" s="0" t="n">
        <v>95</v>
      </c>
      <c r="G1117" s="0" t="n">
        <v>250</v>
      </c>
      <c r="H1117" s="0" t="s">
        <v>230</v>
      </c>
      <c r="I1117" s="0" t="n">
        <v>250</v>
      </c>
      <c r="J1117" s="0" t="n">
        <f aca="false">F1117*E1117</f>
        <v>0</v>
      </c>
      <c r="K1117" s="0" t="str">
        <f aca="false">IF(G1117&lt;1000,"1-Low",IF(G1117&lt;5000,"2-Medium","3-Bulk"))</f>
        <v>1-Low</v>
      </c>
      <c r="L1117" s="0" t="str">
        <f aca="false">IF(H1117="TRUE","Out of stock","In stock")</f>
        <v>Out of stock</v>
      </c>
      <c r="M1117" s="0" t="str">
        <f aca="false">IF(D1117&lt;5,"1) Under 5%",IF(D1117&lt;10,"2) 5-9%",IF(D1117&lt;15,"3) 10-14%",IF(D1117&lt;25,"4) 15-24%","5) 25%+"))))</f>
        <v>1) Under 5%</v>
      </c>
      <c r="N1117" s="0" t="str">
        <f aca="false">IF(F1117&lt;50,"1) Under Rs 50",IF(F1117&lt;100,"2) Rs 50-99",IF(F1117&lt;200,"3) Rs 100-199",IF(F1117&lt;500,"4) Rs 200-499","5) Rs 500+"))))</f>
        <v>2) Rs 50-99</v>
      </c>
      <c r="O1117" s="0" t="n">
        <f aca="false">G1117*E1117/1000</f>
        <v>0</v>
      </c>
    </row>
    <row r="1118" customFormat="false" ht="15" hidden="false" customHeight="false" outlineLevel="0" collapsed="false">
      <c r="A1118" s="0" t="s">
        <v>117</v>
      </c>
      <c r="B1118" s="0" t="s">
        <v>696</v>
      </c>
      <c r="C1118" s="0" t="n">
        <v>49</v>
      </c>
      <c r="D1118" s="0" t="n">
        <v>2</v>
      </c>
      <c r="E1118" s="0" t="n">
        <v>0</v>
      </c>
      <c r="F1118" s="0" t="n">
        <v>48</v>
      </c>
      <c r="G1118" s="0" t="n">
        <v>200</v>
      </c>
      <c r="H1118" s="0" t="s">
        <v>230</v>
      </c>
      <c r="I1118" s="0" t="n">
        <v>200</v>
      </c>
      <c r="J1118" s="0" t="n">
        <f aca="false">F1118*E1118</f>
        <v>0</v>
      </c>
      <c r="K1118" s="0" t="str">
        <f aca="false">IF(G1118&lt;1000,"1-Low",IF(G1118&lt;5000,"2-Medium","3-Bulk"))</f>
        <v>1-Low</v>
      </c>
      <c r="L1118" s="0" t="str">
        <f aca="false">IF(H1118="TRUE","Out of stock","In stock")</f>
        <v>Out of stock</v>
      </c>
      <c r="M1118" s="0" t="str">
        <f aca="false">IF(D1118&lt;5,"1) Under 5%",IF(D1118&lt;10,"2) 5-9%",IF(D1118&lt;15,"3) 10-14%",IF(D1118&lt;25,"4) 15-24%","5) 25%+"))))</f>
        <v>1) Under 5%</v>
      </c>
      <c r="N1118" s="0" t="str">
        <f aca="false">IF(F1118&lt;50,"1) Under Rs 50",IF(F1118&lt;100,"2) Rs 50-99",IF(F1118&lt;200,"3) Rs 100-199",IF(F1118&lt;500,"4) Rs 200-499","5) Rs 500+"))))</f>
        <v>1) Under Rs 50</v>
      </c>
      <c r="O1118" s="0" t="n">
        <f aca="false">G1118*E1118/1000</f>
        <v>0</v>
      </c>
    </row>
    <row r="1119" customFormat="false" ht="15" hidden="false" customHeight="false" outlineLevel="0" collapsed="false">
      <c r="A1119" s="0" t="s">
        <v>117</v>
      </c>
      <c r="B1119" s="0" t="s">
        <v>697</v>
      </c>
      <c r="C1119" s="0" t="n">
        <v>102</v>
      </c>
      <c r="D1119" s="0" t="n">
        <v>7</v>
      </c>
      <c r="E1119" s="0" t="n">
        <v>0</v>
      </c>
      <c r="F1119" s="0" t="n">
        <v>94</v>
      </c>
      <c r="G1119" s="0" t="n">
        <v>1000</v>
      </c>
      <c r="H1119" s="0" t="s">
        <v>230</v>
      </c>
      <c r="I1119" s="0" t="n">
        <v>1</v>
      </c>
      <c r="J1119" s="0" t="n">
        <f aca="false">F1119*E1119</f>
        <v>0</v>
      </c>
      <c r="K1119" s="0" t="str">
        <f aca="false">IF(G1119&lt;1000,"1-Low",IF(G1119&lt;5000,"2-Medium","3-Bulk"))</f>
        <v>2-Medium</v>
      </c>
      <c r="L1119" s="0" t="str">
        <f aca="false">IF(H1119="TRUE","Out of stock","In stock")</f>
        <v>Out of stock</v>
      </c>
      <c r="M1119" s="0" t="str">
        <f aca="false">IF(D1119&lt;5,"1) Under 5%",IF(D1119&lt;10,"2) 5-9%",IF(D1119&lt;15,"3) 10-14%",IF(D1119&lt;25,"4) 15-24%","5) 25%+"))))</f>
        <v>2) 5-9%</v>
      </c>
      <c r="N1119" s="0" t="str">
        <f aca="false">IF(F1119&lt;50,"1) Under Rs 50",IF(F1119&lt;100,"2) Rs 50-99",IF(F1119&lt;200,"3) Rs 100-199",IF(F1119&lt;500,"4) Rs 200-499","5) Rs 500+"))))</f>
        <v>2) Rs 50-99</v>
      </c>
      <c r="O1119" s="0" t="n">
        <f aca="false">G1119*E1119/1000</f>
        <v>0</v>
      </c>
    </row>
    <row r="1120" customFormat="false" ht="15" hidden="false" customHeight="false" outlineLevel="0" collapsed="false">
      <c r="A1120" s="0" t="s">
        <v>117</v>
      </c>
      <c r="B1120" s="0" t="s">
        <v>698</v>
      </c>
      <c r="C1120" s="0" t="n">
        <v>72</v>
      </c>
      <c r="D1120" s="0" t="n">
        <v>0</v>
      </c>
      <c r="E1120" s="0" t="n">
        <v>0</v>
      </c>
      <c r="F1120" s="0" t="n">
        <v>72</v>
      </c>
      <c r="G1120" s="0" t="n">
        <v>280</v>
      </c>
      <c r="H1120" s="0" t="s">
        <v>230</v>
      </c>
      <c r="I1120" s="0" t="n">
        <v>280</v>
      </c>
      <c r="J1120" s="0" t="n">
        <f aca="false">F1120*E1120</f>
        <v>0</v>
      </c>
      <c r="K1120" s="0" t="str">
        <f aca="false">IF(G1120&lt;1000,"1-Low",IF(G1120&lt;5000,"2-Medium","3-Bulk"))</f>
        <v>1-Low</v>
      </c>
      <c r="L1120" s="0" t="str">
        <f aca="false">IF(H1120="TRUE","Out of stock","In stock")</f>
        <v>Out of stock</v>
      </c>
      <c r="M1120" s="0" t="str">
        <f aca="false">IF(D1120&lt;5,"1) Under 5%",IF(D1120&lt;10,"2) 5-9%",IF(D1120&lt;15,"3) 10-14%",IF(D1120&lt;25,"4) 15-24%","5) 25%+"))))</f>
        <v>1) Under 5%</v>
      </c>
      <c r="N1120" s="0" t="str">
        <f aca="false">IF(F1120&lt;50,"1) Under Rs 50",IF(F1120&lt;100,"2) Rs 50-99",IF(F1120&lt;200,"3) Rs 100-199",IF(F1120&lt;500,"4) Rs 200-499","5) Rs 500+"))))</f>
        <v>2) Rs 50-99</v>
      </c>
      <c r="O1120" s="0" t="n">
        <f aca="false">G1120*E1120/1000</f>
        <v>0</v>
      </c>
    </row>
    <row r="1121" customFormat="false" ht="15" hidden="false" customHeight="false" outlineLevel="0" collapsed="false">
      <c r="A1121" s="0" t="s">
        <v>117</v>
      </c>
      <c r="B1121" s="0" t="s">
        <v>699</v>
      </c>
      <c r="C1121" s="0" t="n">
        <v>150</v>
      </c>
      <c r="D1121" s="0" t="n">
        <v>4</v>
      </c>
      <c r="E1121" s="0" t="n">
        <v>0</v>
      </c>
      <c r="F1121" s="0" t="n">
        <v>143</v>
      </c>
      <c r="G1121" s="0" t="n">
        <v>250</v>
      </c>
      <c r="H1121" s="0" t="s">
        <v>230</v>
      </c>
      <c r="I1121" s="0" t="n">
        <v>250</v>
      </c>
      <c r="J1121" s="0" t="n">
        <f aca="false">F1121*E1121</f>
        <v>0</v>
      </c>
      <c r="K1121" s="0" t="str">
        <f aca="false">IF(G1121&lt;1000,"1-Low",IF(G1121&lt;5000,"2-Medium","3-Bulk"))</f>
        <v>1-Low</v>
      </c>
      <c r="L1121" s="0" t="str">
        <f aca="false">IF(H1121="TRUE","Out of stock","In stock")</f>
        <v>Out of stock</v>
      </c>
      <c r="M1121" s="0" t="str">
        <f aca="false">IF(D1121&lt;5,"1) Under 5%",IF(D1121&lt;10,"2) 5-9%",IF(D1121&lt;15,"3) 10-14%",IF(D1121&lt;25,"4) 15-24%","5) 25%+"))))</f>
        <v>1) Under 5%</v>
      </c>
      <c r="N1121" s="0" t="str">
        <f aca="false">IF(F1121&lt;50,"1) Under Rs 50",IF(F1121&lt;100,"2) Rs 50-99",IF(F1121&lt;200,"3) Rs 100-199",IF(F1121&lt;500,"4) Rs 200-499","5) Rs 500+"))))</f>
        <v>3) Rs 100-199</v>
      </c>
      <c r="O1121" s="0" t="n">
        <f aca="false">G1121*E1121/1000</f>
        <v>0</v>
      </c>
    </row>
    <row r="1122" customFormat="false" ht="15" hidden="false" customHeight="false" outlineLevel="0" collapsed="false">
      <c r="A1122" s="0" t="s">
        <v>117</v>
      </c>
      <c r="B1122" s="0" t="s">
        <v>700</v>
      </c>
      <c r="C1122" s="0" t="n">
        <v>120</v>
      </c>
      <c r="D1122" s="0" t="n">
        <v>0</v>
      </c>
      <c r="E1122" s="0" t="n">
        <v>0</v>
      </c>
      <c r="F1122" s="0" t="n">
        <v>120</v>
      </c>
      <c r="G1122" s="0" t="n">
        <v>1</v>
      </c>
      <c r="H1122" s="0" t="s">
        <v>230</v>
      </c>
      <c r="I1122" s="0" t="n">
        <v>0</v>
      </c>
      <c r="J1122" s="0" t="n">
        <f aca="false">F1122*E1122</f>
        <v>0</v>
      </c>
      <c r="K1122" s="0" t="str">
        <f aca="false">IF(G1122&lt;1000,"1-Low",IF(G1122&lt;5000,"2-Medium","3-Bulk"))</f>
        <v>1-Low</v>
      </c>
      <c r="L1122" s="0" t="str">
        <f aca="false">IF(H1122="TRUE","Out of stock","In stock")</f>
        <v>Out of stock</v>
      </c>
      <c r="M1122" s="0" t="str">
        <f aca="false">IF(D1122&lt;5,"1) Under 5%",IF(D1122&lt;10,"2) 5-9%",IF(D1122&lt;15,"3) 10-14%",IF(D1122&lt;25,"4) 15-24%","5) 25%+"))))</f>
        <v>1) Under 5%</v>
      </c>
      <c r="N1122" s="0" t="str">
        <f aca="false">IF(F1122&lt;50,"1) Under Rs 50",IF(F1122&lt;100,"2) Rs 50-99",IF(F1122&lt;200,"3) Rs 100-199",IF(F1122&lt;500,"4) Rs 200-499","5) Rs 500+"))))</f>
        <v>3) Rs 100-199</v>
      </c>
      <c r="O1122" s="0" t="n">
        <f aca="false">G1122*E1122/1000</f>
        <v>0</v>
      </c>
    </row>
    <row r="1123" customFormat="false" ht="15" hidden="false" customHeight="false" outlineLevel="0" collapsed="false">
      <c r="A1123" s="0" t="s">
        <v>101</v>
      </c>
      <c r="B1123" s="0" t="s">
        <v>701</v>
      </c>
      <c r="C1123" s="0" t="n">
        <v>25</v>
      </c>
      <c r="D1123" s="0" t="n">
        <v>0</v>
      </c>
      <c r="E1123" s="0" t="n">
        <v>4</v>
      </c>
      <c r="F1123" s="0" t="n">
        <v>25</v>
      </c>
      <c r="G1123" s="0" t="n">
        <v>500</v>
      </c>
      <c r="H1123" s="0" t="s">
        <v>145</v>
      </c>
      <c r="I1123" s="0" t="n">
        <v>500</v>
      </c>
      <c r="J1123" s="0" t="n">
        <f aca="false">F1123*E1123</f>
        <v>100</v>
      </c>
      <c r="K1123" s="0" t="str">
        <f aca="false">IF(G1123&lt;1000,"1-Low",IF(G1123&lt;5000,"2-Medium","3-Bulk"))</f>
        <v>1-Low</v>
      </c>
      <c r="L1123" s="0" t="str">
        <f aca="false">IF(H1123="TRUE","Out of stock","In stock")</f>
        <v>In stock</v>
      </c>
      <c r="M1123" s="0" t="str">
        <f aca="false">IF(D1123&lt;5,"1) Under 5%",IF(D1123&lt;10,"2) 5-9%",IF(D1123&lt;15,"3) 10-14%",IF(D1123&lt;25,"4) 15-24%","5) 25%+"))))</f>
        <v>1) Under 5%</v>
      </c>
      <c r="N1123" s="0" t="str">
        <f aca="false">IF(F1123&lt;50,"1) Under Rs 50",IF(F1123&lt;100,"2) Rs 50-99",IF(F1123&lt;200,"3) Rs 100-199",IF(F1123&lt;500,"4) Rs 200-499","5) Rs 500+"))))</f>
        <v>1) Under Rs 50</v>
      </c>
      <c r="O1123" s="0" t="n">
        <f aca="false">G1123*E1123/1000</f>
        <v>2</v>
      </c>
    </row>
    <row r="1124" customFormat="false" ht="15" hidden="false" customHeight="false" outlineLevel="0" collapsed="false">
      <c r="A1124" s="0" t="s">
        <v>101</v>
      </c>
      <c r="B1124" s="0" t="s">
        <v>702</v>
      </c>
      <c r="C1124" s="0" t="n">
        <v>30</v>
      </c>
      <c r="D1124" s="0" t="n">
        <v>3</v>
      </c>
      <c r="E1124" s="0" t="n">
        <v>6</v>
      </c>
      <c r="F1124" s="0" t="n">
        <v>29</v>
      </c>
      <c r="G1124" s="0" t="n">
        <v>400</v>
      </c>
      <c r="H1124" s="0" t="s">
        <v>145</v>
      </c>
      <c r="I1124" s="0" t="n">
        <v>400</v>
      </c>
      <c r="J1124" s="0" t="n">
        <f aca="false">F1124*E1124</f>
        <v>174</v>
      </c>
      <c r="K1124" s="0" t="str">
        <f aca="false">IF(G1124&lt;1000,"1-Low",IF(G1124&lt;5000,"2-Medium","3-Bulk"))</f>
        <v>1-Low</v>
      </c>
      <c r="L1124" s="0" t="str">
        <f aca="false">IF(H1124="TRUE","Out of stock","In stock")</f>
        <v>In stock</v>
      </c>
      <c r="M1124" s="0" t="str">
        <f aca="false">IF(D1124&lt;5,"1) Under 5%",IF(D1124&lt;10,"2) 5-9%",IF(D1124&lt;15,"3) 10-14%",IF(D1124&lt;25,"4) 15-24%","5) 25%+"))))</f>
        <v>1) Under 5%</v>
      </c>
      <c r="N1124" s="0" t="str">
        <f aca="false">IF(F1124&lt;50,"1) Under Rs 50",IF(F1124&lt;100,"2) Rs 50-99",IF(F1124&lt;200,"3) Rs 100-199",IF(F1124&lt;500,"4) Rs 200-499","5) Rs 500+"))))</f>
        <v>1) Under Rs 50</v>
      </c>
      <c r="O1124" s="0" t="n">
        <f aca="false">G1124*E1124/1000</f>
        <v>2.4</v>
      </c>
    </row>
    <row r="1125" customFormat="false" ht="15" hidden="false" customHeight="false" outlineLevel="0" collapsed="false">
      <c r="A1125" s="0" t="s">
        <v>101</v>
      </c>
      <c r="B1125" s="0" t="s">
        <v>703</v>
      </c>
      <c r="C1125" s="0" t="n">
        <v>31</v>
      </c>
      <c r="D1125" s="0" t="n">
        <v>0</v>
      </c>
      <c r="E1125" s="0" t="n">
        <v>4</v>
      </c>
      <c r="F1125" s="0" t="n">
        <v>31</v>
      </c>
      <c r="G1125" s="0" t="n">
        <v>500</v>
      </c>
      <c r="H1125" s="0" t="s">
        <v>145</v>
      </c>
      <c r="I1125" s="0" t="n">
        <v>500</v>
      </c>
      <c r="J1125" s="0" t="n">
        <f aca="false">F1125*E1125</f>
        <v>124</v>
      </c>
      <c r="K1125" s="0" t="str">
        <f aca="false">IF(G1125&lt;1000,"1-Low",IF(G1125&lt;5000,"2-Medium","3-Bulk"))</f>
        <v>1-Low</v>
      </c>
      <c r="L1125" s="0" t="str">
        <f aca="false">IF(H1125="TRUE","Out of stock","In stock")</f>
        <v>In stock</v>
      </c>
      <c r="M1125" s="0" t="str">
        <f aca="false">IF(D1125&lt;5,"1) Under 5%",IF(D1125&lt;10,"2) 5-9%",IF(D1125&lt;15,"3) 10-14%",IF(D1125&lt;25,"4) 15-24%","5) 25%+"))))</f>
        <v>1) Under 5%</v>
      </c>
      <c r="N1125" s="0" t="str">
        <f aca="false">IF(F1125&lt;50,"1) Under Rs 50",IF(F1125&lt;100,"2) Rs 50-99",IF(F1125&lt;200,"3) Rs 100-199",IF(F1125&lt;500,"4) Rs 200-499","5) Rs 500+"))))</f>
        <v>1) Under Rs 50</v>
      </c>
      <c r="O1125" s="0" t="n">
        <f aca="false">G1125*E1125/1000</f>
        <v>2</v>
      </c>
    </row>
    <row r="1126" customFormat="false" ht="15" hidden="false" customHeight="false" outlineLevel="0" collapsed="false">
      <c r="A1126" s="0" t="s">
        <v>101</v>
      </c>
      <c r="B1126" s="0" t="s">
        <v>704</v>
      </c>
      <c r="C1126" s="0" t="n">
        <v>50</v>
      </c>
      <c r="D1126" s="0" t="n">
        <v>2</v>
      </c>
      <c r="E1126" s="0" t="n">
        <v>6</v>
      </c>
      <c r="F1126" s="0" t="n">
        <v>49</v>
      </c>
      <c r="G1126" s="0" t="n">
        <v>100</v>
      </c>
      <c r="H1126" s="0" t="s">
        <v>145</v>
      </c>
      <c r="I1126" s="0" t="n">
        <v>100</v>
      </c>
      <c r="J1126" s="0" t="n">
        <f aca="false">F1126*E1126</f>
        <v>294</v>
      </c>
      <c r="K1126" s="0" t="str">
        <f aca="false">IF(G1126&lt;1000,"1-Low",IF(G1126&lt;5000,"2-Medium","3-Bulk"))</f>
        <v>1-Low</v>
      </c>
      <c r="L1126" s="0" t="str">
        <f aca="false">IF(H1126="TRUE","Out of stock","In stock")</f>
        <v>In stock</v>
      </c>
      <c r="M1126" s="0" t="str">
        <f aca="false">IF(D1126&lt;5,"1) Under 5%",IF(D1126&lt;10,"2) 5-9%",IF(D1126&lt;15,"3) 10-14%",IF(D1126&lt;25,"4) 15-24%","5) 25%+"))))</f>
        <v>1) Under 5%</v>
      </c>
      <c r="N1126" s="0" t="str">
        <f aca="false">IF(F1126&lt;50,"1) Under Rs 50",IF(F1126&lt;100,"2) Rs 50-99",IF(F1126&lt;200,"3) Rs 100-199",IF(F1126&lt;500,"4) Rs 200-499","5) Rs 500+"))))</f>
        <v>1) Under Rs 50</v>
      </c>
      <c r="O1126" s="0" t="n">
        <f aca="false">G1126*E1126/1000</f>
        <v>0.6</v>
      </c>
    </row>
    <row r="1127" customFormat="false" ht="15" hidden="false" customHeight="false" outlineLevel="0" collapsed="false">
      <c r="A1127" s="0" t="s">
        <v>101</v>
      </c>
      <c r="B1127" s="0" t="s">
        <v>705</v>
      </c>
      <c r="C1127" s="0" t="n">
        <v>33</v>
      </c>
      <c r="D1127" s="0" t="n">
        <v>0</v>
      </c>
      <c r="E1127" s="0" t="n">
        <v>4</v>
      </c>
      <c r="F1127" s="0" t="n">
        <v>33</v>
      </c>
      <c r="G1127" s="0" t="n">
        <v>350</v>
      </c>
      <c r="H1127" s="0" t="s">
        <v>145</v>
      </c>
      <c r="I1127" s="0" t="n">
        <v>350</v>
      </c>
      <c r="J1127" s="0" t="n">
        <f aca="false">F1127*E1127</f>
        <v>132</v>
      </c>
      <c r="K1127" s="0" t="str">
        <f aca="false">IF(G1127&lt;1000,"1-Low",IF(G1127&lt;5000,"2-Medium","3-Bulk"))</f>
        <v>1-Low</v>
      </c>
      <c r="L1127" s="0" t="str">
        <f aca="false">IF(H1127="TRUE","Out of stock","In stock")</f>
        <v>In stock</v>
      </c>
      <c r="M1127" s="0" t="str">
        <f aca="false">IF(D1127&lt;5,"1) Under 5%",IF(D1127&lt;10,"2) 5-9%",IF(D1127&lt;15,"3) 10-14%",IF(D1127&lt;25,"4) 15-24%","5) 25%+"))))</f>
        <v>1) Under 5%</v>
      </c>
      <c r="N1127" s="0" t="str">
        <f aca="false">IF(F1127&lt;50,"1) Under Rs 50",IF(F1127&lt;100,"2) Rs 50-99",IF(F1127&lt;200,"3) Rs 100-199",IF(F1127&lt;500,"4) Rs 200-499","5) Rs 500+"))))</f>
        <v>1) Under Rs 50</v>
      </c>
      <c r="O1127" s="0" t="n">
        <f aca="false">G1127*E1127/1000</f>
        <v>1.4</v>
      </c>
    </row>
    <row r="1128" customFormat="false" ht="15" hidden="false" customHeight="false" outlineLevel="0" collapsed="false">
      <c r="A1128" s="0" t="s">
        <v>101</v>
      </c>
      <c r="B1128" s="0" t="s">
        <v>706</v>
      </c>
      <c r="C1128" s="0" t="n">
        <v>35</v>
      </c>
      <c r="D1128" s="0" t="n">
        <v>2</v>
      </c>
      <c r="E1128" s="0" t="n">
        <v>6</v>
      </c>
      <c r="F1128" s="0" t="n">
        <v>34</v>
      </c>
      <c r="G1128" s="0" t="n">
        <v>400</v>
      </c>
      <c r="H1128" s="0" t="s">
        <v>145</v>
      </c>
      <c r="I1128" s="0" t="n">
        <v>400</v>
      </c>
      <c r="J1128" s="0" t="n">
        <f aca="false">F1128*E1128</f>
        <v>204</v>
      </c>
      <c r="K1128" s="0" t="str">
        <f aca="false">IF(G1128&lt;1000,"1-Low",IF(G1128&lt;5000,"2-Medium","3-Bulk"))</f>
        <v>1-Low</v>
      </c>
      <c r="L1128" s="0" t="str">
        <f aca="false">IF(H1128="TRUE","Out of stock","In stock")</f>
        <v>In stock</v>
      </c>
      <c r="M1128" s="0" t="str">
        <f aca="false">IF(D1128&lt;5,"1) Under 5%",IF(D1128&lt;10,"2) 5-9%",IF(D1128&lt;15,"3) 10-14%",IF(D1128&lt;25,"4) 15-24%","5) 25%+"))))</f>
        <v>1) Under 5%</v>
      </c>
      <c r="N1128" s="0" t="str">
        <f aca="false">IF(F1128&lt;50,"1) Under Rs 50",IF(F1128&lt;100,"2) Rs 50-99",IF(F1128&lt;200,"3) Rs 100-199",IF(F1128&lt;500,"4) Rs 200-499","5) Rs 500+"))))</f>
        <v>1) Under Rs 50</v>
      </c>
      <c r="O1128" s="0" t="n">
        <f aca="false">G1128*E1128/1000</f>
        <v>2.4</v>
      </c>
    </row>
    <row r="1129" customFormat="false" ht="15" hidden="false" customHeight="false" outlineLevel="0" collapsed="false">
      <c r="A1129" s="0" t="s">
        <v>101</v>
      </c>
      <c r="B1129" s="0" t="s">
        <v>236</v>
      </c>
      <c r="C1129" s="0" t="n">
        <v>80</v>
      </c>
      <c r="D1129" s="0" t="n">
        <v>15</v>
      </c>
      <c r="E1129" s="0" t="n">
        <v>6</v>
      </c>
      <c r="F1129" s="0" t="n">
        <v>68</v>
      </c>
      <c r="G1129" s="0" t="n">
        <v>1000</v>
      </c>
      <c r="H1129" s="0" t="s">
        <v>145</v>
      </c>
      <c r="I1129" s="0" t="n">
        <v>1</v>
      </c>
      <c r="J1129" s="0" t="n">
        <f aca="false">F1129*E1129</f>
        <v>408</v>
      </c>
      <c r="K1129" s="0" t="str">
        <f aca="false">IF(G1129&lt;1000,"1-Low",IF(G1129&lt;5000,"2-Medium","3-Bulk"))</f>
        <v>2-Medium</v>
      </c>
      <c r="L1129" s="0" t="str">
        <f aca="false">IF(H1129="TRUE","Out of stock","In stock")</f>
        <v>In stock</v>
      </c>
      <c r="M1129" s="0" t="str">
        <f aca="false">IF(D1129&lt;5,"1) Under 5%",IF(D1129&lt;10,"2) 5-9%",IF(D1129&lt;15,"3) 10-14%",IF(D1129&lt;25,"4) 15-24%","5) 25%+"))))</f>
        <v>4) 15-24%</v>
      </c>
      <c r="N1129" s="0" t="str">
        <f aca="false">IF(F1129&lt;50,"1) Under Rs 50",IF(F1129&lt;100,"2) Rs 50-99",IF(F1129&lt;200,"3) Rs 100-199",IF(F1129&lt;500,"4) Rs 200-499","5) Rs 500+"))))</f>
        <v>2) Rs 50-99</v>
      </c>
      <c r="O1129" s="0" t="n">
        <f aca="false">G1129*E1129/1000</f>
        <v>6</v>
      </c>
    </row>
    <row r="1130" customFormat="false" ht="15" hidden="false" customHeight="false" outlineLevel="0" collapsed="false">
      <c r="A1130" s="0" t="s">
        <v>101</v>
      </c>
      <c r="B1130" s="0" t="s">
        <v>707</v>
      </c>
      <c r="C1130" s="0" t="n">
        <v>45</v>
      </c>
      <c r="D1130" s="0" t="n">
        <v>0</v>
      </c>
      <c r="E1130" s="0" t="n">
        <v>4</v>
      </c>
      <c r="F1130" s="0" t="n">
        <v>45</v>
      </c>
      <c r="G1130" s="0" t="n">
        <v>450</v>
      </c>
      <c r="H1130" s="0" t="s">
        <v>145</v>
      </c>
      <c r="I1130" s="0" t="n">
        <v>450</v>
      </c>
      <c r="J1130" s="0" t="n">
        <f aca="false">F1130*E1130</f>
        <v>180</v>
      </c>
      <c r="K1130" s="0" t="str">
        <f aca="false">IF(G1130&lt;1000,"1-Low",IF(G1130&lt;5000,"2-Medium","3-Bulk"))</f>
        <v>1-Low</v>
      </c>
      <c r="L1130" s="0" t="str">
        <f aca="false">IF(H1130="TRUE","Out of stock","In stock")</f>
        <v>In stock</v>
      </c>
      <c r="M1130" s="0" t="str">
        <f aca="false">IF(D1130&lt;5,"1) Under 5%",IF(D1130&lt;10,"2) 5-9%",IF(D1130&lt;15,"3) 10-14%",IF(D1130&lt;25,"4) 15-24%","5) 25%+"))))</f>
        <v>1) Under 5%</v>
      </c>
      <c r="N1130" s="0" t="str">
        <f aca="false">IF(F1130&lt;50,"1) Under Rs 50",IF(F1130&lt;100,"2) Rs 50-99",IF(F1130&lt;200,"3) Rs 100-199",IF(F1130&lt;500,"4) Rs 200-499","5) Rs 500+"))))</f>
        <v>1) Under Rs 50</v>
      </c>
      <c r="O1130" s="0" t="n">
        <f aca="false">G1130*E1130/1000</f>
        <v>1.8</v>
      </c>
    </row>
    <row r="1131" customFormat="false" ht="15" hidden="false" customHeight="false" outlineLevel="0" collapsed="false">
      <c r="A1131" s="0" t="s">
        <v>101</v>
      </c>
      <c r="B1131" s="0" t="s">
        <v>708</v>
      </c>
      <c r="C1131" s="0" t="n">
        <v>40</v>
      </c>
      <c r="D1131" s="0" t="n">
        <v>0</v>
      </c>
      <c r="E1131" s="0" t="n">
        <v>4</v>
      </c>
      <c r="F1131" s="0" t="n">
        <v>40</v>
      </c>
      <c r="G1131" s="0" t="n">
        <v>450</v>
      </c>
      <c r="H1131" s="0" t="s">
        <v>145</v>
      </c>
      <c r="I1131" s="0" t="n">
        <v>450</v>
      </c>
      <c r="J1131" s="0" t="n">
        <f aca="false">F1131*E1131</f>
        <v>160</v>
      </c>
      <c r="K1131" s="0" t="str">
        <f aca="false">IF(G1131&lt;1000,"1-Low",IF(G1131&lt;5000,"2-Medium","3-Bulk"))</f>
        <v>1-Low</v>
      </c>
      <c r="L1131" s="0" t="str">
        <f aca="false">IF(H1131="TRUE","Out of stock","In stock")</f>
        <v>In stock</v>
      </c>
      <c r="M1131" s="0" t="str">
        <f aca="false">IF(D1131&lt;5,"1) Under 5%",IF(D1131&lt;10,"2) 5-9%",IF(D1131&lt;15,"3) 10-14%",IF(D1131&lt;25,"4) 15-24%","5) 25%+"))))</f>
        <v>1) Under 5%</v>
      </c>
      <c r="N1131" s="0" t="str">
        <f aca="false">IF(F1131&lt;50,"1) Under Rs 50",IF(F1131&lt;100,"2) Rs 50-99",IF(F1131&lt;200,"3) Rs 100-199",IF(F1131&lt;500,"4) Rs 200-499","5) Rs 500+"))))</f>
        <v>1) Under Rs 50</v>
      </c>
      <c r="O1131" s="0" t="n">
        <f aca="false">G1131*E1131/1000</f>
        <v>1.8</v>
      </c>
    </row>
    <row r="1132" customFormat="false" ht="15" hidden="false" customHeight="false" outlineLevel="0" collapsed="false">
      <c r="A1132" s="0" t="s">
        <v>101</v>
      </c>
      <c r="B1132" s="0" t="s">
        <v>709</v>
      </c>
      <c r="C1132" s="0" t="n">
        <v>89</v>
      </c>
      <c r="D1132" s="0" t="n">
        <v>8</v>
      </c>
      <c r="E1132" s="0" t="n">
        <v>6</v>
      </c>
      <c r="F1132" s="0" t="n">
        <v>81</v>
      </c>
      <c r="G1132" s="0" t="n">
        <v>200</v>
      </c>
      <c r="H1132" s="0" t="s">
        <v>145</v>
      </c>
      <c r="I1132" s="0" t="n">
        <v>200</v>
      </c>
      <c r="J1132" s="0" t="n">
        <f aca="false">F1132*E1132</f>
        <v>486</v>
      </c>
      <c r="K1132" s="0" t="str">
        <f aca="false">IF(G1132&lt;1000,"1-Low",IF(G1132&lt;5000,"2-Medium","3-Bulk"))</f>
        <v>1-Low</v>
      </c>
      <c r="L1132" s="0" t="str">
        <f aca="false">IF(H1132="TRUE","Out of stock","In stock")</f>
        <v>In stock</v>
      </c>
      <c r="M1132" s="0" t="str">
        <f aca="false">IF(D1132&lt;5,"1) Under 5%",IF(D1132&lt;10,"2) 5-9%",IF(D1132&lt;15,"3) 10-14%",IF(D1132&lt;25,"4) 15-24%","5) 25%+"))))</f>
        <v>2) 5-9%</v>
      </c>
      <c r="N1132" s="0" t="str">
        <f aca="false">IF(F1132&lt;50,"1) Under Rs 50",IF(F1132&lt;100,"2) Rs 50-99",IF(F1132&lt;200,"3) Rs 100-199",IF(F1132&lt;500,"4) Rs 200-499","5) Rs 500+"))))</f>
        <v>2) Rs 50-99</v>
      </c>
      <c r="O1132" s="0" t="n">
        <f aca="false">G1132*E1132/1000</f>
        <v>1.2</v>
      </c>
    </row>
    <row r="1133" customFormat="false" ht="15" hidden="false" customHeight="false" outlineLevel="0" collapsed="false">
      <c r="A1133" s="0" t="s">
        <v>101</v>
      </c>
      <c r="B1133" s="0" t="s">
        <v>710</v>
      </c>
      <c r="C1133" s="0" t="n">
        <v>106</v>
      </c>
      <c r="D1133" s="0" t="n">
        <v>4</v>
      </c>
      <c r="E1133" s="0" t="n">
        <v>6</v>
      </c>
      <c r="F1133" s="0" t="n">
        <v>101</v>
      </c>
      <c r="G1133" s="0" t="n">
        <v>200</v>
      </c>
      <c r="H1133" s="0" t="s">
        <v>145</v>
      </c>
      <c r="I1133" s="0" t="n">
        <v>200</v>
      </c>
      <c r="J1133" s="0" t="n">
        <f aca="false">F1133*E1133</f>
        <v>606</v>
      </c>
      <c r="K1133" s="0" t="str">
        <f aca="false">IF(G1133&lt;1000,"1-Low",IF(G1133&lt;5000,"2-Medium","3-Bulk"))</f>
        <v>1-Low</v>
      </c>
      <c r="L1133" s="0" t="str">
        <f aca="false">IF(H1133="TRUE","Out of stock","In stock")</f>
        <v>In stock</v>
      </c>
      <c r="M1133" s="0" t="str">
        <f aca="false">IF(D1133&lt;5,"1) Under 5%",IF(D1133&lt;10,"2) 5-9%",IF(D1133&lt;15,"3) 10-14%",IF(D1133&lt;25,"4) 15-24%","5) 25%+"))))</f>
        <v>1) Under 5%</v>
      </c>
      <c r="N1133" s="0" t="str">
        <f aca="false">IF(F1133&lt;50,"1) Under Rs 50",IF(F1133&lt;100,"2) Rs 50-99",IF(F1133&lt;200,"3) Rs 100-199",IF(F1133&lt;500,"4) Rs 200-499","5) Rs 500+"))))</f>
        <v>3) Rs 100-199</v>
      </c>
      <c r="O1133" s="0" t="n">
        <f aca="false">G1133*E1133/1000</f>
        <v>1.2</v>
      </c>
    </row>
    <row r="1134" customFormat="false" ht="15" hidden="false" customHeight="false" outlineLevel="0" collapsed="false">
      <c r="A1134" s="0" t="s">
        <v>101</v>
      </c>
      <c r="B1134" s="0" t="s">
        <v>711</v>
      </c>
      <c r="C1134" s="0" t="n">
        <v>22</v>
      </c>
      <c r="D1134" s="0" t="n">
        <v>0</v>
      </c>
      <c r="E1134" s="0" t="n">
        <v>4</v>
      </c>
      <c r="F1134" s="0" t="n">
        <v>22</v>
      </c>
      <c r="G1134" s="0" t="n">
        <v>250</v>
      </c>
      <c r="H1134" s="0" t="s">
        <v>145</v>
      </c>
      <c r="I1134" s="0" t="n">
        <v>250</v>
      </c>
      <c r="J1134" s="0" t="n">
        <f aca="false">F1134*E1134</f>
        <v>88</v>
      </c>
      <c r="K1134" s="0" t="str">
        <f aca="false">IF(G1134&lt;1000,"1-Low",IF(G1134&lt;5000,"2-Medium","3-Bulk"))</f>
        <v>1-Low</v>
      </c>
      <c r="L1134" s="0" t="str">
        <f aca="false">IF(H1134="TRUE","Out of stock","In stock")</f>
        <v>In stock</v>
      </c>
      <c r="M1134" s="0" t="str">
        <f aca="false">IF(D1134&lt;5,"1) Under 5%",IF(D1134&lt;10,"2) 5-9%",IF(D1134&lt;15,"3) 10-14%",IF(D1134&lt;25,"4) 15-24%","5) 25%+"))))</f>
        <v>1) Under 5%</v>
      </c>
      <c r="N1134" s="0" t="str">
        <f aca="false">IF(F1134&lt;50,"1) Under Rs 50",IF(F1134&lt;100,"2) Rs 50-99",IF(F1134&lt;200,"3) Rs 100-199",IF(F1134&lt;500,"4) Rs 200-499","5) Rs 500+"))))</f>
        <v>1) Under Rs 50</v>
      </c>
      <c r="O1134" s="0" t="n">
        <f aca="false">G1134*E1134/1000</f>
        <v>1</v>
      </c>
    </row>
    <row r="1135" customFormat="false" ht="15" hidden="false" customHeight="false" outlineLevel="0" collapsed="false">
      <c r="A1135" s="0" t="s">
        <v>101</v>
      </c>
      <c r="B1135" s="0" t="s">
        <v>704</v>
      </c>
      <c r="C1135" s="0" t="n">
        <v>245</v>
      </c>
      <c r="D1135" s="0" t="n">
        <v>2</v>
      </c>
      <c r="E1135" s="0" t="n">
        <v>6</v>
      </c>
      <c r="F1135" s="0" t="n">
        <v>240</v>
      </c>
      <c r="G1135" s="0" t="n">
        <v>500</v>
      </c>
      <c r="H1135" s="0" t="s">
        <v>145</v>
      </c>
      <c r="I1135" s="0" t="n">
        <v>500</v>
      </c>
      <c r="J1135" s="0" t="n">
        <f aca="false">F1135*E1135</f>
        <v>1440</v>
      </c>
      <c r="K1135" s="0" t="str">
        <f aca="false">IF(G1135&lt;1000,"1-Low",IF(G1135&lt;5000,"2-Medium","3-Bulk"))</f>
        <v>1-Low</v>
      </c>
      <c r="L1135" s="0" t="str">
        <f aca="false">IF(H1135="TRUE","Out of stock","In stock")</f>
        <v>In stock</v>
      </c>
      <c r="M1135" s="0" t="str">
        <f aca="false">IF(D1135&lt;5,"1) Under 5%",IF(D1135&lt;10,"2) 5-9%",IF(D1135&lt;15,"3) 10-14%",IF(D1135&lt;25,"4) 15-24%","5) 25%+"))))</f>
        <v>1) Under 5%</v>
      </c>
      <c r="N1135" s="0" t="str">
        <f aca="false">IF(F1135&lt;50,"1) Under Rs 50",IF(F1135&lt;100,"2) Rs 50-99",IF(F1135&lt;200,"3) Rs 100-199",IF(F1135&lt;500,"4) Rs 200-499","5) Rs 500+"))))</f>
        <v>4) Rs 200-499</v>
      </c>
      <c r="O1135" s="0" t="n">
        <f aca="false">G1135*E1135/1000</f>
        <v>3</v>
      </c>
    </row>
    <row r="1136" customFormat="false" ht="15" hidden="false" customHeight="false" outlineLevel="0" collapsed="false">
      <c r="A1136" s="0" t="s">
        <v>101</v>
      </c>
      <c r="B1136" s="0" t="s">
        <v>238</v>
      </c>
      <c r="C1136" s="0" t="n">
        <v>97</v>
      </c>
      <c r="D1136" s="0" t="n">
        <v>0</v>
      </c>
      <c r="E1136" s="0" t="n">
        <v>4</v>
      </c>
      <c r="F1136" s="0" t="n">
        <v>97</v>
      </c>
      <c r="G1136" s="0" t="n">
        <v>696</v>
      </c>
      <c r="H1136" s="0" t="s">
        <v>145</v>
      </c>
      <c r="I1136" s="0" t="n">
        <v>12</v>
      </c>
      <c r="J1136" s="0" t="n">
        <f aca="false">F1136*E1136</f>
        <v>388</v>
      </c>
      <c r="K1136" s="0" t="str">
        <f aca="false">IF(G1136&lt;1000,"1-Low",IF(G1136&lt;5000,"2-Medium","3-Bulk"))</f>
        <v>1-Low</v>
      </c>
      <c r="L1136" s="0" t="str">
        <f aca="false">IF(H1136="TRUE","Out of stock","In stock")</f>
        <v>In stock</v>
      </c>
      <c r="M1136" s="0" t="str">
        <f aca="false">IF(D1136&lt;5,"1) Under 5%",IF(D1136&lt;10,"2) 5-9%",IF(D1136&lt;15,"3) 10-14%",IF(D1136&lt;25,"4) 15-24%","5) 25%+"))))</f>
        <v>1) Under 5%</v>
      </c>
      <c r="N1136" s="0" t="str">
        <f aca="false">IF(F1136&lt;50,"1) Under Rs 50",IF(F1136&lt;100,"2) Rs 50-99",IF(F1136&lt;200,"3) Rs 100-199",IF(F1136&lt;500,"4) Rs 200-499","5) Rs 500+"))))</f>
        <v>2) Rs 50-99</v>
      </c>
      <c r="O1136" s="0" t="n">
        <f aca="false">G1136*E1136/1000</f>
        <v>2.784</v>
      </c>
    </row>
    <row r="1137" customFormat="false" ht="15" hidden="false" customHeight="false" outlineLevel="0" collapsed="false">
      <c r="A1137" s="0" t="s">
        <v>101</v>
      </c>
      <c r="B1137" s="0" t="s">
        <v>238</v>
      </c>
      <c r="C1137" s="0" t="n">
        <v>65</v>
      </c>
      <c r="D1137" s="0" t="n">
        <v>15</v>
      </c>
      <c r="E1137" s="0" t="n">
        <v>4</v>
      </c>
      <c r="F1137" s="0" t="n">
        <v>55</v>
      </c>
      <c r="G1137" s="0" t="n">
        <v>348</v>
      </c>
      <c r="H1137" s="0" t="s">
        <v>145</v>
      </c>
      <c r="I1137" s="0" t="n">
        <v>6</v>
      </c>
      <c r="J1137" s="0" t="n">
        <f aca="false">F1137*E1137</f>
        <v>220</v>
      </c>
      <c r="K1137" s="0" t="str">
        <f aca="false">IF(G1137&lt;1000,"1-Low",IF(G1137&lt;5000,"2-Medium","3-Bulk"))</f>
        <v>1-Low</v>
      </c>
      <c r="L1137" s="0" t="str">
        <f aca="false">IF(H1137="TRUE","Out of stock","In stock")</f>
        <v>In stock</v>
      </c>
      <c r="M1137" s="0" t="str">
        <f aca="false">IF(D1137&lt;5,"1) Under 5%",IF(D1137&lt;10,"2) 5-9%",IF(D1137&lt;15,"3) 10-14%",IF(D1137&lt;25,"4) 15-24%","5) 25%+"))))</f>
        <v>4) 15-24%</v>
      </c>
      <c r="N1137" s="0" t="str">
        <f aca="false">IF(F1137&lt;50,"1) Under Rs 50",IF(F1137&lt;100,"2) Rs 50-99",IF(F1137&lt;200,"3) Rs 100-199",IF(F1137&lt;500,"4) Rs 200-499","5) Rs 500+"))))</f>
        <v>2) Rs 50-99</v>
      </c>
      <c r="O1137" s="0" t="n">
        <f aca="false">G1137*E1137/1000</f>
        <v>1.392</v>
      </c>
    </row>
    <row r="1138" customFormat="false" ht="15" hidden="false" customHeight="false" outlineLevel="0" collapsed="false">
      <c r="A1138" s="0" t="s">
        <v>101</v>
      </c>
      <c r="B1138" s="0" t="s">
        <v>712</v>
      </c>
      <c r="C1138" s="0" t="n">
        <v>35</v>
      </c>
      <c r="D1138" s="0" t="n">
        <v>2</v>
      </c>
      <c r="E1138" s="0" t="n">
        <v>6</v>
      </c>
      <c r="F1138" s="0" t="n">
        <v>34</v>
      </c>
      <c r="G1138" s="0" t="n">
        <v>200</v>
      </c>
      <c r="H1138" s="0" t="s">
        <v>145</v>
      </c>
      <c r="I1138" s="0" t="n">
        <v>200</v>
      </c>
      <c r="J1138" s="0" t="n">
        <f aca="false">F1138*E1138</f>
        <v>204</v>
      </c>
      <c r="K1138" s="0" t="str">
        <f aca="false">IF(G1138&lt;1000,"1-Low",IF(G1138&lt;5000,"2-Medium","3-Bulk"))</f>
        <v>1-Low</v>
      </c>
      <c r="L1138" s="0" t="str">
        <f aca="false">IF(H1138="TRUE","Out of stock","In stock")</f>
        <v>In stock</v>
      </c>
      <c r="M1138" s="0" t="str">
        <f aca="false">IF(D1138&lt;5,"1) Under 5%",IF(D1138&lt;10,"2) 5-9%",IF(D1138&lt;15,"3) 10-14%",IF(D1138&lt;25,"4) 15-24%","5) 25%+"))))</f>
        <v>1) Under 5%</v>
      </c>
      <c r="N1138" s="0" t="str">
        <f aca="false">IF(F1138&lt;50,"1) Under Rs 50",IF(F1138&lt;100,"2) Rs 50-99",IF(F1138&lt;200,"3) Rs 100-199",IF(F1138&lt;500,"4) Rs 200-499","5) Rs 500+"))))</f>
        <v>1) Under Rs 50</v>
      </c>
      <c r="O1138" s="0" t="n">
        <f aca="false">G1138*E1138/1000</f>
        <v>1.2</v>
      </c>
    </row>
    <row r="1139" customFormat="false" ht="15" hidden="false" customHeight="false" outlineLevel="0" collapsed="false">
      <c r="A1139" s="0" t="s">
        <v>101</v>
      </c>
      <c r="B1139" s="0" t="s">
        <v>713</v>
      </c>
      <c r="C1139" s="0" t="n">
        <v>15</v>
      </c>
      <c r="D1139" s="0" t="n">
        <v>0</v>
      </c>
      <c r="E1139" s="0" t="n">
        <v>4</v>
      </c>
      <c r="F1139" s="0" t="n">
        <v>15</v>
      </c>
      <c r="G1139" s="0" t="n">
        <v>100</v>
      </c>
      <c r="H1139" s="0" t="s">
        <v>145</v>
      </c>
      <c r="I1139" s="0" t="n">
        <v>100</v>
      </c>
      <c r="J1139" s="0" t="n">
        <f aca="false">F1139*E1139</f>
        <v>60</v>
      </c>
      <c r="K1139" s="0" t="str">
        <f aca="false">IF(G1139&lt;1000,"1-Low",IF(G1139&lt;5000,"2-Medium","3-Bulk"))</f>
        <v>1-Low</v>
      </c>
      <c r="L1139" s="0" t="str">
        <f aca="false">IF(H1139="TRUE","Out of stock","In stock")</f>
        <v>In stock</v>
      </c>
      <c r="M1139" s="0" t="str">
        <f aca="false">IF(D1139&lt;5,"1) Under 5%",IF(D1139&lt;10,"2) 5-9%",IF(D1139&lt;15,"3) 10-14%",IF(D1139&lt;25,"4) 15-24%","5) 25%+"))))</f>
        <v>1) Under 5%</v>
      </c>
      <c r="N1139" s="0" t="str">
        <f aca="false">IF(F1139&lt;50,"1) Under Rs 50",IF(F1139&lt;100,"2) Rs 50-99",IF(F1139&lt;200,"3) Rs 100-199",IF(F1139&lt;500,"4) Rs 200-499","5) Rs 500+"))))</f>
        <v>1) Under Rs 50</v>
      </c>
      <c r="O1139" s="0" t="n">
        <f aca="false">G1139*E1139/1000</f>
        <v>0.4</v>
      </c>
    </row>
    <row r="1140" customFormat="false" ht="15" hidden="false" customHeight="false" outlineLevel="0" collapsed="false">
      <c r="A1140" s="0" t="s">
        <v>101</v>
      </c>
      <c r="B1140" s="0" t="s">
        <v>714</v>
      </c>
      <c r="C1140" s="0" t="n">
        <v>75</v>
      </c>
      <c r="D1140" s="0" t="n">
        <v>2</v>
      </c>
      <c r="E1140" s="0" t="n">
        <v>6</v>
      </c>
      <c r="F1140" s="0" t="n">
        <v>73</v>
      </c>
      <c r="G1140" s="0" t="n">
        <v>200</v>
      </c>
      <c r="H1140" s="0" t="s">
        <v>145</v>
      </c>
      <c r="I1140" s="0" t="n">
        <v>200</v>
      </c>
      <c r="J1140" s="0" t="n">
        <f aca="false">F1140*E1140</f>
        <v>438</v>
      </c>
      <c r="K1140" s="0" t="str">
        <f aca="false">IF(G1140&lt;1000,"1-Low",IF(G1140&lt;5000,"2-Medium","3-Bulk"))</f>
        <v>1-Low</v>
      </c>
      <c r="L1140" s="0" t="str">
        <f aca="false">IF(H1140="TRUE","Out of stock","In stock")</f>
        <v>In stock</v>
      </c>
      <c r="M1140" s="0" t="str">
        <f aca="false">IF(D1140&lt;5,"1) Under 5%",IF(D1140&lt;10,"2) 5-9%",IF(D1140&lt;15,"3) 10-14%",IF(D1140&lt;25,"4) 15-24%","5) 25%+"))))</f>
        <v>1) Under 5%</v>
      </c>
      <c r="N1140" s="0" t="str">
        <f aca="false">IF(F1140&lt;50,"1) Under Rs 50",IF(F1140&lt;100,"2) Rs 50-99",IF(F1140&lt;200,"3) Rs 100-199",IF(F1140&lt;500,"4) Rs 200-499","5) Rs 500+"))))</f>
        <v>2) Rs 50-99</v>
      </c>
      <c r="O1140" s="0" t="n">
        <f aca="false">G1140*E1140/1000</f>
        <v>1.2</v>
      </c>
    </row>
    <row r="1141" customFormat="false" ht="15" hidden="false" customHeight="false" outlineLevel="0" collapsed="false">
      <c r="A1141" s="0" t="s">
        <v>101</v>
      </c>
      <c r="B1141" s="0" t="s">
        <v>715</v>
      </c>
      <c r="C1141" s="0" t="n">
        <v>105</v>
      </c>
      <c r="D1141" s="0" t="n">
        <v>5</v>
      </c>
      <c r="E1141" s="0" t="n">
        <v>6</v>
      </c>
      <c r="F1141" s="0" t="n">
        <v>99</v>
      </c>
      <c r="G1141" s="0" t="n">
        <v>200</v>
      </c>
      <c r="H1141" s="0" t="s">
        <v>145</v>
      </c>
      <c r="I1141" s="0" t="n">
        <v>200</v>
      </c>
      <c r="J1141" s="0" t="n">
        <f aca="false">F1141*E1141</f>
        <v>594</v>
      </c>
      <c r="K1141" s="0" t="str">
        <f aca="false">IF(G1141&lt;1000,"1-Low",IF(G1141&lt;5000,"2-Medium","3-Bulk"))</f>
        <v>1-Low</v>
      </c>
      <c r="L1141" s="0" t="str">
        <f aca="false">IF(H1141="TRUE","Out of stock","In stock")</f>
        <v>In stock</v>
      </c>
      <c r="M1141" s="0" t="str">
        <f aca="false">IF(D1141&lt;5,"1) Under 5%",IF(D1141&lt;10,"2) 5-9%",IF(D1141&lt;15,"3) 10-14%",IF(D1141&lt;25,"4) 15-24%","5) 25%+"))))</f>
        <v>2) 5-9%</v>
      </c>
      <c r="N1141" s="0" t="str">
        <f aca="false">IF(F1141&lt;50,"1) Under Rs 50",IF(F1141&lt;100,"2) Rs 50-99",IF(F1141&lt;200,"3) Rs 100-199",IF(F1141&lt;500,"4) Rs 200-499","5) Rs 500+"))))</f>
        <v>2) Rs 50-99</v>
      </c>
      <c r="O1141" s="0" t="n">
        <f aca="false">G1141*E1141/1000</f>
        <v>1.2</v>
      </c>
    </row>
    <row r="1142" customFormat="false" ht="15" hidden="false" customHeight="false" outlineLevel="0" collapsed="false">
      <c r="A1142" s="0" t="s">
        <v>101</v>
      </c>
      <c r="B1142" s="0" t="s">
        <v>716</v>
      </c>
      <c r="C1142" s="0" t="n">
        <v>17</v>
      </c>
      <c r="D1142" s="0" t="n">
        <v>0</v>
      </c>
      <c r="E1142" s="0" t="n">
        <v>3</v>
      </c>
      <c r="F1142" s="0" t="n">
        <v>17</v>
      </c>
      <c r="G1142" s="0" t="n">
        <v>100</v>
      </c>
      <c r="H1142" s="0" t="s">
        <v>145</v>
      </c>
      <c r="I1142" s="0" t="n">
        <v>100</v>
      </c>
      <c r="J1142" s="0" t="n">
        <f aca="false">F1142*E1142</f>
        <v>51</v>
      </c>
      <c r="K1142" s="0" t="str">
        <f aca="false">IF(G1142&lt;1000,"1-Low",IF(G1142&lt;5000,"2-Medium","3-Bulk"))</f>
        <v>1-Low</v>
      </c>
      <c r="L1142" s="0" t="str">
        <f aca="false">IF(H1142="TRUE","Out of stock","In stock")</f>
        <v>In stock</v>
      </c>
      <c r="M1142" s="0" t="str">
        <f aca="false">IF(D1142&lt;5,"1) Under 5%",IF(D1142&lt;10,"2) 5-9%",IF(D1142&lt;15,"3) 10-14%",IF(D1142&lt;25,"4) 15-24%","5) 25%+"))))</f>
        <v>1) Under 5%</v>
      </c>
      <c r="N1142" s="0" t="str">
        <f aca="false">IF(F1142&lt;50,"1) Under Rs 50",IF(F1142&lt;100,"2) Rs 50-99",IF(F1142&lt;200,"3) Rs 100-199",IF(F1142&lt;500,"4) Rs 200-499","5) Rs 500+"))))</f>
        <v>1) Under Rs 50</v>
      </c>
      <c r="O1142" s="0" t="n">
        <f aca="false">G1142*E1142/1000</f>
        <v>0.3</v>
      </c>
    </row>
    <row r="1143" customFormat="false" ht="15" hidden="false" customHeight="false" outlineLevel="0" collapsed="false">
      <c r="A1143" s="0" t="s">
        <v>101</v>
      </c>
      <c r="B1143" s="0" t="s">
        <v>717</v>
      </c>
      <c r="C1143" s="0" t="n">
        <v>122</v>
      </c>
      <c r="D1143" s="0" t="n">
        <v>1</v>
      </c>
      <c r="E1143" s="0" t="n">
        <v>6</v>
      </c>
      <c r="F1143" s="0" t="n">
        <v>120</v>
      </c>
      <c r="G1143" s="0" t="n">
        <v>200</v>
      </c>
      <c r="H1143" s="0" t="s">
        <v>145</v>
      </c>
      <c r="I1143" s="0" t="n">
        <v>200</v>
      </c>
      <c r="J1143" s="0" t="n">
        <f aca="false">F1143*E1143</f>
        <v>720</v>
      </c>
      <c r="K1143" s="0" t="str">
        <f aca="false">IF(G1143&lt;1000,"1-Low",IF(G1143&lt;5000,"2-Medium","3-Bulk"))</f>
        <v>1-Low</v>
      </c>
      <c r="L1143" s="0" t="str">
        <f aca="false">IF(H1143="TRUE","Out of stock","In stock")</f>
        <v>In stock</v>
      </c>
      <c r="M1143" s="0" t="str">
        <f aca="false">IF(D1143&lt;5,"1) Under 5%",IF(D1143&lt;10,"2) 5-9%",IF(D1143&lt;15,"3) 10-14%",IF(D1143&lt;25,"4) 15-24%","5) 25%+"))))</f>
        <v>1) Under 5%</v>
      </c>
      <c r="N1143" s="0" t="str">
        <f aca="false">IF(F1143&lt;50,"1) Under Rs 50",IF(F1143&lt;100,"2) Rs 50-99",IF(F1143&lt;200,"3) Rs 100-199",IF(F1143&lt;500,"4) Rs 200-499","5) Rs 500+"))))</f>
        <v>3) Rs 100-199</v>
      </c>
      <c r="O1143" s="0" t="n">
        <f aca="false">G1143*E1143/1000</f>
        <v>1.2</v>
      </c>
    </row>
    <row r="1144" customFormat="false" ht="15" hidden="false" customHeight="false" outlineLevel="0" collapsed="false">
      <c r="A1144" s="0" t="s">
        <v>101</v>
      </c>
      <c r="B1144" s="0" t="s">
        <v>718</v>
      </c>
      <c r="C1144" s="0" t="n">
        <v>60</v>
      </c>
      <c r="D1144" s="0" t="n">
        <v>0</v>
      </c>
      <c r="E1144" s="0" t="n">
        <v>6</v>
      </c>
      <c r="F1144" s="0" t="n">
        <v>60</v>
      </c>
      <c r="G1144" s="0" t="n">
        <v>400</v>
      </c>
      <c r="H1144" s="0" t="s">
        <v>145</v>
      </c>
      <c r="I1144" s="0" t="n">
        <v>400</v>
      </c>
      <c r="J1144" s="0" t="n">
        <f aca="false">F1144*E1144</f>
        <v>360</v>
      </c>
      <c r="K1144" s="0" t="str">
        <f aca="false">IF(G1144&lt;1000,"1-Low",IF(G1144&lt;5000,"2-Medium","3-Bulk"))</f>
        <v>1-Low</v>
      </c>
      <c r="L1144" s="0" t="str">
        <f aca="false">IF(H1144="TRUE","Out of stock","In stock")</f>
        <v>In stock</v>
      </c>
      <c r="M1144" s="0" t="str">
        <f aca="false">IF(D1144&lt;5,"1) Under 5%",IF(D1144&lt;10,"2) 5-9%",IF(D1144&lt;15,"3) 10-14%",IF(D1144&lt;25,"4) 15-24%","5) 25%+"))))</f>
        <v>1) Under 5%</v>
      </c>
      <c r="N1144" s="0" t="str">
        <f aca="false">IF(F1144&lt;50,"1) Under Rs 50",IF(F1144&lt;100,"2) Rs 50-99",IF(F1144&lt;200,"3) Rs 100-199",IF(F1144&lt;500,"4) Rs 200-499","5) Rs 500+"))))</f>
        <v>2) Rs 50-99</v>
      </c>
      <c r="O1144" s="0" t="n">
        <f aca="false">G1144*E1144/1000</f>
        <v>2.4</v>
      </c>
    </row>
    <row r="1145" customFormat="false" ht="15" hidden="false" customHeight="false" outlineLevel="0" collapsed="false">
      <c r="A1145" s="0" t="s">
        <v>101</v>
      </c>
      <c r="B1145" s="0" t="s">
        <v>719</v>
      </c>
      <c r="C1145" s="0" t="n">
        <v>30</v>
      </c>
      <c r="D1145" s="0" t="n">
        <v>0</v>
      </c>
      <c r="E1145" s="0" t="n">
        <v>1</v>
      </c>
      <c r="F1145" s="0" t="n">
        <v>30</v>
      </c>
      <c r="G1145" s="0" t="n">
        <v>400</v>
      </c>
      <c r="H1145" s="0" t="s">
        <v>145</v>
      </c>
      <c r="I1145" s="0" t="n">
        <v>400</v>
      </c>
      <c r="J1145" s="0" t="n">
        <f aca="false">F1145*E1145</f>
        <v>30</v>
      </c>
      <c r="K1145" s="0" t="str">
        <f aca="false">IF(G1145&lt;1000,"1-Low",IF(G1145&lt;5000,"2-Medium","3-Bulk"))</f>
        <v>1-Low</v>
      </c>
      <c r="L1145" s="0" t="str">
        <f aca="false">IF(H1145="TRUE","Out of stock","In stock")</f>
        <v>In stock</v>
      </c>
      <c r="M1145" s="0" t="str">
        <f aca="false">IF(D1145&lt;5,"1) Under 5%",IF(D1145&lt;10,"2) 5-9%",IF(D1145&lt;15,"3) 10-14%",IF(D1145&lt;25,"4) 15-24%","5) 25%+"))))</f>
        <v>1) Under 5%</v>
      </c>
      <c r="N1145" s="0" t="str">
        <f aca="false">IF(F1145&lt;50,"1) Under Rs 50",IF(F1145&lt;100,"2) Rs 50-99",IF(F1145&lt;200,"3) Rs 100-199",IF(F1145&lt;500,"4) Rs 200-499","5) Rs 500+"))))</f>
        <v>1) Under Rs 50</v>
      </c>
      <c r="O1145" s="0" t="n">
        <f aca="false">G1145*E1145/1000</f>
        <v>0.4</v>
      </c>
    </row>
    <row r="1146" customFormat="false" ht="15" hidden="false" customHeight="false" outlineLevel="0" collapsed="false">
      <c r="A1146" s="0" t="s">
        <v>101</v>
      </c>
      <c r="B1146" s="0" t="s">
        <v>720</v>
      </c>
      <c r="C1146" s="0" t="n">
        <v>55</v>
      </c>
      <c r="D1146" s="0" t="n">
        <v>0</v>
      </c>
      <c r="E1146" s="0" t="n">
        <v>4</v>
      </c>
      <c r="F1146" s="0" t="n">
        <v>55</v>
      </c>
      <c r="G1146" s="0" t="n">
        <v>400</v>
      </c>
      <c r="H1146" s="0" t="s">
        <v>145</v>
      </c>
      <c r="I1146" s="0" t="n">
        <v>400</v>
      </c>
      <c r="J1146" s="0" t="n">
        <f aca="false">F1146*E1146</f>
        <v>220</v>
      </c>
      <c r="K1146" s="0" t="str">
        <f aca="false">IF(G1146&lt;1000,"1-Low",IF(G1146&lt;5000,"2-Medium","3-Bulk"))</f>
        <v>1-Low</v>
      </c>
      <c r="L1146" s="0" t="str">
        <f aca="false">IF(H1146="TRUE","Out of stock","In stock")</f>
        <v>In stock</v>
      </c>
      <c r="M1146" s="0" t="str">
        <f aca="false">IF(D1146&lt;5,"1) Under 5%",IF(D1146&lt;10,"2) 5-9%",IF(D1146&lt;15,"3) 10-14%",IF(D1146&lt;25,"4) 15-24%","5) 25%+"))))</f>
        <v>1) Under 5%</v>
      </c>
      <c r="N1146" s="0" t="str">
        <f aca="false">IF(F1146&lt;50,"1) Under Rs 50",IF(F1146&lt;100,"2) Rs 50-99",IF(F1146&lt;200,"3) Rs 100-199",IF(F1146&lt;500,"4) Rs 200-499","5) Rs 500+"))))</f>
        <v>2) Rs 50-99</v>
      </c>
      <c r="O1146" s="0" t="n">
        <f aca="false">G1146*E1146/1000</f>
        <v>1.6</v>
      </c>
    </row>
    <row r="1147" customFormat="false" ht="15" hidden="false" customHeight="false" outlineLevel="0" collapsed="false">
      <c r="A1147" s="0" t="s">
        <v>101</v>
      </c>
      <c r="B1147" s="0" t="s">
        <v>721</v>
      </c>
      <c r="C1147" s="0" t="n">
        <v>106</v>
      </c>
      <c r="D1147" s="0" t="n">
        <v>0</v>
      </c>
      <c r="E1147" s="0" t="n">
        <v>6</v>
      </c>
      <c r="F1147" s="0" t="n">
        <v>106</v>
      </c>
      <c r="G1147" s="0" t="n">
        <v>200</v>
      </c>
      <c r="H1147" s="0" t="s">
        <v>145</v>
      </c>
      <c r="I1147" s="0" t="n">
        <v>200</v>
      </c>
      <c r="J1147" s="0" t="n">
        <f aca="false">F1147*E1147</f>
        <v>636</v>
      </c>
      <c r="K1147" s="0" t="str">
        <f aca="false">IF(G1147&lt;1000,"1-Low",IF(G1147&lt;5000,"2-Medium","3-Bulk"))</f>
        <v>1-Low</v>
      </c>
      <c r="L1147" s="0" t="str">
        <f aca="false">IF(H1147="TRUE","Out of stock","In stock")</f>
        <v>In stock</v>
      </c>
      <c r="M1147" s="0" t="str">
        <f aca="false">IF(D1147&lt;5,"1) Under 5%",IF(D1147&lt;10,"2) 5-9%",IF(D1147&lt;15,"3) 10-14%",IF(D1147&lt;25,"4) 15-24%","5) 25%+"))))</f>
        <v>1) Under 5%</v>
      </c>
      <c r="N1147" s="0" t="str">
        <f aca="false">IF(F1147&lt;50,"1) Under Rs 50",IF(F1147&lt;100,"2) Rs 50-99",IF(F1147&lt;200,"3) Rs 100-199",IF(F1147&lt;500,"4) Rs 200-499","5) Rs 500+"))))</f>
        <v>3) Rs 100-199</v>
      </c>
      <c r="O1147" s="0" t="n">
        <f aca="false">G1147*E1147/1000</f>
        <v>1.2</v>
      </c>
    </row>
    <row r="1148" customFormat="false" ht="15" hidden="false" customHeight="false" outlineLevel="0" collapsed="false">
      <c r="A1148" s="0" t="s">
        <v>101</v>
      </c>
      <c r="B1148" s="0" t="s">
        <v>712</v>
      </c>
      <c r="C1148" s="0" t="n">
        <v>70</v>
      </c>
      <c r="D1148" s="0" t="n">
        <v>2</v>
      </c>
      <c r="E1148" s="0" t="n">
        <v>6</v>
      </c>
      <c r="F1148" s="0" t="n">
        <v>68</v>
      </c>
      <c r="G1148" s="0" t="n">
        <v>400</v>
      </c>
      <c r="H1148" s="0" t="s">
        <v>145</v>
      </c>
      <c r="I1148" s="0" t="n">
        <v>400</v>
      </c>
      <c r="J1148" s="0" t="n">
        <f aca="false">F1148*E1148</f>
        <v>408</v>
      </c>
      <c r="K1148" s="0" t="str">
        <f aca="false">IF(G1148&lt;1000,"1-Low",IF(G1148&lt;5000,"2-Medium","3-Bulk"))</f>
        <v>1-Low</v>
      </c>
      <c r="L1148" s="0" t="str">
        <f aca="false">IF(H1148="TRUE","Out of stock","In stock")</f>
        <v>In stock</v>
      </c>
      <c r="M1148" s="0" t="str">
        <f aca="false">IF(D1148&lt;5,"1) Under 5%",IF(D1148&lt;10,"2) 5-9%",IF(D1148&lt;15,"3) 10-14%",IF(D1148&lt;25,"4) 15-24%","5) 25%+"))))</f>
        <v>1) Under 5%</v>
      </c>
      <c r="N1148" s="0" t="str">
        <f aca="false">IF(F1148&lt;50,"1) Under Rs 50",IF(F1148&lt;100,"2) Rs 50-99",IF(F1148&lt;200,"3) Rs 100-199",IF(F1148&lt;500,"4) Rs 200-499","5) Rs 500+"))))</f>
        <v>2) Rs 50-99</v>
      </c>
      <c r="O1148" s="0" t="n">
        <f aca="false">G1148*E1148/1000</f>
        <v>2.4</v>
      </c>
    </row>
    <row r="1149" customFormat="false" ht="15" hidden="false" customHeight="false" outlineLevel="0" collapsed="false">
      <c r="A1149" s="0" t="s">
        <v>101</v>
      </c>
      <c r="B1149" s="0" t="s">
        <v>242</v>
      </c>
      <c r="C1149" s="0" t="n">
        <v>85</v>
      </c>
      <c r="D1149" s="0" t="n">
        <v>7</v>
      </c>
      <c r="E1149" s="0" t="n">
        <v>4</v>
      </c>
      <c r="F1149" s="0" t="n">
        <v>79</v>
      </c>
      <c r="G1149" s="0" t="n">
        <v>348</v>
      </c>
      <c r="H1149" s="0" t="s">
        <v>145</v>
      </c>
      <c r="I1149" s="0" t="n">
        <v>6</v>
      </c>
      <c r="J1149" s="0" t="n">
        <f aca="false">F1149*E1149</f>
        <v>316</v>
      </c>
      <c r="K1149" s="0" t="str">
        <f aca="false">IF(G1149&lt;1000,"1-Low",IF(G1149&lt;5000,"2-Medium","3-Bulk"))</f>
        <v>1-Low</v>
      </c>
      <c r="L1149" s="0" t="str">
        <f aca="false">IF(H1149="TRUE","Out of stock","In stock")</f>
        <v>In stock</v>
      </c>
      <c r="M1149" s="0" t="str">
        <f aca="false">IF(D1149&lt;5,"1) Under 5%",IF(D1149&lt;10,"2) 5-9%",IF(D1149&lt;15,"3) 10-14%",IF(D1149&lt;25,"4) 15-24%","5) 25%+"))))</f>
        <v>2) 5-9%</v>
      </c>
      <c r="N1149" s="0" t="str">
        <f aca="false">IF(F1149&lt;50,"1) Under Rs 50",IF(F1149&lt;100,"2) Rs 50-99",IF(F1149&lt;200,"3) Rs 100-199",IF(F1149&lt;500,"4) Rs 200-499","5) Rs 500+"))))</f>
        <v>2) Rs 50-99</v>
      </c>
      <c r="O1149" s="0" t="n">
        <f aca="false">G1149*E1149/1000</f>
        <v>1.392</v>
      </c>
    </row>
    <row r="1150" customFormat="false" ht="15" hidden="false" customHeight="false" outlineLevel="0" collapsed="false">
      <c r="A1150" s="0" t="s">
        <v>101</v>
      </c>
      <c r="B1150" s="0" t="s">
        <v>722</v>
      </c>
      <c r="C1150" s="0" t="n">
        <v>30</v>
      </c>
      <c r="D1150" s="0" t="n">
        <v>0</v>
      </c>
      <c r="E1150" s="0" t="n">
        <v>6</v>
      </c>
      <c r="F1150" s="0" t="n">
        <v>30</v>
      </c>
      <c r="G1150" s="0" t="n">
        <v>85</v>
      </c>
      <c r="H1150" s="0" t="s">
        <v>145</v>
      </c>
      <c r="I1150" s="0" t="n">
        <v>85</v>
      </c>
      <c r="J1150" s="0" t="n">
        <f aca="false">F1150*E1150</f>
        <v>180</v>
      </c>
      <c r="K1150" s="0" t="str">
        <f aca="false">IF(G1150&lt;1000,"1-Low",IF(G1150&lt;5000,"2-Medium","3-Bulk"))</f>
        <v>1-Low</v>
      </c>
      <c r="L1150" s="0" t="str">
        <f aca="false">IF(H1150="TRUE","Out of stock","In stock")</f>
        <v>In stock</v>
      </c>
      <c r="M1150" s="0" t="str">
        <f aca="false">IF(D1150&lt;5,"1) Under 5%",IF(D1150&lt;10,"2) 5-9%",IF(D1150&lt;15,"3) 10-14%",IF(D1150&lt;25,"4) 15-24%","5) 25%+"))))</f>
        <v>1) Under 5%</v>
      </c>
      <c r="N1150" s="0" t="str">
        <f aca="false">IF(F1150&lt;50,"1) Under Rs 50",IF(F1150&lt;100,"2) Rs 50-99",IF(F1150&lt;200,"3) Rs 100-199",IF(F1150&lt;500,"4) Rs 200-499","5) Rs 500+"))))</f>
        <v>1) Under Rs 50</v>
      </c>
      <c r="O1150" s="0" t="n">
        <f aca="false">G1150*E1150/1000</f>
        <v>0.51</v>
      </c>
    </row>
    <row r="1151" customFormat="false" ht="15" hidden="false" customHeight="false" outlineLevel="0" collapsed="false">
      <c r="A1151" s="0" t="s">
        <v>101</v>
      </c>
      <c r="B1151" s="0" t="s">
        <v>723</v>
      </c>
      <c r="C1151" s="0" t="n">
        <v>245</v>
      </c>
      <c r="D1151" s="0" t="n">
        <v>2</v>
      </c>
      <c r="E1151" s="0" t="n">
        <v>6</v>
      </c>
      <c r="F1151" s="0" t="n">
        <v>240</v>
      </c>
      <c r="G1151" s="0" t="n">
        <v>500</v>
      </c>
      <c r="H1151" s="0" t="s">
        <v>145</v>
      </c>
      <c r="I1151" s="0" t="n">
        <v>500</v>
      </c>
      <c r="J1151" s="0" t="n">
        <f aca="false">F1151*E1151</f>
        <v>1440</v>
      </c>
      <c r="K1151" s="0" t="str">
        <f aca="false">IF(G1151&lt;1000,"1-Low",IF(G1151&lt;5000,"2-Medium","3-Bulk"))</f>
        <v>1-Low</v>
      </c>
      <c r="L1151" s="0" t="str">
        <f aca="false">IF(H1151="TRUE","Out of stock","In stock")</f>
        <v>In stock</v>
      </c>
      <c r="M1151" s="0" t="str">
        <f aca="false">IF(D1151&lt;5,"1) Under 5%",IF(D1151&lt;10,"2) 5-9%",IF(D1151&lt;15,"3) 10-14%",IF(D1151&lt;25,"4) 15-24%","5) 25%+"))))</f>
        <v>1) Under 5%</v>
      </c>
      <c r="N1151" s="0" t="str">
        <f aca="false">IF(F1151&lt;50,"1) Under Rs 50",IF(F1151&lt;100,"2) Rs 50-99",IF(F1151&lt;200,"3) Rs 100-199",IF(F1151&lt;500,"4) Rs 200-499","5) Rs 500+"))))</f>
        <v>4) Rs 200-499</v>
      </c>
      <c r="O1151" s="0" t="n">
        <f aca="false">G1151*E1151/1000</f>
        <v>3</v>
      </c>
    </row>
    <row r="1152" customFormat="false" ht="15" hidden="false" customHeight="false" outlineLevel="0" collapsed="false">
      <c r="A1152" s="0" t="s">
        <v>101</v>
      </c>
      <c r="B1152" s="0" t="s">
        <v>724</v>
      </c>
      <c r="C1152" s="0" t="n">
        <v>59</v>
      </c>
      <c r="D1152" s="0" t="n">
        <v>3</v>
      </c>
      <c r="E1152" s="0" t="n">
        <v>6</v>
      </c>
      <c r="F1152" s="0" t="n">
        <v>57</v>
      </c>
      <c r="G1152" s="0" t="n">
        <v>100</v>
      </c>
      <c r="H1152" s="0" t="s">
        <v>145</v>
      </c>
      <c r="I1152" s="0" t="n">
        <v>100</v>
      </c>
      <c r="J1152" s="0" t="n">
        <f aca="false">F1152*E1152</f>
        <v>342</v>
      </c>
      <c r="K1152" s="0" t="str">
        <f aca="false">IF(G1152&lt;1000,"1-Low",IF(G1152&lt;5000,"2-Medium","3-Bulk"))</f>
        <v>1-Low</v>
      </c>
      <c r="L1152" s="0" t="str">
        <f aca="false">IF(H1152="TRUE","Out of stock","In stock")</f>
        <v>In stock</v>
      </c>
      <c r="M1152" s="0" t="str">
        <f aca="false">IF(D1152&lt;5,"1) Under 5%",IF(D1152&lt;10,"2) 5-9%",IF(D1152&lt;15,"3) 10-14%",IF(D1152&lt;25,"4) 15-24%","5) 25%+"))))</f>
        <v>1) Under 5%</v>
      </c>
      <c r="N1152" s="0" t="str">
        <f aca="false">IF(F1152&lt;50,"1) Under Rs 50",IF(F1152&lt;100,"2) Rs 50-99",IF(F1152&lt;200,"3) Rs 100-199",IF(F1152&lt;500,"4) Rs 200-499","5) Rs 500+"))))</f>
        <v>2) Rs 50-99</v>
      </c>
      <c r="O1152" s="0" t="n">
        <f aca="false">G1152*E1152/1000</f>
        <v>0.6</v>
      </c>
    </row>
    <row r="1153" customFormat="false" ht="15" hidden="false" customHeight="false" outlineLevel="0" collapsed="false">
      <c r="A1153" s="0" t="s">
        <v>101</v>
      </c>
      <c r="B1153" s="0" t="s">
        <v>725</v>
      </c>
      <c r="C1153" s="0" t="n">
        <v>42</v>
      </c>
      <c r="D1153" s="0" t="n">
        <v>0</v>
      </c>
      <c r="E1153" s="0" t="n">
        <v>4</v>
      </c>
      <c r="F1153" s="0" t="n">
        <v>42</v>
      </c>
      <c r="G1153" s="0" t="n">
        <v>400</v>
      </c>
      <c r="H1153" s="0" t="s">
        <v>145</v>
      </c>
      <c r="I1153" s="0" t="n">
        <v>400</v>
      </c>
      <c r="J1153" s="0" t="n">
        <f aca="false">F1153*E1153</f>
        <v>168</v>
      </c>
      <c r="K1153" s="0" t="str">
        <f aca="false">IF(G1153&lt;1000,"1-Low",IF(G1153&lt;5000,"2-Medium","3-Bulk"))</f>
        <v>1-Low</v>
      </c>
      <c r="L1153" s="0" t="str">
        <f aca="false">IF(H1153="TRUE","Out of stock","In stock")</f>
        <v>In stock</v>
      </c>
      <c r="M1153" s="0" t="str">
        <f aca="false">IF(D1153&lt;5,"1) Under 5%",IF(D1153&lt;10,"2) 5-9%",IF(D1153&lt;15,"3) 10-14%",IF(D1153&lt;25,"4) 15-24%","5) 25%+"))))</f>
        <v>1) Under 5%</v>
      </c>
      <c r="N1153" s="0" t="str">
        <f aca="false">IF(F1153&lt;50,"1) Under Rs 50",IF(F1153&lt;100,"2) Rs 50-99",IF(F1153&lt;200,"3) Rs 100-199",IF(F1153&lt;500,"4) Rs 200-499","5) Rs 500+"))))</f>
        <v>1) Under Rs 50</v>
      </c>
      <c r="O1153" s="0" t="n">
        <f aca="false">G1153*E1153/1000</f>
        <v>1.6</v>
      </c>
    </row>
    <row r="1154" customFormat="false" ht="15" hidden="false" customHeight="false" outlineLevel="0" collapsed="false">
      <c r="A1154" s="0" t="s">
        <v>101</v>
      </c>
      <c r="B1154" s="0" t="s">
        <v>250</v>
      </c>
      <c r="C1154" s="0" t="n">
        <v>197</v>
      </c>
      <c r="D1154" s="0" t="n">
        <v>3</v>
      </c>
      <c r="E1154" s="0" t="n">
        <v>3</v>
      </c>
      <c r="F1154" s="0" t="n">
        <v>191</v>
      </c>
      <c r="G1154" s="0" t="n">
        <v>1000</v>
      </c>
      <c r="H1154" s="0" t="s">
        <v>145</v>
      </c>
      <c r="I1154" s="0" t="n">
        <v>1</v>
      </c>
      <c r="J1154" s="0" t="n">
        <f aca="false">F1154*E1154</f>
        <v>573</v>
      </c>
      <c r="K1154" s="0" t="str">
        <f aca="false">IF(G1154&lt;1000,"1-Low",IF(G1154&lt;5000,"2-Medium","3-Bulk"))</f>
        <v>2-Medium</v>
      </c>
      <c r="L1154" s="0" t="str">
        <f aca="false">IF(H1154="TRUE","Out of stock","In stock")</f>
        <v>In stock</v>
      </c>
      <c r="M1154" s="0" t="str">
        <f aca="false">IF(D1154&lt;5,"1) Under 5%",IF(D1154&lt;10,"2) 5-9%",IF(D1154&lt;15,"3) 10-14%",IF(D1154&lt;25,"4) 15-24%","5) 25%+"))))</f>
        <v>1) Under 5%</v>
      </c>
      <c r="N1154" s="0" t="str">
        <f aca="false">IF(F1154&lt;50,"1) Under Rs 50",IF(F1154&lt;100,"2) Rs 50-99",IF(F1154&lt;200,"3) Rs 100-199",IF(F1154&lt;500,"4) Rs 200-499","5) Rs 500+"))))</f>
        <v>3) Rs 100-199</v>
      </c>
      <c r="O1154" s="0" t="n">
        <f aca="false">G1154*E1154/1000</f>
        <v>3</v>
      </c>
    </row>
    <row r="1155" customFormat="false" ht="15" hidden="false" customHeight="false" outlineLevel="0" collapsed="false">
      <c r="A1155" s="0" t="s">
        <v>101</v>
      </c>
      <c r="B1155" s="0" t="s">
        <v>726</v>
      </c>
      <c r="C1155" s="0" t="n">
        <v>45</v>
      </c>
      <c r="D1155" s="0" t="n">
        <v>0</v>
      </c>
      <c r="E1155" s="0" t="n">
        <v>6</v>
      </c>
      <c r="F1155" s="0" t="n">
        <v>45</v>
      </c>
      <c r="G1155" s="0" t="n">
        <v>90</v>
      </c>
      <c r="H1155" s="0" t="s">
        <v>145</v>
      </c>
      <c r="I1155" s="0" t="n">
        <v>90</v>
      </c>
      <c r="J1155" s="0" t="n">
        <f aca="false">F1155*E1155</f>
        <v>270</v>
      </c>
      <c r="K1155" s="0" t="str">
        <f aca="false">IF(G1155&lt;1000,"1-Low",IF(G1155&lt;5000,"2-Medium","3-Bulk"))</f>
        <v>1-Low</v>
      </c>
      <c r="L1155" s="0" t="str">
        <f aca="false">IF(H1155="TRUE","Out of stock","In stock")</f>
        <v>In stock</v>
      </c>
      <c r="M1155" s="0" t="str">
        <f aca="false">IF(D1155&lt;5,"1) Under 5%",IF(D1155&lt;10,"2) 5-9%",IF(D1155&lt;15,"3) 10-14%",IF(D1155&lt;25,"4) 15-24%","5) 25%+"))))</f>
        <v>1) Under 5%</v>
      </c>
      <c r="N1155" s="0" t="str">
        <f aca="false">IF(F1155&lt;50,"1) Under Rs 50",IF(F1155&lt;100,"2) Rs 50-99",IF(F1155&lt;200,"3) Rs 100-199",IF(F1155&lt;500,"4) Rs 200-499","5) Rs 500+"))))</f>
        <v>1) Under Rs 50</v>
      </c>
      <c r="O1155" s="0" t="n">
        <f aca="false">G1155*E1155/1000</f>
        <v>0.54</v>
      </c>
    </row>
    <row r="1156" customFormat="false" ht="15" hidden="false" customHeight="false" outlineLevel="0" collapsed="false">
      <c r="A1156" s="0" t="s">
        <v>101</v>
      </c>
      <c r="B1156" s="0" t="s">
        <v>727</v>
      </c>
      <c r="C1156" s="0" t="n">
        <v>30</v>
      </c>
      <c r="D1156" s="0" t="n">
        <v>0</v>
      </c>
      <c r="E1156" s="0" t="n">
        <v>1</v>
      </c>
      <c r="F1156" s="0" t="n">
        <v>30</v>
      </c>
      <c r="G1156" s="0" t="n">
        <v>150</v>
      </c>
      <c r="H1156" s="0" t="s">
        <v>145</v>
      </c>
      <c r="I1156" s="0" t="n">
        <v>150</v>
      </c>
      <c r="J1156" s="0" t="n">
        <f aca="false">F1156*E1156</f>
        <v>30</v>
      </c>
      <c r="K1156" s="0" t="str">
        <f aca="false">IF(G1156&lt;1000,"1-Low",IF(G1156&lt;5000,"2-Medium","3-Bulk"))</f>
        <v>1-Low</v>
      </c>
      <c r="L1156" s="0" t="str">
        <f aca="false">IF(H1156="TRUE","Out of stock","In stock")</f>
        <v>In stock</v>
      </c>
      <c r="M1156" s="0" t="str">
        <f aca="false">IF(D1156&lt;5,"1) Under 5%",IF(D1156&lt;10,"2) 5-9%",IF(D1156&lt;15,"3) 10-14%",IF(D1156&lt;25,"4) 15-24%","5) 25%+"))))</f>
        <v>1) Under 5%</v>
      </c>
      <c r="N1156" s="0" t="str">
        <f aca="false">IF(F1156&lt;50,"1) Under Rs 50",IF(F1156&lt;100,"2) Rs 50-99",IF(F1156&lt;200,"3) Rs 100-199",IF(F1156&lt;500,"4) Rs 200-499","5) Rs 500+"))))</f>
        <v>1) Under Rs 50</v>
      </c>
      <c r="O1156" s="0" t="n">
        <f aca="false">G1156*E1156/1000</f>
        <v>0.15</v>
      </c>
    </row>
    <row r="1157" customFormat="false" ht="15" hidden="false" customHeight="false" outlineLevel="0" collapsed="false">
      <c r="A1157" s="0" t="s">
        <v>101</v>
      </c>
      <c r="B1157" s="0" t="s">
        <v>728</v>
      </c>
      <c r="C1157" s="0" t="n">
        <v>18</v>
      </c>
      <c r="D1157" s="0" t="n">
        <v>5</v>
      </c>
      <c r="E1157" s="0" t="n">
        <v>6</v>
      </c>
      <c r="F1157" s="0" t="n">
        <v>17</v>
      </c>
      <c r="G1157" s="0" t="n">
        <v>100</v>
      </c>
      <c r="H1157" s="0" t="s">
        <v>145</v>
      </c>
      <c r="I1157" s="0" t="n">
        <v>100</v>
      </c>
      <c r="J1157" s="0" t="n">
        <f aca="false">F1157*E1157</f>
        <v>102</v>
      </c>
      <c r="K1157" s="0" t="str">
        <f aca="false">IF(G1157&lt;1000,"1-Low",IF(G1157&lt;5000,"2-Medium","3-Bulk"))</f>
        <v>1-Low</v>
      </c>
      <c r="L1157" s="0" t="str">
        <f aca="false">IF(H1157="TRUE","Out of stock","In stock")</f>
        <v>In stock</v>
      </c>
      <c r="M1157" s="0" t="str">
        <f aca="false">IF(D1157&lt;5,"1) Under 5%",IF(D1157&lt;10,"2) 5-9%",IF(D1157&lt;15,"3) 10-14%",IF(D1157&lt;25,"4) 15-24%","5) 25%+"))))</f>
        <v>2) 5-9%</v>
      </c>
      <c r="N1157" s="0" t="str">
        <f aca="false">IF(F1157&lt;50,"1) Under Rs 50",IF(F1157&lt;100,"2) Rs 50-99",IF(F1157&lt;200,"3) Rs 100-199",IF(F1157&lt;500,"4) Rs 200-499","5) Rs 500+"))))</f>
        <v>1) Under Rs 50</v>
      </c>
      <c r="O1157" s="0" t="n">
        <f aca="false">G1157*E1157/1000</f>
        <v>0.6</v>
      </c>
    </row>
    <row r="1158" customFormat="false" ht="15" hidden="false" customHeight="false" outlineLevel="0" collapsed="false">
      <c r="A1158" s="0" t="s">
        <v>101</v>
      </c>
      <c r="B1158" s="0" t="s">
        <v>258</v>
      </c>
      <c r="C1158" s="0" t="n">
        <v>54</v>
      </c>
      <c r="D1158" s="0" t="n">
        <v>5</v>
      </c>
      <c r="E1158" s="0" t="n">
        <v>6</v>
      </c>
      <c r="F1158" s="0" t="n">
        <v>51</v>
      </c>
      <c r="G1158" s="0" t="n">
        <v>200</v>
      </c>
      <c r="H1158" s="0" t="s">
        <v>145</v>
      </c>
      <c r="I1158" s="0" t="n">
        <v>200</v>
      </c>
      <c r="J1158" s="0" t="n">
        <f aca="false">F1158*E1158</f>
        <v>306</v>
      </c>
      <c r="K1158" s="0" t="str">
        <f aca="false">IF(G1158&lt;1000,"1-Low",IF(G1158&lt;5000,"2-Medium","3-Bulk"))</f>
        <v>1-Low</v>
      </c>
      <c r="L1158" s="0" t="str">
        <f aca="false">IF(H1158="TRUE","Out of stock","In stock")</f>
        <v>In stock</v>
      </c>
      <c r="M1158" s="0" t="str">
        <f aca="false">IF(D1158&lt;5,"1) Under 5%",IF(D1158&lt;10,"2) 5-9%",IF(D1158&lt;15,"3) 10-14%",IF(D1158&lt;25,"4) 15-24%","5) 25%+"))))</f>
        <v>2) 5-9%</v>
      </c>
      <c r="N1158" s="0" t="str">
        <f aca="false">IF(F1158&lt;50,"1) Under Rs 50",IF(F1158&lt;100,"2) Rs 50-99",IF(F1158&lt;200,"3) Rs 100-199",IF(F1158&lt;500,"4) Rs 200-499","5) Rs 500+"))))</f>
        <v>2) Rs 50-99</v>
      </c>
      <c r="O1158" s="0" t="n">
        <f aca="false">G1158*E1158/1000</f>
        <v>1.2</v>
      </c>
    </row>
    <row r="1159" customFormat="false" ht="15" hidden="false" customHeight="false" outlineLevel="0" collapsed="false">
      <c r="A1159" s="0" t="s">
        <v>101</v>
      </c>
      <c r="B1159" s="0" t="s">
        <v>729</v>
      </c>
      <c r="C1159" s="0" t="n">
        <v>78</v>
      </c>
      <c r="D1159" s="0" t="n">
        <v>3</v>
      </c>
      <c r="E1159" s="0" t="n">
        <v>5</v>
      </c>
      <c r="F1159" s="0" t="n">
        <v>75</v>
      </c>
      <c r="G1159" s="0" t="n">
        <v>400</v>
      </c>
      <c r="H1159" s="0" t="s">
        <v>145</v>
      </c>
      <c r="I1159" s="0" t="n">
        <v>400</v>
      </c>
      <c r="J1159" s="0" t="n">
        <f aca="false">F1159*E1159</f>
        <v>375</v>
      </c>
      <c r="K1159" s="0" t="str">
        <f aca="false">IF(G1159&lt;1000,"1-Low",IF(G1159&lt;5000,"2-Medium","3-Bulk"))</f>
        <v>1-Low</v>
      </c>
      <c r="L1159" s="0" t="str">
        <f aca="false">IF(H1159="TRUE","Out of stock","In stock")</f>
        <v>In stock</v>
      </c>
      <c r="M1159" s="0" t="str">
        <f aca="false">IF(D1159&lt;5,"1) Under 5%",IF(D1159&lt;10,"2) 5-9%",IF(D1159&lt;15,"3) 10-14%",IF(D1159&lt;25,"4) 15-24%","5) 25%+"))))</f>
        <v>1) Under 5%</v>
      </c>
      <c r="N1159" s="0" t="str">
        <f aca="false">IF(F1159&lt;50,"1) Under Rs 50",IF(F1159&lt;100,"2) Rs 50-99",IF(F1159&lt;200,"3) Rs 100-199",IF(F1159&lt;500,"4) Rs 200-499","5) Rs 500+"))))</f>
        <v>2) Rs 50-99</v>
      </c>
      <c r="O1159" s="0" t="n">
        <f aca="false">G1159*E1159/1000</f>
        <v>2</v>
      </c>
    </row>
    <row r="1160" customFormat="false" ht="15" hidden="false" customHeight="false" outlineLevel="0" collapsed="false">
      <c r="A1160" s="0" t="s">
        <v>101</v>
      </c>
      <c r="B1160" s="0" t="s">
        <v>730</v>
      </c>
      <c r="C1160" s="0" t="n">
        <v>60</v>
      </c>
      <c r="D1160" s="0" t="n">
        <v>5</v>
      </c>
      <c r="E1160" s="0" t="n">
        <v>5</v>
      </c>
      <c r="F1160" s="0" t="n">
        <v>57</v>
      </c>
      <c r="G1160" s="0" t="n">
        <v>200</v>
      </c>
      <c r="H1160" s="0" t="s">
        <v>145</v>
      </c>
      <c r="I1160" s="0" t="n">
        <v>200</v>
      </c>
      <c r="J1160" s="0" t="n">
        <f aca="false">F1160*E1160</f>
        <v>285</v>
      </c>
      <c r="K1160" s="0" t="str">
        <f aca="false">IF(G1160&lt;1000,"1-Low",IF(G1160&lt;5000,"2-Medium","3-Bulk"))</f>
        <v>1-Low</v>
      </c>
      <c r="L1160" s="0" t="str">
        <f aca="false">IF(H1160="TRUE","Out of stock","In stock")</f>
        <v>In stock</v>
      </c>
      <c r="M1160" s="0" t="str">
        <f aca="false">IF(D1160&lt;5,"1) Under 5%",IF(D1160&lt;10,"2) 5-9%",IF(D1160&lt;15,"3) 10-14%",IF(D1160&lt;25,"4) 15-24%","5) 25%+"))))</f>
        <v>2) 5-9%</v>
      </c>
      <c r="N1160" s="0" t="str">
        <f aca="false">IF(F1160&lt;50,"1) Under Rs 50",IF(F1160&lt;100,"2) Rs 50-99",IF(F1160&lt;200,"3) Rs 100-199",IF(F1160&lt;500,"4) Rs 200-499","5) Rs 500+"))))</f>
        <v>2) Rs 50-99</v>
      </c>
      <c r="O1160" s="0" t="n">
        <f aca="false">G1160*E1160/1000</f>
        <v>1</v>
      </c>
    </row>
    <row r="1161" customFormat="false" ht="15" hidden="false" customHeight="false" outlineLevel="0" collapsed="false">
      <c r="A1161" s="0" t="s">
        <v>101</v>
      </c>
      <c r="B1161" s="0" t="s">
        <v>728</v>
      </c>
      <c r="C1161" s="0" t="n">
        <v>88</v>
      </c>
      <c r="D1161" s="0" t="n">
        <v>2</v>
      </c>
      <c r="E1161" s="0" t="n">
        <v>2</v>
      </c>
      <c r="F1161" s="0" t="n">
        <v>86</v>
      </c>
      <c r="G1161" s="0" t="n">
        <v>500</v>
      </c>
      <c r="H1161" s="0" t="s">
        <v>145</v>
      </c>
      <c r="I1161" s="0" t="n">
        <v>500</v>
      </c>
      <c r="J1161" s="0" t="n">
        <f aca="false">F1161*E1161</f>
        <v>172</v>
      </c>
      <c r="K1161" s="0" t="str">
        <f aca="false">IF(G1161&lt;1000,"1-Low",IF(G1161&lt;5000,"2-Medium","3-Bulk"))</f>
        <v>1-Low</v>
      </c>
      <c r="L1161" s="0" t="str">
        <f aca="false">IF(H1161="TRUE","Out of stock","In stock")</f>
        <v>In stock</v>
      </c>
      <c r="M1161" s="0" t="str">
        <f aca="false">IF(D1161&lt;5,"1) Under 5%",IF(D1161&lt;10,"2) 5-9%",IF(D1161&lt;15,"3) 10-14%",IF(D1161&lt;25,"4) 15-24%","5) 25%+"))))</f>
        <v>1) Under 5%</v>
      </c>
      <c r="N1161" s="0" t="str">
        <f aca="false">IF(F1161&lt;50,"1) Under Rs 50",IF(F1161&lt;100,"2) Rs 50-99",IF(F1161&lt;200,"3) Rs 100-199",IF(F1161&lt;500,"4) Rs 200-499","5) Rs 500+"))))</f>
        <v>2) Rs 50-99</v>
      </c>
      <c r="O1161" s="0" t="n">
        <f aca="false">G1161*E1161/1000</f>
        <v>1</v>
      </c>
    </row>
    <row r="1162" customFormat="false" ht="15" hidden="false" customHeight="false" outlineLevel="0" collapsed="false">
      <c r="A1162" s="0" t="s">
        <v>101</v>
      </c>
      <c r="B1162" s="0" t="s">
        <v>278</v>
      </c>
      <c r="C1162" s="0" t="n">
        <v>56</v>
      </c>
      <c r="D1162" s="0" t="n">
        <v>3</v>
      </c>
      <c r="E1162" s="0" t="n">
        <v>4</v>
      </c>
      <c r="F1162" s="0" t="n">
        <v>54</v>
      </c>
      <c r="G1162" s="0" t="n">
        <v>200</v>
      </c>
      <c r="H1162" s="0" t="s">
        <v>145</v>
      </c>
      <c r="I1162" s="0" t="n">
        <v>200</v>
      </c>
      <c r="J1162" s="0" t="n">
        <f aca="false">F1162*E1162</f>
        <v>216</v>
      </c>
      <c r="K1162" s="0" t="str">
        <f aca="false">IF(G1162&lt;1000,"1-Low",IF(G1162&lt;5000,"2-Medium","3-Bulk"))</f>
        <v>1-Low</v>
      </c>
      <c r="L1162" s="0" t="str">
        <f aca="false">IF(H1162="TRUE","Out of stock","In stock")</f>
        <v>In stock</v>
      </c>
      <c r="M1162" s="0" t="str">
        <f aca="false">IF(D1162&lt;5,"1) Under 5%",IF(D1162&lt;10,"2) 5-9%",IF(D1162&lt;15,"3) 10-14%",IF(D1162&lt;25,"4) 15-24%","5) 25%+"))))</f>
        <v>1) Under 5%</v>
      </c>
      <c r="N1162" s="0" t="str">
        <f aca="false">IF(F1162&lt;50,"1) Under Rs 50",IF(F1162&lt;100,"2) Rs 50-99",IF(F1162&lt;200,"3) Rs 100-199",IF(F1162&lt;500,"4) Rs 200-499","5) Rs 500+"))))</f>
        <v>2) Rs 50-99</v>
      </c>
      <c r="O1162" s="0" t="n">
        <f aca="false">G1162*E1162/1000</f>
        <v>0.8</v>
      </c>
    </row>
    <row r="1163" customFormat="false" ht="15" hidden="false" customHeight="false" outlineLevel="0" collapsed="false">
      <c r="A1163" s="0" t="s">
        <v>101</v>
      </c>
      <c r="B1163" s="0" t="s">
        <v>280</v>
      </c>
      <c r="C1163" s="0" t="n">
        <v>110</v>
      </c>
      <c r="D1163" s="0" t="n">
        <v>13</v>
      </c>
      <c r="E1163" s="0" t="n">
        <v>4</v>
      </c>
      <c r="F1163" s="0" t="n">
        <v>95</v>
      </c>
      <c r="G1163" s="0" t="n">
        <v>348</v>
      </c>
      <c r="H1163" s="0" t="s">
        <v>145</v>
      </c>
      <c r="I1163" s="0" t="n">
        <v>6</v>
      </c>
      <c r="J1163" s="0" t="n">
        <f aca="false">F1163*E1163</f>
        <v>380</v>
      </c>
      <c r="K1163" s="0" t="str">
        <f aca="false">IF(G1163&lt;1000,"1-Low",IF(G1163&lt;5000,"2-Medium","3-Bulk"))</f>
        <v>1-Low</v>
      </c>
      <c r="L1163" s="0" t="str">
        <f aca="false">IF(H1163="TRUE","Out of stock","In stock")</f>
        <v>In stock</v>
      </c>
      <c r="M1163" s="0" t="str">
        <f aca="false">IF(D1163&lt;5,"1) Under 5%",IF(D1163&lt;10,"2) 5-9%",IF(D1163&lt;15,"3) 10-14%",IF(D1163&lt;25,"4) 15-24%","5) 25%+"))))</f>
        <v>3) 10-14%</v>
      </c>
      <c r="N1163" s="0" t="str">
        <f aca="false">IF(F1163&lt;50,"1) Under Rs 50",IF(F1163&lt;100,"2) Rs 50-99",IF(F1163&lt;200,"3) Rs 100-199",IF(F1163&lt;500,"4) Rs 200-499","5) Rs 500+"))))</f>
        <v>2) Rs 50-99</v>
      </c>
      <c r="O1163" s="0" t="n">
        <f aca="false">G1163*E1163/1000</f>
        <v>1.392</v>
      </c>
    </row>
    <row r="1164" customFormat="false" ht="15" hidden="false" customHeight="false" outlineLevel="0" collapsed="false">
      <c r="A1164" s="0" t="s">
        <v>101</v>
      </c>
      <c r="B1164" s="0" t="s">
        <v>731</v>
      </c>
      <c r="C1164" s="0" t="n">
        <v>85</v>
      </c>
      <c r="D1164" s="0" t="n">
        <v>3</v>
      </c>
      <c r="E1164" s="0" t="n">
        <v>6</v>
      </c>
      <c r="F1164" s="0" t="n">
        <v>82</v>
      </c>
      <c r="G1164" s="0" t="n">
        <v>200</v>
      </c>
      <c r="H1164" s="0" t="s">
        <v>145</v>
      </c>
      <c r="I1164" s="0" t="n">
        <v>200</v>
      </c>
      <c r="J1164" s="0" t="n">
        <f aca="false">F1164*E1164</f>
        <v>492</v>
      </c>
      <c r="K1164" s="0" t="str">
        <f aca="false">IF(G1164&lt;1000,"1-Low",IF(G1164&lt;5000,"2-Medium","3-Bulk"))</f>
        <v>1-Low</v>
      </c>
      <c r="L1164" s="0" t="str">
        <f aca="false">IF(H1164="TRUE","Out of stock","In stock")</f>
        <v>In stock</v>
      </c>
      <c r="M1164" s="0" t="str">
        <f aca="false">IF(D1164&lt;5,"1) Under 5%",IF(D1164&lt;10,"2) 5-9%",IF(D1164&lt;15,"3) 10-14%",IF(D1164&lt;25,"4) 15-24%","5) 25%+"))))</f>
        <v>1) Under 5%</v>
      </c>
      <c r="N1164" s="0" t="str">
        <f aca="false">IF(F1164&lt;50,"1) Under Rs 50",IF(F1164&lt;100,"2) Rs 50-99",IF(F1164&lt;200,"3) Rs 100-199",IF(F1164&lt;500,"4) Rs 200-499","5) Rs 500+"))))</f>
        <v>2) Rs 50-99</v>
      </c>
      <c r="O1164" s="0" t="n">
        <f aca="false">G1164*E1164/1000</f>
        <v>1.2</v>
      </c>
    </row>
    <row r="1165" customFormat="false" ht="15" hidden="false" customHeight="false" outlineLevel="0" collapsed="false">
      <c r="A1165" s="0" t="s">
        <v>101</v>
      </c>
      <c r="B1165" s="0" t="s">
        <v>732</v>
      </c>
      <c r="C1165" s="0" t="n">
        <v>85</v>
      </c>
      <c r="D1165" s="0" t="n">
        <v>5</v>
      </c>
      <c r="E1165" s="0" t="n">
        <v>6</v>
      </c>
      <c r="F1165" s="0" t="n">
        <v>80</v>
      </c>
      <c r="G1165" s="0" t="n">
        <v>180</v>
      </c>
      <c r="H1165" s="0" t="s">
        <v>145</v>
      </c>
      <c r="I1165" s="0" t="n">
        <v>180</v>
      </c>
      <c r="J1165" s="0" t="n">
        <f aca="false">F1165*E1165</f>
        <v>480</v>
      </c>
      <c r="K1165" s="0" t="str">
        <f aca="false">IF(G1165&lt;1000,"1-Low",IF(G1165&lt;5000,"2-Medium","3-Bulk"))</f>
        <v>1-Low</v>
      </c>
      <c r="L1165" s="0" t="str">
        <f aca="false">IF(H1165="TRUE","Out of stock","In stock")</f>
        <v>In stock</v>
      </c>
      <c r="M1165" s="0" t="str">
        <f aca="false">IF(D1165&lt;5,"1) Under 5%",IF(D1165&lt;10,"2) 5-9%",IF(D1165&lt;15,"3) 10-14%",IF(D1165&lt;25,"4) 15-24%","5) 25%+"))))</f>
        <v>2) 5-9%</v>
      </c>
      <c r="N1165" s="0" t="str">
        <f aca="false">IF(F1165&lt;50,"1) Under Rs 50",IF(F1165&lt;100,"2) Rs 50-99",IF(F1165&lt;200,"3) Rs 100-199",IF(F1165&lt;500,"4) Rs 200-499","5) Rs 500+"))))</f>
        <v>2) Rs 50-99</v>
      </c>
      <c r="O1165" s="0" t="n">
        <f aca="false">G1165*E1165/1000</f>
        <v>1.08</v>
      </c>
    </row>
    <row r="1166" customFormat="false" ht="15" hidden="false" customHeight="false" outlineLevel="0" collapsed="false">
      <c r="A1166" s="0" t="s">
        <v>101</v>
      </c>
      <c r="B1166" s="0" t="s">
        <v>733</v>
      </c>
      <c r="C1166" s="0" t="n">
        <v>40</v>
      </c>
      <c r="D1166" s="0" t="n">
        <v>0</v>
      </c>
      <c r="E1166" s="0" t="n">
        <v>1</v>
      </c>
      <c r="F1166" s="0" t="n">
        <v>40</v>
      </c>
      <c r="G1166" s="0" t="n">
        <v>200</v>
      </c>
      <c r="H1166" s="0" t="s">
        <v>145</v>
      </c>
      <c r="I1166" s="0" t="n">
        <v>200</v>
      </c>
      <c r="J1166" s="0" t="n">
        <f aca="false">F1166*E1166</f>
        <v>40</v>
      </c>
      <c r="K1166" s="0" t="str">
        <f aca="false">IF(G1166&lt;1000,"1-Low",IF(G1166&lt;5000,"2-Medium","3-Bulk"))</f>
        <v>1-Low</v>
      </c>
      <c r="L1166" s="0" t="str">
        <f aca="false">IF(H1166="TRUE","Out of stock","In stock")</f>
        <v>In stock</v>
      </c>
      <c r="M1166" s="0" t="str">
        <f aca="false">IF(D1166&lt;5,"1) Under 5%",IF(D1166&lt;10,"2) 5-9%",IF(D1166&lt;15,"3) 10-14%",IF(D1166&lt;25,"4) 15-24%","5) 25%+"))))</f>
        <v>1) Under 5%</v>
      </c>
      <c r="N1166" s="0" t="str">
        <f aca="false">IF(F1166&lt;50,"1) Under Rs 50",IF(F1166&lt;100,"2) Rs 50-99",IF(F1166&lt;200,"3) Rs 100-199",IF(F1166&lt;500,"4) Rs 200-499","5) Rs 500+"))))</f>
        <v>1) Under Rs 50</v>
      </c>
      <c r="O1166" s="0" t="n">
        <f aca="false">G1166*E1166/1000</f>
        <v>0.2</v>
      </c>
    </row>
    <row r="1167" customFormat="false" ht="15" hidden="false" customHeight="false" outlineLevel="0" collapsed="false">
      <c r="A1167" s="0" t="s">
        <v>101</v>
      </c>
      <c r="B1167" s="0" t="s">
        <v>734</v>
      </c>
      <c r="C1167" s="0" t="n">
        <v>360</v>
      </c>
      <c r="D1167" s="0" t="n">
        <v>0</v>
      </c>
      <c r="E1167" s="0" t="n">
        <v>1</v>
      </c>
      <c r="F1167" s="0" t="n">
        <v>359</v>
      </c>
      <c r="G1167" s="0" t="n">
        <v>750</v>
      </c>
      <c r="H1167" s="0" t="s">
        <v>145</v>
      </c>
      <c r="I1167" s="0" t="n">
        <v>750</v>
      </c>
      <c r="J1167" s="0" t="n">
        <f aca="false">F1167*E1167</f>
        <v>359</v>
      </c>
      <c r="K1167" s="0" t="str">
        <f aca="false">IF(G1167&lt;1000,"1-Low",IF(G1167&lt;5000,"2-Medium","3-Bulk"))</f>
        <v>1-Low</v>
      </c>
      <c r="L1167" s="0" t="str">
        <f aca="false">IF(H1167="TRUE","Out of stock","In stock")</f>
        <v>In stock</v>
      </c>
      <c r="M1167" s="0" t="str">
        <f aca="false">IF(D1167&lt;5,"1) Under 5%",IF(D1167&lt;10,"2) 5-9%",IF(D1167&lt;15,"3) 10-14%",IF(D1167&lt;25,"4) 15-24%","5) 25%+"))))</f>
        <v>1) Under 5%</v>
      </c>
      <c r="N1167" s="0" t="str">
        <f aca="false">IF(F1167&lt;50,"1) Under Rs 50",IF(F1167&lt;100,"2) Rs 50-99",IF(F1167&lt;200,"3) Rs 100-199",IF(F1167&lt;500,"4) Rs 200-499","5) Rs 500+"))))</f>
        <v>4) Rs 200-499</v>
      </c>
      <c r="O1167" s="0" t="n">
        <f aca="false">G1167*E1167/1000</f>
        <v>0.75</v>
      </c>
    </row>
    <row r="1168" customFormat="false" ht="15" hidden="false" customHeight="false" outlineLevel="0" collapsed="false">
      <c r="A1168" s="0" t="s">
        <v>101</v>
      </c>
      <c r="B1168" s="0" t="s">
        <v>735</v>
      </c>
      <c r="C1168" s="0" t="n">
        <v>72</v>
      </c>
      <c r="D1168" s="0" t="n">
        <v>13</v>
      </c>
      <c r="E1168" s="0" t="n">
        <v>3</v>
      </c>
      <c r="F1168" s="0" t="n">
        <v>62</v>
      </c>
      <c r="G1168" s="0" t="n">
        <v>348</v>
      </c>
      <c r="H1168" s="0" t="s">
        <v>145</v>
      </c>
      <c r="I1168" s="0" t="n">
        <v>6</v>
      </c>
      <c r="J1168" s="0" t="n">
        <f aca="false">F1168*E1168</f>
        <v>186</v>
      </c>
      <c r="K1168" s="0" t="str">
        <f aca="false">IF(G1168&lt;1000,"1-Low",IF(G1168&lt;5000,"2-Medium","3-Bulk"))</f>
        <v>1-Low</v>
      </c>
      <c r="L1168" s="0" t="str">
        <f aca="false">IF(H1168="TRUE","Out of stock","In stock")</f>
        <v>In stock</v>
      </c>
      <c r="M1168" s="0" t="str">
        <f aca="false">IF(D1168&lt;5,"1) Under 5%",IF(D1168&lt;10,"2) 5-9%",IF(D1168&lt;15,"3) 10-14%",IF(D1168&lt;25,"4) 15-24%","5) 25%+"))))</f>
        <v>3) 10-14%</v>
      </c>
      <c r="N1168" s="0" t="str">
        <f aca="false">IF(F1168&lt;50,"1) Under Rs 50",IF(F1168&lt;100,"2) Rs 50-99",IF(F1168&lt;200,"3) Rs 100-199",IF(F1168&lt;500,"4) Rs 200-499","5) Rs 500+"))))</f>
        <v>2) Rs 50-99</v>
      </c>
      <c r="O1168" s="0" t="n">
        <f aca="false">G1168*E1168/1000</f>
        <v>1.044</v>
      </c>
    </row>
    <row r="1169" customFormat="false" ht="15" hidden="false" customHeight="false" outlineLevel="0" collapsed="false">
      <c r="A1169" s="0" t="s">
        <v>101</v>
      </c>
      <c r="B1169" s="0" t="s">
        <v>736</v>
      </c>
      <c r="C1169" s="0" t="n">
        <v>75</v>
      </c>
      <c r="D1169" s="0" t="n">
        <v>4</v>
      </c>
      <c r="E1169" s="0" t="n">
        <v>1</v>
      </c>
      <c r="F1169" s="0" t="n">
        <v>72</v>
      </c>
      <c r="G1169" s="0" t="n">
        <v>200</v>
      </c>
      <c r="H1169" s="0" t="s">
        <v>145</v>
      </c>
      <c r="I1169" s="0" t="n">
        <v>200</v>
      </c>
      <c r="J1169" s="0" t="n">
        <f aca="false">F1169*E1169</f>
        <v>72</v>
      </c>
      <c r="K1169" s="0" t="str">
        <f aca="false">IF(G1169&lt;1000,"1-Low",IF(G1169&lt;5000,"2-Medium","3-Bulk"))</f>
        <v>1-Low</v>
      </c>
      <c r="L1169" s="0" t="str">
        <f aca="false">IF(H1169="TRUE","Out of stock","In stock")</f>
        <v>In stock</v>
      </c>
      <c r="M1169" s="0" t="str">
        <f aca="false">IF(D1169&lt;5,"1) Under 5%",IF(D1169&lt;10,"2) 5-9%",IF(D1169&lt;15,"3) 10-14%",IF(D1169&lt;25,"4) 15-24%","5) 25%+"))))</f>
        <v>1) Under 5%</v>
      </c>
      <c r="N1169" s="0" t="str">
        <f aca="false">IF(F1169&lt;50,"1) Under Rs 50",IF(F1169&lt;100,"2) Rs 50-99",IF(F1169&lt;200,"3) Rs 100-199",IF(F1169&lt;500,"4) Rs 200-499","5) Rs 500+"))))</f>
        <v>2) Rs 50-99</v>
      </c>
      <c r="O1169" s="0" t="n">
        <f aca="false">G1169*E1169/1000</f>
        <v>0.2</v>
      </c>
    </row>
    <row r="1170" customFormat="false" ht="15" hidden="false" customHeight="false" outlineLevel="0" collapsed="false">
      <c r="A1170" s="0" t="s">
        <v>101</v>
      </c>
      <c r="B1170" s="0" t="s">
        <v>320</v>
      </c>
      <c r="C1170" s="0" t="n">
        <v>210</v>
      </c>
      <c r="D1170" s="0" t="n">
        <v>0</v>
      </c>
      <c r="E1170" s="0" t="n">
        <v>4</v>
      </c>
      <c r="F1170" s="0" t="n">
        <v>210</v>
      </c>
      <c r="G1170" s="0" t="n">
        <v>400</v>
      </c>
      <c r="H1170" s="0" t="s">
        <v>145</v>
      </c>
      <c r="I1170" s="0" t="n">
        <v>400</v>
      </c>
      <c r="J1170" s="0" t="n">
        <f aca="false">F1170*E1170</f>
        <v>840</v>
      </c>
      <c r="K1170" s="0" t="str">
        <f aca="false">IF(G1170&lt;1000,"1-Low",IF(G1170&lt;5000,"2-Medium","3-Bulk"))</f>
        <v>1-Low</v>
      </c>
      <c r="L1170" s="0" t="str">
        <f aca="false">IF(H1170="TRUE","Out of stock","In stock")</f>
        <v>In stock</v>
      </c>
      <c r="M1170" s="0" t="str">
        <f aca="false">IF(D1170&lt;5,"1) Under 5%",IF(D1170&lt;10,"2) 5-9%",IF(D1170&lt;15,"3) 10-14%",IF(D1170&lt;25,"4) 15-24%","5) 25%+"))))</f>
        <v>1) Under 5%</v>
      </c>
      <c r="N1170" s="0" t="str">
        <f aca="false">IF(F1170&lt;50,"1) Under Rs 50",IF(F1170&lt;100,"2) Rs 50-99",IF(F1170&lt;200,"3) Rs 100-199",IF(F1170&lt;500,"4) Rs 200-499","5) Rs 500+"))))</f>
        <v>4) Rs 200-499</v>
      </c>
      <c r="O1170" s="0" t="n">
        <f aca="false">G1170*E1170/1000</f>
        <v>1.6</v>
      </c>
    </row>
    <row r="1171" customFormat="false" ht="15" hidden="false" customHeight="false" outlineLevel="0" collapsed="false">
      <c r="A1171" s="0" t="s">
        <v>101</v>
      </c>
      <c r="B1171" s="0" t="s">
        <v>737</v>
      </c>
      <c r="C1171" s="0" t="n">
        <v>109</v>
      </c>
      <c r="D1171" s="0" t="n">
        <v>4</v>
      </c>
      <c r="E1171" s="0" t="n">
        <v>6</v>
      </c>
      <c r="F1171" s="0" t="n">
        <v>104</v>
      </c>
      <c r="G1171" s="0" t="n">
        <v>200</v>
      </c>
      <c r="H1171" s="0" t="s">
        <v>145</v>
      </c>
      <c r="I1171" s="0" t="n">
        <v>200</v>
      </c>
      <c r="J1171" s="0" t="n">
        <f aca="false">F1171*E1171</f>
        <v>624</v>
      </c>
      <c r="K1171" s="0" t="str">
        <f aca="false">IF(G1171&lt;1000,"1-Low",IF(G1171&lt;5000,"2-Medium","3-Bulk"))</f>
        <v>1-Low</v>
      </c>
      <c r="L1171" s="0" t="str">
        <f aca="false">IF(H1171="TRUE","Out of stock","In stock")</f>
        <v>In stock</v>
      </c>
      <c r="M1171" s="0" t="str">
        <f aca="false">IF(D1171&lt;5,"1) Under 5%",IF(D1171&lt;10,"2) 5-9%",IF(D1171&lt;15,"3) 10-14%",IF(D1171&lt;25,"4) 15-24%","5) 25%+"))))</f>
        <v>1) Under 5%</v>
      </c>
      <c r="N1171" s="0" t="str">
        <f aca="false">IF(F1171&lt;50,"1) Under Rs 50",IF(F1171&lt;100,"2) Rs 50-99",IF(F1171&lt;200,"3) Rs 100-199",IF(F1171&lt;500,"4) Rs 200-499","5) Rs 500+"))))</f>
        <v>3) Rs 100-199</v>
      </c>
      <c r="O1171" s="0" t="n">
        <f aca="false">G1171*E1171/1000</f>
        <v>1.2</v>
      </c>
    </row>
    <row r="1172" customFormat="false" ht="15" hidden="false" customHeight="false" outlineLevel="0" collapsed="false">
      <c r="A1172" s="0" t="s">
        <v>101</v>
      </c>
      <c r="B1172" s="0" t="s">
        <v>330</v>
      </c>
      <c r="C1172" s="0" t="n">
        <v>110</v>
      </c>
      <c r="D1172" s="0" t="n">
        <v>4</v>
      </c>
      <c r="E1172" s="0" t="n">
        <v>6</v>
      </c>
      <c r="F1172" s="0" t="n">
        <v>105</v>
      </c>
      <c r="G1172" s="0" t="n">
        <v>250</v>
      </c>
      <c r="H1172" s="0" t="s">
        <v>145</v>
      </c>
      <c r="I1172" s="0" t="n">
        <v>500</v>
      </c>
      <c r="J1172" s="0" t="n">
        <f aca="false">F1172*E1172</f>
        <v>630</v>
      </c>
      <c r="K1172" s="0" t="str">
        <f aca="false">IF(G1172&lt;1000,"1-Low",IF(G1172&lt;5000,"2-Medium","3-Bulk"))</f>
        <v>1-Low</v>
      </c>
      <c r="L1172" s="0" t="str">
        <f aca="false">IF(H1172="TRUE","Out of stock","In stock")</f>
        <v>In stock</v>
      </c>
      <c r="M1172" s="0" t="str">
        <f aca="false">IF(D1172&lt;5,"1) Under 5%",IF(D1172&lt;10,"2) 5-9%",IF(D1172&lt;15,"3) 10-14%",IF(D1172&lt;25,"4) 15-24%","5) 25%+"))))</f>
        <v>1) Under 5%</v>
      </c>
      <c r="N1172" s="0" t="str">
        <f aca="false">IF(F1172&lt;50,"1) Under Rs 50",IF(F1172&lt;100,"2) Rs 50-99",IF(F1172&lt;200,"3) Rs 100-199",IF(F1172&lt;500,"4) Rs 200-499","5) Rs 500+"))))</f>
        <v>3) Rs 100-199</v>
      </c>
      <c r="O1172" s="0" t="n">
        <f aca="false">G1172*E1172/1000</f>
        <v>1.5</v>
      </c>
    </row>
    <row r="1173" customFormat="false" ht="15" hidden="false" customHeight="false" outlineLevel="0" collapsed="false">
      <c r="A1173" s="0" t="s">
        <v>101</v>
      </c>
      <c r="B1173" s="0" t="s">
        <v>738</v>
      </c>
      <c r="C1173" s="0" t="n">
        <v>40</v>
      </c>
      <c r="D1173" s="0" t="n">
        <v>2</v>
      </c>
      <c r="E1173" s="0" t="n">
        <v>5</v>
      </c>
      <c r="F1173" s="0" t="n">
        <v>39</v>
      </c>
      <c r="G1173" s="0" t="n">
        <v>100</v>
      </c>
      <c r="H1173" s="0" t="s">
        <v>145</v>
      </c>
      <c r="I1173" s="0" t="n">
        <v>100</v>
      </c>
      <c r="J1173" s="0" t="n">
        <f aca="false">F1173*E1173</f>
        <v>195</v>
      </c>
      <c r="K1173" s="0" t="str">
        <f aca="false">IF(G1173&lt;1000,"1-Low",IF(G1173&lt;5000,"2-Medium","3-Bulk"))</f>
        <v>1-Low</v>
      </c>
      <c r="L1173" s="0" t="str">
        <f aca="false">IF(H1173="TRUE","Out of stock","In stock")</f>
        <v>In stock</v>
      </c>
      <c r="M1173" s="0" t="str">
        <f aca="false">IF(D1173&lt;5,"1) Under 5%",IF(D1173&lt;10,"2) 5-9%",IF(D1173&lt;15,"3) 10-14%",IF(D1173&lt;25,"4) 15-24%","5) 25%+"))))</f>
        <v>1) Under 5%</v>
      </c>
      <c r="N1173" s="0" t="str">
        <f aca="false">IF(F1173&lt;50,"1) Under Rs 50",IF(F1173&lt;100,"2) Rs 50-99",IF(F1173&lt;200,"3) Rs 100-199",IF(F1173&lt;500,"4) Rs 200-499","5) Rs 500+"))))</f>
        <v>1) Under Rs 50</v>
      </c>
      <c r="O1173" s="0" t="n">
        <f aca="false">G1173*E1173/1000</f>
        <v>0.5</v>
      </c>
    </row>
    <row r="1174" customFormat="false" ht="15" hidden="false" customHeight="false" outlineLevel="0" collapsed="false">
      <c r="A1174" s="0" t="s">
        <v>101</v>
      </c>
      <c r="B1174" s="0" t="s">
        <v>739</v>
      </c>
      <c r="C1174" s="0" t="n">
        <v>140</v>
      </c>
      <c r="D1174" s="0" t="n">
        <v>5</v>
      </c>
      <c r="E1174" s="0" t="n">
        <v>6</v>
      </c>
      <c r="F1174" s="0" t="n">
        <v>133</v>
      </c>
      <c r="G1174" s="0" t="n">
        <v>200</v>
      </c>
      <c r="H1174" s="0" t="s">
        <v>145</v>
      </c>
      <c r="I1174" s="0" t="n">
        <v>200</v>
      </c>
      <c r="J1174" s="0" t="n">
        <f aca="false">F1174*E1174</f>
        <v>798</v>
      </c>
      <c r="K1174" s="0" t="str">
        <f aca="false">IF(G1174&lt;1000,"1-Low",IF(G1174&lt;5000,"2-Medium","3-Bulk"))</f>
        <v>1-Low</v>
      </c>
      <c r="L1174" s="0" t="str">
        <f aca="false">IF(H1174="TRUE","Out of stock","In stock")</f>
        <v>In stock</v>
      </c>
      <c r="M1174" s="0" t="str">
        <f aca="false">IF(D1174&lt;5,"1) Under 5%",IF(D1174&lt;10,"2) 5-9%",IF(D1174&lt;15,"3) 10-14%",IF(D1174&lt;25,"4) 15-24%","5) 25%+"))))</f>
        <v>2) 5-9%</v>
      </c>
      <c r="N1174" s="0" t="str">
        <f aca="false">IF(F1174&lt;50,"1) Under Rs 50",IF(F1174&lt;100,"2) Rs 50-99",IF(F1174&lt;200,"3) Rs 100-199",IF(F1174&lt;500,"4) Rs 200-499","5) Rs 500+"))))</f>
        <v>3) Rs 100-199</v>
      </c>
      <c r="O1174" s="0" t="n">
        <f aca="false">G1174*E1174/1000</f>
        <v>1.2</v>
      </c>
    </row>
    <row r="1175" customFormat="false" ht="15" hidden="false" customHeight="false" outlineLevel="0" collapsed="false">
      <c r="A1175" s="0" t="s">
        <v>101</v>
      </c>
      <c r="B1175" s="0" t="s">
        <v>352</v>
      </c>
      <c r="C1175" s="0" t="n">
        <v>99</v>
      </c>
      <c r="D1175" s="0" t="n">
        <v>5</v>
      </c>
      <c r="E1175" s="0" t="n">
        <v>6</v>
      </c>
      <c r="F1175" s="0" t="n">
        <v>94</v>
      </c>
      <c r="G1175" s="0" t="n">
        <v>165</v>
      </c>
      <c r="H1175" s="0" t="s">
        <v>145</v>
      </c>
      <c r="I1175" s="0" t="n">
        <v>165</v>
      </c>
      <c r="J1175" s="0" t="n">
        <f aca="false">F1175*E1175</f>
        <v>564</v>
      </c>
      <c r="K1175" s="0" t="str">
        <f aca="false">IF(G1175&lt;1000,"1-Low",IF(G1175&lt;5000,"2-Medium","3-Bulk"))</f>
        <v>1-Low</v>
      </c>
      <c r="L1175" s="0" t="str">
        <f aca="false">IF(H1175="TRUE","Out of stock","In stock")</f>
        <v>In stock</v>
      </c>
      <c r="M1175" s="0" t="str">
        <f aca="false">IF(D1175&lt;5,"1) Under 5%",IF(D1175&lt;10,"2) 5-9%",IF(D1175&lt;15,"3) 10-14%",IF(D1175&lt;25,"4) 15-24%","5) 25%+"))))</f>
        <v>2) 5-9%</v>
      </c>
      <c r="N1175" s="0" t="str">
        <f aca="false">IF(F1175&lt;50,"1) Under Rs 50",IF(F1175&lt;100,"2) Rs 50-99",IF(F1175&lt;200,"3) Rs 100-199",IF(F1175&lt;500,"4) Rs 200-499","5) Rs 500+"))))</f>
        <v>2) Rs 50-99</v>
      </c>
      <c r="O1175" s="0" t="n">
        <f aca="false">G1175*E1175/1000</f>
        <v>0.99</v>
      </c>
    </row>
    <row r="1176" customFormat="false" ht="15" hidden="false" customHeight="false" outlineLevel="0" collapsed="false">
      <c r="A1176" s="0" t="s">
        <v>101</v>
      </c>
      <c r="B1176" s="0" t="s">
        <v>740</v>
      </c>
      <c r="C1176" s="0" t="n">
        <v>275</v>
      </c>
      <c r="D1176" s="0" t="n">
        <v>50</v>
      </c>
      <c r="E1176" s="0" t="n">
        <v>4</v>
      </c>
      <c r="F1176" s="0" t="n">
        <v>137</v>
      </c>
      <c r="G1176" s="0" t="n">
        <v>200</v>
      </c>
      <c r="H1176" s="0" t="s">
        <v>145</v>
      </c>
      <c r="I1176" s="0" t="n">
        <v>200</v>
      </c>
      <c r="J1176" s="0" t="n">
        <f aca="false">F1176*E1176</f>
        <v>548</v>
      </c>
      <c r="K1176" s="0" t="str">
        <f aca="false">IF(G1176&lt;1000,"1-Low",IF(G1176&lt;5000,"2-Medium","3-Bulk"))</f>
        <v>1-Low</v>
      </c>
      <c r="L1176" s="0" t="str">
        <f aca="false">IF(H1176="TRUE","Out of stock","In stock")</f>
        <v>In stock</v>
      </c>
      <c r="M1176" s="0" t="str">
        <f aca="false">IF(D1176&lt;5,"1) Under 5%",IF(D1176&lt;10,"2) 5-9%",IF(D1176&lt;15,"3) 10-14%",IF(D1176&lt;25,"4) 15-24%","5) 25%+"))))</f>
        <v>5) 25%+</v>
      </c>
      <c r="N1176" s="0" t="str">
        <f aca="false">IF(F1176&lt;50,"1) Under Rs 50",IF(F1176&lt;100,"2) Rs 50-99",IF(F1176&lt;200,"3) Rs 100-199",IF(F1176&lt;500,"4) Rs 200-499","5) Rs 500+"))))</f>
        <v>3) Rs 100-199</v>
      </c>
      <c r="O1176" s="0" t="n">
        <f aca="false">G1176*E1176/1000</f>
        <v>0.8</v>
      </c>
    </row>
    <row r="1177" customFormat="false" ht="15" hidden="false" customHeight="false" outlineLevel="0" collapsed="false">
      <c r="A1177" s="0" t="s">
        <v>101</v>
      </c>
      <c r="B1177" s="0" t="s">
        <v>741</v>
      </c>
      <c r="C1177" s="0" t="n">
        <v>100</v>
      </c>
      <c r="D1177" s="0" t="n">
        <v>5</v>
      </c>
      <c r="E1177" s="0" t="n">
        <v>4</v>
      </c>
      <c r="F1177" s="0" t="n">
        <v>95</v>
      </c>
      <c r="G1177" s="0" t="n">
        <v>100</v>
      </c>
      <c r="H1177" s="0" t="s">
        <v>145</v>
      </c>
      <c r="I1177" s="0" t="n">
        <v>100</v>
      </c>
      <c r="J1177" s="0" t="n">
        <f aca="false">F1177*E1177</f>
        <v>380</v>
      </c>
      <c r="K1177" s="0" t="str">
        <f aca="false">IF(G1177&lt;1000,"1-Low",IF(G1177&lt;5000,"2-Medium","3-Bulk"))</f>
        <v>1-Low</v>
      </c>
      <c r="L1177" s="0" t="str">
        <f aca="false">IF(H1177="TRUE","Out of stock","In stock")</f>
        <v>In stock</v>
      </c>
      <c r="M1177" s="0" t="str">
        <f aca="false">IF(D1177&lt;5,"1) Under 5%",IF(D1177&lt;10,"2) 5-9%",IF(D1177&lt;15,"3) 10-14%",IF(D1177&lt;25,"4) 15-24%","5) 25%+"))))</f>
        <v>2) 5-9%</v>
      </c>
      <c r="N1177" s="0" t="str">
        <f aca="false">IF(F1177&lt;50,"1) Under Rs 50",IF(F1177&lt;100,"2) Rs 50-99",IF(F1177&lt;200,"3) Rs 100-199",IF(F1177&lt;500,"4) Rs 200-499","5) Rs 500+"))))</f>
        <v>2) Rs 50-99</v>
      </c>
      <c r="O1177" s="0" t="n">
        <f aca="false">G1177*E1177/1000</f>
        <v>0.4</v>
      </c>
    </row>
    <row r="1178" customFormat="false" ht="15" hidden="false" customHeight="false" outlineLevel="0" collapsed="false">
      <c r="A1178" s="0" t="s">
        <v>101</v>
      </c>
      <c r="B1178" s="0" t="s">
        <v>742</v>
      </c>
      <c r="C1178" s="0" t="n">
        <v>72</v>
      </c>
      <c r="D1178" s="0" t="n">
        <v>13</v>
      </c>
      <c r="E1178" s="0" t="n">
        <v>4</v>
      </c>
      <c r="F1178" s="0" t="n">
        <v>62</v>
      </c>
      <c r="G1178" s="0" t="n">
        <v>348</v>
      </c>
      <c r="H1178" s="0" t="s">
        <v>145</v>
      </c>
      <c r="I1178" s="0" t="n">
        <v>6</v>
      </c>
      <c r="J1178" s="0" t="n">
        <f aca="false">F1178*E1178</f>
        <v>248</v>
      </c>
      <c r="K1178" s="0" t="str">
        <f aca="false">IF(G1178&lt;1000,"1-Low",IF(G1178&lt;5000,"2-Medium","3-Bulk"))</f>
        <v>1-Low</v>
      </c>
      <c r="L1178" s="0" t="str">
        <f aca="false">IF(H1178="TRUE","Out of stock","In stock")</f>
        <v>In stock</v>
      </c>
      <c r="M1178" s="0" t="str">
        <f aca="false">IF(D1178&lt;5,"1) Under 5%",IF(D1178&lt;10,"2) 5-9%",IF(D1178&lt;15,"3) 10-14%",IF(D1178&lt;25,"4) 15-24%","5) 25%+"))))</f>
        <v>3) 10-14%</v>
      </c>
      <c r="N1178" s="0" t="str">
        <f aca="false">IF(F1178&lt;50,"1) Under Rs 50",IF(F1178&lt;100,"2) Rs 50-99",IF(F1178&lt;200,"3) Rs 100-199",IF(F1178&lt;500,"4) Rs 200-499","5) Rs 500+"))))</f>
        <v>2) Rs 50-99</v>
      </c>
      <c r="O1178" s="0" t="n">
        <f aca="false">G1178*E1178/1000</f>
        <v>1.392</v>
      </c>
    </row>
    <row r="1179" customFormat="false" ht="15" hidden="false" customHeight="false" outlineLevel="0" collapsed="false">
      <c r="A1179" s="0" t="s">
        <v>101</v>
      </c>
      <c r="B1179" s="0" t="s">
        <v>743</v>
      </c>
      <c r="C1179" s="0" t="n">
        <v>100</v>
      </c>
      <c r="D1179" s="0" t="n">
        <v>5</v>
      </c>
      <c r="E1179" s="0" t="n">
        <v>6</v>
      </c>
      <c r="F1179" s="0" t="n">
        <v>95</v>
      </c>
      <c r="G1179" s="0" t="n">
        <v>160</v>
      </c>
      <c r="H1179" s="0" t="s">
        <v>145</v>
      </c>
      <c r="I1179" s="0" t="n">
        <v>160</v>
      </c>
      <c r="J1179" s="0" t="n">
        <f aca="false">F1179*E1179</f>
        <v>570</v>
      </c>
      <c r="K1179" s="0" t="str">
        <f aca="false">IF(G1179&lt;1000,"1-Low",IF(G1179&lt;5000,"2-Medium","3-Bulk"))</f>
        <v>1-Low</v>
      </c>
      <c r="L1179" s="0" t="str">
        <f aca="false">IF(H1179="TRUE","Out of stock","In stock")</f>
        <v>In stock</v>
      </c>
      <c r="M1179" s="0" t="str">
        <f aca="false">IF(D1179&lt;5,"1) Under 5%",IF(D1179&lt;10,"2) 5-9%",IF(D1179&lt;15,"3) 10-14%",IF(D1179&lt;25,"4) 15-24%","5) 25%+"))))</f>
        <v>2) 5-9%</v>
      </c>
      <c r="N1179" s="0" t="str">
        <f aca="false">IF(F1179&lt;50,"1) Under Rs 50",IF(F1179&lt;100,"2) Rs 50-99",IF(F1179&lt;200,"3) Rs 100-199",IF(F1179&lt;500,"4) Rs 200-499","5) Rs 500+"))))</f>
        <v>2) Rs 50-99</v>
      </c>
      <c r="O1179" s="0" t="n">
        <f aca="false">G1179*E1179/1000</f>
        <v>0.96</v>
      </c>
    </row>
    <row r="1180" customFormat="false" ht="15" hidden="false" customHeight="false" outlineLevel="0" collapsed="false">
      <c r="A1180" s="0" t="s">
        <v>101</v>
      </c>
      <c r="B1180" s="0" t="s">
        <v>744</v>
      </c>
      <c r="C1180" s="0" t="n">
        <v>200</v>
      </c>
      <c r="D1180" s="0" t="n">
        <v>0</v>
      </c>
      <c r="E1180" s="0" t="n">
        <v>1</v>
      </c>
      <c r="F1180" s="0" t="n">
        <v>200</v>
      </c>
      <c r="G1180" s="0" t="n">
        <v>400</v>
      </c>
      <c r="H1180" s="0" t="s">
        <v>145</v>
      </c>
      <c r="I1180" s="0" t="n">
        <v>400</v>
      </c>
      <c r="J1180" s="0" t="n">
        <f aca="false">F1180*E1180</f>
        <v>200</v>
      </c>
      <c r="K1180" s="0" t="str">
        <f aca="false">IF(G1180&lt;1000,"1-Low",IF(G1180&lt;5000,"2-Medium","3-Bulk"))</f>
        <v>1-Low</v>
      </c>
      <c r="L1180" s="0" t="str">
        <f aca="false">IF(H1180="TRUE","Out of stock","In stock")</f>
        <v>In stock</v>
      </c>
      <c r="M1180" s="0" t="str">
        <f aca="false">IF(D1180&lt;5,"1) Under 5%",IF(D1180&lt;10,"2) 5-9%",IF(D1180&lt;15,"3) 10-14%",IF(D1180&lt;25,"4) 15-24%","5) 25%+"))))</f>
        <v>1) Under 5%</v>
      </c>
      <c r="N1180" s="0" t="str">
        <f aca="false">IF(F1180&lt;50,"1) Under Rs 50",IF(F1180&lt;100,"2) Rs 50-99",IF(F1180&lt;200,"3) Rs 100-199",IF(F1180&lt;500,"4) Rs 200-499","5) Rs 500+"))))</f>
        <v>4) Rs 200-499</v>
      </c>
      <c r="O1180" s="0" t="n">
        <f aca="false">G1180*E1180/1000</f>
        <v>0.4</v>
      </c>
    </row>
    <row r="1181" customFormat="false" ht="15" hidden="false" customHeight="false" outlineLevel="0" collapsed="false">
      <c r="A1181" s="0" t="s">
        <v>101</v>
      </c>
      <c r="B1181" s="0" t="s">
        <v>745</v>
      </c>
      <c r="C1181" s="0" t="n">
        <v>245</v>
      </c>
      <c r="D1181" s="0" t="n">
        <v>2</v>
      </c>
      <c r="E1181" s="0" t="n">
        <v>6</v>
      </c>
      <c r="F1181" s="0" t="n">
        <v>238</v>
      </c>
      <c r="G1181" s="0" t="n">
        <v>500</v>
      </c>
      <c r="H1181" s="0" t="s">
        <v>145</v>
      </c>
      <c r="I1181" s="0" t="n">
        <v>500</v>
      </c>
      <c r="J1181" s="0" t="n">
        <f aca="false">F1181*E1181</f>
        <v>1428</v>
      </c>
      <c r="K1181" s="0" t="str">
        <f aca="false">IF(G1181&lt;1000,"1-Low",IF(G1181&lt;5000,"2-Medium","3-Bulk"))</f>
        <v>1-Low</v>
      </c>
      <c r="L1181" s="0" t="str">
        <f aca="false">IF(H1181="TRUE","Out of stock","In stock")</f>
        <v>In stock</v>
      </c>
      <c r="M1181" s="0" t="str">
        <f aca="false">IF(D1181&lt;5,"1) Under 5%",IF(D1181&lt;10,"2) 5-9%",IF(D1181&lt;15,"3) 10-14%",IF(D1181&lt;25,"4) 15-24%","5) 25%+"))))</f>
        <v>1) Under 5%</v>
      </c>
      <c r="N1181" s="0" t="str">
        <f aca="false">IF(F1181&lt;50,"1) Under Rs 50",IF(F1181&lt;100,"2) Rs 50-99",IF(F1181&lt;200,"3) Rs 100-199",IF(F1181&lt;500,"4) Rs 200-499","5) Rs 500+"))))</f>
        <v>4) Rs 200-499</v>
      </c>
      <c r="O1181" s="0" t="n">
        <f aca="false">G1181*E1181/1000</f>
        <v>3</v>
      </c>
    </row>
    <row r="1182" customFormat="false" ht="15" hidden="false" customHeight="false" outlineLevel="0" collapsed="false">
      <c r="A1182" s="0" t="s">
        <v>101</v>
      </c>
      <c r="B1182" s="0" t="s">
        <v>746</v>
      </c>
      <c r="C1182" s="0" t="n">
        <v>235</v>
      </c>
      <c r="D1182" s="0" t="n">
        <v>25</v>
      </c>
      <c r="E1182" s="0" t="n">
        <v>6</v>
      </c>
      <c r="F1182" s="0" t="n">
        <v>174</v>
      </c>
      <c r="G1182" s="0" t="n">
        <v>325</v>
      </c>
      <c r="H1182" s="0" t="s">
        <v>145</v>
      </c>
      <c r="I1182" s="0" t="n">
        <v>325</v>
      </c>
      <c r="J1182" s="0" t="n">
        <f aca="false">F1182*E1182</f>
        <v>1044</v>
      </c>
      <c r="K1182" s="0" t="str">
        <f aca="false">IF(G1182&lt;1000,"1-Low",IF(G1182&lt;5000,"2-Medium","3-Bulk"))</f>
        <v>1-Low</v>
      </c>
      <c r="L1182" s="0" t="str">
        <f aca="false">IF(H1182="TRUE","Out of stock","In stock")</f>
        <v>In stock</v>
      </c>
      <c r="M1182" s="0" t="str">
        <f aca="false">IF(D1182&lt;5,"1) Under 5%",IF(D1182&lt;10,"2) 5-9%",IF(D1182&lt;15,"3) 10-14%",IF(D1182&lt;25,"4) 15-24%","5) 25%+"))))</f>
        <v>5) 25%+</v>
      </c>
      <c r="N1182" s="0" t="str">
        <f aca="false">IF(F1182&lt;50,"1) Under Rs 50",IF(F1182&lt;100,"2) Rs 50-99",IF(F1182&lt;200,"3) Rs 100-199",IF(F1182&lt;500,"4) Rs 200-499","5) Rs 500+"))))</f>
        <v>3) Rs 100-199</v>
      </c>
      <c r="O1182" s="0" t="n">
        <f aca="false">G1182*E1182/1000</f>
        <v>1.95</v>
      </c>
    </row>
    <row r="1183" customFormat="false" ht="15" hidden="false" customHeight="false" outlineLevel="0" collapsed="false">
      <c r="A1183" s="0" t="s">
        <v>101</v>
      </c>
      <c r="B1183" s="0" t="s">
        <v>747</v>
      </c>
      <c r="C1183" s="0" t="n">
        <v>155</v>
      </c>
      <c r="D1183" s="0" t="n">
        <v>0</v>
      </c>
      <c r="E1183" s="0" t="n">
        <v>2</v>
      </c>
      <c r="F1183" s="0" t="n">
        <v>155</v>
      </c>
      <c r="G1183" s="0" t="n">
        <v>200</v>
      </c>
      <c r="H1183" s="0" t="s">
        <v>145</v>
      </c>
      <c r="I1183" s="0" t="n">
        <v>200</v>
      </c>
      <c r="J1183" s="0" t="n">
        <f aca="false">F1183*E1183</f>
        <v>310</v>
      </c>
      <c r="K1183" s="0" t="str">
        <f aca="false">IF(G1183&lt;1000,"1-Low",IF(G1183&lt;5000,"2-Medium","3-Bulk"))</f>
        <v>1-Low</v>
      </c>
      <c r="L1183" s="0" t="str">
        <f aca="false">IF(H1183="TRUE","Out of stock","In stock")</f>
        <v>In stock</v>
      </c>
      <c r="M1183" s="0" t="str">
        <f aca="false">IF(D1183&lt;5,"1) Under 5%",IF(D1183&lt;10,"2) 5-9%",IF(D1183&lt;15,"3) 10-14%",IF(D1183&lt;25,"4) 15-24%","5) 25%+"))))</f>
        <v>1) Under 5%</v>
      </c>
      <c r="N1183" s="0" t="str">
        <f aca="false">IF(F1183&lt;50,"1) Under Rs 50",IF(F1183&lt;100,"2) Rs 50-99",IF(F1183&lt;200,"3) Rs 100-199",IF(F1183&lt;500,"4) Rs 200-499","5) Rs 500+"))))</f>
        <v>3) Rs 100-199</v>
      </c>
      <c r="O1183" s="0" t="n">
        <f aca="false">G1183*E1183/1000</f>
        <v>0.4</v>
      </c>
    </row>
    <row r="1184" customFormat="false" ht="15" hidden="false" customHeight="false" outlineLevel="0" collapsed="false">
      <c r="A1184" s="0" t="s">
        <v>101</v>
      </c>
      <c r="B1184" s="0" t="s">
        <v>748</v>
      </c>
      <c r="C1184" s="0" t="n">
        <v>300</v>
      </c>
      <c r="D1184" s="0" t="n">
        <v>33</v>
      </c>
      <c r="E1184" s="0" t="n">
        <v>4</v>
      </c>
      <c r="F1184" s="0" t="n">
        <v>199</v>
      </c>
      <c r="G1184" s="0" t="n">
        <v>1000</v>
      </c>
      <c r="H1184" s="0" t="s">
        <v>145</v>
      </c>
      <c r="I1184" s="0" t="n">
        <v>1</v>
      </c>
      <c r="J1184" s="0" t="n">
        <f aca="false">F1184*E1184</f>
        <v>796</v>
      </c>
      <c r="K1184" s="0" t="str">
        <f aca="false">IF(G1184&lt;1000,"1-Low",IF(G1184&lt;5000,"2-Medium","3-Bulk"))</f>
        <v>2-Medium</v>
      </c>
      <c r="L1184" s="0" t="str">
        <f aca="false">IF(H1184="TRUE","Out of stock","In stock")</f>
        <v>In stock</v>
      </c>
      <c r="M1184" s="0" t="str">
        <f aca="false">IF(D1184&lt;5,"1) Under 5%",IF(D1184&lt;10,"2) 5-9%",IF(D1184&lt;15,"3) 10-14%",IF(D1184&lt;25,"4) 15-24%","5) 25%+"))))</f>
        <v>5) 25%+</v>
      </c>
      <c r="N1184" s="0" t="str">
        <f aca="false">IF(F1184&lt;50,"1) Under Rs 50",IF(F1184&lt;100,"2) Rs 50-99",IF(F1184&lt;200,"3) Rs 100-199",IF(F1184&lt;500,"4) Rs 200-499","5) Rs 500+"))))</f>
        <v>3) Rs 100-199</v>
      </c>
      <c r="O1184" s="0" t="n">
        <f aca="false">G1184*E1184/1000</f>
        <v>4</v>
      </c>
    </row>
    <row r="1185" customFormat="false" ht="15" hidden="false" customHeight="false" outlineLevel="0" collapsed="false">
      <c r="A1185" s="0" t="s">
        <v>101</v>
      </c>
      <c r="B1185" s="0" t="s">
        <v>749</v>
      </c>
      <c r="C1185" s="0" t="n">
        <v>99</v>
      </c>
      <c r="D1185" s="0" t="n">
        <v>5</v>
      </c>
      <c r="E1185" s="0" t="n">
        <v>6</v>
      </c>
      <c r="F1185" s="0" t="n">
        <v>94</v>
      </c>
      <c r="G1185" s="0" t="n">
        <v>200</v>
      </c>
      <c r="H1185" s="0" t="s">
        <v>145</v>
      </c>
      <c r="I1185" s="0" t="n">
        <v>200</v>
      </c>
      <c r="J1185" s="0" t="n">
        <f aca="false">F1185*E1185</f>
        <v>564</v>
      </c>
      <c r="K1185" s="0" t="str">
        <f aca="false">IF(G1185&lt;1000,"1-Low",IF(G1185&lt;5000,"2-Medium","3-Bulk"))</f>
        <v>1-Low</v>
      </c>
      <c r="L1185" s="0" t="str">
        <f aca="false">IF(H1185="TRUE","Out of stock","In stock")</f>
        <v>In stock</v>
      </c>
      <c r="M1185" s="0" t="str">
        <f aca="false">IF(D1185&lt;5,"1) Under 5%",IF(D1185&lt;10,"2) 5-9%",IF(D1185&lt;15,"3) 10-14%",IF(D1185&lt;25,"4) 15-24%","5) 25%+"))))</f>
        <v>2) 5-9%</v>
      </c>
      <c r="N1185" s="0" t="str">
        <f aca="false">IF(F1185&lt;50,"1) Under Rs 50",IF(F1185&lt;100,"2) Rs 50-99",IF(F1185&lt;200,"3) Rs 100-199",IF(F1185&lt;500,"4) Rs 200-499","5) Rs 500+"))))</f>
        <v>2) Rs 50-99</v>
      </c>
      <c r="O1185" s="0" t="n">
        <f aca="false">G1185*E1185/1000</f>
        <v>1.2</v>
      </c>
    </row>
    <row r="1186" customFormat="false" ht="15" hidden="false" customHeight="false" outlineLevel="0" collapsed="false">
      <c r="A1186" s="0" t="s">
        <v>101</v>
      </c>
      <c r="B1186" s="0" t="s">
        <v>750</v>
      </c>
      <c r="C1186" s="0" t="n">
        <v>70</v>
      </c>
      <c r="D1186" s="0" t="n">
        <v>0</v>
      </c>
      <c r="E1186" s="0" t="n">
        <v>4</v>
      </c>
      <c r="F1186" s="0" t="n">
        <v>70</v>
      </c>
      <c r="G1186" s="0" t="n">
        <v>200</v>
      </c>
      <c r="H1186" s="0" t="s">
        <v>145</v>
      </c>
      <c r="I1186" s="0" t="n">
        <v>200</v>
      </c>
      <c r="J1186" s="0" t="n">
        <f aca="false">F1186*E1186</f>
        <v>280</v>
      </c>
      <c r="K1186" s="0" t="str">
        <f aca="false">IF(G1186&lt;1000,"1-Low",IF(G1186&lt;5000,"2-Medium","3-Bulk"))</f>
        <v>1-Low</v>
      </c>
      <c r="L1186" s="0" t="str">
        <f aca="false">IF(H1186="TRUE","Out of stock","In stock")</f>
        <v>In stock</v>
      </c>
      <c r="M1186" s="0" t="str">
        <f aca="false">IF(D1186&lt;5,"1) Under 5%",IF(D1186&lt;10,"2) 5-9%",IF(D1186&lt;15,"3) 10-14%",IF(D1186&lt;25,"4) 15-24%","5) 25%+"))))</f>
        <v>1) Under 5%</v>
      </c>
      <c r="N1186" s="0" t="str">
        <f aca="false">IF(F1186&lt;50,"1) Under Rs 50",IF(F1186&lt;100,"2) Rs 50-99",IF(F1186&lt;200,"3) Rs 100-199",IF(F1186&lt;500,"4) Rs 200-499","5) Rs 500+"))))</f>
        <v>2) Rs 50-99</v>
      </c>
      <c r="O1186" s="0" t="n">
        <f aca="false">G1186*E1186/1000</f>
        <v>0.8</v>
      </c>
    </row>
    <row r="1187" customFormat="false" ht="15" hidden="false" customHeight="false" outlineLevel="0" collapsed="false">
      <c r="A1187" s="0" t="s">
        <v>101</v>
      </c>
      <c r="B1187" s="0" t="s">
        <v>751</v>
      </c>
      <c r="C1187" s="0" t="n">
        <v>75</v>
      </c>
      <c r="D1187" s="0" t="n">
        <v>0</v>
      </c>
      <c r="E1187" s="0" t="n">
        <v>5</v>
      </c>
      <c r="F1187" s="0" t="n">
        <v>75</v>
      </c>
      <c r="G1187" s="0" t="n">
        <v>200</v>
      </c>
      <c r="H1187" s="0" t="s">
        <v>145</v>
      </c>
      <c r="I1187" s="0" t="n">
        <v>200</v>
      </c>
      <c r="J1187" s="0" t="n">
        <f aca="false">F1187*E1187</f>
        <v>375</v>
      </c>
      <c r="K1187" s="0" t="str">
        <f aca="false">IF(G1187&lt;1000,"1-Low",IF(G1187&lt;5000,"2-Medium","3-Bulk"))</f>
        <v>1-Low</v>
      </c>
      <c r="L1187" s="0" t="str">
        <f aca="false">IF(H1187="TRUE","Out of stock","In stock")</f>
        <v>In stock</v>
      </c>
      <c r="M1187" s="0" t="str">
        <f aca="false">IF(D1187&lt;5,"1) Under 5%",IF(D1187&lt;10,"2) 5-9%",IF(D1187&lt;15,"3) 10-14%",IF(D1187&lt;25,"4) 15-24%","5) 25%+"))))</f>
        <v>1) Under 5%</v>
      </c>
      <c r="N1187" s="0" t="str">
        <f aca="false">IF(F1187&lt;50,"1) Under Rs 50",IF(F1187&lt;100,"2) Rs 50-99",IF(F1187&lt;200,"3) Rs 100-199",IF(F1187&lt;500,"4) Rs 200-499","5) Rs 500+"))))</f>
        <v>2) Rs 50-99</v>
      </c>
      <c r="O1187" s="0" t="n">
        <f aca="false">G1187*E1187/1000</f>
        <v>1</v>
      </c>
    </row>
    <row r="1188" customFormat="false" ht="15" hidden="false" customHeight="false" outlineLevel="0" collapsed="false">
      <c r="A1188" s="0" t="s">
        <v>101</v>
      </c>
      <c r="B1188" s="0" t="s">
        <v>752</v>
      </c>
      <c r="C1188" s="0" t="n">
        <v>169</v>
      </c>
      <c r="D1188" s="0" t="n">
        <v>4</v>
      </c>
      <c r="E1188" s="0" t="n">
        <v>4</v>
      </c>
      <c r="F1188" s="0" t="n">
        <v>161</v>
      </c>
      <c r="G1188" s="0" t="n">
        <v>150</v>
      </c>
      <c r="H1188" s="0" t="s">
        <v>145</v>
      </c>
      <c r="I1188" s="0" t="n">
        <v>150</v>
      </c>
      <c r="J1188" s="0" t="n">
        <f aca="false">F1188*E1188</f>
        <v>644</v>
      </c>
      <c r="K1188" s="0" t="str">
        <f aca="false">IF(G1188&lt;1000,"1-Low",IF(G1188&lt;5000,"2-Medium","3-Bulk"))</f>
        <v>1-Low</v>
      </c>
      <c r="L1188" s="0" t="str">
        <f aca="false">IF(H1188="TRUE","Out of stock","In stock")</f>
        <v>In stock</v>
      </c>
      <c r="M1188" s="0" t="str">
        <f aca="false">IF(D1188&lt;5,"1) Under 5%",IF(D1188&lt;10,"2) 5-9%",IF(D1188&lt;15,"3) 10-14%",IF(D1188&lt;25,"4) 15-24%","5) 25%+"))))</f>
        <v>1) Under 5%</v>
      </c>
      <c r="N1188" s="0" t="str">
        <f aca="false">IF(F1188&lt;50,"1) Under Rs 50",IF(F1188&lt;100,"2) Rs 50-99",IF(F1188&lt;200,"3) Rs 100-199",IF(F1188&lt;500,"4) Rs 200-499","5) Rs 500+"))))</f>
        <v>3) Rs 100-199</v>
      </c>
      <c r="O1188" s="0" t="n">
        <f aca="false">G1188*E1188/1000</f>
        <v>0.6</v>
      </c>
    </row>
    <row r="1189" customFormat="false" ht="15" hidden="false" customHeight="false" outlineLevel="0" collapsed="false">
      <c r="A1189" s="0" t="s">
        <v>101</v>
      </c>
      <c r="B1189" s="0" t="s">
        <v>753</v>
      </c>
      <c r="C1189" s="0" t="n">
        <v>199</v>
      </c>
      <c r="D1189" s="0" t="n">
        <v>5</v>
      </c>
      <c r="E1189" s="0" t="n">
        <v>6</v>
      </c>
      <c r="F1189" s="0" t="n">
        <v>189</v>
      </c>
      <c r="G1189" s="0" t="n">
        <v>200</v>
      </c>
      <c r="H1189" s="0" t="s">
        <v>145</v>
      </c>
      <c r="I1189" s="0" t="n">
        <v>200</v>
      </c>
      <c r="J1189" s="0" t="n">
        <f aca="false">F1189*E1189</f>
        <v>1134</v>
      </c>
      <c r="K1189" s="0" t="str">
        <f aca="false">IF(G1189&lt;1000,"1-Low",IF(G1189&lt;5000,"2-Medium","3-Bulk"))</f>
        <v>1-Low</v>
      </c>
      <c r="L1189" s="0" t="str">
        <f aca="false">IF(H1189="TRUE","Out of stock","In stock")</f>
        <v>In stock</v>
      </c>
      <c r="M1189" s="0" t="str">
        <f aca="false">IF(D1189&lt;5,"1) Under 5%",IF(D1189&lt;10,"2) 5-9%",IF(D1189&lt;15,"3) 10-14%",IF(D1189&lt;25,"4) 15-24%","5) 25%+"))))</f>
        <v>2) 5-9%</v>
      </c>
      <c r="N1189" s="0" t="str">
        <f aca="false">IF(F1189&lt;50,"1) Under Rs 50",IF(F1189&lt;100,"2) Rs 50-99",IF(F1189&lt;200,"3) Rs 100-199",IF(F1189&lt;500,"4) Rs 200-499","5) Rs 500+"))))</f>
        <v>3) Rs 100-199</v>
      </c>
      <c r="O1189" s="0" t="n">
        <f aca="false">G1189*E1189/1000</f>
        <v>1.2</v>
      </c>
    </row>
    <row r="1190" customFormat="false" ht="15" hidden="false" customHeight="false" outlineLevel="0" collapsed="false">
      <c r="A1190" s="0" t="s">
        <v>101</v>
      </c>
      <c r="B1190" s="0" t="s">
        <v>754</v>
      </c>
      <c r="C1190" s="0" t="n">
        <v>72</v>
      </c>
      <c r="D1190" s="0" t="n">
        <v>13</v>
      </c>
      <c r="E1190" s="0" t="n">
        <v>4</v>
      </c>
      <c r="F1190" s="0" t="n">
        <v>62</v>
      </c>
      <c r="G1190" s="0" t="n">
        <v>348</v>
      </c>
      <c r="H1190" s="0" t="s">
        <v>145</v>
      </c>
      <c r="I1190" s="0" t="n">
        <v>6</v>
      </c>
      <c r="J1190" s="0" t="n">
        <f aca="false">F1190*E1190</f>
        <v>248</v>
      </c>
      <c r="K1190" s="0" t="str">
        <f aca="false">IF(G1190&lt;1000,"1-Low",IF(G1190&lt;5000,"2-Medium","3-Bulk"))</f>
        <v>1-Low</v>
      </c>
      <c r="L1190" s="0" t="str">
        <f aca="false">IF(H1190="TRUE","Out of stock","In stock")</f>
        <v>In stock</v>
      </c>
      <c r="M1190" s="0" t="str">
        <f aca="false">IF(D1190&lt;5,"1) Under 5%",IF(D1190&lt;10,"2) 5-9%",IF(D1190&lt;15,"3) 10-14%",IF(D1190&lt;25,"4) 15-24%","5) 25%+"))))</f>
        <v>3) 10-14%</v>
      </c>
      <c r="N1190" s="0" t="str">
        <f aca="false">IF(F1190&lt;50,"1) Under Rs 50",IF(F1190&lt;100,"2) Rs 50-99",IF(F1190&lt;200,"3) Rs 100-199",IF(F1190&lt;500,"4) Rs 200-499","5) Rs 500+"))))</f>
        <v>2) Rs 50-99</v>
      </c>
      <c r="O1190" s="0" t="n">
        <f aca="false">G1190*E1190/1000</f>
        <v>1.392</v>
      </c>
    </row>
    <row r="1191" customFormat="false" ht="15" hidden="false" customHeight="false" outlineLevel="0" collapsed="false">
      <c r="A1191" s="0" t="s">
        <v>101</v>
      </c>
      <c r="B1191" s="0" t="s">
        <v>755</v>
      </c>
      <c r="C1191" s="0" t="n">
        <v>99</v>
      </c>
      <c r="D1191" s="0" t="n">
        <v>5</v>
      </c>
      <c r="E1191" s="0" t="n">
        <v>6</v>
      </c>
      <c r="F1191" s="0" t="n">
        <v>94</v>
      </c>
      <c r="G1191" s="0" t="n">
        <v>200</v>
      </c>
      <c r="H1191" s="0" t="s">
        <v>145</v>
      </c>
      <c r="I1191" s="0" t="n">
        <v>200</v>
      </c>
      <c r="J1191" s="0" t="n">
        <f aca="false">F1191*E1191</f>
        <v>564</v>
      </c>
      <c r="K1191" s="0" t="str">
        <f aca="false">IF(G1191&lt;1000,"1-Low",IF(G1191&lt;5000,"2-Medium","3-Bulk"))</f>
        <v>1-Low</v>
      </c>
      <c r="L1191" s="0" t="str">
        <f aca="false">IF(H1191="TRUE","Out of stock","In stock")</f>
        <v>In stock</v>
      </c>
      <c r="M1191" s="0" t="str">
        <f aca="false">IF(D1191&lt;5,"1) Under 5%",IF(D1191&lt;10,"2) 5-9%",IF(D1191&lt;15,"3) 10-14%",IF(D1191&lt;25,"4) 15-24%","5) 25%+"))))</f>
        <v>2) 5-9%</v>
      </c>
      <c r="N1191" s="0" t="str">
        <f aca="false">IF(F1191&lt;50,"1) Under Rs 50",IF(F1191&lt;100,"2) Rs 50-99",IF(F1191&lt;200,"3) Rs 100-199",IF(F1191&lt;500,"4) Rs 200-499","5) Rs 500+"))))</f>
        <v>2) Rs 50-99</v>
      </c>
      <c r="O1191" s="0" t="n">
        <f aca="false">G1191*E1191/1000</f>
        <v>1.2</v>
      </c>
    </row>
    <row r="1192" customFormat="false" ht="15" hidden="false" customHeight="false" outlineLevel="0" collapsed="false">
      <c r="A1192" s="0" t="s">
        <v>101</v>
      </c>
      <c r="B1192" s="0" t="s">
        <v>756</v>
      </c>
      <c r="C1192" s="0" t="n">
        <v>140</v>
      </c>
      <c r="D1192" s="0" t="n">
        <v>5</v>
      </c>
      <c r="E1192" s="0" t="n">
        <v>6</v>
      </c>
      <c r="F1192" s="0" t="n">
        <v>133</v>
      </c>
      <c r="G1192" s="0" t="n">
        <v>200</v>
      </c>
      <c r="H1192" s="0" t="s">
        <v>145</v>
      </c>
      <c r="I1192" s="0" t="n">
        <v>200</v>
      </c>
      <c r="J1192" s="0" t="n">
        <f aca="false">F1192*E1192</f>
        <v>798</v>
      </c>
      <c r="K1192" s="0" t="str">
        <f aca="false">IF(G1192&lt;1000,"1-Low",IF(G1192&lt;5000,"2-Medium","3-Bulk"))</f>
        <v>1-Low</v>
      </c>
      <c r="L1192" s="0" t="str">
        <f aca="false">IF(H1192="TRUE","Out of stock","In stock")</f>
        <v>In stock</v>
      </c>
      <c r="M1192" s="0" t="str">
        <f aca="false">IF(D1192&lt;5,"1) Under 5%",IF(D1192&lt;10,"2) 5-9%",IF(D1192&lt;15,"3) 10-14%",IF(D1192&lt;25,"4) 15-24%","5) 25%+"))))</f>
        <v>2) 5-9%</v>
      </c>
      <c r="N1192" s="0" t="str">
        <f aca="false">IF(F1192&lt;50,"1) Under Rs 50",IF(F1192&lt;100,"2) Rs 50-99",IF(F1192&lt;200,"3) Rs 100-199",IF(F1192&lt;500,"4) Rs 200-499","5) Rs 500+"))))</f>
        <v>3) Rs 100-199</v>
      </c>
      <c r="O1192" s="0" t="n">
        <f aca="false">G1192*E1192/1000</f>
        <v>1.2</v>
      </c>
    </row>
    <row r="1193" customFormat="false" ht="15" hidden="false" customHeight="false" outlineLevel="0" collapsed="false">
      <c r="A1193" s="0" t="s">
        <v>101</v>
      </c>
      <c r="B1193" s="0" t="s">
        <v>757</v>
      </c>
      <c r="C1193" s="0" t="n">
        <v>295</v>
      </c>
      <c r="D1193" s="0" t="n">
        <v>50</v>
      </c>
      <c r="E1193" s="0" t="n">
        <v>6</v>
      </c>
      <c r="F1193" s="0" t="n">
        <v>147</v>
      </c>
      <c r="G1193" s="0" t="n">
        <v>200</v>
      </c>
      <c r="H1193" s="0" t="s">
        <v>145</v>
      </c>
      <c r="I1193" s="0" t="n">
        <v>200</v>
      </c>
      <c r="J1193" s="0" t="n">
        <f aca="false">F1193*E1193</f>
        <v>882</v>
      </c>
      <c r="K1193" s="0" t="str">
        <f aca="false">IF(G1193&lt;1000,"1-Low",IF(G1193&lt;5000,"2-Medium","3-Bulk"))</f>
        <v>1-Low</v>
      </c>
      <c r="L1193" s="0" t="str">
        <f aca="false">IF(H1193="TRUE","Out of stock","In stock")</f>
        <v>In stock</v>
      </c>
      <c r="M1193" s="0" t="str">
        <f aca="false">IF(D1193&lt;5,"1) Under 5%",IF(D1193&lt;10,"2) 5-9%",IF(D1193&lt;15,"3) 10-14%",IF(D1193&lt;25,"4) 15-24%","5) 25%+"))))</f>
        <v>5) 25%+</v>
      </c>
      <c r="N1193" s="0" t="str">
        <f aca="false">IF(F1193&lt;50,"1) Under Rs 50",IF(F1193&lt;100,"2) Rs 50-99",IF(F1193&lt;200,"3) Rs 100-199",IF(F1193&lt;500,"4) Rs 200-499","5) Rs 500+"))))</f>
        <v>3) Rs 100-199</v>
      </c>
      <c r="O1193" s="0" t="n">
        <f aca="false">G1193*E1193/1000</f>
        <v>1.2</v>
      </c>
    </row>
    <row r="1194" customFormat="false" ht="15" hidden="false" customHeight="false" outlineLevel="0" collapsed="false">
      <c r="A1194" s="0" t="s">
        <v>101</v>
      </c>
      <c r="B1194" s="0" t="s">
        <v>758</v>
      </c>
      <c r="C1194" s="0" t="n">
        <v>215</v>
      </c>
      <c r="D1194" s="0" t="n">
        <v>9</v>
      </c>
      <c r="E1194" s="0" t="n">
        <v>6</v>
      </c>
      <c r="F1194" s="0" t="n">
        <v>194</v>
      </c>
      <c r="G1194" s="0" t="n">
        <v>325</v>
      </c>
      <c r="H1194" s="0" t="s">
        <v>145</v>
      </c>
      <c r="I1194" s="0" t="n">
        <v>325</v>
      </c>
      <c r="J1194" s="0" t="n">
        <f aca="false">F1194*E1194</f>
        <v>1164</v>
      </c>
      <c r="K1194" s="0" t="str">
        <f aca="false">IF(G1194&lt;1000,"1-Low",IF(G1194&lt;5000,"2-Medium","3-Bulk"))</f>
        <v>1-Low</v>
      </c>
      <c r="L1194" s="0" t="str">
        <f aca="false">IF(H1194="TRUE","Out of stock","In stock")</f>
        <v>In stock</v>
      </c>
      <c r="M1194" s="0" t="str">
        <f aca="false">IF(D1194&lt;5,"1) Under 5%",IF(D1194&lt;10,"2) 5-9%",IF(D1194&lt;15,"3) 10-14%",IF(D1194&lt;25,"4) 15-24%","5) 25%+"))))</f>
        <v>2) 5-9%</v>
      </c>
      <c r="N1194" s="0" t="str">
        <f aca="false">IF(F1194&lt;50,"1) Under Rs 50",IF(F1194&lt;100,"2) Rs 50-99",IF(F1194&lt;200,"3) Rs 100-199",IF(F1194&lt;500,"4) Rs 200-499","5) Rs 500+"))))</f>
        <v>3) Rs 100-199</v>
      </c>
      <c r="O1194" s="0" t="n">
        <f aca="false">G1194*E1194/1000</f>
        <v>1.95</v>
      </c>
    </row>
    <row r="1195" customFormat="false" ht="15" hidden="false" customHeight="false" outlineLevel="0" collapsed="false">
      <c r="A1195" s="0" t="s">
        <v>101</v>
      </c>
      <c r="B1195" s="0" t="s">
        <v>759</v>
      </c>
      <c r="C1195" s="0" t="n">
        <v>120</v>
      </c>
      <c r="D1195" s="0" t="n">
        <v>43</v>
      </c>
      <c r="E1195" s="0" t="n">
        <v>4</v>
      </c>
      <c r="F1195" s="0" t="n">
        <v>68</v>
      </c>
      <c r="G1195" s="0" t="n">
        <v>348</v>
      </c>
      <c r="H1195" s="0" t="s">
        <v>145</v>
      </c>
      <c r="I1195" s="0" t="n">
        <v>6</v>
      </c>
      <c r="J1195" s="0" t="n">
        <f aca="false">F1195*E1195</f>
        <v>272</v>
      </c>
      <c r="K1195" s="0" t="str">
        <f aca="false">IF(G1195&lt;1000,"1-Low",IF(G1195&lt;5000,"2-Medium","3-Bulk"))</f>
        <v>1-Low</v>
      </c>
      <c r="L1195" s="0" t="str">
        <f aca="false">IF(H1195="TRUE","Out of stock","In stock")</f>
        <v>In stock</v>
      </c>
      <c r="M1195" s="0" t="str">
        <f aca="false">IF(D1195&lt;5,"1) Under 5%",IF(D1195&lt;10,"2) 5-9%",IF(D1195&lt;15,"3) 10-14%",IF(D1195&lt;25,"4) 15-24%","5) 25%+"))))</f>
        <v>5) 25%+</v>
      </c>
      <c r="N1195" s="0" t="str">
        <f aca="false">IF(F1195&lt;50,"1) Under Rs 50",IF(F1195&lt;100,"2) Rs 50-99",IF(F1195&lt;200,"3) Rs 100-199",IF(F1195&lt;500,"4) Rs 200-499","5) Rs 500+"))))</f>
        <v>2) Rs 50-99</v>
      </c>
      <c r="O1195" s="0" t="n">
        <f aca="false">G1195*E1195/1000</f>
        <v>1.392</v>
      </c>
    </row>
    <row r="1196" customFormat="false" ht="15" hidden="false" customHeight="false" outlineLevel="0" collapsed="false">
      <c r="A1196" s="0" t="s">
        <v>101</v>
      </c>
      <c r="B1196" s="0" t="s">
        <v>456</v>
      </c>
      <c r="C1196" s="0" t="n">
        <v>150</v>
      </c>
      <c r="D1196" s="0" t="n">
        <v>4</v>
      </c>
      <c r="E1196" s="0" t="n">
        <v>4</v>
      </c>
      <c r="F1196" s="0" t="n">
        <v>143</v>
      </c>
      <c r="G1196" s="0" t="n">
        <v>400</v>
      </c>
      <c r="H1196" s="0" t="s">
        <v>145</v>
      </c>
      <c r="I1196" s="0" t="n">
        <v>400</v>
      </c>
      <c r="J1196" s="0" t="n">
        <f aca="false">F1196*E1196</f>
        <v>572</v>
      </c>
      <c r="K1196" s="0" t="str">
        <f aca="false">IF(G1196&lt;1000,"1-Low",IF(G1196&lt;5000,"2-Medium","3-Bulk"))</f>
        <v>1-Low</v>
      </c>
      <c r="L1196" s="0" t="str">
        <f aca="false">IF(H1196="TRUE","Out of stock","In stock")</f>
        <v>In stock</v>
      </c>
      <c r="M1196" s="0" t="str">
        <f aca="false">IF(D1196&lt;5,"1) Under 5%",IF(D1196&lt;10,"2) 5-9%",IF(D1196&lt;15,"3) 10-14%",IF(D1196&lt;25,"4) 15-24%","5) 25%+"))))</f>
        <v>1) Under 5%</v>
      </c>
      <c r="N1196" s="0" t="str">
        <f aca="false">IF(F1196&lt;50,"1) Under Rs 50",IF(F1196&lt;100,"2) Rs 50-99",IF(F1196&lt;200,"3) Rs 100-199",IF(F1196&lt;500,"4) Rs 200-499","5) Rs 500+"))))</f>
        <v>3) Rs 100-199</v>
      </c>
      <c r="O1196" s="0" t="n">
        <f aca="false">G1196*E1196/1000</f>
        <v>1.6</v>
      </c>
    </row>
    <row r="1197" customFormat="false" ht="15" hidden="false" customHeight="false" outlineLevel="0" collapsed="false">
      <c r="A1197" s="0" t="s">
        <v>101</v>
      </c>
      <c r="B1197" s="0" t="s">
        <v>760</v>
      </c>
      <c r="C1197" s="0" t="n">
        <v>275</v>
      </c>
      <c r="D1197" s="0" t="n">
        <v>50</v>
      </c>
      <c r="E1197" s="0" t="n">
        <v>6</v>
      </c>
      <c r="F1197" s="0" t="n">
        <v>137</v>
      </c>
      <c r="G1197" s="0" t="n">
        <v>200</v>
      </c>
      <c r="H1197" s="0" t="s">
        <v>145</v>
      </c>
      <c r="I1197" s="0" t="n">
        <v>200</v>
      </c>
      <c r="J1197" s="0" t="n">
        <f aca="false">F1197*E1197</f>
        <v>822</v>
      </c>
      <c r="K1197" s="0" t="str">
        <f aca="false">IF(G1197&lt;1000,"1-Low",IF(G1197&lt;5000,"2-Medium","3-Bulk"))</f>
        <v>1-Low</v>
      </c>
      <c r="L1197" s="0" t="str">
        <f aca="false">IF(H1197="TRUE","Out of stock","In stock")</f>
        <v>In stock</v>
      </c>
      <c r="M1197" s="0" t="str">
        <f aca="false">IF(D1197&lt;5,"1) Under 5%",IF(D1197&lt;10,"2) 5-9%",IF(D1197&lt;15,"3) 10-14%",IF(D1197&lt;25,"4) 15-24%","5) 25%+"))))</f>
        <v>5) 25%+</v>
      </c>
      <c r="N1197" s="0" t="str">
        <f aca="false">IF(F1197&lt;50,"1) Under Rs 50",IF(F1197&lt;100,"2) Rs 50-99",IF(F1197&lt;200,"3) Rs 100-199",IF(F1197&lt;500,"4) Rs 200-499","5) Rs 500+"))))</f>
        <v>3) Rs 100-199</v>
      </c>
      <c r="O1197" s="0" t="n">
        <f aca="false">G1197*E1197/1000</f>
        <v>1.2</v>
      </c>
    </row>
    <row r="1198" customFormat="false" ht="15" hidden="false" customHeight="false" outlineLevel="0" collapsed="false">
      <c r="A1198" s="0" t="s">
        <v>101</v>
      </c>
      <c r="B1198" s="0" t="s">
        <v>761</v>
      </c>
      <c r="C1198" s="0" t="n">
        <v>145</v>
      </c>
      <c r="D1198" s="0" t="n">
        <v>5</v>
      </c>
      <c r="E1198" s="0" t="n">
        <v>6</v>
      </c>
      <c r="F1198" s="0" t="n">
        <v>137</v>
      </c>
      <c r="G1198" s="0" t="n">
        <v>200</v>
      </c>
      <c r="H1198" s="0" t="s">
        <v>145</v>
      </c>
      <c r="I1198" s="0" t="n">
        <v>200</v>
      </c>
      <c r="J1198" s="0" t="n">
        <f aca="false">F1198*E1198</f>
        <v>822</v>
      </c>
      <c r="K1198" s="0" t="str">
        <f aca="false">IF(G1198&lt;1000,"1-Low",IF(G1198&lt;5000,"2-Medium","3-Bulk"))</f>
        <v>1-Low</v>
      </c>
      <c r="L1198" s="0" t="str">
        <f aca="false">IF(H1198="TRUE","Out of stock","In stock")</f>
        <v>In stock</v>
      </c>
      <c r="M1198" s="0" t="str">
        <f aca="false">IF(D1198&lt;5,"1) Under 5%",IF(D1198&lt;10,"2) 5-9%",IF(D1198&lt;15,"3) 10-14%",IF(D1198&lt;25,"4) 15-24%","5) 25%+"))))</f>
        <v>2) 5-9%</v>
      </c>
      <c r="N1198" s="0" t="str">
        <f aca="false">IF(F1198&lt;50,"1) Under Rs 50",IF(F1198&lt;100,"2) Rs 50-99",IF(F1198&lt;200,"3) Rs 100-199",IF(F1198&lt;500,"4) Rs 200-499","5) Rs 500+"))))</f>
        <v>3) Rs 100-199</v>
      </c>
      <c r="O1198" s="0" t="n">
        <f aca="false">G1198*E1198/1000</f>
        <v>1.2</v>
      </c>
    </row>
    <row r="1199" customFormat="false" ht="15" hidden="false" customHeight="false" outlineLevel="0" collapsed="false">
      <c r="A1199" s="0" t="s">
        <v>101</v>
      </c>
      <c r="B1199" s="0" t="s">
        <v>762</v>
      </c>
      <c r="C1199" s="0" t="n">
        <v>275</v>
      </c>
      <c r="D1199" s="0" t="n">
        <v>50</v>
      </c>
      <c r="E1199" s="0" t="n">
        <v>6</v>
      </c>
      <c r="F1199" s="0" t="n">
        <v>137</v>
      </c>
      <c r="G1199" s="0" t="n">
        <v>200</v>
      </c>
      <c r="H1199" s="0" t="s">
        <v>145</v>
      </c>
      <c r="I1199" s="0" t="n">
        <v>200</v>
      </c>
      <c r="J1199" s="0" t="n">
        <f aca="false">F1199*E1199</f>
        <v>822</v>
      </c>
      <c r="K1199" s="0" t="str">
        <f aca="false">IF(G1199&lt;1000,"1-Low",IF(G1199&lt;5000,"2-Medium","3-Bulk"))</f>
        <v>1-Low</v>
      </c>
      <c r="L1199" s="0" t="str">
        <f aca="false">IF(H1199="TRUE","Out of stock","In stock")</f>
        <v>In stock</v>
      </c>
      <c r="M1199" s="0" t="str">
        <f aca="false">IF(D1199&lt;5,"1) Under 5%",IF(D1199&lt;10,"2) 5-9%",IF(D1199&lt;15,"3) 10-14%",IF(D1199&lt;25,"4) 15-24%","5) 25%+"))))</f>
        <v>5) 25%+</v>
      </c>
      <c r="N1199" s="0" t="str">
        <f aca="false">IF(F1199&lt;50,"1) Under Rs 50",IF(F1199&lt;100,"2) Rs 50-99",IF(F1199&lt;200,"3) Rs 100-199",IF(F1199&lt;500,"4) Rs 200-499","5) Rs 500+"))))</f>
        <v>3) Rs 100-199</v>
      </c>
      <c r="O1199" s="0" t="n">
        <f aca="false">G1199*E1199/1000</f>
        <v>1.2</v>
      </c>
    </row>
    <row r="1200" customFormat="false" ht="15" hidden="false" customHeight="false" outlineLevel="0" collapsed="false">
      <c r="A1200" s="0" t="s">
        <v>101</v>
      </c>
      <c r="B1200" s="0" t="s">
        <v>763</v>
      </c>
      <c r="C1200" s="0" t="n">
        <v>150</v>
      </c>
      <c r="D1200" s="0" t="n">
        <v>0</v>
      </c>
      <c r="E1200" s="0" t="n">
        <v>4</v>
      </c>
      <c r="F1200" s="0" t="n">
        <v>150</v>
      </c>
      <c r="G1200" s="0" t="n">
        <v>200</v>
      </c>
      <c r="H1200" s="0" t="s">
        <v>145</v>
      </c>
      <c r="I1200" s="0" t="n">
        <v>200</v>
      </c>
      <c r="J1200" s="0" t="n">
        <f aca="false">F1200*E1200</f>
        <v>600</v>
      </c>
      <c r="K1200" s="0" t="str">
        <f aca="false">IF(G1200&lt;1000,"1-Low",IF(G1200&lt;5000,"2-Medium","3-Bulk"))</f>
        <v>1-Low</v>
      </c>
      <c r="L1200" s="0" t="str">
        <f aca="false">IF(H1200="TRUE","Out of stock","In stock")</f>
        <v>In stock</v>
      </c>
      <c r="M1200" s="0" t="str">
        <f aca="false">IF(D1200&lt;5,"1) Under 5%",IF(D1200&lt;10,"2) 5-9%",IF(D1200&lt;15,"3) 10-14%",IF(D1200&lt;25,"4) 15-24%","5) 25%+"))))</f>
        <v>1) Under 5%</v>
      </c>
      <c r="N1200" s="0" t="str">
        <f aca="false">IF(F1200&lt;50,"1) Under Rs 50",IF(F1200&lt;100,"2) Rs 50-99",IF(F1200&lt;200,"3) Rs 100-199",IF(F1200&lt;500,"4) Rs 200-499","5) Rs 500+"))))</f>
        <v>3) Rs 100-199</v>
      </c>
      <c r="O1200" s="0" t="n">
        <f aca="false">G1200*E1200/1000</f>
        <v>0.8</v>
      </c>
    </row>
    <row r="1201" customFormat="false" ht="15" hidden="false" customHeight="false" outlineLevel="0" collapsed="false">
      <c r="A1201" s="0" t="s">
        <v>101</v>
      </c>
      <c r="B1201" s="0" t="s">
        <v>764</v>
      </c>
      <c r="C1201" s="0" t="n">
        <v>229</v>
      </c>
      <c r="D1201" s="0" t="n">
        <v>10</v>
      </c>
      <c r="E1201" s="0" t="n">
        <v>6</v>
      </c>
      <c r="F1201" s="0" t="n">
        <v>206</v>
      </c>
      <c r="G1201" s="0" t="n">
        <v>400</v>
      </c>
      <c r="H1201" s="0" t="s">
        <v>145</v>
      </c>
      <c r="I1201" s="0" t="n">
        <v>400</v>
      </c>
      <c r="J1201" s="0" t="n">
        <f aca="false">F1201*E1201</f>
        <v>1236</v>
      </c>
      <c r="K1201" s="0" t="str">
        <f aca="false">IF(G1201&lt;1000,"1-Low",IF(G1201&lt;5000,"2-Medium","3-Bulk"))</f>
        <v>1-Low</v>
      </c>
      <c r="L1201" s="0" t="str">
        <f aca="false">IF(H1201="TRUE","Out of stock","In stock")</f>
        <v>In stock</v>
      </c>
      <c r="M1201" s="0" t="str">
        <f aca="false">IF(D1201&lt;5,"1) Under 5%",IF(D1201&lt;10,"2) 5-9%",IF(D1201&lt;15,"3) 10-14%",IF(D1201&lt;25,"4) 15-24%","5) 25%+"))))</f>
        <v>3) 10-14%</v>
      </c>
      <c r="N1201" s="0" t="str">
        <f aca="false">IF(F1201&lt;50,"1) Under Rs 50",IF(F1201&lt;100,"2) Rs 50-99",IF(F1201&lt;200,"3) Rs 100-199",IF(F1201&lt;500,"4) Rs 200-499","5) Rs 500+"))))</f>
        <v>4) Rs 200-499</v>
      </c>
      <c r="O1201" s="0" t="n">
        <f aca="false">G1201*E1201/1000</f>
        <v>2.4</v>
      </c>
    </row>
    <row r="1202" customFormat="false" ht="15" hidden="false" customHeight="false" outlineLevel="0" collapsed="false">
      <c r="A1202" s="0" t="s">
        <v>101</v>
      </c>
      <c r="B1202" s="0" t="s">
        <v>765</v>
      </c>
      <c r="C1202" s="0" t="n">
        <v>250</v>
      </c>
      <c r="D1202" s="0" t="n">
        <v>50</v>
      </c>
      <c r="E1202" s="0" t="n">
        <v>4</v>
      </c>
      <c r="F1202" s="0" t="n">
        <v>125</v>
      </c>
      <c r="G1202" s="0" t="n">
        <v>200</v>
      </c>
      <c r="H1202" s="0" t="s">
        <v>145</v>
      </c>
      <c r="I1202" s="0" t="n">
        <v>200</v>
      </c>
      <c r="J1202" s="0" t="n">
        <f aca="false">F1202*E1202</f>
        <v>500</v>
      </c>
      <c r="K1202" s="0" t="str">
        <f aca="false">IF(G1202&lt;1000,"1-Low",IF(G1202&lt;5000,"2-Medium","3-Bulk"))</f>
        <v>1-Low</v>
      </c>
      <c r="L1202" s="0" t="str">
        <f aca="false">IF(H1202="TRUE","Out of stock","In stock")</f>
        <v>In stock</v>
      </c>
      <c r="M1202" s="0" t="str">
        <f aca="false">IF(D1202&lt;5,"1) Under 5%",IF(D1202&lt;10,"2) 5-9%",IF(D1202&lt;15,"3) 10-14%",IF(D1202&lt;25,"4) 15-24%","5) 25%+"))))</f>
        <v>5) 25%+</v>
      </c>
      <c r="N1202" s="0" t="str">
        <f aca="false">IF(F1202&lt;50,"1) Under Rs 50",IF(F1202&lt;100,"2) Rs 50-99",IF(F1202&lt;200,"3) Rs 100-199",IF(F1202&lt;500,"4) Rs 200-499","5) Rs 500+"))))</f>
        <v>3) Rs 100-199</v>
      </c>
      <c r="O1202" s="0" t="n">
        <f aca="false">G1202*E1202/1000</f>
        <v>0.8</v>
      </c>
    </row>
    <row r="1203" customFormat="false" ht="15" hidden="false" customHeight="false" outlineLevel="0" collapsed="false">
      <c r="A1203" s="0" t="s">
        <v>101</v>
      </c>
      <c r="B1203" s="0" t="s">
        <v>766</v>
      </c>
      <c r="C1203" s="0" t="n">
        <v>235</v>
      </c>
      <c r="D1203" s="0" t="n">
        <v>20</v>
      </c>
      <c r="E1203" s="0" t="n">
        <v>5</v>
      </c>
      <c r="F1203" s="0" t="n">
        <v>188</v>
      </c>
      <c r="G1203" s="0" t="n">
        <v>325</v>
      </c>
      <c r="H1203" s="0" t="s">
        <v>145</v>
      </c>
      <c r="I1203" s="0" t="n">
        <v>325</v>
      </c>
      <c r="J1203" s="0" t="n">
        <f aca="false">F1203*E1203</f>
        <v>940</v>
      </c>
      <c r="K1203" s="0" t="str">
        <f aca="false">IF(G1203&lt;1000,"1-Low",IF(G1203&lt;5000,"2-Medium","3-Bulk"))</f>
        <v>1-Low</v>
      </c>
      <c r="L1203" s="0" t="str">
        <f aca="false">IF(H1203="TRUE","Out of stock","In stock")</f>
        <v>In stock</v>
      </c>
      <c r="M1203" s="0" t="str">
        <f aca="false">IF(D1203&lt;5,"1) Under 5%",IF(D1203&lt;10,"2) 5-9%",IF(D1203&lt;15,"3) 10-14%",IF(D1203&lt;25,"4) 15-24%","5) 25%+"))))</f>
        <v>4) 15-24%</v>
      </c>
      <c r="N1203" s="0" t="str">
        <f aca="false">IF(F1203&lt;50,"1) Under Rs 50",IF(F1203&lt;100,"2) Rs 50-99",IF(F1203&lt;200,"3) Rs 100-199",IF(F1203&lt;500,"4) Rs 200-499","5) Rs 500+"))))</f>
        <v>3) Rs 100-199</v>
      </c>
      <c r="O1203" s="0" t="n">
        <f aca="false">G1203*E1203/1000</f>
        <v>1.625</v>
      </c>
    </row>
    <row r="1204" customFormat="false" ht="15" hidden="false" customHeight="false" outlineLevel="0" collapsed="false">
      <c r="A1204" s="0" t="s">
        <v>101</v>
      </c>
      <c r="B1204" s="0" t="s">
        <v>767</v>
      </c>
      <c r="C1204" s="0" t="n">
        <v>125</v>
      </c>
      <c r="D1204" s="0" t="n">
        <v>5</v>
      </c>
      <c r="E1204" s="0" t="n">
        <v>6</v>
      </c>
      <c r="F1204" s="0" t="n">
        <v>118</v>
      </c>
      <c r="G1204" s="0" t="n">
        <v>200</v>
      </c>
      <c r="H1204" s="0" t="s">
        <v>145</v>
      </c>
      <c r="I1204" s="0" t="n">
        <v>200</v>
      </c>
      <c r="J1204" s="0" t="n">
        <f aca="false">F1204*E1204</f>
        <v>708</v>
      </c>
      <c r="K1204" s="0" t="str">
        <f aca="false">IF(G1204&lt;1000,"1-Low",IF(G1204&lt;5000,"2-Medium","3-Bulk"))</f>
        <v>1-Low</v>
      </c>
      <c r="L1204" s="0" t="str">
        <f aca="false">IF(H1204="TRUE","Out of stock","In stock")</f>
        <v>In stock</v>
      </c>
      <c r="M1204" s="0" t="str">
        <f aca="false">IF(D1204&lt;5,"1) Under 5%",IF(D1204&lt;10,"2) 5-9%",IF(D1204&lt;15,"3) 10-14%",IF(D1204&lt;25,"4) 15-24%","5) 25%+"))))</f>
        <v>2) 5-9%</v>
      </c>
      <c r="N1204" s="0" t="str">
        <f aca="false">IF(F1204&lt;50,"1) Under Rs 50",IF(F1204&lt;100,"2) Rs 50-99",IF(F1204&lt;200,"3) Rs 100-199",IF(F1204&lt;500,"4) Rs 200-499","5) Rs 500+"))))</f>
        <v>3) Rs 100-199</v>
      </c>
      <c r="O1204" s="0" t="n">
        <f aca="false">G1204*E1204/1000</f>
        <v>1.2</v>
      </c>
    </row>
    <row r="1205" customFormat="false" ht="15" hidden="false" customHeight="false" outlineLevel="0" collapsed="false">
      <c r="A1205" s="0" t="s">
        <v>101</v>
      </c>
      <c r="B1205" s="0" t="s">
        <v>768</v>
      </c>
      <c r="C1205" s="0" t="n">
        <v>169</v>
      </c>
      <c r="D1205" s="0" t="n">
        <v>7</v>
      </c>
      <c r="E1205" s="0" t="n">
        <v>1</v>
      </c>
      <c r="F1205" s="0" t="n">
        <v>156</v>
      </c>
      <c r="G1205" s="0" t="n">
        <v>400</v>
      </c>
      <c r="H1205" s="0" t="s">
        <v>145</v>
      </c>
      <c r="I1205" s="0" t="n">
        <v>400</v>
      </c>
      <c r="J1205" s="0" t="n">
        <f aca="false">F1205*E1205</f>
        <v>156</v>
      </c>
      <c r="K1205" s="0" t="str">
        <f aca="false">IF(G1205&lt;1000,"1-Low",IF(G1205&lt;5000,"2-Medium","3-Bulk"))</f>
        <v>1-Low</v>
      </c>
      <c r="L1205" s="0" t="str">
        <f aca="false">IF(H1205="TRUE","Out of stock","In stock")</f>
        <v>In stock</v>
      </c>
      <c r="M1205" s="0" t="str">
        <f aca="false">IF(D1205&lt;5,"1) Under 5%",IF(D1205&lt;10,"2) 5-9%",IF(D1205&lt;15,"3) 10-14%",IF(D1205&lt;25,"4) 15-24%","5) 25%+"))))</f>
        <v>2) 5-9%</v>
      </c>
      <c r="N1205" s="0" t="str">
        <f aca="false">IF(F1205&lt;50,"1) Under Rs 50",IF(F1205&lt;100,"2) Rs 50-99",IF(F1205&lt;200,"3) Rs 100-199",IF(F1205&lt;500,"4) Rs 200-499","5) Rs 500+"))))</f>
        <v>3) Rs 100-199</v>
      </c>
      <c r="O1205" s="0" t="n">
        <f aca="false">G1205*E1205/1000</f>
        <v>0.4</v>
      </c>
    </row>
    <row r="1206" customFormat="false" ht="15" hidden="false" customHeight="false" outlineLevel="0" collapsed="false">
      <c r="A1206" s="0" t="s">
        <v>101</v>
      </c>
      <c r="B1206" s="0" t="s">
        <v>769</v>
      </c>
      <c r="C1206" s="0" t="n">
        <v>235</v>
      </c>
      <c r="D1206" s="0" t="n">
        <v>1</v>
      </c>
      <c r="E1206" s="0" t="n">
        <v>6</v>
      </c>
      <c r="F1206" s="0" t="n">
        <v>232</v>
      </c>
      <c r="G1206" s="0" t="n">
        <v>500</v>
      </c>
      <c r="H1206" s="0" t="s">
        <v>145</v>
      </c>
      <c r="I1206" s="0" t="n">
        <v>500</v>
      </c>
      <c r="J1206" s="0" t="n">
        <f aca="false">F1206*E1206</f>
        <v>1392</v>
      </c>
      <c r="K1206" s="0" t="str">
        <f aca="false">IF(G1206&lt;1000,"1-Low",IF(G1206&lt;5000,"2-Medium","3-Bulk"))</f>
        <v>1-Low</v>
      </c>
      <c r="L1206" s="0" t="str">
        <f aca="false">IF(H1206="TRUE","Out of stock","In stock")</f>
        <v>In stock</v>
      </c>
      <c r="M1206" s="0" t="str">
        <f aca="false">IF(D1206&lt;5,"1) Under 5%",IF(D1206&lt;10,"2) 5-9%",IF(D1206&lt;15,"3) 10-14%",IF(D1206&lt;25,"4) 15-24%","5) 25%+"))))</f>
        <v>1) Under 5%</v>
      </c>
      <c r="N1206" s="0" t="str">
        <f aca="false">IF(F1206&lt;50,"1) Under Rs 50",IF(F1206&lt;100,"2) Rs 50-99",IF(F1206&lt;200,"3) Rs 100-199",IF(F1206&lt;500,"4) Rs 200-499","5) Rs 500+"))))</f>
        <v>4) Rs 200-499</v>
      </c>
      <c r="O1206" s="0" t="n">
        <f aca="false">G1206*E1206/1000</f>
        <v>3</v>
      </c>
    </row>
    <row r="1207" customFormat="false" ht="15" hidden="false" customHeight="false" outlineLevel="0" collapsed="false">
      <c r="A1207" s="0" t="s">
        <v>101</v>
      </c>
      <c r="B1207" s="0" t="s">
        <v>770</v>
      </c>
      <c r="C1207" s="0" t="n">
        <v>99</v>
      </c>
      <c r="D1207" s="0" t="n">
        <v>5</v>
      </c>
      <c r="E1207" s="0" t="n">
        <v>6</v>
      </c>
      <c r="F1207" s="0" t="n">
        <v>94</v>
      </c>
      <c r="G1207" s="0" t="n">
        <v>200</v>
      </c>
      <c r="H1207" s="0" t="s">
        <v>145</v>
      </c>
      <c r="I1207" s="0" t="n">
        <v>200</v>
      </c>
      <c r="J1207" s="0" t="n">
        <f aca="false">F1207*E1207</f>
        <v>564</v>
      </c>
      <c r="K1207" s="0" t="str">
        <f aca="false">IF(G1207&lt;1000,"1-Low",IF(G1207&lt;5000,"2-Medium","3-Bulk"))</f>
        <v>1-Low</v>
      </c>
      <c r="L1207" s="0" t="str">
        <f aca="false">IF(H1207="TRUE","Out of stock","In stock")</f>
        <v>In stock</v>
      </c>
      <c r="M1207" s="0" t="str">
        <f aca="false">IF(D1207&lt;5,"1) Under 5%",IF(D1207&lt;10,"2) 5-9%",IF(D1207&lt;15,"3) 10-14%",IF(D1207&lt;25,"4) 15-24%","5) 25%+"))))</f>
        <v>2) 5-9%</v>
      </c>
      <c r="N1207" s="0" t="str">
        <f aca="false">IF(F1207&lt;50,"1) Under Rs 50",IF(F1207&lt;100,"2) Rs 50-99",IF(F1207&lt;200,"3) Rs 100-199",IF(F1207&lt;500,"4) Rs 200-499","5) Rs 500+"))))</f>
        <v>2) Rs 50-99</v>
      </c>
      <c r="O1207" s="0" t="n">
        <f aca="false">G1207*E1207/1000</f>
        <v>1.2</v>
      </c>
    </row>
    <row r="1208" customFormat="false" ht="15" hidden="false" customHeight="false" outlineLevel="0" collapsed="false">
      <c r="A1208" s="0" t="s">
        <v>101</v>
      </c>
      <c r="B1208" s="0" t="s">
        <v>497</v>
      </c>
      <c r="C1208" s="0" t="n">
        <v>235</v>
      </c>
      <c r="D1208" s="0" t="n">
        <v>27</v>
      </c>
      <c r="E1208" s="0" t="n">
        <v>5</v>
      </c>
      <c r="F1208" s="0" t="n">
        <v>171</v>
      </c>
      <c r="G1208" s="0" t="n">
        <v>1000</v>
      </c>
      <c r="H1208" s="0" t="s">
        <v>145</v>
      </c>
      <c r="I1208" s="0" t="n">
        <v>1</v>
      </c>
      <c r="J1208" s="0" t="n">
        <f aca="false">F1208*E1208</f>
        <v>855</v>
      </c>
      <c r="K1208" s="0" t="str">
        <f aca="false">IF(G1208&lt;1000,"1-Low",IF(G1208&lt;5000,"2-Medium","3-Bulk"))</f>
        <v>2-Medium</v>
      </c>
      <c r="L1208" s="0" t="str">
        <f aca="false">IF(H1208="TRUE","Out of stock","In stock")</f>
        <v>In stock</v>
      </c>
      <c r="M1208" s="0" t="str">
        <f aca="false">IF(D1208&lt;5,"1) Under 5%",IF(D1208&lt;10,"2) 5-9%",IF(D1208&lt;15,"3) 10-14%",IF(D1208&lt;25,"4) 15-24%","5) 25%+"))))</f>
        <v>5) 25%+</v>
      </c>
      <c r="N1208" s="0" t="str">
        <f aca="false">IF(F1208&lt;50,"1) Under Rs 50",IF(F1208&lt;100,"2) Rs 50-99",IF(F1208&lt;200,"3) Rs 100-199",IF(F1208&lt;500,"4) Rs 200-499","5) Rs 500+"))))</f>
        <v>3) Rs 100-199</v>
      </c>
      <c r="O1208" s="0" t="n">
        <f aca="false">G1208*E1208/1000</f>
        <v>5</v>
      </c>
    </row>
    <row r="1209" customFormat="false" ht="15" hidden="false" customHeight="false" outlineLevel="0" collapsed="false">
      <c r="A1209" s="0" t="s">
        <v>101</v>
      </c>
      <c r="B1209" s="0" t="s">
        <v>531</v>
      </c>
      <c r="C1209" s="0" t="n">
        <v>380</v>
      </c>
      <c r="D1209" s="0" t="n">
        <v>2</v>
      </c>
      <c r="E1209" s="0" t="n">
        <v>4</v>
      </c>
      <c r="F1209" s="0" t="n">
        <v>372</v>
      </c>
      <c r="G1209" s="0" t="n">
        <v>1000</v>
      </c>
      <c r="H1209" s="0" t="s">
        <v>145</v>
      </c>
      <c r="I1209" s="0" t="n">
        <v>1</v>
      </c>
      <c r="J1209" s="0" t="n">
        <f aca="false">F1209*E1209</f>
        <v>1488</v>
      </c>
      <c r="K1209" s="0" t="str">
        <f aca="false">IF(G1209&lt;1000,"1-Low",IF(G1209&lt;5000,"2-Medium","3-Bulk"))</f>
        <v>2-Medium</v>
      </c>
      <c r="L1209" s="0" t="str">
        <f aca="false">IF(H1209="TRUE","Out of stock","In stock")</f>
        <v>In stock</v>
      </c>
      <c r="M1209" s="0" t="str">
        <f aca="false">IF(D1209&lt;5,"1) Under 5%",IF(D1209&lt;10,"2) 5-9%",IF(D1209&lt;15,"3) 10-14%",IF(D1209&lt;25,"4) 15-24%","5) 25%+"))))</f>
        <v>1) Under 5%</v>
      </c>
      <c r="N1209" s="0" t="str">
        <f aca="false">IF(F1209&lt;50,"1) Under Rs 50",IF(F1209&lt;100,"2) Rs 50-99",IF(F1209&lt;200,"3) Rs 100-199",IF(F1209&lt;500,"4) Rs 200-499","5) Rs 500+"))))</f>
        <v>4) Rs 200-499</v>
      </c>
      <c r="O1209" s="0" t="n">
        <f aca="false">G1209*E1209/1000</f>
        <v>4</v>
      </c>
    </row>
    <row r="1210" customFormat="false" ht="15" hidden="false" customHeight="false" outlineLevel="0" collapsed="false">
      <c r="A1210" s="0" t="s">
        <v>101</v>
      </c>
      <c r="B1210" s="0" t="s">
        <v>771</v>
      </c>
      <c r="C1210" s="0" t="n">
        <v>110</v>
      </c>
      <c r="D1210" s="0" t="n">
        <v>0</v>
      </c>
      <c r="E1210" s="0" t="n">
        <v>6</v>
      </c>
      <c r="F1210" s="0" t="n">
        <v>110</v>
      </c>
      <c r="G1210" s="0" t="n">
        <v>120</v>
      </c>
      <c r="H1210" s="0" t="s">
        <v>145</v>
      </c>
      <c r="I1210" s="0" t="n">
        <v>120</v>
      </c>
      <c r="J1210" s="0" t="n">
        <f aca="false">F1210*E1210</f>
        <v>660</v>
      </c>
      <c r="K1210" s="0" t="str">
        <f aca="false">IF(G1210&lt;1000,"1-Low",IF(G1210&lt;5000,"2-Medium","3-Bulk"))</f>
        <v>1-Low</v>
      </c>
      <c r="L1210" s="0" t="str">
        <f aca="false">IF(H1210="TRUE","Out of stock","In stock")</f>
        <v>In stock</v>
      </c>
      <c r="M1210" s="0" t="str">
        <f aca="false">IF(D1210&lt;5,"1) Under 5%",IF(D1210&lt;10,"2) 5-9%",IF(D1210&lt;15,"3) 10-14%",IF(D1210&lt;25,"4) 15-24%","5) 25%+"))))</f>
        <v>1) Under 5%</v>
      </c>
      <c r="N1210" s="0" t="str">
        <f aca="false">IF(F1210&lt;50,"1) Under Rs 50",IF(F1210&lt;100,"2) Rs 50-99",IF(F1210&lt;200,"3) Rs 100-199",IF(F1210&lt;500,"4) Rs 200-499","5) Rs 500+"))))</f>
        <v>3) Rs 100-199</v>
      </c>
      <c r="O1210" s="0" t="n">
        <f aca="false">G1210*E1210/1000</f>
        <v>0.72</v>
      </c>
    </row>
    <row r="1211" customFormat="false" ht="15" hidden="false" customHeight="false" outlineLevel="0" collapsed="false">
      <c r="A1211" s="0" t="s">
        <v>101</v>
      </c>
      <c r="B1211" s="0" t="s">
        <v>772</v>
      </c>
      <c r="C1211" s="0" t="n">
        <v>215</v>
      </c>
      <c r="D1211" s="0" t="n">
        <v>20</v>
      </c>
      <c r="E1211" s="0" t="n">
        <v>6</v>
      </c>
      <c r="F1211" s="0" t="n">
        <v>172</v>
      </c>
      <c r="G1211" s="0" t="n">
        <v>325</v>
      </c>
      <c r="H1211" s="0" t="s">
        <v>145</v>
      </c>
      <c r="I1211" s="0" t="n">
        <v>325</v>
      </c>
      <c r="J1211" s="0" t="n">
        <f aca="false">F1211*E1211</f>
        <v>1032</v>
      </c>
      <c r="K1211" s="0" t="str">
        <f aca="false">IF(G1211&lt;1000,"1-Low",IF(G1211&lt;5000,"2-Medium","3-Bulk"))</f>
        <v>1-Low</v>
      </c>
      <c r="L1211" s="0" t="str">
        <f aca="false">IF(H1211="TRUE","Out of stock","In stock")</f>
        <v>In stock</v>
      </c>
      <c r="M1211" s="0" t="str">
        <f aca="false">IF(D1211&lt;5,"1) Under 5%",IF(D1211&lt;10,"2) 5-9%",IF(D1211&lt;15,"3) 10-14%",IF(D1211&lt;25,"4) 15-24%","5) 25%+"))))</f>
        <v>4) 15-24%</v>
      </c>
      <c r="N1211" s="0" t="str">
        <f aca="false">IF(F1211&lt;50,"1) Under Rs 50",IF(F1211&lt;100,"2) Rs 50-99",IF(F1211&lt;200,"3) Rs 100-199",IF(F1211&lt;500,"4) Rs 200-499","5) Rs 500+"))))</f>
        <v>3) Rs 100-199</v>
      </c>
      <c r="O1211" s="0" t="n">
        <f aca="false">G1211*E1211/1000</f>
        <v>1.95</v>
      </c>
    </row>
    <row r="1212" customFormat="false" ht="15" hidden="false" customHeight="false" outlineLevel="0" collapsed="false">
      <c r="A1212" s="0" t="s">
        <v>101</v>
      </c>
      <c r="B1212" s="0" t="s">
        <v>773</v>
      </c>
      <c r="C1212" s="0" t="n">
        <v>125</v>
      </c>
      <c r="D1212" s="0" t="n">
        <v>4</v>
      </c>
      <c r="E1212" s="0" t="n">
        <v>6</v>
      </c>
      <c r="F1212" s="0" t="n">
        <v>119</v>
      </c>
      <c r="G1212" s="0" t="n">
        <v>200</v>
      </c>
      <c r="H1212" s="0" t="s">
        <v>145</v>
      </c>
      <c r="I1212" s="0" t="n">
        <v>200</v>
      </c>
      <c r="J1212" s="0" t="n">
        <f aca="false">F1212*E1212</f>
        <v>714</v>
      </c>
      <c r="K1212" s="0" t="str">
        <f aca="false">IF(G1212&lt;1000,"1-Low",IF(G1212&lt;5000,"2-Medium","3-Bulk"))</f>
        <v>1-Low</v>
      </c>
      <c r="L1212" s="0" t="str">
        <f aca="false">IF(H1212="TRUE","Out of stock","In stock")</f>
        <v>In stock</v>
      </c>
      <c r="M1212" s="0" t="str">
        <f aca="false">IF(D1212&lt;5,"1) Under 5%",IF(D1212&lt;10,"2) 5-9%",IF(D1212&lt;15,"3) 10-14%",IF(D1212&lt;25,"4) 15-24%","5) 25%+"))))</f>
        <v>1) Under 5%</v>
      </c>
      <c r="N1212" s="0" t="str">
        <f aca="false">IF(F1212&lt;50,"1) Under Rs 50",IF(F1212&lt;100,"2) Rs 50-99",IF(F1212&lt;200,"3) Rs 100-199",IF(F1212&lt;500,"4) Rs 200-499","5) Rs 500+"))))</f>
        <v>3) Rs 100-199</v>
      </c>
      <c r="O1212" s="0" t="n">
        <f aca="false">G1212*E1212/1000</f>
        <v>1.2</v>
      </c>
    </row>
    <row r="1213" customFormat="false" ht="15" hidden="false" customHeight="false" outlineLevel="0" collapsed="false">
      <c r="A1213" s="0" t="s">
        <v>101</v>
      </c>
      <c r="B1213" s="0" t="s">
        <v>774</v>
      </c>
      <c r="C1213" s="0" t="n">
        <v>249</v>
      </c>
      <c r="D1213" s="0" t="n">
        <v>4</v>
      </c>
      <c r="E1213" s="0" t="n">
        <v>6</v>
      </c>
      <c r="F1213" s="0" t="n">
        <v>237</v>
      </c>
      <c r="G1213" s="0" t="n">
        <v>400</v>
      </c>
      <c r="H1213" s="0" t="s">
        <v>145</v>
      </c>
      <c r="I1213" s="0" t="n">
        <v>400</v>
      </c>
      <c r="J1213" s="0" t="n">
        <f aca="false">F1213*E1213</f>
        <v>1422</v>
      </c>
      <c r="K1213" s="0" t="str">
        <f aca="false">IF(G1213&lt;1000,"1-Low",IF(G1213&lt;5000,"2-Medium","3-Bulk"))</f>
        <v>1-Low</v>
      </c>
      <c r="L1213" s="0" t="str">
        <f aca="false">IF(H1213="TRUE","Out of stock","In stock")</f>
        <v>In stock</v>
      </c>
      <c r="M1213" s="0" t="str">
        <f aca="false">IF(D1213&lt;5,"1) Under 5%",IF(D1213&lt;10,"2) 5-9%",IF(D1213&lt;15,"3) 10-14%",IF(D1213&lt;25,"4) 15-24%","5) 25%+"))))</f>
        <v>1) Under 5%</v>
      </c>
      <c r="N1213" s="0" t="str">
        <f aca="false">IF(F1213&lt;50,"1) Under Rs 50",IF(F1213&lt;100,"2) Rs 50-99",IF(F1213&lt;200,"3) Rs 100-199",IF(F1213&lt;500,"4) Rs 200-499","5) Rs 500+"))))</f>
        <v>4) Rs 200-499</v>
      </c>
      <c r="O1213" s="0" t="n">
        <f aca="false">G1213*E1213/1000</f>
        <v>2.4</v>
      </c>
    </row>
    <row r="1214" customFormat="false" ht="15" hidden="false" customHeight="false" outlineLevel="0" collapsed="false">
      <c r="A1214" s="0" t="s">
        <v>101</v>
      </c>
      <c r="B1214" s="0" t="s">
        <v>775</v>
      </c>
      <c r="C1214" s="0" t="n">
        <v>345</v>
      </c>
      <c r="D1214" s="0" t="n">
        <v>31</v>
      </c>
      <c r="E1214" s="0" t="n">
        <v>6</v>
      </c>
      <c r="F1214" s="0" t="n">
        <v>237</v>
      </c>
      <c r="G1214" s="0" t="n">
        <v>100</v>
      </c>
      <c r="H1214" s="0" t="s">
        <v>145</v>
      </c>
      <c r="I1214" s="0" t="n">
        <v>100</v>
      </c>
      <c r="J1214" s="0" t="n">
        <f aca="false">F1214*E1214</f>
        <v>1422</v>
      </c>
      <c r="K1214" s="0" t="str">
        <f aca="false">IF(G1214&lt;1000,"1-Low",IF(G1214&lt;5000,"2-Medium","3-Bulk"))</f>
        <v>1-Low</v>
      </c>
      <c r="L1214" s="0" t="str">
        <f aca="false">IF(H1214="TRUE","Out of stock","In stock")</f>
        <v>In stock</v>
      </c>
      <c r="M1214" s="0" t="str">
        <f aca="false">IF(D1214&lt;5,"1) Under 5%",IF(D1214&lt;10,"2) 5-9%",IF(D1214&lt;15,"3) 10-14%",IF(D1214&lt;25,"4) 15-24%","5) 25%+"))))</f>
        <v>5) 25%+</v>
      </c>
      <c r="N1214" s="0" t="str">
        <f aca="false">IF(F1214&lt;50,"1) Under Rs 50",IF(F1214&lt;100,"2) Rs 50-99",IF(F1214&lt;200,"3) Rs 100-199",IF(F1214&lt;500,"4) Rs 200-499","5) Rs 500+"))))</f>
        <v>4) Rs 200-499</v>
      </c>
      <c r="O1214" s="0" t="n">
        <f aca="false">G1214*E1214/1000</f>
        <v>0.6</v>
      </c>
    </row>
    <row r="1215" customFormat="false" ht="15" hidden="false" customHeight="false" outlineLevel="0" collapsed="false">
      <c r="A1215" s="0" t="s">
        <v>101</v>
      </c>
      <c r="B1215" s="0" t="s">
        <v>776</v>
      </c>
      <c r="C1215" s="0" t="n">
        <v>355</v>
      </c>
      <c r="D1215" s="0" t="n">
        <v>50</v>
      </c>
      <c r="E1215" s="0" t="n">
        <v>6</v>
      </c>
      <c r="F1215" s="0" t="n">
        <v>177</v>
      </c>
      <c r="G1215" s="0" t="n">
        <v>200</v>
      </c>
      <c r="H1215" s="0" t="s">
        <v>145</v>
      </c>
      <c r="I1215" s="0" t="n">
        <v>200</v>
      </c>
      <c r="J1215" s="0" t="n">
        <f aca="false">F1215*E1215</f>
        <v>1062</v>
      </c>
      <c r="K1215" s="0" t="str">
        <f aca="false">IF(G1215&lt;1000,"1-Low",IF(G1215&lt;5000,"2-Medium","3-Bulk"))</f>
        <v>1-Low</v>
      </c>
      <c r="L1215" s="0" t="str">
        <f aca="false">IF(H1215="TRUE","Out of stock","In stock")</f>
        <v>In stock</v>
      </c>
      <c r="M1215" s="0" t="str">
        <f aca="false">IF(D1215&lt;5,"1) Under 5%",IF(D1215&lt;10,"2) 5-9%",IF(D1215&lt;15,"3) 10-14%",IF(D1215&lt;25,"4) 15-24%","5) 25%+"))))</f>
        <v>5) 25%+</v>
      </c>
      <c r="N1215" s="0" t="str">
        <f aca="false">IF(F1215&lt;50,"1) Under Rs 50",IF(F1215&lt;100,"2) Rs 50-99",IF(F1215&lt;200,"3) Rs 100-199",IF(F1215&lt;500,"4) Rs 200-499","5) Rs 500+"))))</f>
        <v>3) Rs 100-199</v>
      </c>
      <c r="O1215" s="0" t="n">
        <f aca="false">G1215*E1215/1000</f>
        <v>1.2</v>
      </c>
    </row>
    <row r="1216" customFormat="false" ht="15" hidden="false" customHeight="false" outlineLevel="0" collapsed="false">
      <c r="A1216" s="0" t="s">
        <v>101</v>
      </c>
      <c r="B1216" s="0" t="s">
        <v>777</v>
      </c>
      <c r="C1216" s="0" t="n">
        <v>199</v>
      </c>
      <c r="D1216" s="0" t="n">
        <v>5</v>
      </c>
      <c r="E1216" s="0" t="n">
        <v>6</v>
      </c>
      <c r="F1216" s="0" t="n">
        <v>189</v>
      </c>
      <c r="G1216" s="0" t="n">
        <v>200</v>
      </c>
      <c r="H1216" s="0" t="s">
        <v>145</v>
      </c>
      <c r="I1216" s="0" t="n">
        <v>200</v>
      </c>
      <c r="J1216" s="0" t="n">
        <f aca="false">F1216*E1216</f>
        <v>1134</v>
      </c>
      <c r="K1216" s="0" t="str">
        <f aca="false">IF(G1216&lt;1000,"1-Low",IF(G1216&lt;5000,"2-Medium","3-Bulk"))</f>
        <v>1-Low</v>
      </c>
      <c r="L1216" s="0" t="str">
        <f aca="false">IF(H1216="TRUE","Out of stock","In stock")</f>
        <v>In stock</v>
      </c>
      <c r="M1216" s="0" t="str">
        <f aca="false">IF(D1216&lt;5,"1) Under 5%",IF(D1216&lt;10,"2) 5-9%",IF(D1216&lt;15,"3) 10-14%",IF(D1216&lt;25,"4) 15-24%","5) 25%+"))))</f>
        <v>2) 5-9%</v>
      </c>
      <c r="N1216" s="0" t="str">
        <f aca="false">IF(F1216&lt;50,"1) Under Rs 50",IF(F1216&lt;100,"2) Rs 50-99",IF(F1216&lt;200,"3) Rs 100-199",IF(F1216&lt;500,"4) Rs 200-499","5) Rs 500+"))))</f>
        <v>3) Rs 100-199</v>
      </c>
      <c r="O1216" s="0" t="n">
        <f aca="false">G1216*E1216/1000</f>
        <v>1.2</v>
      </c>
    </row>
    <row r="1217" customFormat="false" ht="15" hidden="false" customHeight="false" outlineLevel="0" collapsed="false">
      <c r="A1217" s="0" t="s">
        <v>101</v>
      </c>
      <c r="B1217" s="0" t="s">
        <v>778</v>
      </c>
      <c r="C1217" s="0" t="n">
        <v>169</v>
      </c>
      <c r="D1217" s="0" t="n">
        <v>0</v>
      </c>
      <c r="E1217" s="0" t="n">
        <v>1</v>
      </c>
      <c r="F1217" s="0" t="n">
        <v>169</v>
      </c>
      <c r="G1217" s="0" t="n">
        <v>400</v>
      </c>
      <c r="H1217" s="0" t="s">
        <v>145</v>
      </c>
      <c r="I1217" s="0" t="n">
        <v>400</v>
      </c>
      <c r="J1217" s="0" t="n">
        <f aca="false">F1217*E1217</f>
        <v>169</v>
      </c>
      <c r="K1217" s="0" t="str">
        <f aca="false">IF(G1217&lt;1000,"1-Low",IF(G1217&lt;5000,"2-Medium","3-Bulk"))</f>
        <v>1-Low</v>
      </c>
      <c r="L1217" s="0" t="str">
        <f aca="false">IF(H1217="TRUE","Out of stock","In stock")</f>
        <v>In stock</v>
      </c>
      <c r="M1217" s="0" t="str">
        <f aca="false">IF(D1217&lt;5,"1) Under 5%",IF(D1217&lt;10,"2) 5-9%",IF(D1217&lt;15,"3) 10-14%",IF(D1217&lt;25,"4) 15-24%","5) 25%+"))))</f>
        <v>1) Under 5%</v>
      </c>
      <c r="N1217" s="0" t="str">
        <f aca="false">IF(F1217&lt;50,"1) Under Rs 50",IF(F1217&lt;100,"2) Rs 50-99",IF(F1217&lt;200,"3) Rs 100-199",IF(F1217&lt;500,"4) Rs 200-499","5) Rs 500+"))))</f>
        <v>3) Rs 100-199</v>
      </c>
      <c r="O1217" s="0" t="n">
        <f aca="false">G1217*E1217/1000</f>
        <v>0.4</v>
      </c>
    </row>
    <row r="1218" customFormat="false" ht="15" hidden="false" customHeight="false" outlineLevel="0" collapsed="false">
      <c r="A1218" s="0" t="s">
        <v>101</v>
      </c>
      <c r="B1218" s="0" t="s">
        <v>577</v>
      </c>
      <c r="C1218" s="0" t="n">
        <v>150</v>
      </c>
      <c r="D1218" s="0" t="n">
        <v>0</v>
      </c>
      <c r="E1218" s="0" t="n">
        <v>4</v>
      </c>
      <c r="F1218" s="0" t="n">
        <v>150</v>
      </c>
      <c r="G1218" s="0" t="n">
        <v>400</v>
      </c>
      <c r="H1218" s="0" t="s">
        <v>145</v>
      </c>
      <c r="I1218" s="0" t="n">
        <v>400</v>
      </c>
      <c r="J1218" s="0" t="n">
        <f aca="false">F1218*E1218</f>
        <v>600</v>
      </c>
      <c r="K1218" s="0" t="str">
        <f aca="false">IF(G1218&lt;1000,"1-Low",IF(G1218&lt;5000,"2-Medium","3-Bulk"))</f>
        <v>1-Low</v>
      </c>
      <c r="L1218" s="0" t="str">
        <f aca="false">IF(H1218="TRUE","Out of stock","In stock")</f>
        <v>In stock</v>
      </c>
      <c r="M1218" s="0" t="str">
        <f aca="false">IF(D1218&lt;5,"1) Under 5%",IF(D1218&lt;10,"2) 5-9%",IF(D1218&lt;15,"3) 10-14%",IF(D1218&lt;25,"4) 15-24%","5) 25%+"))))</f>
        <v>1) Under 5%</v>
      </c>
      <c r="N1218" s="0" t="str">
        <f aca="false">IF(F1218&lt;50,"1) Under Rs 50",IF(F1218&lt;100,"2) Rs 50-99",IF(F1218&lt;200,"3) Rs 100-199",IF(F1218&lt;500,"4) Rs 200-499","5) Rs 500+"))))</f>
        <v>3) Rs 100-199</v>
      </c>
      <c r="O1218" s="0" t="n">
        <f aca="false">G1218*E1218/1000</f>
        <v>1.6</v>
      </c>
    </row>
    <row r="1219" customFormat="false" ht="15" hidden="false" customHeight="false" outlineLevel="0" collapsed="false">
      <c r="A1219" s="0" t="s">
        <v>101</v>
      </c>
      <c r="B1219" s="0" t="s">
        <v>779</v>
      </c>
      <c r="C1219" s="0" t="n">
        <v>145</v>
      </c>
      <c r="D1219" s="0" t="n">
        <v>0</v>
      </c>
      <c r="E1219" s="0" t="n">
        <v>6</v>
      </c>
      <c r="F1219" s="0" t="n">
        <v>145</v>
      </c>
      <c r="G1219" s="0" t="n">
        <v>200</v>
      </c>
      <c r="H1219" s="0" t="s">
        <v>145</v>
      </c>
      <c r="I1219" s="0" t="n">
        <v>200</v>
      </c>
      <c r="J1219" s="0" t="n">
        <f aca="false">F1219*E1219</f>
        <v>870</v>
      </c>
      <c r="K1219" s="0" t="str">
        <f aca="false">IF(G1219&lt;1000,"1-Low",IF(G1219&lt;5000,"2-Medium","3-Bulk"))</f>
        <v>1-Low</v>
      </c>
      <c r="L1219" s="0" t="str">
        <f aca="false">IF(H1219="TRUE","Out of stock","In stock")</f>
        <v>In stock</v>
      </c>
      <c r="M1219" s="0" t="str">
        <f aca="false">IF(D1219&lt;5,"1) Under 5%",IF(D1219&lt;10,"2) 5-9%",IF(D1219&lt;15,"3) 10-14%",IF(D1219&lt;25,"4) 15-24%","5) 25%+"))))</f>
        <v>1) Under 5%</v>
      </c>
      <c r="N1219" s="0" t="str">
        <f aca="false">IF(F1219&lt;50,"1) Under Rs 50",IF(F1219&lt;100,"2) Rs 50-99",IF(F1219&lt;200,"3) Rs 100-199",IF(F1219&lt;500,"4) Rs 200-499","5) Rs 500+"))))</f>
        <v>3) Rs 100-199</v>
      </c>
      <c r="O1219" s="0" t="n">
        <f aca="false">G1219*E1219/1000</f>
        <v>1.2</v>
      </c>
    </row>
    <row r="1220" customFormat="false" ht="15" hidden="false" customHeight="false" outlineLevel="0" collapsed="false">
      <c r="A1220" s="0" t="s">
        <v>101</v>
      </c>
      <c r="B1220" s="0" t="s">
        <v>780</v>
      </c>
      <c r="C1220" s="0" t="n">
        <v>54</v>
      </c>
      <c r="D1220" s="0" t="n">
        <v>0</v>
      </c>
      <c r="E1220" s="0" t="n">
        <v>6</v>
      </c>
      <c r="F1220" s="0" t="n">
        <v>54</v>
      </c>
      <c r="G1220" s="0" t="n">
        <v>100</v>
      </c>
      <c r="H1220" s="0" t="s">
        <v>145</v>
      </c>
      <c r="I1220" s="0" t="n">
        <v>100</v>
      </c>
      <c r="J1220" s="0" t="n">
        <f aca="false">F1220*E1220</f>
        <v>324</v>
      </c>
      <c r="K1220" s="0" t="str">
        <f aca="false">IF(G1220&lt;1000,"1-Low",IF(G1220&lt;5000,"2-Medium","3-Bulk"))</f>
        <v>1-Low</v>
      </c>
      <c r="L1220" s="0" t="str">
        <f aca="false">IF(H1220="TRUE","Out of stock","In stock")</f>
        <v>In stock</v>
      </c>
      <c r="M1220" s="0" t="str">
        <f aca="false">IF(D1220&lt;5,"1) Under 5%",IF(D1220&lt;10,"2) 5-9%",IF(D1220&lt;15,"3) 10-14%",IF(D1220&lt;25,"4) 15-24%","5) 25%+"))))</f>
        <v>1) Under 5%</v>
      </c>
      <c r="N1220" s="0" t="str">
        <f aca="false">IF(F1220&lt;50,"1) Under Rs 50",IF(F1220&lt;100,"2) Rs 50-99",IF(F1220&lt;200,"3) Rs 100-199",IF(F1220&lt;500,"4) Rs 200-499","5) Rs 500+"))))</f>
        <v>2) Rs 50-99</v>
      </c>
      <c r="O1220" s="0" t="n">
        <f aca="false">G1220*E1220/1000</f>
        <v>0.6</v>
      </c>
    </row>
    <row r="1221" customFormat="false" ht="15" hidden="false" customHeight="false" outlineLevel="0" collapsed="false">
      <c r="A1221" s="0" t="s">
        <v>101</v>
      </c>
      <c r="B1221" s="0" t="s">
        <v>781</v>
      </c>
      <c r="C1221" s="0" t="n">
        <v>150</v>
      </c>
      <c r="D1221" s="0" t="n">
        <v>0</v>
      </c>
      <c r="E1221" s="0" t="n">
        <v>6</v>
      </c>
      <c r="F1221" s="0" t="n">
        <v>150</v>
      </c>
      <c r="G1221" s="0" t="n">
        <v>200</v>
      </c>
      <c r="H1221" s="0" t="s">
        <v>145</v>
      </c>
      <c r="I1221" s="0" t="n">
        <v>200</v>
      </c>
      <c r="J1221" s="0" t="n">
        <f aca="false">F1221*E1221</f>
        <v>900</v>
      </c>
      <c r="K1221" s="0" t="str">
        <f aca="false">IF(G1221&lt;1000,"1-Low",IF(G1221&lt;5000,"2-Medium","3-Bulk"))</f>
        <v>1-Low</v>
      </c>
      <c r="L1221" s="0" t="str">
        <f aca="false">IF(H1221="TRUE","Out of stock","In stock")</f>
        <v>In stock</v>
      </c>
      <c r="M1221" s="0" t="str">
        <f aca="false">IF(D1221&lt;5,"1) Under 5%",IF(D1221&lt;10,"2) 5-9%",IF(D1221&lt;15,"3) 10-14%",IF(D1221&lt;25,"4) 15-24%","5) 25%+"))))</f>
        <v>1) Under 5%</v>
      </c>
      <c r="N1221" s="0" t="str">
        <f aca="false">IF(F1221&lt;50,"1) Under Rs 50",IF(F1221&lt;100,"2) Rs 50-99",IF(F1221&lt;200,"3) Rs 100-199",IF(F1221&lt;500,"4) Rs 200-499","5) Rs 500+"))))</f>
        <v>3) Rs 100-199</v>
      </c>
      <c r="O1221" s="0" t="n">
        <f aca="false">G1221*E1221/1000</f>
        <v>1.2</v>
      </c>
    </row>
    <row r="1222" customFormat="false" ht="15" hidden="false" customHeight="false" outlineLevel="0" collapsed="false">
      <c r="A1222" s="0" t="s">
        <v>101</v>
      </c>
      <c r="B1222" s="0" t="s">
        <v>782</v>
      </c>
      <c r="C1222" s="0" t="n">
        <v>249</v>
      </c>
      <c r="D1222" s="0" t="n">
        <v>0</v>
      </c>
      <c r="E1222" s="0" t="n">
        <v>4</v>
      </c>
      <c r="F1222" s="0" t="n">
        <v>249</v>
      </c>
      <c r="G1222" s="0" t="n">
        <v>400</v>
      </c>
      <c r="H1222" s="0" t="s">
        <v>145</v>
      </c>
      <c r="I1222" s="0" t="n">
        <v>400</v>
      </c>
      <c r="J1222" s="0" t="n">
        <f aca="false">F1222*E1222</f>
        <v>996</v>
      </c>
      <c r="K1222" s="0" t="str">
        <f aca="false">IF(G1222&lt;1000,"1-Low",IF(G1222&lt;5000,"2-Medium","3-Bulk"))</f>
        <v>1-Low</v>
      </c>
      <c r="L1222" s="0" t="str">
        <f aca="false">IF(H1222="TRUE","Out of stock","In stock")</f>
        <v>In stock</v>
      </c>
      <c r="M1222" s="0" t="str">
        <f aca="false">IF(D1222&lt;5,"1) Under 5%",IF(D1222&lt;10,"2) 5-9%",IF(D1222&lt;15,"3) 10-14%",IF(D1222&lt;25,"4) 15-24%","5) 25%+"))))</f>
        <v>1) Under 5%</v>
      </c>
      <c r="N1222" s="0" t="str">
        <f aca="false">IF(F1222&lt;50,"1) Under Rs 50",IF(F1222&lt;100,"2) Rs 50-99",IF(F1222&lt;200,"3) Rs 100-199",IF(F1222&lt;500,"4) Rs 200-499","5) Rs 500+"))))</f>
        <v>4) Rs 200-499</v>
      </c>
      <c r="O1222" s="0" t="n">
        <f aca="false">G1222*E1222/1000</f>
        <v>1.6</v>
      </c>
    </row>
    <row r="1223" customFormat="false" ht="15" hidden="false" customHeight="false" outlineLevel="0" collapsed="false">
      <c r="A1223" s="0" t="s">
        <v>101</v>
      </c>
      <c r="B1223" s="0" t="s">
        <v>783</v>
      </c>
      <c r="C1223" s="0" t="n">
        <v>110</v>
      </c>
      <c r="D1223" s="0" t="n">
        <v>0</v>
      </c>
      <c r="E1223" s="0" t="n">
        <v>6</v>
      </c>
      <c r="F1223" s="0" t="n">
        <v>110</v>
      </c>
      <c r="G1223" s="0" t="n">
        <v>180</v>
      </c>
      <c r="H1223" s="0" t="s">
        <v>145</v>
      </c>
      <c r="I1223" s="0" t="n">
        <v>180</v>
      </c>
      <c r="J1223" s="0" t="n">
        <f aca="false">F1223*E1223</f>
        <v>660</v>
      </c>
      <c r="K1223" s="0" t="str">
        <f aca="false">IF(G1223&lt;1000,"1-Low",IF(G1223&lt;5000,"2-Medium","3-Bulk"))</f>
        <v>1-Low</v>
      </c>
      <c r="L1223" s="0" t="str">
        <f aca="false">IF(H1223="TRUE","Out of stock","In stock")</f>
        <v>In stock</v>
      </c>
      <c r="M1223" s="0" t="str">
        <f aca="false">IF(D1223&lt;5,"1) Under 5%",IF(D1223&lt;10,"2) 5-9%",IF(D1223&lt;15,"3) 10-14%",IF(D1223&lt;25,"4) 15-24%","5) 25%+"))))</f>
        <v>1) Under 5%</v>
      </c>
      <c r="N1223" s="0" t="str">
        <f aca="false">IF(F1223&lt;50,"1) Under Rs 50",IF(F1223&lt;100,"2) Rs 50-99",IF(F1223&lt;200,"3) Rs 100-199",IF(F1223&lt;500,"4) Rs 200-499","5) Rs 500+"))))</f>
        <v>3) Rs 100-199</v>
      </c>
      <c r="O1223" s="0" t="n">
        <f aca="false">G1223*E1223/1000</f>
        <v>1.08</v>
      </c>
    </row>
    <row r="1224" customFormat="false" ht="15" hidden="false" customHeight="false" outlineLevel="0" collapsed="false">
      <c r="A1224" s="0" t="s">
        <v>101</v>
      </c>
      <c r="B1224" s="0" t="s">
        <v>784</v>
      </c>
      <c r="C1224" s="0" t="n">
        <v>76</v>
      </c>
      <c r="D1224" s="0" t="n">
        <v>3</v>
      </c>
      <c r="E1224" s="0" t="n">
        <v>0</v>
      </c>
      <c r="F1224" s="0" t="n">
        <v>73</v>
      </c>
      <c r="G1224" s="0" t="n">
        <v>200</v>
      </c>
      <c r="H1224" s="0" t="s">
        <v>230</v>
      </c>
      <c r="I1224" s="0" t="n">
        <v>200</v>
      </c>
      <c r="J1224" s="0" t="n">
        <f aca="false">F1224*E1224</f>
        <v>0</v>
      </c>
      <c r="K1224" s="0" t="str">
        <f aca="false">IF(G1224&lt;1000,"1-Low",IF(G1224&lt;5000,"2-Medium","3-Bulk"))</f>
        <v>1-Low</v>
      </c>
      <c r="L1224" s="0" t="str">
        <f aca="false">IF(H1224="TRUE","Out of stock","In stock")</f>
        <v>Out of stock</v>
      </c>
      <c r="M1224" s="0" t="str">
        <f aca="false">IF(D1224&lt;5,"1) Under 5%",IF(D1224&lt;10,"2) 5-9%",IF(D1224&lt;15,"3) 10-14%",IF(D1224&lt;25,"4) 15-24%","5) 25%+"))))</f>
        <v>1) Under 5%</v>
      </c>
      <c r="N1224" s="0" t="str">
        <f aca="false">IF(F1224&lt;50,"1) Under Rs 50",IF(F1224&lt;100,"2) Rs 50-99",IF(F1224&lt;200,"3) Rs 100-199",IF(F1224&lt;500,"4) Rs 200-499","5) Rs 500+"))))</f>
        <v>2) Rs 50-99</v>
      </c>
      <c r="O1224" s="0" t="n">
        <f aca="false">G1224*E1224/1000</f>
        <v>0</v>
      </c>
    </row>
    <row r="1225" customFormat="false" ht="15" hidden="false" customHeight="false" outlineLevel="0" collapsed="false">
      <c r="A1225" s="0" t="s">
        <v>101</v>
      </c>
      <c r="B1225" s="0" t="s">
        <v>785</v>
      </c>
      <c r="C1225" s="0" t="n">
        <v>66</v>
      </c>
      <c r="D1225" s="0" t="n">
        <v>3</v>
      </c>
      <c r="E1225" s="0" t="n">
        <v>0</v>
      </c>
      <c r="F1225" s="0" t="n">
        <v>64</v>
      </c>
      <c r="G1225" s="0" t="n">
        <v>1000</v>
      </c>
      <c r="H1225" s="0" t="s">
        <v>230</v>
      </c>
      <c r="I1225" s="0" t="n">
        <v>1</v>
      </c>
      <c r="J1225" s="0" t="n">
        <f aca="false">F1225*E1225</f>
        <v>0</v>
      </c>
      <c r="K1225" s="0" t="str">
        <f aca="false">IF(G1225&lt;1000,"1-Low",IF(G1225&lt;5000,"2-Medium","3-Bulk"))</f>
        <v>2-Medium</v>
      </c>
      <c r="L1225" s="0" t="str">
        <f aca="false">IF(H1225="TRUE","Out of stock","In stock")</f>
        <v>Out of stock</v>
      </c>
      <c r="M1225" s="0" t="str">
        <f aca="false">IF(D1225&lt;5,"1) Under 5%",IF(D1225&lt;10,"2) 5-9%",IF(D1225&lt;15,"3) 10-14%",IF(D1225&lt;25,"4) 15-24%","5) 25%+"))))</f>
        <v>1) Under 5%</v>
      </c>
      <c r="N1225" s="0" t="str">
        <f aca="false">IF(F1225&lt;50,"1) Under Rs 50",IF(F1225&lt;100,"2) Rs 50-99",IF(F1225&lt;200,"3) Rs 100-199",IF(F1225&lt;500,"4) Rs 200-499","5) Rs 500+"))))</f>
        <v>2) Rs 50-99</v>
      </c>
      <c r="O1225" s="0" t="n">
        <f aca="false">G1225*E1225/1000</f>
        <v>0</v>
      </c>
    </row>
    <row r="1226" customFormat="false" ht="15" hidden="false" customHeight="false" outlineLevel="0" collapsed="false">
      <c r="A1226" s="0" t="s">
        <v>101</v>
      </c>
      <c r="B1226" s="0" t="s">
        <v>250</v>
      </c>
      <c r="C1226" s="0" t="n">
        <v>63</v>
      </c>
      <c r="D1226" s="0" t="n">
        <v>0</v>
      </c>
      <c r="E1226" s="0" t="n">
        <v>0</v>
      </c>
      <c r="F1226" s="0" t="n">
        <v>63</v>
      </c>
      <c r="G1226" s="0" t="n">
        <v>250</v>
      </c>
      <c r="H1226" s="0" t="s">
        <v>230</v>
      </c>
      <c r="I1226" s="0" t="n">
        <v>250</v>
      </c>
      <c r="J1226" s="0" t="n">
        <f aca="false">F1226*E1226</f>
        <v>0</v>
      </c>
      <c r="K1226" s="0" t="str">
        <f aca="false">IF(G1226&lt;1000,"1-Low",IF(G1226&lt;5000,"2-Medium","3-Bulk"))</f>
        <v>1-Low</v>
      </c>
      <c r="L1226" s="0" t="str">
        <f aca="false">IF(H1226="TRUE","Out of stock","In stock")</f>
        <v>Out of stock</v>
      </c>
      <c r="M1226" s="0" t="str">
        <f aca="false">IF(D1226&lt;5,"1) Under 5%",IF(D1226&lt;10,"2) 5-9%",IF(D1226&lt;15,"3) 10-14%",IF(D1226&lt;25,"4) 15-24%","5) 25%+"))))</f>
        <v>1) Under 5%</v>
      </c>
      <c r="N1226" s="0" t="str">
        <f aca="false">IF(F1226&lt;50,"1) Under Rs 50",IF(F1226&lt;100,"2) Rs 50-99",IF(F1226&lt;200,"3) Rs 100-199",IF(F1226&lt;500,"4) Rs 200-499","5) Rs 500+"))))</f>
        <v>2) Rs 50-99</v>
      </c>
      <c r="O1226" s="0" t="n">
        <f aca="false">G1226*E1226/1000</f>
        <v>0</v>
      </c>
    </row>
    <row r="1227" customFormat="false" ht="15" hidden="false" customHeight="false" outlineLevel="0" collapsed="false">
      <c r="A1227" s="0" t="s">
        <v>101</v>
      </c>
      <c r="B1227" s="0" t="s">
        <v>786</v>
      </c>
      <c r="C1227" s="0" t="n">
        <v>25</v>
      </c>
      <c r="D1227" s="0" t="n">
        <v>4</v>
      </c>
      <c r="E1227" s="0" t="n">
        <v>0</v>
      </c>
      <c r="F1227" s="0" t="n">
        <v>24</v>
      </c>
      <c r="G1227" s="0" t="n">
        <v>250</v>
      </c>
      <c r="H1227" s="0" t="s">
        <v>230</v>
      </c>
      <c r="I1227" s="0" t="n">
        <v>250</v>
      </c>
      <c r="J1227" s="0" t="n">
        <f aca="false">F1227*E1227</f>
        <v>0</v>
      </c>
      <c r="K1227" s="0" t="str">
        <f aca="false">IF(G1227&lt;1000,"1-Low",IF(G1227&lt;5000,"2-Medium","3-Bulk"))</f>
        <v>1-Low</v>
      </c>
      <c r="L1227" s="0" t="str">
        <f aca="false">IF(H1227="TRUE","Out of stock","In stock")</f>
        <v>Out of stock</v>
      </c>
      <c r="M1227" s="0" t="str">
        <f aca="false">IF(D1227&lt;5,"1) Under 5%",IF(D1227&lt;10,"2) 5-9%",IF(D1227&lt;15,"3) 10-14%",IF(D1227&lt;25,"4) 15-24%","5) 25%+"))))</f>
        <v>1) Under 5%</v>
      </c>
      <c r="N1227" s="0" t="str">
        <f aca="false">IF(F1227&lt;50,"1) Under Rs 50",IF(F1227&lt;100,"2) Rs 50-99",IF(F1227&lt;200,"3) Rs 100-199",IF(F1227&lt;500,"4) Rs 200-499","5) Rs 500+"))))</f>
        <v>1) Under Rs 50</v>
      </c>
      <c r="O1227" s="0" t="n">
        <f aca="false">G1227*E1227/1000</f>
        <v>0</v>
      </c>
    </row>
    <row r="1228" customFormat="false" ht="15" hidden="false" customHeight="false" outlineLevel="0" collapsed="false">
      <c r="A1228" s="0" t="s">
        <v>101</v>
      </c>
      <c r="B1228" s="0" t="s">
        <v>787</v>
      </c>
      <c r="C1228" s="0" t="n">
        <v>40</v>
      </c>
      <c r="D1228" s="0" t="n">
        <v>0</v>
      </c>
      <c r="E1228" s="0" t="n">
        <v>0</v>
      </c>
      <c r="F1228" s="0" t="n">
        <v>40</v>
      </c>
      <c r="G1228" s="0" t="n">
        <v>400</v>
      </c>
      <c r="H1228" s="0" t="s">
        <v>230</v>
      </c>
      <c r="I1228" s="0" t="n">
        <v>400</v>
      </c>
      <c r="J1228" s="0" t="n">
        <f aca="false">F1228*E1228</f>
        <v>0</v>
      </c>
      <c r="K1228" s="0" t="str">
        <f aca="false">IF(G1228&lt;1000,"1-Low",IF(G1228&lt;5000,"2-Medium","3-Bulk"))</f>
        <v>1-Low</v>
      </c>
      <c r="L1228" s="0" t="str">
        <f aca="false">IF(H1228="TRUE","Out of stock","In stock")</f>
        <v>Out of stock</v>
      </c>
      <c r="M1228" s="0" t="str">
        <f aca="false">IF(D1228&lt;5,"1) Under 5%",IF(D1228&lt;10,"2) 5-9%",IF(D1228&lt;15,"3) 10-14%",IF(D1228&lt;25,"4) 15-24%","5) 25%+"))))</f>
        <v>1) Under 5%</v>
      </c>
      <c r="N1228" s="0" t="str">
        <f aca="false">IF(F1228&lt;50,"1) Under Rs 50",IF(F1228&lt;100,"2) Rs 50-99",IF(F1228&lt;200,"3) Rs 100-199",IF(F1228&lt;500,"4) Rs 200-499","5) Rs 500+"))))</f>
        <v>1) Under Rs 50</v>
      </c>
      <c r="O1228" s="0" t="n">
        <f aca="false">G1228*E1228/1000</f>
        <v>0</v>
      </c>
    </row>
    <row r="1229" customFormat="false" ht="15" hidden="false" customHeight="false" outlineLevel="0" collapsed="false">
      <c r="A1229" s="0" t="s">
        <v>101</v>
      </c>
      <c r="B1229" s="0" t="s">
        <v>788</v>
      </c>
      <c r="C1229" s="0" t="n">
        <v>75</v>
      </c>
      <c r="D1229" s="0" t="n">
        <v>0</v>
      </c>
      <c r="E1229" s="0" t="n">
        <v>0</v>
      </c>
      <c r="F1229" s="0" t="n">
        <v>75</v>
      </c>
      <c r="G1229" s="0" t="n">
        <v>1000</v>
      </c>
      <c r="H1229" s="0" t="s">
        <v>230</v>
      </c>
      <c r="I1229" s="0" t="n">
        <v>1</v>
      </c>
      <c r="J1229" s="0" t="n">
        <f aca="false">F1229*E1229</f>
        <v>0</v>
      </c>
      <c r="K1229" s="0" t="str">
        <f aca="false">IF(G1229&lt;1000,"1-Low",IF(G1229&lt;5000,"2-Medium","3-Bulk"))</f>
        <v>2-Medium</v>
      </c>
      <c r="L1229" s="0" t="str">
        <f aca="false">IF(H1229="TRUE","Out of stock","In stock")</f>
        <v>Out of stock</v>
      </c>
      <c r="M1229" s="0" t="str">
        <f aca="false">IF(D1229&lt;5,"1) Under 5%",IF(D1229&lt;10,"2) 5-9%",IF(D1229&lt;15,"3) 10-14%",IF(D1229&lt;25,"4) 15-24%","5) 25%+"))))</f>
        <v>1) Under 5%</v>
      </c>
      <c r="N1229" s="0" t="str">
        <f aca="false">IF(F1229&lt;50,"1) Under Rs 50",IF(F1229&lt;100,"2) Rs 50-99",IF(F1229&lt;200,"3) Rs 100-199",IF(F1229&lt;500,"4) Rs 200-499","5) Rs 500+"))))</f>
        <v>2) Rs 50-99</v>
      </c>
      <c r="O1229" s="0" t="n">
        <f aca="false">G1229*E1229/1000</f>
        <v>0</v>
      </c>
    </row>
    <row r="1230" customFormat="false" ht="15" hidden="false" customHeight="false" outlineLevel="0" collapsed="false">
      <c r="A1230" s="0" t="s">
        <v>101</v>
      </c>
      <c r="B1230" s="0" t="s">
        <v>734</v>
      </c>
      <c r="C1230" s="0" t="n">
        <v>71</v>
      </c>
      <c r="D1230" s="0" t="n">
        <v>1</v>
      </c>
      <c r="E1230" s="0" t="n">
        <v>0</v>
      </c>
      <c r="F1230" s="0" t="n">
        <v>70</v>
      </c>
      <c r="G1230" s="0" t="n">
        <v>100</v>
      </c>
      <c r="H1230" s="0" t="s">
        <v>230</v>
      </c>
      <c r="I1230" s="0" t="n">
        <v>100</v>
      </c>
      <c r="J1230" s="0" t="n">
        <f aca="false">F1230*E1230</f>
        <v>0</v>
      </c>
      <c r="K1230" s="0" t="str">
        <f aca="false">IF(G1230&lt;1000,"1-Low",IF(G1230&lt;5000,"2-Medium","3-Bulk"))</f>
        <v>1-Low</v>
      </c>
      <c r="L1230" s="0" t="str">
        <f aca="false">IF(H1230="TRUE","Out of stock","In stock")</f>
        <v>Out of stock</v>
      </c>
      <c r="M1230" s="0" t="str">
        <f aca="false">IF(D1230&lt;5,"1) Under 5%",IF(D1230&lt;10,"2) 5-9%",IF(D1230&lt;15,"3) 10-14%",IF(D1230&lt;25,"4) 15-24%","5) 25%+"))))</f>
        <v>1) Under 5%</v>
      </c>
      <c r="N1230" s="0" t="str">
        <f aca="false">IF(F1230&lt;50,"1) Under Rs 50",IF(F1230&lt;100,"2) Rs 50-99",IF(F1230&lt;200,"3) Rs 100-199",IF(F1230&lt;500,"4) Rs 200-499","5) Rs 500+"))))</f>
        <v>2) Rs 50-99</v>
      </c>
      <c r="O1230" s="0" t="n">
        <f aca="false">G1230*E1230/1000</f>
        <v>0</v>
      </c>
    </row>
    <row r="1231" customFormat="false" ht="15" hidden="false" customHeight="false" outlineLevel="0" collapsed="false">
      <c r="A1231" s="0" t="s">
        <v>101</v>
      </c>
      <c r="B1231" s="0" t="s">
        <v>789</v>
      </c>
      <c r="C1231" s="0" t="n">
        <v>100</v>
      </c>
      <c r="D1231" s="0" t="n">
        <v>1</v>
      </c>
      <c r="E1231" s="0" t="n">
        <v>0</v>
      </c>
      <c r="F1231" s="0" t="n">
        <v>99</v>
      </c>
      <c r="G1231" s="0" t="n">
        <v>200</v>
      </c>
      <c r="H1231" s="0" t="s">
        <v>230</v>
      </c>
      <c r="I1231" s="0" t="n">
        <v>200</v>
      </c>
      <c r="J1231" s="0" t="n">
        <f aca="false">F1231*E1231</f>
        <v>0</v>
      </c>
      <c r="K1231" s="0" t="str">
        <f aca="false">IF(G1231&lt;1000,"1-Low",IF(G1231&lt;5000,"2-Medium","3-Bulk"))</f>
        <v>1-Low</v>
      </c>
      <c r="L1231" s="0" t="str">
        <f aca="false">IF(H1231="TRUE","Out of stock","In stock")</f>
        <v>Out of stock</v>
      </c>
      <c r="M1231" s="0" t="str">
        <f aca="false">IF(D1231&lt;5,"1) Under 5%",IF(D1231&lt;10,"2) 5-9%",IF(D1231&lt;15,"3) 10-14%",IF(D1231&lt;25,"4) 15-24%","5) 25%+"))))</f>
        <v>1) Under 5%</v>
      </c>
      <c r="N1231" s="0" t="str">
        <f aca="false">IF(F1231&lt;50,"1) Under Rs 50",IF(F1231&lt;100,"2) Rs 50-99",IF(F1231&lt;200,"3) Rs 100-199",IF(F1231&lt;500,"4) Rs 200-499","5) Rs 500+"))))</f>
        <v>2) Rs 50-99</v>
      </c>
      <c r="O1231" s="0" t="n">
        <f aca="false">G1231*E1231/1000</f>
        <v>0</v>
      </c>
    </row>
    <row r="1232" customFormat="false" ht="15" hidden="false" customHeight="false" outlineLevel="0" collapsed="false">
      <c r="A1232" s="0" t="s">
        <v>101</v>
      </c>
      <c r="B1232" s="0" t="s">
        <v>790</v>
      </c>
      <c r="C1232" s="0" t="n">
        <v>30</v>
      </c>
      <c r="D1232" s="0" t="n">
        <v>0</v>
      </c>
      <c r="E1232" s="0" t="n">
        <v>0</v>
      </c>
      <c r="F1232" s="0" t="n">
        <v>30</v>
      </c>
      <c r="G1232" s="0" t="n">
        <v>150</v>
      </c>
      <c r="H1232" s="0" t="s">
        <v>230</v>
      </c>
      <c r="I1232" s="0" t="n">
        <v>150</v>
      </c>
      <c r="J1232" s="0" t="n">
        <f aca="false">F1232*E1232</f>
        <v>0</v>
      </c>
      <c r="K1232" s="0" t="str">
        <f aca="false">IF(G1232&lt;1000,"1-Low",IF(G1232&lt;5000,"2-Medium","3-Bulk"))</f>
        <v>1-Low</v>
      </c>
      <c r="L1232" s="0" t="str">
        <f aca="false">IF(H1232="TRUE","Out of stock","In stock")</f>
        <v>Out of stock</v>
      </c>
      <c r="M1232" s="0" t="str">
        <f aca="false">IF(D1232&lt;5,"1) Under 5%",IF(D1232&lt;10,"2) 5-9%",IF(D1232&lt;15,"3) 10-14%",IF(D1232&lt;25,"4) 15-24%","5) 25%+"))))</f>
        <v>1) Under 5%</v>
      </c>
      <c r="N1232" s="0" t="str">
        <f aca="false">IF(F1232&lt;50,"1) Under Rs 50",IF(F1232&lt;100,"2) Rs 50-99",IF(F1232&lt;200,"3) Rs 100-199",IF(F1232&lt;500,"4) Rs 200-499","5) Rs 500+"))))</f>
        <v>1) Under Rs 50</v>
      </c>
      <c r="O1232" s="0" t="n">
        <f aca="false">G1232*E1232/1000</f>
        <v>0</v>
      </c>
    </row>
    <row r="1233" customFormat="false" ht="15" hidden="false" customHeight="false" outlineLevel="0" collapsed="false">
      <c r="A1233" s="0" t="s">
        <v>101</v>
      </c>
      <c r="B1233" s="0" t="s">
        <v>791</v>
      </c>
      <c r="C1233" s="0" t="n">
        <v>78</v>
      </c>
      <c r="D1233" s="0" t="n">
        <v>3</v>
      </c>
      <c r="E1233" s="0" t="n">
        <v>0</v>
      </c>
      <c r="F1233" s="0" t="n">
        <v>75</v>
      </c>
      <c r="G1233" s="0" t="n">
        <v>400</v>
      </c>
      <c r="H1233" s="0" t="s">
        <v>230</v>
      </c>
      <c r="I1233" s="0" t="n">
        <v>400</v>
      </c>
      <c r="J1233" s="0" t="n">
        <f aca="false">F1233*E1233</f>
        <v>0</v>
      </c>
      <c r="K1233" s="0" t="str">
        <f aca="false">IF(G1233&lt;1000,"1-Low",IF(G1233&lt;5000,"2-Medium","3-Bulk"))</f>
        <v>1-Low</v>
      </c>
      <c r="L1233" s="0" t="str">
        <f aca="false">IF(H1233="TRUE","Out of stock","In stock")</f>
        <v>Out of stock</v>
      </c>
      <c r="M1233" s="0" t="str">
        <f aca="false">IF(D1233&lt;5,"1) Under 5%",IF(D1233&lt;10,"2) 5-9%",IF(D1233&lt;15,"3) 10-14%",IF(D1233&lt;25,"4) 15-24%","5) 25%+"))))</f>
        <v>1) Under 5%</v>
      </c>
      <c r="N1233" s="0" t="str">
        <f aca="false">IF(F1233&lt;50,"1) Under Rs 50",IF(F1233&lt;100,"2) Rs 50-99",IF(F1233&lt;200,"3) Rs 100-199",IF(F1233&lt;500,"4) Rs 200-499","5) Rs 500+"))))</f>
        <v>2) Rs 50-99</v>
      </c>
      <c r="O1233" s="0" t="n">
        <f aca="false">G1233*E1233/1000</f>
        <v>0</v>
      </c>
    </row>
    <row r="1234" customFormat="false" ht="15" hidden="false" customHeight="false" outlineLevel="0" collapsed="false">
      <c r="A1234" s="0" t="s">
        <v>101</v>
      </c>
      <c r="B1234" s="0" t="s">
        <v>792</v>
      </c>
      <c r="C1234" s="0" t="n">
        <v>35</v>
      </c>
      <c r="D1234" s="0" t="n">
        <v>0</v>
      </c>
      <c r="E1234" s="0" t="n">
        <v>0</v>
      </c>
      <c r="F1234" s="0" t="n">
        <v>35</v>
      </c>
      <c r="G1234" s="0" t="n">
        <v>300</v>
      </c>
      <c r="H1234" s="0" t="s">
        <v>230</v>
      </c>
      <c r="I1234" s="0" t="n">
        <v>300</v>
      </c>
      <c r="J1234" s="0" t="n">
        <f aca="false">F1234*E1234</f>
        <v>0</v>
      </c>
      <c r="K1234" s="0" t="str">
        <f aca="false">IF(G1234&lt;1000,"1-Low",IF(G1234&lt;5000,"2-Medium","3-Bulk"))</f>
        <v>1-Low</v>
      </c>
      <c r="L1234" s="0" t="str">
        <f aca="false">IF(H1234="TRUE","Out of stock","In stock")</f>
        <v>Out of stock</v>
      </c>
      <c r="M1234" s="0" t="str">
        <f aca="false">IF(D1234&lt;5,"1) Under 5%",IF(D1234&lt;10,"2) 5-9%",IF(D1234&lt;15,"3) 10-14%",IF(D1234&lt;25,"4) 15-24%","5) 25%+"))))</f>
        <v>1) Under 5%</v>
      </c>
      <c r="N1234" s="0" t="str">
        <f aca="false">IF(F1234&lt;50,"1) Under Rs 50",IF(F1234&lt;100,"2) Rs 50-99",IF(F1234&lt;200,"3) Rs 100-199",IF(F1234&lt;500,"4) Rs 200-499","5) Rs 500+"))))</f>
        <v>1) Under Rs 50</v>
      </c>
      <c r="O1234" s="0" t="n">
        <f aca="false">G1234*E1234/1000</f>
        <v>0</v>
      </c>
    </row>
    <row r="1235" customFormat="false" ht="15" hidden="false" customHeight="false" outlineLevel="0" collapsed="false">
      <c r="A1235" s="0" t="s">
        <v>101</v>
      </c>
      <c r="B1235" s="0" t="s">
        <v>793</v>
      </c>
      <c r="C1235" s="0" t="n">
        <v>40</v>
      </c>
      <c r="D1235" s="0" t="n">
        <v>0</v>
      </c>
      <c r="E1235" s="0" t="n">
        <v>0</v>
      </c>
      <c r="F1235" s="0" t="n">
        <v>40</v>
      </c>
      <c r="G1235" s="0" t="n">
        <v>200</v>
      </c>
      <c r="H1235" s="0" t="s">
        <v>230</v>
      </c>
      <c r="I1235" s="0" t="n">
        <v>200</v>
      </c>
      <c r="J1235" s="0" t="n">
        <f aca="false">F1235*E1235</f>
        <v>0</v>
      </c>
      <c r="K1235" s="0" t="str">
        <f aca="false">IF(G1235&lt;1000,"1-Low",IF(G1235&lt;5000,"2-Medium","3-Bulk"))</f>
        <v>1-Low</v>
      </c>
      <c r="L1235" s="0" t="str">
        <f aca="false">IF(H1235="TRUE","Out of stock","In stock")</f>
        <v>Out of stock</v>
      </c>
      <c r="M1235" s="0" t="str">
        <f aca="false">IF(D1235&lt;5,"1) Under 5%",IF(D1235&lt;10,"2) 5-9%",IF(D1235&lt;15,"3) 10-14%",IF(D1235&lt;25,"4) 15-24%","5) 25%+"))))</f>
        <v>1) Under 5%</v>
      </c>
      <c r="N1235" s="0" t="str">
        <f aca="false">IF(F1235&lt;50,"1) Under Rs 50",IF(F1235&lt;100,"2) Rs 50-99",IF(F1235&lt;200,"3) Rs 100-199",IF(F1235&lt;500,"4) Rs 200-499","5) Rs 500+"))))</f>
        <v>1) Under Rs 50</v>
      </c>
      <c r="O1235" s="0" t="n">
        <f aca="false">G1235*E1235/1000</f>
        <v>0</v>
      </c>
    </row>
    <row r="1236" customFormat="false" ht="15" hidden="false" customHeight="false" outlineLevel="0" collapsed="false">
      <c r="A1236" s="0" t="s">
        <v>101</v>
      </c>
      <c r="B1236" s="0" t="s">
        <v>794</v>
      </c>
      <c r="C1236" s="0" t="n">
        <v>85</v>
      </c>
      <c r="D1236" s="0" t="n">
        <v>0</v>
      </c>
      <c r="E1236" s="0" t="n">
        <v>0</v>
      </c>
      <c r="F1236" s="0" t="n">
        <v>85</v>
      </c>
      <c r="G1236" s="0" t="n">
        <v>200</v>
      </c>
      <c r="H1236" s="0" t="s">
        <v>230</v>
      </c>
      <c r="I1236" s="0" t="n">
        <v>200</v>
      </c>
      <c r="J1236" s="0" t="n">
        <f aca="false">F1236*E1236</f>
        <v>0</v>
      </c>
      <c r="K1236" s="0" t="str">
        <f aca="false">IF(G1236&lt;1000,"1-Low",IF(G1236&lt;5000,"2-Medium","3-Bulk"))</f>
        <v>1-Low</v>
      </c>
      <c r="L1236" s="0" t="str">
        <f aca="false">IF(H1236="TRUE","Out of stock","In stock")</f>
        <v>Out of stock</v>
      </c>
      <c r="M1236" s="0" t="str">
        <f aca="false">IF(D1236&lt;5,"1) Under 5%",IF(D1236&lt;10,"2) 5-9%",IF(D1236&lt;15,"3) 10-14%",IF(D1236&lt;25,"4) 15-24%","5) 25%+"))))</f>
        <v>1) Under 5%</v>
      </c>
      <c r="N1236" s="0" t="str">
        <f aca="false">IF(F1236&lt;50,"1) Under Rs 50",IF(F1236&lt;100,"2) Rs 50-99",IF(F1236&lt;200,"3) Rs 100-199",IF(F1236&lt;500,"4) Rs 200-499","5) Rs 500+"))))</f>
        <v>2) Rs 50-99</v>
      </c>
      <c r="O1236" s="0" t="n">
        <f aca="false">G1236*E1236/1000</f>
        <v>0</v>
      </c>
    </row>
    <row r="1237" customFormat="false" ht="15" hidden="false" customHeight="false" outlineLevel="0" collapsed="false">
      <c r="A1237" s="0" t="s">
        <v>101</v>
      </c>
      <c r="B1237" s="0" t="s">
        <v>795</v>
      </c>
      <c r="C1237" s="0" t="n">
        <v>30</v>
      </c>
      <c r="D1237" s="0" t="n">
        <v>0</v>
      </c>
      <c r="E1237" s="0" t="n">
        <v>0</v>
      </c>
      <c r="F1237" s="0" t="n">
        <v>30</v>
      </c>
      <c r="G1237" s="0" t="n">
        <v>250</v>
      </c>
      <c r="H1237" s="0" t="s">
        <v>230</v>
      </c>
      <c r="I1237" s="0" t="n">
        <v>250</v>
      </c>
      <c r="J1237" s="0" t="n">
        <f aca="false">F1237*E1237</f>
        <v>0</v>
      </c>
      <c r="K1237" s="0" t="str">
        <f aca="false">IF(G1237&lt;1000,"1-Low",IF(G1237&lt;5000,"2-Medium","3-Bulk"))</f>
        <v>1-Low</v>
      </c>
      <c r="L1237" s="0" t="str">
        <f aca="false">IF(H1237="TRUE","Out of stock","In stock")</f>
        <v>Out of stock</v>
      </c>
      <c r="M1237" s="0" t="str">
        <f aca="false">IF(D1237&lt;5,"1) Under 5%",IF(D1237&lt;10,"2) 5-9%",IF(D1237&lt;15,"3) 10-14%",IF(D1237&lt;25,"4) 15-24%","5) 25%+"))))</f>
        <v>1) Under 5%</v>
      </c>
      <c r="N1237" s="0" t="str">
        <f aca="false">IF(F1237&lt;50,"1) Under Rs 50",IF(F1237&lt;100,"2) Rs 50-99",IF(F1237&lt;200,"3) Rs 100-199",IF(F1237&lt;500,"4) Rs 200-499","5) Rs 500+"))))</f>
        <v>1) Under Rs 50</v>
      </c>
      <c r="O1237" s="0" t="n">
        <f aca="false">G1237*E1237/1000</f>
        <v>0</v>
      </c>
    </row>
    <row r="1238" customFormat="false" ht="15" hidden="false" customHeight="false" outlineLevel="0" collapsed="false">
      <c r="A1238" s="0" t="s">
        <v>101</v>
      </c>
      <c r="B1238" s="0" t="s">
        <v>796</v>
      </c>
      <c r="C1238" s="0" t="n">
        <v>62</v>
      </c>
      <c r="D1238" s="0" t="n">
        <v>0</v>
      </c>
      <c r="E1238" s="0" t="n">
        <v>0</v>
      </c>
      <c r="F1238" s="0" t="n">
        <v>62</v>
      </c>
      <c r="G1238" s="0" t="n">
        <v>696</v>
      </c>
      <c r="H1238" s="0" t="s">
        <v>230</v>
      </c>
      <c r="I1238" s="0" t="n">
        <v>12</v>
      </c>
      <c r="J1238" s="0" t="n">
        <f aca="false">F1238*E1238</f>
        <v>0</v>
      </c>
      <c r="K1238" s="0" t="str">
        <f aca="false">IF(G1238&lt;1000,"1-Low",IF(G1238&lt;5000,"2-Medium","3-Bulk"))</f>
        <v>1-Low</v>
      </c>
      <c r="L1238" s="0" t="str">
        <f aca="false">IF(H1238="TRUE","Out of stock","In stock")</f>
        <v>Out of stock</v>
      </c>
      <c r="M1238" s="0" t="str">
        <f aca="false">IF(D1238&lt;5,"1) Under 5%",IF(D1238&lt;10,"2) 5-9%",IF(D1238&lt;15,"3) 10-14%",IF(D1238&lt;25,"4) 15-24%","5) 25%+"))))</f>
        <v>1) Under 5%</v>
      </c>
      <c r="N1238" s="0" t="str">
        <f aca="false">IF(F1238&lt;50,"1) Under Rs 50",IF(F1238&lt;100,"2) Rs 50-99",IF(F1238&lt;200,"3) Rs 100-199",IF(F1238&lt;500,"4) Rs 200-499","5) Rs 500+"))))</f>
        <v>2) Rs 50-99</v>
      </c>
      <c r="O1238" s="0" t="n">
        <f aca="false">G1238*E1238/1000</f>
        <v>0</v>
      </c>
    </row>
    <row r="1239" customFormat="false" ht="15" hidden="false" customHeight="false" outlineLevel="0" collapsed="false">
      <c r="A1239" s="0" t="s">
        <v>101</v>
      </c>
      <c r="B1239" s="0" t="s">
        <v>797</v>
      </c>
      <c r="C1239" s="0" t="n">
        <v>65</v>
      </c>
      <c r="D1239" s="0" t="n">
        <v>0</v>
      </c>
      <c r="E1239" s="0" t="n">
        <v>0</v>
      </c>
      <c r="F1239" s="0" t="n">
        <v>65</v>
      </c>
      <c r="G1239" s="0" t="n">
        <v>400</v>
      </c>
      <c r="H1239" s="0" t="s">
        <v>230</v>
      </c>
      <c r="I1239" s="0" t="n">
        <v>400</v>
      </c>
      <c r="J1239" s="0" t="n">
        <f aca="false">F1239*E1239</f>
        <v>0</v>
      </c>
      <c r="K1239" s="0" t="str">
        <f aca="false">IF(G1239&lt;1000,"1-Low",IF(G1239&lt;5000,"2-Medium","3-Bulk"))</f>
        <v>1-Low</v>
      </c>
      <c r="L1239" s="0" t="str">
        <f aca="false">IF(H1239="TRUE","Out of stock","In stock")</f>
        <v>Out of stock</v>
      </c>
      <c r="M1239" s="0" t="str">
        <f aca="false">IF(D1239&lt;5,"1) Under 5%",IF(D1239&lt;10,"2) 5-9%",IF(D1239&lt;15,"3) 10-14%",IF(D1239&lt;25,"4) 15-24%","5) 25%+"))))</f>
        <v>1) Under 5%</v>
      </c>
      <c r="N1239" s="0" t="str">
        <f aca="false">IF(F1239&lt;50,"1) Under Rs 50",IF(F1239&lt;100,"2) Rs 50-99",IF(F1239&lt;200,"3) Rs 100-199",IF(F1239&lt;500,"4) Rs 200-499","5) Rs 500+"))))</f>
        <v>2) Rs 50-99</v>
      </c>
      <c r="O1239" s="0" t="n">
        <f aca="false">G1239*E1239/1000</f>
        <v>0</v>
      </c>
    </row>
    <row r="1240" customFormat="false" ht="15" hidden="false" customHeight="false" outlineLevel="0" collapsed="false">
      <c r="A1240" s="0" t="s">
        <v>101</v>
      </c>
      <c r="B1240" s="0" t="s">
        <v>798</v>
      </c>
      <c r="C1240" s="0" t="n">
        <v>89</v>
      </c>
      <c r="D1240" s="0" t="n">
        <v>0</v>
      </c>
      <c r="E1240" s="0" t="n">
        <v>0</v>
      </c>
      <c r="F1240" s="0" t="n">
        <v>89</v>
      </c>
      <c r="G1240" s="0" t="n">
        <v>1000</v>
      </c>
      <c r="H1240" s="0" t="s">
        <v>230</v>
      </c>
      <c r="I1240" s="0" t="n">
        <v>1</v>
      </c>
      <c r="J1240" s="0" t="n">
        <f aca="false">F1240*E1240</f>
        <v>0</v>
      </c>
      <c r="K1240" s="0" t="str">
        <f aca="false">IF(G1240&lt;1000,"1-Low",IF(G1240&lt;5000,"2-Medium","3-Bulk"))</f>
        <v>2-Medium</v>
      </c>
      <c r="L1240" s="0" t="str">
        <f aca="false">IF(H1240="TRUE","Out of stock","In stock")</f>
        <v>Out of stock</v>
      </c>
      <c r="M1240" s="0" t="str">
        <f aca="false">IF(D1240&lt;5,"1) Under 5%",IF(D1240&lt;10,"2) 5-9%",IF(D1240&lt;15,"3) 10-14%",IF(D1240&lt;25,"4) 15-24%","5) 25%+"))))</f>
        <v>1) Under 5%</v>
      </c>
      <c r="N1240" s="0" t="str">
        <f aca="false">IF(F1240&lt;50,"1) Under Rs 50",IF(F1240&lt;100,"2) Rs 50-99",IF(F1240&lt;200,"3) Rs 100-199",IF(F1240&lt;500,"4) Rs 200-499","5) Rs 500+"))))</f>
        <v>2) Rs 50-99</v>
      </c>
      <c r="O1240" s="0" t="n">
        <f aca="false">G1240*E1240/1000</f>
        <v>0</v>
      </c>
    </row>
    <row r="1241" customFormat="false" ht="15" hidden="false" customHeight="false" outlineLevel="0" collapsed="false">
      <c r="A1241" s="0" t="s">
        <v>101</v>
      </c>
      <c r="B1241" s="0" t="s">
        <v>799</v>
      </c>
      <c r="C1241" s="0" t="n">
        <v>125</v>
      </c>
      <c r="D1241" s="0" t="n">
        <v>5</v>
      </c>
      <c r="E1241" s="0" t="n">
        <v>0</v>
      </c>
      <c r="F1241" s="0" t="n">
        <v>118</v>
      </c>
      <c r="G1241" s="0" t="n">
        <v>200</v>
      </c>
      <c r="H1241" s="0" t="s">
        <v>230</v>
      </c>
      <c r="I1241" s="0" t="n">
        <v>200</v>
      </c>
      <c r="J1241" s="0" t="n">
        <f aca="false">F1241*E1241</f>
        <v>0</v>
      </c>
      <c r="K1241" s="0" t="str">
        <f aca="false">IF(G1241&lt;1000,"1-Low",IF(G1241&lt;5000,"2-Medium","3-Bulk"))</f>
        <v>1-Low</v>
      </c>
      <c r="L1241" s="0" t="str">
        <f aca="false">IF(H1241="TRUE","Out of stock","In stock")</f>
        <v>Out of stock</v>
      </c>
      <c r="M1241" s="0" t="str">
        <f aca="false">IF(D1241&lt;5,"1) Under 5%",IF(D1241&lt;10,"2) 5-9%",IF(D1241&lt;15,"3) 10-14%",IF(D1241&lt;25,"4) 15-24%","5) 25%+"))))</f>
        <v>2) 5-9%</v>
      </c>
      <c r="N1241" s="0" t="str">
        <f aca="false">IF(F1241&lt;50,"1) Under Rs 50",IF(F1241&lt;100,"2) Rs 50-99",IF(F1241&lt;200,"3) Rs 100-199",IF(F1241&lt;500,"4) Rs 200-499","5) Rs 500+"))))</f>
        <v>3) Rs 100-199</v>
      </c>
      <c r="O1241" s="0" t="n">
        <f aca="false">G1241*E1241/1000</f>
        <v>0</v>
      </c>
    </row>
    <row r="1242" customFormat="false" ht="15" hidden="false" customHeight="false" outlineLevel="0" collapsed="false">
      <c r="A1242" s="0" t="s">
        <v>101</v>
      </c>
      <c r="B1242" s="0" t="s">
        <v>800</v>
      </c>
      <c r="C1242" s="0" t="n">
        <v>185</v>
      </c>
      <c r="D1242" s="0" t="n">
        <v>20</v>
      </c>
      <c r="E1242" s="0" t="n">
        <v>0</v>
      </c>
      <c r="F1242" s="0" t="n">
        <v>148</v>
      </c>
      <c r="G1242" s="0" t="n">
        <v>325</v>
      </c>
      <c r="H1242" s="0" t="s">
        <v>230</v>
      </c>
      <c r="I1242" s="0" t="n">
        <v>325</v>
      </c>
      <c r="J1242" s="0" t="n">
        <f aca="false">F1242*E1242</f>
        <v>0</v>
      </c>
      <c r="K1242" s="0" t="str">
        <f aca="false">IF(G1242&lt;1000,"1-Low",IF(G1242&lt;5000,"2-Medium","3-Bulk"))</f>
        <v>1-Low</v>
      </c>
      <c r="L1242" s="0" t="str">
        <f aca="false">IF(H1242="TRUE","Out of stock","In stock")</f>
        <v>Out of stock</v>
      </c>
      <c r="M1242" s="0" t="str">
        <f aca="false">IF(D1242&lt;5,"1) Under 5%",IF(D1242&lt;10,"2) 5-9%",IF(D1242&lt;15,"3) 10-14%",IF(D1242&lt;25,"4) 15-24%","5) 25%+"))))</f>
        <v>4) 15-24%</v>
      </c>
      <c r="N1242" s="0" t="str">
        <f aca="false">IF(F1242&lt;50,"1) Under Rs 50",IF(F1242&lt;100,"2) Rs 50-99",IF(F1242&lt;200,"3) Rs 100-199",IF(F1242&lt;500,"4) Rs 200-499","5) Rs 500+"))))</f>
        <v>3) Rs 100-199</v>
      </c>
      <c r="O1242" s="0" t="n">
        <f aca="false">G1242*E1242/1000</f>
        <v>0</v>
      </c>
    </row>
    <row r="1243" customFormat="false" ht="15" hidden="false" customHeight="false" outlineLevel="0" collapsed="false">
      <c r="A1243" s="0" t="s">
        <v>101</v>
      </c>
      <c r="B1243" s="0" t="s">
        <v>801</v>
      </c>
      <c r="C1243" s="0" t="n">
        <v>85</v>
      </c>
      <c r="D1243" s="0" t="n">
        <v>3</v>
      </c>
      <c r="E1243" s="0" t="n">
        <v>0</v>
      </c>
      <c r="F1243" s="0" t="n">
        <v>82</v>
      </c>
      <c r="G1243" s="0" t="n">
        <v>200</v>
      </c>
      <c r="H1243" s="0" t="s">
        <v>230</v>
      </c>
      <c r="I1243" s="0" t="n">
        <v>200</v>
      </c>
      <c r="J1243" s="0" t="n">
        <f aca="false">F1243*E1243</f>
        <v>0</v>
      </c>
      <c r="K1243" s="0" t="str">
        <f aca="false">IF(G1243&lt;1000,"1-Low",IF(G1243&lt;5000,"2-Medium","3-Bulk"))</f>
        <v>1-Low</v>
      </c>
      <c r="L1243" s="0" t="str">
        <f aca="false">IF(H1243="TRUE","Out of stock","In stock")</f>
        <v>Out of stock</v>
      </c>
      <c r="M1243" s="0" t="str">
        <f aca="false">IF(D1243&lt;5,"1) Under 5%",IF(D1243&lt;10,"2) 5-9%",IF(D1243&lt;15,"3) 10-14%",IF(D1243&lt;25,"4) 15-24%","5) 25%+"))))</f>
        <v>1) Under 5%</v>
      </c>
      <c r="N1243" s="0" t="str">
        <f aca="false">IF(F1243&lt;50,"1) Under Rs 50",IF(F1243&lt;100,"2) Rs 50-99",IF(F1243&lt;200,"3) Rs 100-199",IF(F1243&lt;500,"4) Rs 200-499","5) Rs 500+"))))</f>
        <v>2) Rs 50-99</v>
      </c>
      <c r="O1243" s="0" t="n">
        <f aca="false">G1243*E1243/1000</f>
        <v>0</v>
      </c>
    </row>
    <row r="1244" customFormat="false" ht="15" hidden="false" customHeight="false" outlineLevel="0" collapsed="false">
      <c r="A1244" s="0" t="s">
        <v>101</v>
      </c>
      <c r="B1244" s="0" t="s">
        <v>802</v>
      </c>
      <c r="C1244" s="0" t="n">
        <v>20</v>
      </c>
      <c r="D1244" s="0" t="n">
        <v>0</v>
      </c>
      <c r="E1244" s="0" t="n">
        <v>0</v>
      </c>
      <c r="F1244" s="0" t="n">
        <v>20</v>
      </c>
      <c r="G1244" s="0" t="n">
        <v>100</v>
      </c>
      <c r="H1244" s="0" t="s">
        <v>230</v>
      </c>
      <c r="I1244" s="0" t="n">
        <v>100</v>
      </c>
      <c r="J1244" s="0" t="n">
        <f aca="false">F1244*E1244</f>
        <v>0</v>
      </c>
      <c r="K1244" s="0" t="str">
        <f aca="false">IF(G1244&lt;1000,"1-Low",IF(G1244&lt;5000,"2-Medium","3-Bulk"))</f>
        <v>1-Low</v>
      </c>
      <c r="L1244" s="0" t="str">
        <f aca="false">IF(H1244="TRUE","Out of stock","In stock")</f>
        <v>Out of stock</v>
      </c>
      <c r="M1244" s="0" t="str">
        <f aca="false">IF(D1244&lt;5,"1) Under 5%",IF(D1244&lt;10,"2) 5-9%",IF(D1244&lt;15,"3) 10-14%",IF(D1244&lt;25,"4) 15-24%","5) 25%+"))))</f>
        <v>1) Under 5%</v>
      </c>
      <c r="N1244" s="0" t="str">
        <f aca="false">IF(F1244&lt;50,"1) Under Rs 50",IF(F1244&lt;100,"2) Rs 50-99",IF(F1244&lt;200,"3) Rs 100-199",IF(F1244&lt;500,"4) Rs 200-499","5) Rs 500+"))))</f>
        <v>1) Under Rs 50</v>
      </c>
      <c r="O1244" s="0" t="n">
        <f aca="false">G1244*E1244/1000</f>
        <v>0</v>
      </c>
    </row>
    <row r="1245" customFormat="false" ht="15" hidden="false" customHeight="false" outlineLevel="0" collapsed="false">
      <c r="A1245" s="0" t="s">
        <v>101</v>
      </c>
      <c r="B1245" s="0" t="s">
        <v>803</v>
      </c>
      <c r="C1245" s="0" t="n">
        <v>100</v>
      </c>
      <c r="D1245" s="0" t="n">
        <v>5</v>
      </c>
      <c r="E1245" s="0" t="n">
        <v>0</v>
      </c>
      <c r="F1245" s="0" t="n">
        <v>95</v>
      </c>
      <c r="G1245" s="0" t="n">
        <v>140</v>
      </c>
      <c r="H1245" s="0" t="s">
        <v>230</v>
      </c>
      <c r="I1245" s="0" t="n">
        <v>140</v>
      </c>
      <c r="J1245" s="0" t="n">
        <f aca="false">F1245*E1245</f>
        <v>0</v>
      </c>
      <c r="K1245" s="0" t="str">
        <f aca="false">IF(G1245&lt;1000,"1-Low",IF(G1245&lt;5000,"2-Medium","3-Bulk"))</f>
        <v>1-Low</v>
      </c>
      <c r="L1245" s="0" t="str">
        <f aca="false">IF(H1245="TRUE","Out of stock","In stock")</f>
        <v>Out of stock</v>
      </c>
      <c r="M1245" s="0" t="str">
        <f aca="false">IF(D1245&lt;5,"1) Under 5%",IF(D1245&lt;10,"2) 5-9%",IF(D1245&lt;15,"3) 10-14%",IF(D1245&lt;25,"4) 15-24%","5) 25%+"))))</f>
        <v>2) 5-9%</v>
      </c>
      <c r="N1245" s="0" t="str">
        <f aca="false">IF(F1245&lt;50,"1) Under Rs 50",IF(F1245&lt;100,"2) Rs 50-99",IF(F1245&lt;200,"3) Rs 100-199",IF(F1245&lt;500,"4) Rs 200-499","5) Rs 500+"))))</f>
        <v>2) Rs 50-99</v>
      </c>
      <c r="O1245" s="0" t="n">
        <f aca="false">G1245*E1245/1000</f>
        <v>0</v>
      </c>
    </row>
    <row r="1246" customFormat="false" ht="15" hidden="false" customHeight="false" outlineLevel="0" collapsed="false">
      <c r="A1246" s="0" t="s">
        <v>101</v>
      </c>
      <c r="B1246" s="0" t="s">
        <v>713</v>
      </c>
      <c r="C1246" s="0" t="n">
        <v>30</v>
      </c>
      <c r="D1246" s="0" t="n">
        <v>0</v>
      </c>
      <c r="E1246" s="0" t="n">
        <v>0</v>
      </c>
      <c r="F1246" s="0" t="n">
        <v>30</v>
      </c>
      <c r="G1246" s="0" t="n">
        <v>200</v>
      </c>
      <c r="H1246" s="0" t="s">
        <v>230</v>
      </c>
      <c r="I1246" s="0" t="n">
        <v>200</v>
      </c>
      <c r="J1246" s="0" t="n">
        <f aca="false">F1246*E1246</f>
        <v>0</v>
      </c>
      <c r="K1246" s="0" t="str">
        <f aca="false">IF(G1246&lt;1000,"1-Low",IF(G1246&lt;5000,"2-Medium","3-Bulk"))</f>
        <v>1-Low</v>
      </c>
      <c r="L1246" s="0" t="str">
        <f aca="false">IF(H1246="TRUE","Out of stock","In stock")</f>
        <v>Out of stock</v>
      </c>
      <c r="M1246" s="0" t="str">
        <f aca="false">IF(D1246&lt;5,"1) Under 5%",IF(D1246&lt;10,"2) 5-9%",IF(D1246&lt;15,"3) 10-14%",IF(D1246&lt;25,"4) 15-24%","5) 25%+"))))</f>
        <v>1) Under 5%</v>
      </c>
      <c r="N1246" s="0" t="str">
        <f aca="false">IF(F1246&lt;50,"1) Under Rs 50",IF(F1246&lt;100,"2) Rs 50-99",IF(F1246&lt;200,"3) Rs 100-199",IF(F1246&lt;500,"4) Rs 200-499","5) Rs 500+"))))</f>
        <v>1) Under Rs 50</v>
      </c>
      <c r="O1246" s="0" t="n">
        <f aca="false">G1246*E1246/1000</f>
        <v>0</v>
      </c>
    </row>
    <row r="1247" customFormat="false" ht="15" hidden="false" customHeight="false" outlineLevel="0" collapsed="false">
      <c r="A1247" s="0" t="s">
        <v>101</v>
      </c>
      <c r="B1247" s="0" t="s">
        <v>804</v>
      </c>
      <c r="C1247" s="0" t="n">
        <v>75</v>
      </c>
      <c r="D1247" s="0" t="n">
        <v>17</v>
      </c>
      <c r="E1247" s="0" t="n">
        <v>0</v>
      </c>
      <c r="F1247" s="0" t="n">
        <v>62</v>
      </c>
      <c r="G1247" s="0" t="n">
        <v>348</v>
      </c>
      <c r="H1247" s="0" t="s">
        <v>230</v>
      </c>
      <c r="I1247" s="0" t="n">
        <v>6</v>
      </c>
      <c r="J1247" s="0" t="n">
        <f aca="false">F1247*E1247</f>
        <v>0</v>
      </c>
      <c r="K1247" s="0" t="str">
        <f aca="false">IF(G1247&lt;1000,"1-Low",IF(G1247&lt;5000,"2-Medium","3-Bulk"))</f>
        <v>1-Low</v>
      </c>
      <c r="L1247" s="0" t="str">
        <f aca="false">IF(H1247="TRUE","Out of stock","In stock")</f>
        <v>Out of stock</v>
      </c>
      <c r="M1247" s="0" t="str">
        <f aca="false">IF(D1247&lt;5,"1) Under 5%",IF(D1247&lt;10,"2) 5-9%",IF(D1247&lt;15,"3) 10-14%",IF(D1247&lt;25,"4) 15-24%","5) 25%+"))))</f>
        <v>4) 15-24%</v>
      </c>
      <c r="N1247" s="0" t="str">
        <f aca="false">IF(F1247&lt;50,"1) Under Rs 50",IF(F1247&lt;100,"2) Rs 50-99",IF(F1247&lt;200,"3) Rs 100-199",IF(F1247&lt;500,"4) Rs 200-499","5) Rs 500+"))))</f>
        <v>2) Rs 50-99</v>
      </c>
      <c r="O1247" s="0" t="n">
        <f aca="false">G1247*E1247/1000</f>
        <v>0</v>
      </c>
    </row>
    <row r="1248" customFormat="false" ht="15" hidden="false" customHeight="false" outlineLevel="0" collapsed="false">
      <c r="A1248" s="0" t="s">
        <v>101</v>
      </c>
      <c r="B1248" s="0" t="s">
        <v>805</v>
      </c>
      <c r="C1248" s="0" t="n">
        <v>99</v>
      </c>
      <c r="D1248" s="0" t="n">
        <v>11</v>
      </c>
      <c r="E1248" s="0" t="n">
        <v>0</v>
      </c>
      <c r="F1248" s="0" t="n">
        <v>88</v>
      </c>
      <c r="G1248" s="0" t="n">
        <v>162</v>
      </c>
      <c r="H1248" s="0" t="s">
        <v>230</v>
      </c>
      <c r="I1248" s="0" t="n">
        <v>162</v>
      </c>
      <c r="J1248" s="0" t="n">
        <f aca="false">F1248*E1248</f>
        <v>0</v>
      </c>
      <c r="K1248" s="0" t="str">
        <f aca="false">IF(G1248&lt;1000,"1-Low",IF(G1248&lt;5000,"2-Medium","3-Bulk"))</f>
        <v>1-Low</v>
      </c>
      <c r="L1248" s="0" t="str">
        <f aca="false">IF(H1248="TRUE","Out of stock","In stock")</f>
        <v>Out of stock</v>
      </c>
      <c r="M1248" s="0" t="str">
        <f aca="false">IF(D1248&lt;5,"1) Under 5%",IF(D1248&lt;10,"2) 5-9%",IF(D1248&lt;15,"3) 10-14%",IF(D1248&lt;25,"4) 15-24%","5) 25%+"))))</f>
        <v>3) 10-14%</v>
      </c>
      <c r="N1248" s="0" t="str">
        <f aca="false">IF(F1248&lt;50,"1) Under Rs 50",IF(F1248&lt;100,"2) Rs 50-99",IF(F1248&lt;200,"3) Rs 100-199",IF(F1248&lt;500,"4) Rs 200-499","5) Rs 500+"))))</f>
        <v>2) Rs 50-99</v>
      </c>
      <c r="O1248" s="0" t="n">
        <f aca="false">G1248*E1248/1000</f>
        <v>0</v>
      </c>
    </row>
    <row r="1249" customFormat="false" ht="15" hidden="false" customHeight="false" outlineLevel="0" collapsed="false">
      <c r="A1249" s="0" t="s">
        <v>101</v>
      </c>
      <c r="B1249" s="0" t="s">
        <v>806</v>
      </c>
      <c r="C1249" s="0" t="n">
        <v>80</v>
      </c>
      <c r="D1249" s="0" t="n">
        <v>0</v>
      </c>
      <c r="E1249" s="0" t="n">
        <v>0</v>
      </c>
      <c r="F1249" s="0" t="n">
        <v>80</v>
      </c>
      <c r="G1249" s="0" t="n">
        <v>200</v>
      </c>
      <c r="H1249" s="0" t="s">
        <v>230</v>
      </c>
      <c r="I1249" s="0" t="n">
        <v>200</v>
      </c>
      <c r="J1249" s="0" t="n">
        <f aca="false">F1249*E1249</f>
        <v>0</v>
      </c>
      <c r="K1249" s="0" t="str">
        <f aca="false">IF(G1249&lt;1000,"1-Low",IF(G1249&lt;5000,"2-Medium","3-Bulk"))</f>
        <v>1-Low</v>
      </c>
      <c r="L1249" s="0" t="str">
        <f aca="false">IF(H1249="TRUE","Out of stock","In stock")</f>
        <v>Out of stock</v>
      </c>
      <c r="M1249" s="0" t="str">
        <f aca="false">IF(D1249&lt;5,"1) Under 5%",IF(D1249&lt;10,"2) 5-9%",IF(D1249&lt;15,"3) 10-14%",IF(D1249&lt;25,"4) 15-24%","5) 25%+"))))</f>
        <v>1) Under 5%</v>
      </c>
      <c r="N1249" s="0" t="str">
        <f aca="false">IF(F1249&lt;50,"1) Under Rs 50",IF(F1249&lt;100,"2) Rs 50-99",IF(F1249&lt;200,"3) Rs 100-199",IF(F1249&lt;500,"4) Rs 200-499","5) Rs 500+"))))</f>
        <v>2) Rs 50-99</v>
      </c>
      <c r="O1249" s="0" t="n">
        <f aca="false">G1249*E1249/1000</f>
        <v>0</v>
      </c>
    </row>
    <row r="1250" customFormat="false" ht="15" hidden="false" customHeight="false" outlineLevel="0" collapsed="false">
      <c r="A1250" s="0" t="s">
        <v>101</v>
      </c>
      <c r="B1250" s="0" t="s">
        <v>807</v>
      </c>
      <c r="C1250" s="0" t="n">
        <v>72</v>
      </c>
      <c r="D1250" s="0" t="n">
        <v>16</v>
      </c>
      <c r="E1250" s="0" t="n">
        <v>0</v>
      </c>
      <c r="F1250" s="0" t="n">
        <v>60</v>
      </c>
      <c r="G1250" s="0" t="n">
        <v>348</v>
      </c>
      <c r="H1250" s="0" t="s">
        <v>230</v>
      </c>
      <c r="I1250" s="0" t="n">
        <v>6</v>
      </c>
      <c r="J1250" s="0" t="n">
        <f aca="false">F1250*E1250</f>
        <v>0</v>
      </c>
      <c r="K1250" s="0" t="str">
        <f aca="false">IF(G1250&lt;1000,"1-Low",IF(G1250&lt;5000,"2-Medium","3-Bulk"))</f>
        <v>1-Low</v>
      </c>
      <c r="L1250" s="0" t="str">
        <f aca="false">IF(H1250="TRUE","Out of stock","In stock")</f>
        <v>Out of stock</v>
      </c>
      <c r="M1250" s="0" t="str">
        <f aca="false">IF(D1250&lt;5,"1) Under 5%",IF(D1250&lt;10,"2) 5-9%",IF(D1250&lt;15,"3) 10-14%",IF(D1250&lt;25,"4) 15-24%","5) 25%+"))))</f>
        <v>4) 15-24%</v>
      </c>
      <c r="N1250" s="0" t="str">
        <f aca="false">IF(F1250&lt;50,"1) Under Rs 50",IF(F1250&lt;100,"2) Rs 50-99",IF(F1250&lt;200,"3) Rs 100-199",IF(F1250&lt;500,"4) Rs 200-499","5) Rs 500+"))))</f>
        <v>2) Rs 50-99</v>
      </c>
      <c r="O1250" s="0" t="n">
        <f aca="false">G1250*E1250/1000</f>
        <v>0</v>
      </c>
    </row>
    <row r="1251" customFormat="false" ht="15" hidden="false" customHeight="false" outlineLevel="0" collapsed="false">
      <c r="A1251" s="0" t="s">
        <v>101</v>
      </c>
      <c r="B1251" s="0" t="s">
        <v>808</v>
      </c>
      <c r="C1251" s="0" t="n">
        <v>295</v>
      </c>
      <c r="D1251" s="0" t="n">
        <v>50</v>
      </c>
      <c r="E1251" s="0" t="n">
        <v>0</v>
      </c>
      <c r="F1251" s="0" t="n">
        <v>147</v>
      </c>
      <c r="G1251" s="0" t="n">
        <v>200</v>
      </c>
      <c r="H1251" s="0" t="s">
        <v>230</v>
      </c>
      <c r="I1251" s="0" t="n">
        <v>200</v>
      </c>
      <c r="J1251" s="0" t="n">
        <f aca="false">F1251*E1251</f>
        <v>0</v>
      </c>
      <c r="K1251" s="0" t="str">
        <f aca="false">IF(G1251&lt;1000,"1-Low",IF(G1251&lt;5000,"2-Medium","3-Bulk"))</f>
        <v>1-Low</v>
      </c>
      <c r="L1251" s="0" t="str">
        <f aca="false">IF(H1251="TRUE","Out of stock","In stock")</f>
        <v>Out of stock</v>
      </c>
      <c r="M1251" s="0" t="str">
        <f aca="false">IF(D1251&lt;5,"1) Under 5%",IF(D1251&lt;10,"2) 5-9%",IF(D1251&lt;15,"3) 10-14%",IF(D1251&lt;25,"4) 15-24%","5) 25%+"))))</f>
        <v>5) 25%+</v>
      </c>
      <c r="N1251" s="0" t="str">
        <f aca="false">IF(F1251&lt;50,"1) Under Rs 50",IF(F1251&lt;100,"2) Rs 50-99",IF(F1251&lt;200,"3) Rs 100-199",IF(F1251&lt;500,"4) Rs 200-499","5) Rs 500+"))))</f>
        <v>3) Rs 100-199</v>
      </c>
      <c r="O1251" s="0" t="n">
        <f aca="false">G1251*E1251/1000</f>
        <v>0</v>
      </c>
    </row>
    <row r="1252" customFormat="false" ht="15" hidden="false" customHeight="false" outlineLevel="0" collapsed="false">
      <c r="A1252" s="0" t="s">
        <v>74</v>
      </c>
      <c r="B1252" s="0" t="s">
        <v>701</v>
      </c>
      <c r="C1252" s="0" t="n">
        <v>25</v>
      </c>
      <c r="D1252" s="0" t="n">
        <v>0</v>
      </c>
      <c r="E1252" s="0" t="n">
        <v>4</v>
      </c>
      <c r="F1252" s="0" t="n">
        <v>25</v>
      </c>
      <c r="G1252" s="0" t="n">
        <v>500</v>
      </c>
      <c r="H1252" s="0" t="s">
        <v>145</v>
      </c>
      <c r="I1252" s="0" t="n">
        <v>500</v>
      </c>
      <c r="J1252" s="0" t="n">
        <f aca="false">F1252*E1252</f>
        <v>100</v>
      </c>
      <c r="K1252" s="0" t="str">
        <f aca="false">IF(G1252&lt;1000,"1-Low",IF(G1252&lt;5000,"2-Medium","3-Bulk"))</f>
        <v>1-Low</v>
      </c>
      <c r="L1252" s="0" t="str">
        <f aca="false">IF(H1252="TRUE","Out of stock","In stock")</f>
        <v>In stock</v>
      </c>
      <c r="M1252" s="0" t="str">
        <f aca="false">IF(D1252&lt;5,"1) Under 5%",IF(D1252&lt;10,"2) 5-9%",IF(D1252&lt;15,"3) 10-14%",IF(D1252&lt;25,"4) 15-24%","5) 25%+"))))</f>
        <v>1) Under 5%</v>
      </c>
      <c r="N1252" s="0" t="str">
        <f aca="false">IF(F1252&lt;50,"1) Under Rs 50",IF(F1252&lt;100,"2) Rs 50-99",IF(F1252&lt;200,"3) Rs 100-199",IF(F1252&lt;500,"4) Rs 200-499","5) Rs 500+"))))</f>
        <v>1) Under Rs 50</v>
      </c>
      <c r="O1252" s="0" t="n">
        <f aca="false">G1252*E1252/1000</f>
        <v>2</v>
      </c>
    </row>
    <row r="1253" customFormat="false" ht="15" hidden="false" customHeight="false" outlineLevel="0" collapsed="false">
      <c r="A1253" s="0" t="s">
        <v>74</v>
      </c>
      <c r="B1253" s="0" t="s">
        <v>702</v>
      </c>
      <c r="C1253" s="0" t="n">
        <v>30</v>
      </c>
      <c r="D1253" s="0" t="n">
        <v>3</v>
      </c>
      <c r="E1253" s="0" t="n">
        <v>6</v>
      </c>
      <c r="F1253" s="0" t="n">
        <v>29</v>
      </c>
      <c r="G1253" s="0" t="n">
        <v>400</v>
      </c>
      <c r="H1253" s="0" t="s">
        <v>145</v>
      </c>
      <c r="I1253" s="0" t="n">
        <v>400</v>
      </c>
      <c r="J1253" s="0" t="n">
        <f aca="false">F1253*E1253</f>
        <v>174</v>
      </c>
      <c r="K1253" s="0" t="str">
        <f aca="false">IF(G1253&lt;1000,"1-Low",IF(G1253&lt;5000,"2-Medium","3-Bulk"))</f>
        <v>1-Low</v>
      </c>
      <c r="L1253" s="0" t="str">
        <f aca="false">IF(H1253="TRUE","Out of stock","In stock")</f>
        <v>In stock</v>
      </c>
      <c r="M1253" s="0" t="str">
        <f aca="false">IF(D1253&lt;5,"1) Under 5%",IF(D1253&lt;10,"2) 5-9%",IF(D1253&lt;15,"3) 10-14%",IF(D1253&lt;25,"4) 15-24%","5) 25%+"))))</f>
        <v>1) Under 5%</v>
      </c>
      <c r="N1253" s="0" t="str">
        <f aca="false">IF(F1253&lt;50,"1) Under Rs 50",IF(F1253&lt;100,"2) Rs 50-99",IF(F1253&lt;200,"3) Rs 100-199",IF(F1253&lt;500,"4) Rs 200-499","5) Rs 500+"))))</f>
        <v>1) Under Rs 50</v>
      </c>
      <c r="O1253" s="0" t="n">
        <f aca="false">G1253*E1253/1000</f>
        <v>2.4</v>
      </c>
    </row>
    <row r="1254" customFormat="false" ht="15" hidden="false" customHeight="false" outlineLevel="0" collapsed="false">
      <c r="A1254" s="0" t="s">
        <v>74</v>
      </c>
      <c r="B1254" s="0" t="s">
        <v>703</v>
      </c>
      <c r="C1254" s="0" t="n">
        <v>31</v>
      </c>
      <c r="D1254" s="0" t="n">
        <v>0</v>
      </c>
      <c r="E1254" s="0" t="n">
        <v>4</v>
      </c>
      <c r="F1254" s="0" t="n">
        <v>31</v>
      </c>
      <c r="G1254" s="0" t="n">
        <v>500</v>
      </c>
      <c r="H1254" s="0" t="s">
        <v>145</v>
      </c>
      <c r="I1254" s="0" t="n">
        <v>500</v>
      </c>
      <c r="J1254" s="0" t="n">
        <f aca="false">F1254*E1254</f>
        <v>124</v>
      </c>
      <c r="K1254" s="0" t="str">
        <f aca="false">IF(G1254&lt;1000,"1-Low",IF(G1254&lt;5000,"2-Medium","3-Bulk"))</f>
        <v>1-Low</v>
      </c>
      <c r="L1254" s="0" t="str">
        <f aca="false">IF(H1254="TRUE","Out of stock","In stock")</f>
        <v>In stock</v>
      </c>
      <c r="M1254" s="0" t="str">
        <f aca="false">IF(D1254&lt;5,"1) Under 5%",IF(D1254&lt;10,"2) 5-9%",IF(D1254&lt;15,"3) 10-14%",IF(D1254&lt;25,"4) 15-24%","5) 25%+"))))</f>
        <v>1) Under 5%</v>
      </c>
      <c r="N1254" s="0" t="str">
        <f aca="false">IF(F1254&lt;50,"1) Under Rs 50",IF(F1254&lt;100,"2) Rs 50-99",IF(F1254&lt;200,"3) Rs 100-199",IF(F1254&lt;500,"4) Rs 200-499","5) Rs 500+"))))</f>
        <v>1) Under Rs 50</v>
      </c>
      <c r="O1254" s="0" t="n">
        <f aca="false">G1254*E1254/1000</f>
        <v>2</v>
      </c>
    </row>
    <row r="1255" customFormat="false" ht="15" hidden="false" customHeight="false" outlineLevel="0" collapsed="false">
      <c r="A1255" s="0" t="s">
        <v>74</v>
      </c>
      <c r="B1255" s="0" t="s">
        <v>704</v>
      </c>
      <c r="C1255" s="0" t="n">
        <v>50</v>
      </c>
      <c r="D1255" s="0" t="n">
        <v>2</v>
      </c>
      <c r="E1255" s="0" t="n">
        <v>6</v>
      </c>
      <c r="F1255" s="0" t="n">
        <v>49</v>
      </c>
      <c r="G1255" s="0" t="n">
        <v>100</v>
      </c>
      <c r="H1255" s="0" t="s">
        <v>145</v>
      </c>
      <c r="I1255" s="0" t="n">
        <v>100</v>
      </c>
      <c r="J1255" s="0" t="n">
        <f aca="false">F1255*E1255</f>
        <v>294</v>
      </c>
      <c r="K1255" s="0" t="str">
        <f aca="false">IF(G1255&lt;1000,"1-Low",IF(G1255&lt;5000,"2-Medium","3-Bulk"))</f>
        <v>1-Low</v>
      </c>
      <c r="L1255" s="0" t="str">
        <f aca="false">IF(H1255="TRUE","Out of stock","In stock")</f>
        <v>In stock</v>
      </c>
      <c r="M1255" s="0" t="str">
        <f aca="false">IF(D1255&lt;5,"1) Under 5%",IF(D1255&lt;10,"2) 5-9%",IF(D1255&lt;15,"3) 10-14%",IF(D1255&lt;25,"4) 15-24%","5) 25%+"))))</f>
        <v>1) Under 5%</v>
      </c>
      <c r="N1255" s="0" t="str">
        <f aca="false">IF(F1255&lt;50,"1) Under Rs 50",IF(F1255&lt;100,"2) Rs 50-99",IF(F1255&lt;200,"3) Rs 100-199",IF(F1255&lt;500,"4) Rs 200-499","5) Rs 500+"))))</f>
        <v>1) Under Rs 50</v>
      </c>
      <c r="O1255" s="0" t="n">
        <f aca="false">G1255*E1255/1000</f>
        <v>0.6</v>
      </c>
    </row>
    <row r="1256" customFormat="false" ht="15" hidden="false" customHeight="false" outlineLevel="0" collapsed="false">
      <c r="A1256" s="0" t="s">
        <v>74</v>
      </c>
      <c r="B1256" s="0" t="s">
        <v>705</v>
      </c>
      <c r="C1256" s="0" t="n">
        <v>33</v>
      </c>
      <c r="D1256" s="0" t="n">
        <v>0</v>
      </c>
      <c r="E1256" s="0" t="n">
        <v>4</v>
      </c>
      <c r="F1256" s="0" t="n">
        <v>33</v>
      </c>
      <c r="G1256" s="0" t="n">
        <v>350</v>
      </c>
      <c r="H1256" s="0" t="s">
        <v>145</v>
      </c>
      <c r="I1256" s="0" t="n">
        <v>350</v>
      </c>
      <c r="J1256" s="0" t="n">
        <f aca="false">F1256*E1256</f>
        <v>132</v>
      </c>
      <c r="K1256" s="0" t="str">
        <f aca="false">IF(G1256&lt;1000,"1-Low",IF(G1256&lt;5000,"2-Medium","3-Bulk"))</f>
        <v>1-Low</v>
      </c>
      <c r="L1256" s="0" t="str">
        <f aca="false">IF(H1256="TRUE","Out of stock","In stock")</f>
        <v>In stock</v>
      </c>
      <c r="M1256" s="0" t="str">
        <f aca="false">IF(D1256&lt;5,"1) Under 5%",IF(D1256&lt;10,"2) 5-9%",IF(D1256&lt;15,"3) 10-14%",IF(D1256&lt;25,"4) 15-24%","5) 25%+"))))</f>
        <v>1) Under 5%</v>
      </c>
      <c r="N1256" s="0" t="str">
        <f aca="false">IF(F1256&lt;50,"1) Under Rs 50",IF(F1256&lt;100,"2) Rs 50-99",IF(F1256&lt;200,"3) Rs 100-199",IF(F1256&lt;500,"4) Rs 200-499","5) Rs 500+"))))</f>
        <v>1) Under Rs 50</v>
      </c>
      <c r="O1256" s="0" t="n">
        <f aca="false">G1256*E1256/1000</f>
        <v>1.4</v>
      </c>
    </row>
    <row r="1257" customFormat="false" ht="15" hidden="false" customHeight="false" outlineLevel="0" collapsed="false">
      <c r="A1257" s="0" t="s">
        <v>74</v>
      </c>
      <c r="B1257" s="0" t="s">
        <v>706</v>
      </c>
      <c r="C1257" s="0" t="n">
        <v>35</v>
      </c>
      <c r="D1257" s="0" t="n">
        <v>2</v>
      </c>
      <c r="E1257" s="0" t="n">
        <v>6</v>
      </c>
      <c r="F1257" s="0" t="n">
        <v>34</v>
      </c>
      <c r="G1257" s="0" t="n">
        <v>400</v>
      </c>
      <c r="H1257" s="0" t="s">
        <v>145</v>
      </c>
      <c r="I1257" s="0" t="n">
        <v>400</v>
      </c>
      <c r="J1257" s="0" t="n">
        <f aca="false">F1257*E1257</f>
        <v>204</v>
      </c>
      <c r="K1257" s="0" t="str">
        <f aca="false">IF(G1257&lt;1000,"1-Low",IF(G1257&lt;5000,"2-Medium","3-Bulk"))</f>
        <v>1-Low</v>
      </c>
      <c r="L1257" s="0" t="str">
        <f aca="false">IF(H1257="TRUE","Out of stock","In stock")</f>
        <v>In stock</v>
      </c>
      <c r="M1257" s="0" t="str">
        <f aca="false">IF(D1257&lt;5,"1) Under 5%",IF(D1257&lt;10,"2) 5-9%",IF(D1257&lt;15,"3) 10-14%",IF(D1257&lt;25,"4) 15-24%","5) 25%+"))))</f>
        <v>1) Under 5%</v>
      </c>
      <c r="N1257" s="0" t="str">
        <f aca="false">IF(F1257&lt;50,"1) Under Rs 50",IF(F1257&lt;100,"2) Rs 50-99",IF(F1257&lt;200,"3) Rs 100-199",IF(F1257&lt;500,"4) Rs 200-499","5) Rs 500+"))))</f>
        <v>1) Under Rs 50</v>
      </c>
      <c r="O1257" s="0" t="n">
        <f aca="false">G1257*E1257/1000</f>
        <v>2.4</v>
      </c>
    </row>
    <row r="1258" customFormat="false" ht="15" hidden="false" customHeight="false" outlineLevel="0" collapsed="false">
      <c r="A1258" s="0" t="s">
        <v>74</v>
      </c>
      <c r="B1258" s="0" t="s">
        <v>236</v>
      </c>
      <c r="C1258" s="0" t="n">
        <v>80</v>
      </c>
      <c r="D1258" s="0" t="n">
        <v>15</v>
      </c>
      <c r="E1258" s="0" t="n">
        <v>6</v>
      </c>
      <c r="F1258" s="0" t="n">
        <v>68</v>
      </c>
      <c r="G1258" s="0" t="n">
        <v>1000</v>
      </c>
      <c r="H1258" s="0" t="s">
        <v>145</v>
      </c>
      <c r="I1258" s="0" t="n">
        <v>1</v>
      </c>
      <c r="J1258" s="0" t="n">
        <f aca="false">F1258*E1258</f>
        <v>408</v>
      </c>
      <c r="K1258" s="0" t="str">
        <f aca="false">IF(G1258&lt;1000,"1-Low",IF(G1258&lt;5000,"2-Medium","3-Bulk"))</f>
        <v>2-Medium</v>
      </c>
      <c r="L1258" s="0" t="str">
        <f aca="false">IF(H1258="TRUE","Out of stock","In stock")</f>
        <v>In stock</v>
      </c>
      <c r="M1258" s="0" t="str">
        <f aca="false">IF(D1258&lt;5,"1) Under 5%",IF(D1258&lt;10,"2) 5-9%",IF(D1258&lt;15,"3) 10-14%",IF(D1258&lt;25,"4) 15-24%","5) 25%+"))))</f>
        <v>4) 15-24%</v>
      </c>
      <c r="N1258" s="0" t="str">
        <f aca="false">IF(F1258&lt;50,"1) Under Rs 50",IF(F1258&lt;100,"2) Rs 50-99",IF(F1258&lt;200,"3) Rs 100-199",IF(F1258&lt;500,"4) Rs 200-499","5) Rs 500+"))))</f>
        <v>2) Rs 50-99</v>
      </c>
      <c r="O1258" s="0" t="n">
        <f aca="false">G1258*E1258/1000</f>
        <v>6</v>
      </c>
    </row>
    <row r="1259" customFormat="false" ht="15" hidden="false" customHeight="false" outlineLevel="0" collapsed="false">
      <c r="A1259" s="0" t="s">
        <v>74</v>
      </c>
      <c r="B1259" s="0" t="s">
        <v>707</v>
      </c>
      <c r="C1259" s="0" t="n">
        <v>45</v>
      </c>
      <c r="D1259" s="0" t="n">
        <v>0</v>
      </c>
      <c r="E1259" s="0" t="n">
        <v>4</v>
      </c>
      <c r="F1259" s="0" t="n">
        <v>45</v>
      </c>
      <c r="G1259" s="0" t="n">
        <v>450</v>
      </c>
      <c r="H1259" s="0" t="s">
        <v>145</v>
      </c>
      <c r="I1259" s="0" t="n">
        <v>450</v>
      </c>
      <c r="J1259" s="0" t="n">
        <f aca="false">F1259*E1259</f>
        <v>180</v>
      </c>
      <c r="K1259" s="0" t="str">
        <f aca="false">IF(G1259&lt;1000,"1-Low",IF(G1259&lt;5000,"2-Medium","3-Bulk"))</f>
        <v>1-Low</v>
      </c>
      <c r="L1259" s="0" t="str">
        <f aca="false">IF(H1259="TRUE","Out of stock","In stock")</f>
        <v>In stock</v>
      </c>
      <c r="M1259" s="0" t="str">
        <f aca="false">IF(D1259&lt;5,"1) Under 5%",IF(D1259&lt;10,"2) 5-9%",IF(D1259&lt;15,"3) 10-14%",IF(D1259&lt;25,"4) 15-24%","5) 25%+"))))</f>
        <v>1) Under 5%</v>
      </c>
      <c r="N1259" s="0" t="str">
        <f aca="false">IF(F1259&lt;50,"1) Under Rs 50",IF(F1259&lt;100,"2) Rs 50-99",IF(F1259&lt;200,"3) Rs 100-199",IF(F1259&lt;500,"4) Rs 200-499","5) Rs 500+"))))</f>
        <v>1) Under Rs 50</v>
      </c>
      <c r="O1259" s="0" t="n">
        <f aca="false">G1259*E1259/1000</f>
        <v>1.8</v>
      </c>
    </row>
    <row r="1260" customFormat="false" ht="15" hidden="false" customHeight="false" outlineLevel="0" collapsed="false">
      <c r="A1260" s="0" t="s">
        <v>74</v>
      </c>
      <c r="B1260" s="0" t="s">
        <v>708</v>
      </c>
      <c r="C1260" s="0" t="n">
        <v>40</v>
      </c>
      <c r="D1260" s="0" t="n">
        <v>0</v>
      </c>
      <c r="E1260" s="0" t="n">
        <v>4</v>
      </c>
      <c r="F1260" s="0" t="n">
        <v>40</v>
      </c>
      <c r="G1260" s="0" t="n">
        <v>450</v>
      </c>
      <c r="H1260" s="0" t="s">
        <v>145</v>
      </c>
      <c r="I1260" s="0" t="n">
        <v>450</v>
      </c>
      <c r="J1260" s="0" t="n">
        <f aca="false">F1260*E1260</f>
        <v>160</v>
      </c>
      <c r="K1260" s="0" t="str">
        <f aca="false">IF(G1260&lt;1000,"1-Low",IF(G1260&lt;5000,"2-Medium","3-Bulk"))</f>
        <v>1-Low</v>
      </c>
      <c r="L1260" s="0" t="str">
        <f aca="false">IF(H1260="TRUE","Out of stock","In stock")</f>
        <v>In stock</v>
      </c>
      <c r="M1260" s="0" t="str">
        <f aca="false">IF(D1260&lt;5,"1) Under 5%",IF(D1260&lt;10,"2) 5-9%",IF(D1260&lt;15,"3) 10-14%",IF(D1260&lt;25,"4) 15-24%","5) 25%+"))))</f>
        <v>1) Under 5%</v>
      </c>
      <c r="N1260" s="0" t="str">
        <f aca="false">IF(F1260&lt;50,"1) Under Rs 50",IF(F1260&lt;100,"2) Rs 50-99",IF(F1260&lt;200,"3) Rs 100-199",IF(F1260&lt;500,"4) Rs 200-499","5) Rs 500+"))))</f>
        <v>1) Under Rs 50</v>
      </c>
      <c r="O1260" s="0" t="n">
        <f aca="false">G1260*E1260/1000</f>
        <v>1.8</v>
      </c>
    </row>
    <row r="1261" customFormat="false" ht="15" hidden="false" customHeight="false" outlineLevel="0" collapsed="false">
      <c r="A1261" s="0" t="s">
        <v>74</v>
      </c>
      <c r="B1261" s="0" t="s">
        <v>709</v>
      </c>
      <c r="C1261" s="0" t="n">
        <v>89</v>
      </c>
      <c r="D1261" s="0" t="n">
        <v>8</v>
      </c>
      <c r="E1261" s="0" t="n">
        <v>6</v>
      </c>
      <c r="F1261" s="0" t="n">
        <v>81</v>
      </c>
      <c r="G1261" s="0" t="n">
        <v>200</v>
      </c>
      <c r="H1261" s="0" t="s">
        <v>145</v>
      </c>
      <c r="I1261" s="0" t="n">
        <v>200</v>
      </c>
      <c r="J1261" s="0" t="n">
        <f aca="false">F1261*E1261</f>
        <v>486</v>
      </c>
      <c r="K1261" s="0" t="str">
        <f aca="false">IF(G1261&lt;1000,"1-Low",IF(G1261&lt;5000,"2-Medium","3-Bulk"))</f>
        <v>1-Low</v>
      </c>
      <c r="L1261" s="0" t="str">
        <f aca="false">IF(H1261="TRUE","Out of stock","In stock")</f>
        <v>In stock</v>
      </c>
      <c r="M1261" s="0" t="str">
        <f aca="false">IF(D1261&lt;5,"1) Under 5%",IF(D1261&lt;10,"2) 5-9%",IF(D1261&lt;15,"3) 10-14%",IF(D1261&lt;25,"4) 15-24%","5) 25%+"))))</f>
        <v>2) 5-9%</v>
      </c>
      <c r="N1261" s="0" t="str">
        <f aca="false">IF(F1261&lt;50,"1) Under Rs 50",IF(F1261&lt;100,"2) Rs 50-99",IF(F1261&lt;200,"3) Rs 100-199",IF(F1261&lt;500,"4) Rs 200-499","5) Rs 500+"))))</f>
        <v>2) Rs 50-99</v>
      </c>
      <c r="O1261" s="0" t="n">
        <f aca="false">G1261*E1261/1000</f>
        <v>1.2</v>
      </c>
    </row>
    <row r="1262" customFormat="false" ht="15" hidden="false" customHeight="false" outlineLevel="0" collapsed="false">
      <c r="A1262" s="0" t="s">
        <v>74</v>
      </c>
      <c r="B1262" s="0" t="s">
        <v>710</v>
      </c>
      <c r="C1262" s="0" t="n">
        <v>106</v>
      </c>
      <c r="D1262" s="0" t="n">
        <v>4</v>
      </c>
      <c r="E1262" s="0" t="n">
        <v>6</v>
      </c>
      <c r="F1262" s="0" t="n">
        <v>101</v>
      </c>
      <c r="G1262" s="0" t="n">
        <v>200</v>
      </c>
      <c r="H1262" s="0" t="s">
        <v>145</v>
      </c>
      <c r="I1262" s="0" t="n">
        <v>200</v>
      </c>
      <c r="J1262" s="0" t="n">
        <f aca="false">F1262*E1262</f>
        <v>606</v>
      </c>
      <c r="K1262" s="0" t="str">
        <f aca="false">IF(G1262&lt;1000,"1-Low",IF(G1262&lt;5000,"2-Medium","3-Bulk"))</f>
        <v>1-Low</v>
      </c>
      <c r="L1262" s="0" t="str">
        <f aca="false">IF(H1262="TRUE","Out of stock","In stock")</f>
        <v>In stock</v>
      </c>
      <c r="M1262" s="0" t="str">
        <f aca="false">IF(D1262&lt;5,"1) Under 5%",IF(D1262&lt;10,"2) 5-9%",IF(D1262&lt;15,"3) 10-14%",IF(D1262&lt;25,"4) 15-24%","5) 25%+"))))</f>
        <v>1) Under 5%</v>
      </c>
      <c r="N1262" s="0" t="str">
        <f aca="false">IF(F1262&lt;50,"1) Under Rs 50",IF(F1262&lt;100,"2) Rs 50-99",IF(F1262&lt;200,"3) Rs 100-199",IF(F1262&lt;500,"4) Rs 200-499","5) Rs 500+"))))</f>
        <v>3) Rs 100-199</v>
      </c>
      <c r="O1262" s="0" t="n">
        <f aca="false">G1262*E1262/1000</f>
        <v>1.2</v>
      </c>
    </row>
    <row r="1263" customFormat="false" ht="15" hidden="false" customHeight="false" outlineLevel="0" collapsed="false">
      <c r="A1263" s="0" t="s">
        <v>74</v>
      </c>
      <c r="B1263" s="0" t="s">
        <v>711</v>
      </c>
      <c r="C1263" s="0" t="n">
        <v>22</v>
      </c>
      <c r="D1263" s="0" t="n">
        <v>0</v>
      </c>
      <c r="E1263" s="0" t="n">
        <v>4</v>
      </c>
      <c r="F1263" s="0" t="n">
        <v>22</v>
      </c>
      <c r="G1263" s="0" t="n">
        <v>250</v>
      </c>
      <c r="H1263" s="0" t="s">
        <v>145</v>
      </c>
      <c r="I1263" s="0" t="n">
        <v>250</v>
      </c>
      <c r="J1263" s="0" t="n">
        <f aca="false">F1263*E1263</f>
        <v>88</v>
      </c>
      <c r="K1263" s="0" t="str">
        <f aca="false">IF(G1263&lt;1000,"1-Low",IF(G1263&lt;5000,"2-Medium","3-Bulk"))</f>
        <v>1-Low</v>
      </c>
      <c r="L1263" s="0" t="str">
        <f aca="false">IF(H1263="TRUE","Out of stock","In stock")</f>
        <v>In stock</v>
      </c>
      <c r="M1263" s="0" t="str">
        <f aca="false">IF(D1263&lt;5,"1) Under 5%",IF(D1263&lt;10,"2) 5-9%",IF(D1263&lt;15,"3) 10-14%",IF(D1263&lt;25,"4) 15-24%","5) 25%+"))))</f>
        <v>1) Under 5%</v>
      </c>
      <c r="N1263" s="0" t="str">
        <f aca="false">IF(F1263&lt;50,"1) Under Rs 50",IF(F1263&lt;100,"2) Rs 50-99",IF(F1263&lt;200,"3) Rs 100-199",IF(F1263&lt;500,"4) Rs 200-499","5) Rs 500+"))))</f>
        <v>1) Under Rs 50</v>
      </c>
      <c r="O1263" s="0" t="n">
        <f aca="false">G1263*E1263/1000</f>
        <v>1</v>
      </c>
    </row>
    <row r="1264" customFormat="false" ht="15" hidden="false" customHeight="false" outlineLevel="0" collapsed="false">
      <c r="A1264" s="0" t="s">
        <v>74</v>
      </c>
      <c r="B1264" s="0" t="s">
        <v>704</v>
      </c>
      <c r="C1264" s="0" t="n">
        <v>245</v>
      </c>
      <c r="D1264" s="0" t="n">
        <v>2</v>
      </c>
      <c r="E1264" s="0" t="n">
        <v>6</v>
      </c>
      <c r="F1264" s="0" t="n">
        <v>240</v>
      </c>
      <c r="G1264" s="0" t="n">
        <v>500</v>
      </c>
      <c r="H1264" s="0" t="s">
        <v>145</v>
      </c>
      <c r="I1264" s="0" t="n">
        <v>500</v>
      </c>
      <c r="J1264" s="0" t="n">
        <f aca="false">F1264*E1264</f>
        <v>1440</v>
      </c>
      <c r="K1264" s="0" t="str">
        <f aca="false">IF(G1264&lt;1000,"1-Low",IF(G1264&lt;5000,"2-Medium","3-Bulk"))</f>
        <v>1-Low</v>
      </c>
      <c r="L1264" s="0" t="str">
        <f aca="false">IF(H1264="TRUE","Out of stock","In stock")</f>
        <v>In stock</v>
      </c>
      <c r="M1264" s="0" t="str">
        <f aca="false">IF(D1264&lt;5,"1) Under 5%",IF(D1264&lt;10,"2) 5-9%",IF(D1264&lt;15,"3) 10-14%",IF(D1264&lt;25,"4) 15-24%","5) 25%+"))))</f>
        <v>1) Under 5%</v>
      </c>
      <c r="N1264" s="0" t="str">
        <f aca="false">IF(F1264&lt;50,"1) Under Rs 50",IF(F1264&lt;100,"2) Rs 50-99",IF(F1264&lt;200,"3) Rs 100-199",IF(F1264&lt;500,"4) Rs 200-499","5) Rs 500+"))))</f>
        <v>4) Rs 200-499</v>
      </c>
      <c r="O1264" s="0" t="n">
        <f aca="false">G1264*E1264/1000</f>
        <v>3</v>
      </c>
    </row>
    <row r="1265" customFormat="false" ht="15" hidden="false" customHeight="false" outlineLevel="0" collapsed="false">
      <c r="A1265" s="0" t="s">
        <v>74</v>
      </c>
      <c r="B1265" s="0" t="s">
        <v>238</v>
      </c>
      <c r="C1265" s="0" t="n">
        <v>97</v>
      </c>
      <c r="D1265" s="0" t="n">
        <v>0</v>
      </c>
      <c r="E1265" s="0" t="n">
        <v>4</v>
      </c>
      <c r="F1265" s="0" t="n">
        <v>97</v>
      </c>
      <c r="G1265" s="0" t="n">
        <v>696</v>
      </c>
      <c r="H1265" s="0" t="s">
        <v>145</v>
      </c>
      <c r="I1265" s="0" t="n">
        <v>12</v>
      </c>
      <c r="J1265" s="0" t="n">
        <f aca="false">F1265*E1265</f>
        <v>388</v>
      </c>
      <c r="K1265" s="0" t="str">
        <f aca="false">IF(G1265&lt;1000,"1-Low",IF(G1265&lt;5000,"2-Medium","3-Bulk"))</f>
        <v>1-Low</v>
      </c>
      <c r="L1265" s="0" t="str">
        <f aca="false">IF(H1265="TRUE","Out of stock","In stock")</f>
        <v>In stock</v>
      </c>
      <c r="M1265" s="0" t="str">
        <f aca="false">IF(D1265&lt;5,"1) Under 5%",IF(D1265&lt;10,"2) 5-9%",IF(D1265&lt;15,"3) 10-14%",IF(D1265&lt;25,"4) 15-24%","5) 25%+"))))</f>
        <v>1) Under 5%</v>
      </c>
      <c r="N1265" s="0" t="str">
        <f aca="false">IF(F1265&lt;50,"1) Under Rs 50",IF(F1265&lt;100,"2) Rs 50-99",IF(F1265&lt;200,"3) Rs 100-199",IF(F1265&lt;500,"4) Rs 200-499","5) Rs 500+"))))</f>
        <v>2) Rs 50-99</v>
      </c>
      <c r="O1265" s="0" t="n">
        <f aca="false">G1265*E1265/1000</f>
        <v>2.784</v>
      </c>
    </row>
    <row r="1266" customFormat="false" ht="15" hidden="false" customHeight="false" outlineLevel="0" collapsed="false">
      <c r="A1266" s="0" t="s">
        <v>74</v>
      </c>
      <c r="B1266" s="0" t="s">
        <v>238</v>
      </c>
      <c r="C1266" s="0" t="n">
        <v>65</v>
      </c>
      <c r="D1266" s="0" t="n">
        <v>15</v>
      </c>
      <c r="E1266" s="0" t="n">
        <v>4</v>
      </c>
      <c r="F1266" s="0" t="n">
        <v>55</v>
      </c>
      <c r="G1266" s="0" t="n">
        <v>348</v>
      </c>
      <c r="H1266" s="0" t="s">
        <v>145</v>
      </c>
      <c r="I1266" s="0" t="n">
        <v>6</v>
      </c>
      <c r="J1266" s="0" t="n">
        <f aca="false">F1266*E1266</f>
        <v>220</v>
      </c>
      <c r="K1266" s="0" t="str">
        <f aca="false">IF(G1266&lt;1000,"1-Low",IF(G1266&lt;5000,"2-Medium","3-Bulk"))</f>
        <v>1-Low</v>
      </c>
      <c r="L1266" s="0" t="str">
        <f aca="false">IF(H1266="TRUE","Out of stock","In stock")</f>
        <v>In stock</v>
      </c>
      <c r="M1266" s="0" t="str">
        <f aca="false">IF(D1266&lt;5,"1) Under 5%",IF(D1266&lt;10,"2) 5-9%",IF(D1266&lt;15,"3) 10-14%",IF(D1266&lt;25,"4) 15-24%","5) 25%+"))))</f>
        <v>4) 15-24%</v>
      </c>
      <c r="N1266" s="0" t="str">
        <f aca="false">IF(F1266&lt;50,"1) Under Rs 50",IF(F1266&lt;100,"2) Rs 50-99",IF(F1266&lt;200,"3) Rs 100-199",IF(F1266&lt;500,"4) Rs 200-499","5) Rs 500+"))))</f>
        <v>2) Rs 50-99</v>
      </c>
      <c r="O1266" s="0" t="n">
        <f aca="false">G1266*E1266/1000</f>
        <v>1.392</v>
      </c>
    </row>
    <row r="1267" customFormat="false" ht="15" hidden="false" customHeight="false" outlineLevel="0" collapsed="false">
      <c r="A1267" s="0" t="s">
        <v>74</v>
      </c>
      <c r="B1267" s="0" t="s">
        <v>712</v>
      </c>
      <c r="C1267" s="0" t="n">
        <v>35</v>
      </c>
      <c r="D1267" s="0" t="n">
        <v>2</v>
      </c>
      <c r="E1267" s="0" t="n">
        <v>6</v>
      </c>
      <c r="F1267" s="0" t="n">
        <v>34</v>
      </c>
      <c r="G1267" s="0" t="n">
        <v>200</v>
      </c>
      <c r="H1267" s="0" t="s">
        <v>145</v>
      </c>
      <c r="I1267" s="0" t="n">
        <v>200</v>
      </c>
      <c r="J1267" s="0" t="n">
        <f aca="false">F1267*E1267</f>
        <v>204</v>
      </c>
      <c r="K1267" s="0" t="str">
        <f aca="false">IF(G1267&lt;1000,"1-Low",IF(G1267&lt;5000,"2-Medium","3-Bulk"))</f>
        <v>1-Low</v>
      </c>
      <c r="L1267" s="0" t="str">
        <f aca="false">IF(H1267="TRUE","Out of stock","In stock")</f>
        <v>In stock</v>
      </c>
      <c r="M1267" s="0" t="str">
        <f aca="false">IF(D1267&lt;5,"1) Under 5%",IF(D1267&lt;10,"2) 5-9%",IF(D1267&lt;15,"3) 10-14%",IF(D1267&lt;25,"4) 15-24%","5) 25%+"))))</f>
        <v>1) Under 5%</v>
      </c>
      <c r="N1267" s="0" t="str">
        <f aca="false">IF(F1267&lt;50,"1) Under Rs 50",IF(F1267&lt;100,"2) Rs 50-99",IF(F1267&lt;200,"3) Rs 100-199",IF(F1267&lt;500,"4) Rs 200-499","5) Rs 500+"))))</f>
        <v>1) Under Rs 50</v>
      </c>
      <c r="O1267" s="0" t="n">
        <f aca="false">G1267*E1267/1000</f>
        <v>1.2</v>
      </c>
    </row>
    <row r="1268" customFormat="false" ht="15" hidden="false" customHeight="false" outlineLevel="0" collapsed="false">
      <c r="A1268" s="0" t="s">
        <v>74</v>
      </c>
      <c r="B1268" s="0" t="s">
        <v>713</v>
      </c>
      <c r="C1268" s="0" t="n">
        <v>15</v>
      </c>
      <c r="D1268" s="0" t="n">
        <v>0</v>
      </c>
      <c r="E1268" s="0" t="n">
        <v>4</v>
      </c>
      <c r="F1268" s="0" t="n">
        <v>15</v>
      </c>
      <c r="G1268" s="0" t="n">
        <v>100</v>
      </c>
      <c r="H1268" s="0" t="s">
        <v>145</v>
      </c>
      <c r="I1268" s="0" t="n">
        <v>100</v>
      </c>
      <c r="J1268" s="0" t="n">
        <f aca="false">F1268*E1268</f>
        <v>60</v>
      </c>
      <c r="K1268" s="0" t="str">
        <f aca="false">IF(G1268&lt;1000,"1-Low",IF(G1268&lt;5000,"2-Medium","3-Bulk"))</f>
        <v>1-Low</v>
      </c>
      <c r="L1268" s="0" t="str">
        <f aca="false">IF(H1268="TRUE","Out of stock","In stock")</f>
        <v>In stock</v>
      </c>
      <c r="M1268" s="0" t="str">
        <f aca="false">IF(D1268&lt;5,"1) Under 5%",IF(D1268&lt;10,"2) 5-9%",IF(D1268&lt;15,"3) 10-14%",IF(D1268&lt;25,"4) 15-24%","5) 25%+"))))</f>
        <v>1) Under 5%</v>
      </c>
      <c r="N1268" s="0" t="str">
        <f aca="false">IF(F1268&lt;50,"1) Under Rs 50",IF(F1268&lt;100,"2) Rs 50-99",IF(F1268&lt;200,"3) Rs 100-199",IF(F1268&lt;500,"4) Rs 200-499","5) Rs 500+"))))</f>
        <v>1) Under Rs 50</v>
      </c>
      <c r="O1268" s="0" t="n">
        <f aca="false">G1268*E1268/1000</f>
        <v>0.4</v>
      </c>
    </row>
    <row r="1269" customFormat="false" ht="15" hidden="false" customHeight="false" outlineLevel="0" collapsed="false">
      <c r="A1269" s="0" t="s">
        <v>74</v>
      </c>
      <c r="B1269" s="0" t="s">
        <v>714</v>
      </c>
      <c r="C1269" s="0" t="n">
        <v>75</v>
      </c>
      <c r="D1269" s="0" t="n">
        <v>2</v>
      </c>
      <c r="E1269" s="0" t="n">
        <v>6</v>
      </c>
      <c r="F1269" s="0" t="n">
        <v>73</v>
      </c>
      <c r="G1269" s="0" t="n">
        <v>200</v>
      </c>
      <c r="H1269" s="0" t="s">
        <v>145</v>
      </c>
      <c r="I1269" s="0" t="n">
        <v>200</v>
      </c>
      <c r="J1269" s="0" t="n">
        <f aca="false">F1269*E1269</f>
        <v>438</v>
      </c>
      <c r="K1269" s="0" t="str">
        <f aca="false">IF(G1269&lt;1000,"1-Low",IF(G1269&lt;5000,"2-Medium","3-Bulk"))</f>
        <v>1-Low</v>
      </c>
      <c r="L1269" s="0" t="str">
        <f aca="false">IF(H1269="TRUE","Out of stock","In stock")</f>
        <v>In stock</v>
      </c>
      <c r="M1269" s="0" t="str">
        <f aca="false">IF(D1269&lt;5,"1) Under 5%",IF(D1269&lt;10,"2) 5-9%",IF(D1269&lt;15,"3) 10-14%",IF(D1269&lt;25,"4) 15-24%","5) 25%+"))))</f>
        <v>1) Under 5%</v>
      </c>
      <c r="N1269" s="0" t="str">
        <f aca="false">IF(F1269&lt;50,"1) Under Rs 50",IF(F1269&lt;100,"2) Rs 50-99",IF(F1269&lt;200,"3) Rs 100-199",IF(F1269&lt;500,"4) Rs 200-499","5) Rs 500+"))))</f>
        <v>2) Rs 50-99</v>
      </c>
      <c r="O1269" s="0" t="n">
        <f aca="false">G1269*E1269/1000</f>
        <v>1.2</v>
      </c>
    </row>
    <row r="1270" customFormat="false" ht="15" hidden="false" customHeight="false" outlineLevel="0" collapsed="false">
      <c r="A1270" s="0" t="s">
        <v>74</v>
      </c>
      <c r="B1270" s="0" t="s">
        <v>715</v>
      </c>
      <c r="C1270" s="0" t="n">
        <v>105</v>
      </c>
      <c r="D1270" s="0" t="n">
        <v>5</v>
      </c>
      <c r="E1270" s="0" t="n">
        <v>6</v>
      </c>
      <c r="F1270" s="0" t="n">
        <v>99</v>
      </c>
      <c r="G1270" s="0" t="n">
        <v>200</v>
      </c>
      <c r="H1270" s="0" t="s">
        <v>145</v>
      </c>
      <c r="I1270" s="0" t="n">
        <v>200</v>
      </c>
      <c r="J1270" s="0" t="n">
        <f aca="false">F1270*E1270</f>
        <v>594</v>
      </c>
      <c r="K1270" s="0" t="str">
        <f aca="false">IF(G1270&lt;1000,"1-Low",IF(G1270&lt;5000,"2-Medium","3-Bulk"))</f>
        <v>1-Low</v>
      </c>
      <c r="L1270" s="0" t="str">
        <f aca="false">IF(H1270="TRUE","Out of stock","In stock")</f>
        <v>In stock</v>
      </c>
      <c r="M1270" s="0" t="str">
        <f aca="false">IF(D1270&lt;5,"1) Under 5%",IF(D1270&lt;10,"2) 5-9%",IF(D1270&lt;15,"3) 10-14%",IF(D1270&lt;25,"4) 15-24%","5) 25%+"))))</f>
        <v>2) 5-9%</v>
      </c>
      <c r="N1270" s="0" t="str">
        <f aca="false">IF(F1270&lt;50,"1) Under Rs 50",IF(F1270&lt;100,"2) Rs 50-99",IF(F1270&lt;200,"3) Rs 100-199",IF(F1270&lt;500,"4) Rs 200-499","5) Rs 500+"))))</f>
        <v>2) Rs 50-99</v>
      </c>
      <c r="O1270" s="0" t="n">
        <f aca="false">G1270*E1270/1000</f>
        <v>1.2</v>
      </c>
    </row>
    <row r="1271" customFormat="false" ht="15" hidden="false" customHeight="false" outlineLevel="0" collapsed="false">
      <c r="A1271" s="0" t="s">
        <v>74</v>
      </c>
      <c r="B1271" s="0" t="s">
        <v>716</v>
      </c>
      <c r="C1271" s="0" t="n">
        <v>17</v>
      </c>
      <c r="D1271" s="0" t="n">
        <v>0</v>
      </c>
      <c r="E1271" s="0" t="n">
        <v>3</v>
      </c>
      <c r="F1271" s="0" t="n">
        <v>17</v>
      </c>
      <c r="G1271" s="0" t="n">
        <v>100</v>
      </c>
      <c r="H1271" s="0" t="s">
        <v>145</v>
      </c>
      <c r="I1271" s="0" t="n">
        <v>100</v>
      </c>
      <c r="J1271" s="0" t="n">
        <f aca="false">F1271*E1271</f>
        <v>51</v>
      </c>
      <c r="K1271" s="0" t="str">
        <f aca="false">IF(G1271&lt;1000,"1-Low",IF(G1271&lt;5000,"2-Medium","3-Bulk"))</f>
        <v>1-Low</v>
      </c>
      <c r="L1271" s="0" t="str">
        <f aca="false">IF(H1271="TRUE","Out of stock","In stock")</f>
        <v>In stock</v>
      </c>
      <c r="M1271" s="0" t="str">
        <f aca="false">IF(D1271&lt;5,"1) Under 5%",IF(D1271&lt;10,"2) 5-9%",IF(D1271&lt;15,"3) 10-14%",IF(D1271&lt;25,"4) 15-24%","5) 25%+"))))</f>
        <v>1) Under 5%</v>
      </c>
      <c r="N1271" s="0" t="str">
        <f aca="false">IF(F1271&lt;50,"1) Under Rs 50",IF(F1271&lt;100,"2) Rs 50-99",IF(F1271&lt;200,"3) Rs 100-199",IF(F1271&lt;500,"4) Rs 200-499","5) Rs 500+"))))</f>
        <v>1) Under Rs 50</v>
      </c>
      <c r="O1271" s="0" t="n">
        <f aca="false">G1271*E1271/1000</f>
        <v>0.3</v>
      </c>
    </row>
    <row r="1272" customFormat="false" ht="15" hidden="false" customHeight="false" outlineLevel="0" collapsed="false">
      <c r="A1272" s="0" t="s">
        <v>74</v>
      </c>
      <c r="B1272" s="0" t="s">
        <v>717</v>
      </c>
      <c r="C1272" s="0" t="n">
        <v>122</v>
      </c>
      <c r="D1272" s="0" t="n">
        <v>1</v>
      </c>
      <c r="E1272" s="0" t="n">
        <v>6</v>
      </c>
      <c r="F1272" s="0" t="n">
        <v>120</v>
      </c>
      <c r="G1272" s="0" t="n">
        <v>200</v>
      </c>
      <c r="H1272" s="0" t="s">
        <v>145</v>
      </c>
      <c r="I1272" s="0" t="n">
        <v>200</v>
      </c>
      <c r="J1272" s="0" t="n">
        <f aca="false">F1272*E1272</f>
        <v>720</v>
      </c>
      <c r="K1272" s="0" t="str">
        <f aca="false">IF(G1272&lt;1000,"1-Low",IF(G1272&lt;5000,"2-Medium","3-Bulk"))</f>
        <v>1-Low</v>
      </c>
      <c r="L1272" s="0" t="str">
        <f aca="false">IF(H1272="TRUE","Out of stock","In stock")</f>
        <v>In stock</v>
      </c>
      <c r="M1272" s="0" t="str">
        <f aca="false">IF(D1272&lt;5,"1) Under 5%",IF(D1272&lt;10,"2) 5-9%",IF(D1272&lt;15,"3) 10-14%",IF(D1272&lt;25,"4) 15-24%","5) 25%+"))))</f>
        <v>1) Under 5%</v>
      </c>
      <c r="N1272" s="0" t="str">
        <f aca="false">IF(F1272&lt;50,"1) Under Rs 50",IF(F1272&lt;100,"2) Rs 50-99",IF(F1272&lt;200,"3) Rs 100-199",IF(F1272&lt;500,"4) Rs 200-499","5) Rs 500+"))))</f>
        <v>3) Rs 100-199</v>
      </c>
      <c r="O1272" s="0" t="n">
        <f aca="false">G1272*E1272/1000</f>
        <v>1.2</v>
      </c>
    </row>
    <row r="1273" customFormat="false" ht="15" hidden="false" customHeight="false" outlineLevel="0" collapsed="false">
      <c r="A1273" s="0" t="s">
        <v>74</v>
      </c>
      <c r="B1273" s="0" t="s">
        <v>718</v>
      </c>
      <c r="C1273" s="0" t="n">
        <v>60</v>
      </c>
      <c r="D1273" s="0" t="n">
        <v>0</v>
      </c>
      <c r="E1273" s="0" t="n">
        <v>6</v>
      </c>
      <c r="F1273" s="0" t="n">
        <v>60</v>
      </c>
      <c r="G1273" s="0" t="n">
        <v>400</v>
      </c>
      <c r="H1273" s="0" t="s">
        <v>145</v>
      </c>
      <c r="I1273" s="0" t="n">
        <v>400</v>
      </c>
      <c r="J1273" s="0" t="n">
        <f aca="false">F1273*E1273</f>
        <v>360</v>
      </c>
      <c r="K1273" s="0" t="str">
        <f aca="false">IF(G1273&lt;1000,"1-Low",IF(G1273&lt;5000,"2-Medium","3-Bulk"))</f>
        <v>1-Low</v>
      </c>
      <c r="L1273" s="0" t="str">
        <f aca="false">IF(H1273="TRUE","Out of stock","In stock")</f>
        <v>In stock</v>
      </c>
      <c r="M1273" s="0" t="str">
        <f aca="false">IF(D1273&lt;5,"1) Under 5%",IF(D1273&lt;10,"2) 5-9%",IF(D1273&lt;15,"3) 10-14%",IF(D1273&lt;25,"4) 15-24%","5) 25%+"))))</f>
        <v>1) Under 5%</v>
      </c>
      <c r="N1273" s="0" t="str">
        <f aca="false">IF(F1273&lt;50,"1) Under Rs 50",IF(F1273&lt;100,"2) Rs 50-99",IF(F1273&lt;200,"3) Rs 100-199",IF(F1273&lt;500,"4) Rs 200-499","5) Rs 500+"))))</f>
        <v>2) Rs 50-99</v>
      </c>
      <c r="O1273" s="0" t="n">
        <f aca="false">G1273*E1273/1000</f>
        <v>2.4</v>
      </c>
    </row>
    <row r="1274" customFormat="false" ht="15" hidden="false" customHeight="false" outlineLevel="0" collapsed="false">
      <c r="A1274" s="0" t="s">
        <v>74</v>
      </c>
      <c r="B1274" s="0" t="s">
        <v>719</v>
      </c>
      <c r="C1274" s="0" t="n">
        <v>30</v>
      </c>
      <c r="D1274" s="0" t="n">
        <v>0</v>
      </c>
      <c r="E1274" s="0" t="n">
        <v>1</v>
      </c>
      <c r="F1274" s="0" t="n">
        <v>30</v>
      </c>
      <c r="G1274" s="0" t="n">
        <v>400</v>
      </c>
      <c r="H1274" s="0" t="s">
        <v>145</v>
      </c>
      <c r="I1274" s="0" t="n">
        <v>400</v>
      </c>
      <c r="J1274" s="0" t="n">
        <f aca="false">F1274*E1274</f>
        <v>30</v>
      </c>
      <c r="K1274" s="0" t="str">
        <f aca="false">IF(G1274&lt;1000,"1-Low",IF(G1274&lt;5000,"2-Medium","3-Bulk"))</f>
        <v>1-Low</v>
      </c>
      <c r="L1274" s="0" t="str">
        <f aca="false">IF(H1274="TRUE","Out of stock","In stock")</f>
        <v>In stock</v>
      </c>
      <c r="M1274" s="0" t="str">
        <f aca="false">IF(D1274&lt;5,"1) Under 5%",IF(D1274&lt;10,"2) 5-9%",IF(D1274&lt;15,"3) 10-14%",IF(D1274&lt;25,"4) 15-24%","5) 25%+"))))</f>
        <v>1) Under 5%</v>
      </c>
      <c r="N1274" s="0" t="str">
        <f aca="false">IF(F1274&lt;50,"1) Under Rs 50",IF(F1274&lt;100,"2) Rs 50-99",IF(F1274&lt;200,"3) Rs 100-199",IF(F1274&lt;500,"4) Rs 200-499","5) Rs 500+"))))</f>
        <v>1) Under Rs 50</v>
      </c>
      <c r="O1274" s="0" t="n">
        <f aca="false">G1274*E1274/1000</f>
        <v>0.4</v>
      </c>
    </row>
    <row r="1275" customFormat="false" ht="15" hidden="false" customHeight="false" outlineLevel="0" collapsed="false">
      <c r="A1275" s="0" t="s">
        <v>74</v>
      </c>
      <c r="B1275" s="0" t="s">
        <v>720</v>
      </c>
      <c r="C1275" s="0" t="n">
        <v>55</v>
      </c>
      <c r="D1275" s="0" t="n">
        <v>0</v>
      </c>
      <c r="E1275" s="0" t="n">
        <v>4</v>
      </c>
      <c r="F1275" s="0" t="n">
        <v>55</v>
      </c>
      <c r="G1275" s="0" t="n">
        <v>400</v>
      </c>
      <c r="H1275" s="0" t="s">
        <v>145</v>
      </c>
      <c r="I1275" s="0" t="n">
        <v>400</v>
      </c>
      <c r="J1275" s="0" t="n">
        <f aca="false">F1275*E1275</f>
        <v>220</v>
      </c>
      <c r="K1275" s="0" t="str">
        <f aca="false">IF(G1275&lt;1000,"1-Low",IF(G1275&lt;5000,"2-Medium","3-Bulk"))</f>
        <v>1-Low</v>
      </c>
      <c r="L1275" s="0" t="str">
        <f aca="false">IF(H1275="TRUE","Out of stock","In stock")</f>
        <v>In stock</v>
      </c>
      <c r="M1275" s="0" t="str">
        <f aca="false">IF(D1275&lt;5,"1) Under 5%",IF(D1275&lt;10,"2) 5-9%",IF(D1275&lt;15,"3) 10-14%",IF(D1275&lt;25,"4) 15-24%","5) 25%+"))))</f>
        <v>1) Under 5%</v>
      </c>
      <c r="N1275" s="0" t="str">
        <f aca="false">IF(F1275&lt;50,"1) Under Rs 50",IF(F1275&lt;100,"2) Rs 50-99",IF(F1275&lt;200,"3) Rs 100-199",IF(F1275&lt;500,"4) Rs 200-499","5) Rs 500+"))))</f>
        <v>2) Rs 50-99</v>
      </c>
      <c r="O1275" s="0" t="n">
        <f aca="false">G1275*E1275/1000</f>
        <v>1.6</v>
      </c>
    </row>
    <row r="1276" customFormat="false" ht="15" hidden="false" customHeight="false" outlineLevel="0" collapsed="false">
      <c r="A1276" s="0" t="s">
        <v>74</v>
      </c>
      <c r="B1276" s="0" t="s">
        <v>721</v>
      </c>
      <c r="C1276" s="0" t="n">
        <v>106</v>
      </c>
      <c r="D1276" s="0" t="n">
        <v>0</v>
      </c>
      <c r="E1276" s="0" t="n">
        <v>6</v>
      </c>
      <c r="F1276" s="0" t="n">
        <v>106</v>
      </c>
      <c r="G1276" s="0" t="n">
        <v>200</v>
      </c>
      <c r="H1276" s="0" t="s">
        <v>145</v>
      </c>
      <c r="I1276" s="0" t="n">
        <v>200</v>
      </c>
      <c r="J1276" s="0" t="n">
        <f aca="false">F1276*E1276</f>
        <v>636</v>
      </c>
      <c r="K1276" s="0" t="str">
        <f aca="false">IF(G1276&lt;1000,"1-Low",IF(G1276&lt;5000,"2-Medium","3-Bulk"))</f>
        <v>1-Low</v>
      </c>
      <c r="L1276" s="0" t="str">
        <f aca="false">IF(H1276="TRUE","Out of stock","In stock")</f>
        <v>In stock</v>
      </c>
      <c r="M1276" s="0" t="str">
        <f aca="false">IF(D1276&lt;5,"1) Under 5%",IF(D1276&lt;10,"2) 5-9%",IF(D1276&lt;15,"3) 10-14%",IF(D1276&lt;25,"4) 15-24%","5) 25%+"))))</f>
        <v>1) Under 5%</v>
      </c>
      <c r="N1276" s="0" t="str">
        <f aca="false">IF(F1276&lt;50,"1) Under Rs 50",IF(F1276&lt;100,"2) Rs 50-99",IF(F1276&lt;200,"3) Rs 100-199",IF(F1276&lt;500,"4) Rs 200-499","5) Rs 500+"))))</f>
        <v>3) Rs 100-199</v>
      </c>
      <c r="O1276" s="0" t="n">
        <f aca="false">G1276*E1276/1000</f>
        <v>1.2</v>
      </c>
    </row>
    <row r="1277" customFormat="false" ht="15" hidden="false" customHeight="false" outlineLevel="0" collapsed="false">
      <c r="A1277" s="0" t="s">
        <v>74</v>
      </c>
      <c r="B1277" s="0" t="s">
        <v>712</v>
      </c>
      <c r="C1277" s="0" t="n">
        <v>70</v>
      </c>
      <c r="D1277" s="0" t="n">
        <v>2</v>
      </c>
      <c r="E1277" s="0" t="n">
        <v>6</v>
      </c>
      <c r="F1277" s="0" t="n">
        <v>68</v>
      </c>
      <c r="G1277" s="0" t="n">
        <v>400</v>
      </c>
      <c r="H1277" s="0" t="s">
        <v>145</v>
      </c>
      <c r="I1277" s="0" t="n">
        <v>400</v>
      </c>
      <c r="J1277" s="0" t="n">
        <f aca="false">F1277*E1277</f>
        <v>408</v>
      </c>
      <c r="K1277" s="0" t="str">
        <f aca="false">IF(G1277&lt;1000,"1-Low",IF(G1277&lt;5000,"2-Medium","3-Bulk"))</f>
        <v>1-Low</v>
      </c>
      <c r="L1277" s="0" t="str">
        <f aca="false">IF(H1277="TRUE","Out of stock","In stock")</f>
        <v>In stock</v>
      </c>
      <c r="M1277" s="0" t="str">
        <f aca="false">IF(D1277&lt;5,"1) Under 5%",IF(D1277&lt;10,"2) 5-9%",IF(D1277&lt;15,"3) 10-14%",IF(D1277&lt;25,"4) 15-24%","5) 25%+"))))</f>
        <v>1) Under 5%</v>
      </c>
      <c r="N1277" s="0" t="str">
        <f aca="false">IF(F1277&lt;50,"1) Under Rs 50",IF(F1277&lt;100,"2) Rs 50-99",IF(F1277&lt;200,"3) Rs 100-199",IF(F1277&lt;500,"4) Rs 200-499","5) Rs 500+"))))</f>
        <v>2) Rs 50-99</v>
      </c>
      <c r="O1277" s="0" t="n">
        <f aca="false">G1277*E1277/1000</f>
        <v>2.4</v>
      </c>
    </row>
    <row r="1278" customFormat="false" ht="15" hidden="false" customHeight="false" outlineLevel="0" collapsed="false">
      <c r="A1278" s="0" t="s">
        <v>74</v>
      </c>
      <c r="B1278" s="0" t="s">
        <v>242</v>
      </c>
      <c r="C1278" s="0" t="n">
        <v>85</v>
      </c>
      <c r="D1278" s="0" t="n">
        <v>7</v>
      </c>
      <c r="E1278" s="0" t="n">
        <v>4</v>
      </c>
      <c r="F1278" s="0" t="n">
        <v>79</v>
      </c>
      <c r="G1278" s="0" t="n">
        <v>348</v>
      </c>
      <c r="H1278" s="0" t="s">
        <v>145</v>
      </c>
      <c r="I1278" s="0" t="n">
        <v>6</v>
      </c>
      <c r="J1278" s="0" t="n">
        <f aca="false">F1278*E1278</f>
        <v>316</v>
      </c>
      <c r="K1278" s="0" t="str">
        <f aca="false">IF(G1278&lt;1000,"1-Low",IF(G1278&lt;5000,"2-Medium","3-Bulk"))</f>
        <v>1-Low</v>
      </c>
      <c r="L1278" s="0" t="str">
        <f aca="false">IF(H1278="TRUE","Out of stock","In stock")</f>
        <v>In stock</v>
      </c>
      <c r="M1278" s="0" t="str">
        <f aca="false">IF(D1278&lt;5,"1) Under 5%",IF(D1278&lt;10,"2) 5-9%",IF(D1278&lt;15,"3) 10-14%",IF(D1278&lt;25,"4) 15-24%","5) 25%+"))))</f>
        <v>2) 5-9%</v>
      </c>
      <c r="N1278" s="0" t="str">
        <f aca="false">IF(F1278&lt;50,"1) Under Rs 50",IF(F1278&lt;100,"2) Rs 50-99",IF(F1278&lt;200,"3) Rs 100-199",IF(F1278&lt;500,"4) Rs 200-499","5) Rs 500+"))))</f>
        <v>2) Rs 50-99</v>
      </c>
      <c r="O1278" s="0" t="n">
        <f aca="false">G1278*E1278/1000</f>
        <v>1.392</v>
      </c>
    </row>
    <row r="1279" customFormat="false" ht="15" hidden="false" customHeight="false" outlineLevel="0" collapsed="false">
      <c r="A1279" s="0" t="s">
        <v>74</v>
      </c>
      <c r="B1279" s="0" t="s">
        <v>722</v>
      </c>
      <c r="C1279" s="0" t="n">
        <v>30</v>
      </c>
      <c r="D1279" s="0" t="n">
        <v>0</v>
      </c>
      <c r="E1279" s="0" t="n">
        <v>6</v>
      </c>
      <c r="F1279" s="0" t="n">
        <v>30</v>
      </c>
      <c r="G1279" s="0" t="n">
        <v>85</v>
      </c>
      <c r="H1279" s="0" t="s">
        <v>145</v>
      </c>
      <c r="I1279" s="0" t="n">
        <v>85</v>
      </c>
      <c r="J1279" s="0" t="n">
        <f aca="false">F1279*E1279</f>
        <v>180</v>
      </c>
      <c r="K1279" s="0" t="str">
        <f aca="false">IF(G1279&lt;1000,"1-Low",IF(G1279&lt;5000,"2-Medium","3-Bulk"))</f>
        <v>1-Low</v>
      </c>
      <c r="L1279" s="0" t="str">
        <f aca="false">IF(H1279="TRUE","Out of stock","In stock")</f>
        <v>In stock</v>
      </c>
      <c r="M1279" s="0" t="str">
        <f aca="false">IF(D1279&lt;5,"1) Under 5%",IF(D1279&lt;10,"2) 5-9%",IF(D1279&lt;15,"3) 10-14%",IF(D1279&lt;25,"4) 15-24%","5) 25%+"))))</f>
        <v>1) Under 5%</v>
      </c>
      <c r="N1279" s="0" t="str">
        <f aca="false">IF(F1279&lt;50,"1) Under Rs 50",IF(F1279&lt;100,"2) Rs 50-99",IF(F1279&lt;200,"3) Rs 100-199",IF(F1279&lt;500,"4) Rs 200-499","5) Rs 500+"))))</f>
        <v>1) Under Rs 50</v>
      </c>
      <c r="O1279" s="0" t="n">
        <f aca="false">G1279*E1279/1000</f>
        <v>0.51</v>
      </c>
    </row>
    <row r="1280" customFormat="false" ht="15" hidden="false" customHeight="false" outlineLevel="0" collapsed="false">
      <c r="A1280" s="0" t="s">
        <v>74</v>
      </c>
      <c r="B1280" s="0" t="s">
        <v>723</v>
      </c>
      <c r="C1280" s="0" t="n">
        <v>245</v>
      </c>
      <c r="D1280" s="0" t="n">
        <v>2</v>
      </c>
      <c r="E1280" s="0" t="n">
        <v>6</v>
      </c>
      <c r="F1280" s="0" t="n">
        <v>240</v>
      </c>
      <c r="G1280" s="0" t="n">
        <v>500</v>
      </c>
      <c r="H1280" s="0" t="s">
        <v>145</v>
      </c>
      <c r="I1280" s="0" t="n">
        <v>500</v>
      </c>
      <c r="J1280" s="0" t="n">
        <f aca="false">F1280*E1280</f>
        <v>1440</v>
      </c>
      <c r="K1280" s="0" t="str">
        <f aca="false">IF(G1280&lt;1000,"1-Low",IF(G1280&lt;5000,"2-Medium","3-Bulk"))</f>
        <v>1-Low</v>
      </c>
      <c r="L1280" s="0" t="str">
        <f aca="false">IF(H1280="TRUE","Out of stock","In stock")</f>
        <v>In stock</v>
      </c>
      <c r="M1280" s="0" t="str">
        <f aca="false">IF(D1280&lt;5,"1) Under 5%",IF(D1280&lt;10,"2) 5-9%",IF(D1280&lt;15,"3) 10-14%",IF(D1280&lt;25,"4) 15-24%","5) 25%+"))))</f>
        <v>1) Under 5%</v>
      </c>
      <c r="N1280" s="0" t="str">
        <f aca="false">IF(F1280&lt;50,"1) Under Rs 50",IF(F1280&lt;100,"2) Rs 50-99",IF(F1280&lt;200,"3) Rs 100-199",IF(F1280&lt;500,"4) Rs 200-499","5) Rs 500+"))))</f>
        <v>4) Rs 200-499</v>
      </c>
      <c r="O1280" s="0" t="n">
        <f aca="false">G1280*E1280/1000</f>
        <v>3</v>
      </c>
    </row>
    <row r="1281" customFormat="false" ht="15" hidden="false" customHeight="false" outlineLevel="0" collapsed="false">
      <c r="A1281" s="0" t="s">
        <v>74</v>
      </c>
      <c r="B1281" s="0" t="s">
        <v>724</v>
      </c>
      <c r="C1281" s="0" t="n">
        <v>59</v>
      </c>
      <c r="D1281" s="0" t="n">
        <v>3</v>
      </c>
      <c r="E1281" s="0" t="n">
        <v>6</v>
      </c>
      <c r="F1281" s="0" t="n">
        <v>57</v>
      </c>
      <c r="G1281" s="0" t="n">
        <v>100</v>
      </c>
      <c r="H1281" s="0" t="s">
        <v>145</v>
      </c>
      <c r="I1281" s="0" t="n">
        <v>100</v>
      </c>
      <c r="J1281" s="0" t="n">
        <f aca="false">F1281*E1281</f>
        <v>342</v>
      </c>
      <c r="K1281" s="0" t="str">
        <f aca="false">IF(G1281&lt;1000,"1-Low",IF(G1281&lt;5000,"2-Medium","3-Bulk"))</f>
        <v>1-Low</v>
      </c>
      <c r="L1281" s="0" t="str">
        <f aca="false">IF(H1281="TRUE","Out of stock","In stock")</f>
        <v>In stock</v>
      </c>
      <c r="M1281" s="0" t="str">
        <f aca="false">IF(D1281&lt;5,"1) Under 5%",IF(D1281&lt;10,"2) 5-9%",IF(D1281&lt;15,"3) 10-14%",IF(D1281&lt;25,"4) 15-24%","5) 25%+"))))</f>
        <v>1) Under 5%</v>
      </c>
      <c r="N1281" s="0" t="str">
        <f aca="false">IF(F1281&lt;50,"1) Under Rs 50",IF(F1281&lt;100,"2) Rs 50-99",IF(F1281&lt;200,"3) Rs 100-199",IF(F1281&lt;500,"4) Rs 200-499","5) Rs 500+"))))</f>
        <v>2) Rs 50-99</v>
      </c>
      <c r="O1281" s="0" t="n">
        <f aca="false">G1281*E1281/1000</f>
        <v>0.6</v>
      </c>
    </row>
    <row r="1282" customFormat="false" ht="15" hidden="false" customHeight="false" outlineLevel="0" collapsed="false">
      <c r="A1282" s="0" t="s">
        <v>74</v>
      </c>
      <c r="B1282" s="0" t="s">
        <v>725</v>
      </c>
      <c r="C1282" s="0" t="n">
        <v>42</v>
      </c>
      <c r="D1282" s="0" t="n">
        <v>0</v>
      </c>
      <c r="E1282" s="0" t="n">
        <v>4</v>
      </c>
      <c r="F1282" s="0" t="n">
        <v>42</v>
      </c>
      <c r="G1282" s="0" t="n">
        <v>400</v>
      </c>
      <c r="H1282" s="0" t="s">
        <v>145</v>
      </c>
      <c r="I1282" s="0" t="n">
        <v>400</v>
      </c>
      <c r="J1282" s="0" t="n">
        <f aca="false">F1282*E1282</f>
        <v>168</v>
      </c>
      <c r="K1282" s="0" t="str">
        <f aca="false">IF(G1282&lt;1000,"1-Low",IF(G1282&lt;5000,"2-Medium","3-Bulk"))</f>
        <v>1-Low</v>
      </c>
      <c r="L1282" s="0" t="str">
        <f aca="false">IF(H1282="TRUE","Out of stock","In stock")</f>
        <v>In stock</v>
      </c>
      <c r="M1282" s="0" t="str">
        <f aca="false">IF(D1282&lt;5,"1) Under 5%",IF(D1282&lt;10,"2) 5-9%",IF(D1282&lt;15,"3) 10-14%",IF(D1282&lt;25,"4) 15-24%","5) 25%+"))))</f>
        <v>1) Under 5%</v>
      </c>
      <c r="N1282" s="0" t="str">
        <f aca="false">IF(F1282&lt;50,"1) Under Rs 50",IF(F1282&lt;100,"2) Rs 50-99",IF(F1282&lt;200,"3) Rs 100-199",IF(F1282&lt;500,"4) Rs 200-499","5) Rs 500+"))))</f>
        <v>1) Under Rs 50</v>
      </c>
      <c r="O1282" s="0" t="n">
        <f aca="false">G1282*E1282/1000</f>
        <v>1.6</v>
      </c>
    </row>
    <row r="1283" customFormat="false" ht="15" hidden="false" customHeight="false" outlineLevel="0" collapsed="false">
      <c r="A1283" s="0" t="s">
        <v>74</v>
      </c>
      <c r="B1283" s="0" t="s">
        <v>250</v>
      </c>
      <c r="C1283" s="0" t="n">
        <v>197</v>
      </c>
      <c r="D1283" s="0" t="n">
        <v>3</v>
      </c>
      <c r="E1283" s="0" t="n">
        <v>3</v>
      </c>
      <c r="F1283" s="0" t="n">
        <v>191</v>
      </c>
      <c r="G1283" s="0" t="n">
        <v>1000</v>
      </c>
      <c r="H1283" s="0" t="s">
        <v>145</v>
      </c>
      <c r="I1283" s="0" t="n">
        <v>1</v>
      </c>
      <c r="J1283" s="0" t="n">
        <f aca="false">F1283*E1283</f>
        <v>573</v>
      </c>
      <c r="K1283" s="0" t="str">
        <f aca="false">IF(G1283&lt;1000,"1-Low",IF(G1283&lt;5000,"2-Medium","3-Bulk"))</f>
        <v>2-Medium</v>
      </c>
      <c r="L1283" s="0" t="str">
        <f aca="false">IF(H1283="TRUE","Out of stock","In stock")</f>
        <v>In stock</v>
      </c>
      <c r="M1283" s="0" t="str">
        <f aca="false">IF(D1283&lt;5,"1) Under 5%",IF(D1283&lt;10,"2) 5-9%",IF(D1283&lt;15,"3) 10-14%",IF(D1283&lt;25,"4) 15-24%","5) 25%+"))))</f>
        <v>1) Under 5%</v>
      </c>
      <c r="N1283" s="0" t="str">
        <f aca="false">IF(F1283&lt;50,"1) Under Rs 50",IF(F1283&lt;100,"2) Rs 50-99",IF(F1283&lt;200,"3) Rs 100-199",IF(F1283&lt;500,"4) Rs 200-499","5) Rs 500+"))))</f>
        <v>3) Rs 100-199</v>
      </c>
      <c r="O1283" s="0" t="n">
        <f aca="false">G1283*E1283/1000</f>
        <v>3</v>
      </c>
    </row>
    <row r="1284" customFormat="false" ht="15" hidden="false" customHeight="false" outlineLevel="0" collapsed="false">
      <c r="A1284" s="0" t="s">
        <v>74</v>
      </c>
      <c r="B1284" s="0" t="s">
        <v>726</v>
      </c>
      <c r="C1284" s="0" t="n">
        <v>45</v>
      </c>
      <c r="D1284" s="0" t="n">
        <v>0</v>
      </c>
      <c r="E1284" s="0" t="n">
        <v>6</v>
      </c>
      <c r="F1284" s="0" t="n">
        <v>45</v>
      </c>
      <c r="G1284" s="0" t="n">
        <v>90</v>
      </c>
      <c r="H1284" s="0" t="s">
        <v>145</v>
      </c>
      <c r="I1284" s="0" t="n">
        <v>90</v>
      </c>
      <c r="J1284" s="0" t="n">
        <f aca="false">F1284*E1284</f>
        <v>270</v>
      </c>
      <c r="K1284" s="0" t="str">
        <f aca="false">IF(G1284&lt;1000,"1-Low",IF(G1284&lt;5000,"2-Medium","3-Bulk"))</f>
        <v>1-Low</v>
      </c>
      <c r="L1284" s="0" t="str">
        <f aca="false">IF(H1284="TRUE","Out of stock","In stock")</f>
        <v>In stock</v>
      </c>
      <c r="M1284" s="0" t="str">
        <f aca="false">IF(D1284&lt;5,"1) Under 5%",IF(D1284&lt;10,"2) 5-9%",IF(D1284&lt;15,"3) 10-14%",IF(D1284&lt;25,"4) 15-24%","5) 25%+"))))</f>
        <v>1) Under 5%</v>
      </c>
      <c r="N1284" s="0" t="str">
        <f aca="false">IF(F1284&lt;50,"1) Under Rs 50",IF(F1284&lt;100,"2) Rs 50-99",IF(F1284&lt;200,"3) Rs 100-199",IF(F1284&lt;500,"4) Rs 200-499","5) Rs 500+"))))</f>
        <v>1) Under Rs 50</v>
      </c>
      <c r="O1284" s="0" t="n">
        <f aca="false">G1284*E1284/1000</f>
        <v>0.54</v>
      </c>
    </row>
    <row r="1285" customFormat="false" ht="15" hidden="false" customHeight="false" outlineLevel="0" collapsed="false">
      <c r="A1285" s="0" t="s">
        <v>74</v>
      </c>
      <c r="B1285" s="0" t="s">
        <v>727</v>
      </c>
      <c r="C1285" s="0" t="n">
        <v>30</v>
      </c>
      <c r="D1285" s="0" t="n">
        <v>0</v>
      </c>
      <c r="E1285" s="0" t="n">
        <v>1</v>
      </c>
      <c r="F1285" s="0" t="n">
        <v>30</v>
      </c>
      <c r="G1285" s="0" t="n">
        <v>150</v>
      </c>
      <c r="H1285" s="0" t="s">
        <v>145</v>
      </c>
      <c r="I1285" s="0" t="n">
        <v>150</v>
      </c>
      <c r="J1285" s="0" t="n">
        <f aca="false">F1285*E1285</f>
        <v>30</v>
      </c>
      <c r="K1285" s="0" t="str">
        <f aca="false">IF(G1285&lt;1000,"1-Low",IF(G1285&lt;5000,"2-Medium","3-Bulk"))</f>
        <v>1-Low</v>
      </c>
      <c r="L1285" s="0" t="str">
        <f aca="false">IF(H1285="TRUE","Out of stock","In stock")</f>
        <v>In stock</v>
      </c>
      <c r="M1285" s="0" t="str">
        <f aca="false">IF(D1285&lt;5,"1) Under 5%",IF(D1285&lt;10,"2) 5-9%",IF(D1285&lt;15,"3) 10-14%",IF(D1285&lt;25,"4) 15-24%","5) 25%+"))))</f>
        <v>1) Under 5%</v>
      </c>
      <c r="N1285" s="0" t="str">
        <f aca="false">IF(F1285&lt;50,"1) Under Rs 50",IF(F1285&lt;100,"2) Rs 50-99",IF(F1285&lt;200,"3) Rs 100-199",IF(F1285&lt;500,"4) Rs 200-499","5) Rs 500+"))))</f>
        <v>1) Under Rs 50</v>
      </c>
      <c r="O1285" s="0" t="n">
        <f aca="false">G1285*E1285/1000</f>
        <v>0.15</v>
      </c>
    </row>
    <row r="1286" customFormat="false" ht="15" hidden="false" customHeight="false" outlineLevel="0" collapsed="false">
      <c r="A1286" s="0" t="s">
        <v>74</v>
      </c>
      <c r="B1286" s="0" t="s">
        <v>728</v>
      </c>
      <c r="C1286" s="0" t="n">
        <v>18</v>
      </c>
      <c r="D1286" s="0" t="n">
        <v>5</v>
      </c>
      <c r="E1286" s="0" t="n">
        <v>6</v>
      </c>
      <c r="F1286" s="0" t="n">
        <v>17</v>
      </c>
      <c r="G1286" s="0" t="n">
        <v>100</v>
      </c>
      <c r="H1286" s="0" t="s">
        <v>145</v>
      </c>
      <c r="I1286" s="0" t="n">
        <v>100</v>
      </c>
      <c r="J1286" s="0" t="n">
        <f aca="false">F1286*E1286</f>
        <v>102</v>
      </c>
      <c r="K1286" s="0" t="str">
        <f aca="false">IF(G1286&lt;1000,"1-Low",IF(G1286&lt;5000,"2-Medium","3-Bulk"))</f>
        <v>1-Low</v>
      </c>
      <c r="L1286" s="0" t="str">
        <f aca="false">IF(H1286="TRUE","Out of stock","In stock")</f>
        <v>In stock</v>
      </c>
      <c r="M1286" s="0" t="str">
        <f aca="false">IF(D1286&lt;5,"1) Under 5%",IF(D1286&lt;10,"2) 5-9%",IF(D1286&lt;15,"3) 10-14%",IF(D1286&lt;25,"4) 15-24%","5) 25%+"))))</f>
        <v>2) 5-9%</v>
      </c>
      <c r="N1286" s="0" t="str">
        <f aca="false">IF(F1286&lt;50,"1) Under Rs 50",IF(F1286&lt;100,"2) Rs 50-99",IF(F1286&lt;200,"3) Rs 100-199",IF(F1286&lt;500,"4) Rs 200-499","5) Rs 500+"))))</f>
        <v>1) Under Rs 50</v>
      </c>
      <c r="O1286" s="0" t="n">
        <f aca="false">G1286*E1286/1000</f>
        <v>0.6</v>
      </c>
    </row>
    <row r="1287" customFormat="false" ht="15" hidden="false" customHeight="false" outlineLevel="0" collapsed="false">
      <c r="A1287" s="0" t="s">
        <v>74</v>
      </c>
      <c r="B1287" s="0" t="s">
        <v>258</v>
      </c>
      <c r="C1287" s="0" t="n">
        <v>54</v>
      </c>
      <c r="D1287" s="0" t="n">
        <v>5</v>
      </c>
      <c r="E1287" s="0" t="n">
        <v>6</v>
      </c>
      <c r="F1287" s="0" t="n">
        <v>51</v>
      </c>
      <c r="G1287" s="0" t="n">
        <v>200</v>
      </c>
      <c r="H1287" s="0" t="s">
        <v>145</v>
      </c>
      <c r="I1287" s="0" t="n">
        <v>200</v>
      </c>
      <c r="J1287" s="0" t="n">
        <f aca="false">F1287*E1287</f>
        <v>306</v>
      </c>
      <c r="K1287" s="0" t="str">
        <f aca="false">IF(G1287&lt;1000,"1-Low",IF(G1287&lt;5000,"2-Medium","3-Bulk"))</f>
        <v>1-Low</v>
      </c>
      <c r="L1287" s="0" t="str">
        <f aca="false">IF(H1287="TRUE","Out of stock","In stock")</f>
        <v>In stock</v>
      </c>
      <c r="M1287" s="0" t="str">
        <f aca="false">IF(D1287&lt;5,"1) Under 5%",IF(D1287&lt;10,"2) 5-9%",IF(D1287&lt;15,"3) 10-14%",IF(D1287&lt;25,"4) 15-24%","5) 25%+"))))</f>
        <v>2) 5-9%</v>
      </c>
      <c r="N1287" s="0" t="str">
        <f aca="false">IF(F1287&lt;50,"1) Under Rs 50",IF(F1287&lt;100,"2) Rs 50-99",IF(F1287&lt;200,"3) Rs 100-199",IF(F1287&lt;500,"4) Rs 200-499","5) Rs 500+"))))</f>
        <v>2) Rs 50-99</v>
      </c>
      <c r="O1287" s="0" t="n">
        <f aca="false">G1287*E1287/1000</f>
        <v>1.2</v>
      </c>
    </row>
    <row r="1288" customFormat="false" ht="15" hidden="false" customHeight="false" outlineLevel="0" collapsed="false">
      <c r="A1288" s="0" t="s">
        <v>74</v>
      </c>
      <c r="B1288" s="0" t="s">
        <v>729</v>
      </c>
      <c r="C1288" s="0" t="n">
        <v>78</v>
      </c>
      <c r="D1288" s="0" t="n">
        <v>3</v>
      </c>
      <c r="E1288" s="0" t="n">
        <v>5</v>
      </c>
      <c r="F1288" s="0" t="n">
        <v>75</v>
      </c>
      <c r="G1288" s="0" t="n">
        <v>400</v>
      </c>
      <c r="H1288" s="0" t="s">
        <v>145</v>
      </c>
      <c r="I1288" s="0" t="n">
        <v>400</v>
      </c>
      <c r="J1288" s="0" t="n">
        <f aca="false">F1288*E1288</f>
        <v>375</v>
      </c>
      <c r="K1288" s="0" t="str">
        <f aca="false">IF(G1288&lt;1000,"1-Low",IF(G1288&lt;5000,"2-Medium","3-Bulk"))</f>
        <v>1-Low</v>
      </c>
      <c r="L1288" s="0" t="str">
        <f aca="false">IF(H1288="TRUE","Out of stock","In stock")</f>
        <v>In stock</v>
      </c>
      <c r="M1288" s="0" t="str">
        <f aca="false">IF(D1288&lt;5,"1) Under 5%",IF(D1288&lt;10,"2) 5-9%",IF(D1288&lt;15,"3) 10-14%",IF(D1288&lt;25,"4) 15-24%","5) 25%+"))))</f>
        <v>1) Under 5%</v>
      </c>
      <c r="N1288" s="0" t="str">
        <f aca="false">IF(F1288&lt;50,"1) Under Rs 50",IF(F1288&lt;100,"2) Rs 50-99",IF(F1288&lt;200,"3) Rs 100-199",IF(F1288&lt;500,"4) Rs 200-499","5) Rs 500+"))))</f>
        <v>2) Rs 50-99</v>
      </c>
      <c r="O1288" s="0" t="n">
        <f aca="false">G1288*E1288/1000</f>
        <v>2</v>
      </c>
    </row>
    <row r="1289" customFormat="false" ht="15" hidden="false" customHeight="false" outlineLevel="0" collapsed="false">
      <c r="A1289" s="0" t="s">
        <v>74</v>
      </c>
      <c r="B1289" s="0" t="s">
        <v>730</v>
      </c>
      <c r="C1289" s="0" t="n">
        <v>60</v>
      </c>
      <c r="D1289" s="0" t="n">
        <v>5</v>
      </c>
      <c r="E1289" s="0" t="n">
        <v>5</v>
      </c>
      <c r="F1289" s="0" t="n">
        <v>57</v>
      </c>
      <c r="G1289" s="0" t="n">
        <v>200</v>
      </c>
      <c r="H1289" s="0" t="s">
        <v>145</v>
      </c>
      <c r="I1289" s="0" t="n">
        <v>200</v>
      </c>
      <c r="J1289" s="0" t="n">
        <f aca="false">F1289*E1289</f>
        <v>285</v>
      </c>
      <c r="K1289" s="0" t="str">
        <f aca="false">IF(G1289&lt;1000,"1-Low",IF(G1289&lt;5000,"2-Medium","3-Bulk"))</f>
        <v>1-Low</v>
      </c>
      <c r="L1289" s="0" t="str">
        <f aca="false">IF(H1289="TRUE","Out of stock","In stock")</f>
        <v>In stock</v>
      </c>
      <c r="M1289" s="0" t="str">
        <f aca="false">IF(D1289&lt;5,"1) Under 5%",IF(D1289&lt;10,"2) 5-9%",IF(D1289&lt;15,"3) 10-14%",IF(D1289&lt;25,"4) 15-24%","5) 25%+"))))</f>
        <v>2) 5-9%</v>
      </c>
      <c r="N1289" s="0" t="str">
        <f aca="false">IF(F1289&lt;50,"1) Under Rs 50",IF(F1289&lt;100,"2) Rs 50-99",IF(F1289&lt;200,"3) Rs 100-199",IF(F1289&lt;500,"4) Rs 200-499","5) Rs 500+"))))</f>
        <v>2) Rs 50-99</v>
      </c>
      <c r="O1289" s="0" t="n">
        <f aca="false">G1289*E1289/1000</f>
        <v>1</v>
      </c>
    </row>
    <row r="1290" customFormat="false" ht="15" hidden="false" customHeight="false" outlineLevel="0" collapsed="false">
      <c r="A1290" s="0" t="s">
        <v>74</v>
      </c>
      <c r="B1290" s="0" t="s">
        <v>728</v>
      </c>
      <c r="C1290" s="0" t="n">
        <v>88</v>
      </c>
      <c r="D1290" s="0" t="n">
        <v>2</v>
      </c>
      <c r="E1290" s="0" t="n">
        <v>2</v>
      </c>
      <c r="F1290" s="0" t="n">
        <v>86</v>
      </c>
      <c r="G1290" s="0" t="n">
        <v>500</v>
      </c>
      <c r="H1290" s="0" t="s">
        <v>145</v>
      </c>
      <c r="I1290" s="0" t="n">
        <v>500</v>
      </c>
      <c r="J1290" s="0" t="n">
        <f aca="false">F1290*E1290</f>
        <v>172</v>
      </c>
      <c r="K1290" s="0" t="str">
        <f aca="false">IF(G1290&lt;1000,"1-Low",IF(G1290&lt;5000,"2-Medium","3-Bulk"))</f>
        <v>1-Low</v>
      </c>
      <c r="L1290" s="0" t="str">
        <f aca="false">IF(H1290="TRUE","Out of stock","In stock")</f>
        <v>In stock</v>
      </c>
      <c r="M1290" s="0" t="str">
        <f aca="false">IF(D1290&lt;5,"1) Under 5%",IF(D1290&lt;10,"2) 5-9%",IF(D1290&lt;15,"3) 10-14%",IF(D1290&lt;25,"4) 15-24%","5) 25%+"))))</f>
        <v>1) Under 5%</v>
      </c>
      <c r="N1290" s="0" t="str">
        <f aca="false">IF(F1290&lt;50,"1) Under Rs 50",IF(F1290&lt;100,"2) Rs 50-99",IF(F1290&lt;200,"3) Rs 100-199",IF(F1290&lt;500,"4) Rs 200-499","5) Rs 500+"))))</f>
        <v>2) Rs 50-99</v>
      </c>
      <c r="O1290" s="0" t="n">
        <f aca="false">G1290*E1290/1000</f>
        <v>1</v>
      </c>
    </row>
    <row r="1291" customFormat="false" ht="15" hidden="false" customHeight="false" outlineLevel="0" collapsed="false">
      <c r="A1291" s="0" t="s">
        <v>74</v>
      </c>
      <c r="B1291" s="0" t="s">
        <v>278</v>
      </c>
      <c r="C1291" s="0" t="n">
        <v>56</v>
      </c>
      <c r="D1291" s="0" t="n">
        <v>3</v>
      </c>
      <c r="E1291" s="0" t="n">
        <v>4</v>
      </c>
      <c r="F1291" s="0" t="n">
        <v>54</v>
      </c>
      <c r="G1291" s="0" t="n">
        <v>200</v>
      </c>
      <c r="H1291" s="0" t="s">
        <v>145</v>
      </c>
      <c r="I1291" s="0" t="n">
        <v>200</v>
      </c>
      <c r="J1291" s="0" t="n">
        <f aca="false">F1291*E1291</f>
        <v>216</v>
      </c>
      <c r="K1291" s="0" t="str">
        <f aca="false">IF(G1291&lt;1000,"1-Low",IF(G1291&lt;5000,"2-Medium","3-Bulk"))</f>
        <v>1-Low</v>
      </c>
      <c r="L1291" s="0" t="str">
        <f aca="false">IF(H1291="TRUE","Out of stock","In stock")</f>
        <v>In stock</v>
      </c>
      <c r="M1291" s="0" t="str">
        <f aca="false">IF(D1291&lt;5,"1) Under 5%",IF(D1291&lt;10,"2) 5-9%",IF(D1291&lt;15,"3) 10-14%",IF(D1291&lt;25,"4) 15-24%","5) 25%+"))))</f>
        <v>1) Under 5%</v>
      </c>
      <c r="N1291" s="0" t="str">
        <f aca="false">IF(F1291&lt;50,"1) Under Rs 50",IF(F1291&lt;100,"2) Rs 50-99",IF(F1291&lt;200,"3) Rs 100-199",IF(F1291&lt;500,"4) Rs 200-499","5) Rs 500+"))))</f>
        <v>2) Rs 50-99</v>
      </c>
      <c r="O1291" s="0" t="n">
        <f aca="false">G1291*E1291/1000</f>
        <v>0.8</v>
      </c>
    </row>
    <row r="1292" customFormat="false" ht="15" hidden="false" customHeight="false" outlineLevel="0" collapsed="false">
      <c r="A1292" s="0" t="s">
        <v>74</v>
      </c>
      <c r="B1292" s="0" t="s">
        <v>280</v>
      </c>
      <c r="C1292" s="0" t="n">
        <v>110</v>
      </c>
      <c r="D1292" s="0" t="n">
        <v>13</v>
      </c>
      <c r="E1292" s="0" t="n">
        <v>4</v>
      </c>
      <c r="F1292" s="0" t="n">
        <v>95</v>
      </c>
      <c r="G1292" s="0" t="n">
        <v>348</v>
      </c>
      <c r="H1292" s="0" t="s">
        <v>145</v>
      </c>
      <c r="I1292" s="0" t="n">
        <v>6</v>
      </c>
      <c r="J1292" s="0" t="n">
        <f aca="false">F1292*E1292</f>
        <v>380</v>
      </c>
      <c r="K1292" s="0" t="str">
        <f aca="false">IF(G1292&lt;1000,"1-Low",IF(G1292&lt;5000,"2-Medium","3-Bulk"))</f>
        <v>1-Low</v>
      </c>
      <c r="L1292" s="0" t="str">
        <f aca="false">IF(H1292="TRUE","Out of stock","In stock")</f>
        <v>In stock</v>
      </c>
      <c r="M1292" s="0" t="str">
        <f aca="false">IF(D1292&lt;5,"1) Under 5%",IF(D1292&lt;10,"2) 5-9%",IF(D1292&lt;15,"3) 10-14%",IF(D1292&lt;25,"4) 15-24%","5) 25%+"))))</f>
        <v>3) 10-14%</v>
      </c>
      <c r="N1292" s="0" t="str">
        <f aca="false">IF(F1292&lt;50,"1) Under Rs 50",IF(F1292&lt;100,"2) Rs 50-99",IF(F1292&lt;200,"3) Rs 100-199",IF(F1292&lt;500,"4) Rs 200-499","5) Rs 500+"))))</f>
        <v>2) Rs 50-99</v>
      </c>
      <c r="O1292" s="0" t="n">
        <f aca="false">G1292*E1292/1000</f>
        <v>1.392</v>
      </c>
    </row>
    <row r="1293" customFormat="false" ht="15" hidden="false" customHeight="false" outlineLevel="0" collapsed="false">
      <c r="A1293" s="0" t="s">
        <v>74</v>
      </c>
      <c r="B1293" s="0" t="s">
        <v>731</v>
      </c>
      <c r="C1293" s="0" t="n">
        <v>85</v>
      </c>
      <c r="D1293" s="0" t="n">
        <v>3</v>
      </c>
      <c r="E1293" s="0" t="n">
        <v>6</v>
      </c>
      <c r="F1293" s="0" t="n">
        <v>82</v>
      </c>
      <c r="G1293" s="0" t="n">
        <v>200</v>
      </c>
      <c r="H1293" s="0" t="s">
        <v>145</v>
      </c>
      <c r="I1293" s="0" t="n">
        <v>200</v>
      </c>
      <c r="J1293" s="0" t="n">
        <f aca="false">F1293*E1293</f>
        <v>492</v>
      </c>
      <c r="K1293" s="0" t="str">
        <f aca="false">IF(G1293&lt;1000,"1-Low",IF(G1293&lt;5000,"2-Medium","3-Bulk"))</f>
        <v>1-Low</v>
      </c>
      <c r="L1293" s="0" t="str">
        <f aca="false">IF(H1293="TRUE","Out of stock","In stock")</f>
        <v>In stock</v>
      </c>
      <c r="M1293" s="0" t="str">
        <f aca="false">IF(D1293&lt;5,"1) Under 5%",IF(D1293&lt;10,"2) 5-9%",IF(D1293&lt;15,"3) 10-14%",IF(D1293&lt;25,"4) 15-24%","5) 25%+"))))</f>
        <v>1) Under 5%</v>
      </c>
      <c r="N1293" s="0" t="str">
        <f aca="false">IF(F1293&lt;50,"1) Under Rs 50",IF(F1293&lt;100,"2) Rs 50-99",IF(F1293&lt;200,"3) Rs 100-199",IF(F1293&lt;500,"4) Rs 200-499","5) Rs 500+"))))</f>
        <v>2) Rs 50-99</v>
      </c>
      <c r="O1293" s="0" t="n">
        <f aca="false">G1293*E1293/1000</f>
        <v>1.2</v>
      </c>
    </row>
    <row r="1294" customFormat="false" ht="15" hidden="false" customHeight="false" outlineLevel="0" collapsed="false">
      <c r="A1294" s="0" t="s">
        <v>74</v>
      </c>
      <c r="B1294" s="0" t="s">
        <v>732</v>
      </c>
      <c r="C1294" s="0" t="n">
        <v>85</v>
      </c>
      <c r="D1294" s="0" t="n">
        <v>5</v>
      </c>
      <c r="E1294" s="0" t="n">
        <v>6</v>
      </c>
      <c r="F1294" s="0" t="n">
        <v>80</v>
      </c>
      <c r="G1294" s="0" t="n">
        <v>180</v>
      </c>
      <c r="H1294" s="0" t="s">
        <v>145</v>
      </c>
      <c r="I1294" s="0" t="n">
        <v>180</v>
      </c>
      <c r="J1294" s="0" t="n">
        <f aca="false">F1294*E1294</f>
        <v>480</v>
      </c>
      <c r="K1294" s="0" t="str">
        <f aca="false">IF(G1294&lt;1000,"1-Low",IF(G1294&lt;5000,"2-Medium","3-Bulk"))</f>
        <v>1-Low</v>
      </c>
      <c r="L1294" s="0" t="str">
        <f aca="false">IF(H1294="TRUE","Out of stock","In stock")</f>
        <v>In stock</v>
      </c>
      <c r="M1294" s="0" t="str">
        <f aca="false">IF(D1294&lt;5,"1) Under 5%",IF(D1294&lt;10,"2) 5-9%",IF(D1294&lt;15,"3) 10-14%",IF(D1294&lt;25,"4) 15-24%","5) 25%+"))))</f>
        <v>2) 5-9%</v>
      </c>
      <c r="N1294" s="0" t="str">
        <f aca="false">IF(F1294&lt;50,"1) Under Rs 50",IF(F1294&lt;100,"2) Rs 50-99",IF(F1294&lt;200,"3) Rs 100-199",IF(F1294&lt;500,"4) Rs 200-499","5) Rs 500+"))))</f>
        <v>2) Rs 50-99</v>
      </c>
      <c r="O1294" s="0" t="n">
        <f aca="false">G1294*E1294/1000</f>
        <v>1.08</v>
      </c>
    </row>
    <row r="1295" customFormat="false" ht="15" hidden="false" customHeight="false" outlineLevel="0" collapsed="false">
      <c r="A1295" s="0" t="s">
        <v>74</v>
      </c>
      <c r="B1295" s="0" t="s">
        <v>733</v>
      </c>
      <c r="C1295" s="0" t="n">
        <v>40</v>
      </c>
      <c r="D1295" s="0" t="n">
        <v>0</v>
      </c>
      <c r="E1295" s="0" t="n">
        <v>1</v>
      </c>
      <c r="F1295" s="0" t="n">
        <v>40</v>
      </c>
      <c r="G1295" s="0" t="n">
        <v>200</v>
      </c>
      <c r="H1295" s="0" t="s">
        <v>145</v>
      </c>
      <c r="I1295" s="0" t="n">
        <v>200</v>
      </c>
      <c r="J1295" s="0" t="n">
        <f aca="false">F1295*E1295</f>
        <v>40</v>
      </c>
      <c r="K1295" s="0" t="str">
        <f aca="false">IF(G1295&lt;1000,"1-Low",IF(G1295&lt;5000,"2-Medium","3-Bulk"))</f>
        <v>1-Low</v>
      </c>
      <c r="L1295" s="0" t="str">
        <f aca="false">IF(H1295="TRUE","Out of stock","In stock")</f>
        <v>In stock</v>
      </c>
      <c r="M1295" s="0" t="str">
        <f aca="false">IF(D1295&lt;5,"1) Under 5%",IF(D1295&lt;10,"2) 5-9%",IF(D1295&lt;15,"3) 10-14%",IF(D1295&lt;25,"4) 15-24%","5) 25%+"))))</f>
        <v>1) Under 5%</v>
      </c>
      <c r="N1295" s="0" t="str">
        <f aca="false">IF(F1295&lt;50,"1) Under Rs 50",IF(F1295&lt;100,"2) Rs 50-99",IF(F1295&lt;200,"3) Rs 100-199",IF(F1295&lt;500,"4) Rs 200-499","5) Rs 500+"))))</f>
        <v>1) Under Rs 50</v>
      </c>
      <c r="O1295" s="0" t="n">
        <f aca="false">G1295*E1295/1000</f>
        <v>0.2</v>
      </c>
    </row>
    <row r="1296" customFormat="false" ht="15" hidden="false" customHeight="false" outlineLevel="0" collapsed="false">
      <c r="A1296" s="0" t="s">
        <v>74</v>
      </c>
      <c r="B1296" s="0" t="s">
        <v>734</v>
      </c>
      <c r="C1296" s="0" t="n">
        <v>360</v>
      </c>
      <c r="D1296" s="0" t="n">
        <v>0</v>
      </c>
      <c r="E1296" s="0" t="n">
        <v>1</v>
      </c>
      <c r="F1296" s="0" t="n">
        <v>359</v>
      </c>
      <c r="G1296" s="0" t="n">
        <v>750</v>
      </c>
      <c r="H1296" s="0" t="s">
        <v>145</v>
      </c>
      <c r="I1296" s="0" t="n">
        <v>750</v>
      </c>
      <c r="J1296" s="0" t="n">
        <f aca="false">F1296*E1296</f>
        <v>359</v>
      </c>
      <c r="K1296" s="0" t="str">
        <f aca="false">IF(G1296&lt;1000,"1-Low",IF(G1296&lt;5000,"2-Medium","3-Bulk"))</f>
        <v>1-Low</v>
      </c>
      <c r="L1296" s="0" t="str">
        <f aca="false">IF(H1296="TRUE","Out of stock","In stock")</f>
        <v>In stock</v>
      </c>
      <c r="M1296" s="0" t="str">
        <f aca="false">IF(D1296&lt;5,"1) Under 5%",IF(D1296&lt;10,"2) 5-9%",IF(D1296&lt;15,"3) 10-14%",IF(D1296&lt;25,"4) 15-24%","5) 25%+"))))</f>
        <v>1) Under 5%</v>
      </c>
      <c r="N1296" s="0" t="str">
        <f aca="false">IF(F1296&lt;50,"1) Under Rs 50",IF(F1296&lt;100,"2) Rs 50-99",IF(F1296&lt;200,"3) Rs 100-199",IF(F1296&lt;500,"4) Rs 200-499","5) Rs 500+"))))</f>
        <v>4) Rs 200-499</v>
      </c>
      <c r="O1296" s="0" t="n">
        <f aca="false">G1296*E1296/1000</f>
        <v>0.75</v>
      </c>
    </row>
    <row r="1297" customFormat="false" ht="15" hidden="false" customHeight="false" outlineLevel="0" collapsed="false">
      <c r="A1297" s="0" t="s">
        <v>74</v>
      </c>
      <c r="B1297" s="0" t="s">
        <v>735</v>
      </c>
      <c r="C1297" s="0" t="n">
        <v>72</v>
      </c>
      <c r="D1297" s="0" t="n">
        <v>13</v>
      </c>
      <c r="E1297" s="0" t="n">
        <v>3</v>
      </c>
      <c r="F1297" s="0" t="n">
        <v>62</v>
      </c>
      <c r="G1297" s="0" t="n">
        <v>348</v>
      </c>
      <c r="H1297" s="0" t="s">
        <v>145</v>
      </c>
      <c r="I1297" s="0" t="n">
        <v>6</v>
      </c>
      <c r="J1297" s="0" t="n">
        <f aca="false">F1297*E1297</f>
        <v>186</v>
      </c>
      <c r="K1297" s="0" t="str">
        <f aca="false">IF(G1297&lt;1000,"1-Low",IF(G1297&lt;5000,"2-Medium","3-Bulk"))</f>
        <v>1-Low</v>
      </c>
      <c r="L1297" s="0" t="str">
        <f aca="false">IF(H1297="TRUE","Out of stock","In stock")</f>
        <v>In stock</v>
      </c>
      <c r="M1297" s="0" t="str">
        <f aca="false">IF(D1297&lt;5,"1) Under 5%",IF(D1297&lt;10,"2) 5-9%",IF(D1297&lt;15,"3) 10-14%",IF(D1297&lt;25,"4) 15-24%","5) 25%+"))))</f>
        <v>3) 10-14%</v>
      </c>
      <c r="N1297" s="0" t="str">
        <f aca="false">IF(F1297&lt;50,"1) Under Rs 50",IF(F1297&lt;100,"2) Rs 50-99",IF(F1297&lt;200,"3) Rs 100-199",IF(F1297&lt;500,"4) Rs 200-499","5) Rs 500+"))))</f>
        <v>2) Rs 50-99</v>
      </c>
      <c r="O1297" s="0" t="n">
        <f aca="false">G1297*E1297/1000</f>
        <v>1.044</v>
      </c>
    </row>
    <row r="1298" customFormat="false" ht="15" hidden="false" customHeight="false" outlineLevel="0" collapsed="false">
      <c r="A1298" s="0" t="s">
        <v>74</v>
      </c>
      <c r="B1298" s="0" t="s">
        <v>736</v>
      </c>
      <c r="C1298" s="0" t="n">
        <v>75</v>
      </c>
      <c r="D1298" s="0" t="n">
        <v>4</v>
      </c>
      <c r="E1298" s="0" t="n">
        <v>1</v>
      </c>
      <c r="F1298" s="0" t="n">
        <v>72</v>
      </c>
      <c r="G1298" s="0" t="n">
        <v>200</v>
      </c>
      <c r="H1298" s="0" t="s">
        <v>145</v>
      </c>
      <c r="I1298" s="0" t="n">
        <v>200</v>
      </c>
      <c r="J1298" s="0" t="n">
        <f aca="false">F1298*E1298</f>
        <v>72</v>
      </c>
      <c r="K1298" s="0" t="str">
        <f aca="false">IF(G1298&lt;1000,"1-Low",IF(G1298&lt;5000,"2-Medium","3-Bulk"))</f>
        <v>1-Low</v>
      </c>
      <c r="L1298" s="0" t="str">
        <f aca="false">IF(H1298="TRUE","Out of stock","In stock")</f>
        <v>In stock</v>
      </c>
      <c r="M1298" s="0" t="str">
        <f aca="false">IF(D1298&lt;5,"1) Under 5%",IF(D1298&lt;10,"2) 5-9%",IF(D1298&lt;15,"3) 10-14%",IF(D1298&lt;25,"4) 15-24%","5) 25%+"))))</f>
        <v>1) Under 5%</v>
      </c>
      <c r="N1298" s="0" t="str">
        <f aca="false">IF(F1298&lt;50,"1) Under Rs 50",IF(F1298&lt;100,"2) Rs 50-99",IF(F1298&lt;200,"3) Rs 100-199",IF(F1298&lt;500,"4) Rs 200-499","5) Rs 500+"))))</f>
        <v>2) Rs 50-99</v>
      </c>
      <c r="O1298" s="0" t="n">
        <f aca="false">G1298*E1298/1000</f>
        <v>0.2</v>
      </c>
    </row>
    <row r="1299" customFormat="false" ht="15" hidden="false" customHeight="false" outlineLevel="0" collapsed="false">
      <c r="A1299" s="0" t="s">
        <v>74</v>
      </c>
      <c r="B1299" s="0" t="s">
        <v>320</v>
      </c>
      <c r="C1299" s="0" t="n">
        <v>210</v>
      </c>
      <c r="D1299" s="0" t="n">
        <v>0</v>
      </c>
      <c r="E1299" s="0" t="n">
        <v>4</v>
      </c>
      <c r="F1299" s="0" t="n">
        <v>210</v>
      </c>
      <c r="G1299" s="0" t="n">
        <v>400</v>
      </c>
      <c r="H1299" s="0" t="s">
        <v>145</v>
      </c>
      <c r="I1299" s="0" t="n">
        <v>400</v>
      </c>
      <c r="J1299" s="0" t="n">
        <f aca="false">F1299*E1299</f>
        <v>840</v>
      </c>
      <c r="K1299" s="0" t="str">
        <f aca="false">IF(G1299&lt;1000,"1-Low",IF(G1299&lt;5000,"2-Medium","3-Bulk"))</f>
        <v>1-Low</v>
      </c>
      <c r="L1299" s="0" t="str">
        <f aca="false">IF(H1299="TRUE","Out of stock","In stock")</f>
        <v>In stock</v>
      </c>
      <c r="M1299" s="0" t="str">
        <f aca="false">IF(D1299&lt;5,"1) Under 5%",IF(D1299&lt;10,"2) 5-9%",IF(D1299&lt;15,"3) 10-14%",IF(D1299&lt;25,"4) 15-24%","5) 25%+"))))</f>
        <v>1) Under 5%</v>
      </c>
      <c r="N1299" s="0" t="str">
        <f aca="false">IF(F1299&lt;50,"1) Under Rs 50",IF(F1299&lt;100,"2) Rs 50-99",IF(F1299&lt;200,"3) Rs 100-199",IF(F1299&lt;500,"4) Rs 200-499","5) Rs 500+"))))</f>
        <v>4) Rs 200-499</v>
      </c>
      <c r="O1299" s="0" t="n">
        <f aca="false">G1299*E1299/1000</f>
        <v>1.6</v>
      </c>
    </row>
    <row r="1300" customFormat="false" ht="15" hidden="false" customHeight="false" outlineLevel="0" collapsed="false">
      <c r="A1300" s="0" t="s">
        <v>74</v>
      </c>
      <c r="B1300" s="0" t="s">
        <v>737</v>
      </c>
      <c r="C1300" s="0" t="n">
        <v>109</v>
      </c>
      <c r="D1300" s="0" t="n">
        <v>4</v>
      </c>
      <c r="E1300" s="0" t="n">
        <v>6</v>
      </c>
      <c r="F1300" s="0" t="n">
        <v>104</v>
      </c>
      <c r="G1300" s="0" t="n">
        <v>200</v>
      </c>
      <c r="H1300" s="0" t="s">
        <v>145</v>
      </c>
      <c r="I1300" s="0" t="n">
        <v>200</v>
      </c>
      <c r="J1300" s="0" t="n">
        <f aca="false">F1300*E1300</f>
        <v>624</v>
      </c>
      <c r="K1300" s="0" t="str">
        <f aca="false">IF(G1300&lt;1000,"1-Low",IF(G1300&lt;5000,"2-Medium","3-Bulk"))</f>
        <v>1-Low</v>
      </c>
      <c r="L1300" s="0" t="str">
        <f aca="false">IF(H1300="TRUE","Out of stock","In stock")</f>
        <v>In stock</v>
      </c>
      <c r="M1300" s="0" t="str">
        <f aca="false">IF(D1300&lt;5,"1) Under 5%",IF(D1300&lt;10,"2) 5-9%",IF(D1300&lt;15,"3) 10-14%",IF(D1300&lt;25,"4) 15-24%","5) 25%+"))))</f>
        <v>1) Under 5%</v>
      </c>
      <c r="N1300" s="0" t="str">
        <f aca="false">IF(F1300&lt;50,"1) Under Rs 50",IF(F1300&lt;100,"2) Rs 50-99",IF(F1300&lt;200,"3) Rs 100-199",IF(F1300&lt;500,"4) Rs 200-499","5) Rs 500+"))))</f>
        <v>3) Rs 100-199</v>
      </c>
      <c r="O1300" s="0" t="n">
        <f aca="false">G1300*E1300/1000</f>
        <v>1.2</v>
      </c>
    </row>
    <row r="1301" customFormat="false" ht="15" hidden="false" customHeight="false" outlineLevel="0" collapsed="false">
      <c r="A1301" s="0" t="s">
        <v>74</v>
      </c>
      <c r="B1301" s="0" t="s">
        <v>330</v>
      </c>
      <c r="C1301" s="0" t="n">
        <v>110</v>
      </c>
      <c r="D1301" s="0" t="n">
        <v>4</v>
      </c>
      <c r="E1301" s="0" t="n">
        <v>6</v>
      </c>
      <c r="F1301" s="0" t="n">
        <v>105</v>
      </c>
      <c r="G1301" s="0" t="n">
        <v>250</v>
      </c>
      <c r="H1301" s="0" t="s">
        <v>145</v>
      </c>
      <c r="I1301" s="0" t="n">
        <v>500</v>
      </c>
      <c r="J1301" s="0" t="n">
        <f aca="false">F1301*E1301</f>
        <v>630</v>
      </c>
      <c r="K1301" s="0" t="str">
        <f aca="false">IF(G1301&lt;1000,"1-Low",IF(G1301&lt;5000,"2-Medium","3-Bulk"))</f>
        <v>1-Low</v>
      </c>
      <c r="L1301" s="0" t="str">
        <f aca="false">IF(H1301="TRUE","Out of stock","In stock")</f>
        <v>In stock</v>
      </c>
      <c r="M1301" s="0" t="str">
        <f aca="false">IF(D1301&lt;5,"1) Under 5%",IF(D1301&lt;10,"2) 5-9%",IF(D1301&lt;15,"3) 10-14%",IF(D1301&lt;25,"4) 15-24%","5) 25%+"))))</f>
        <v>1) Under 5%</v>
      </c>
      <c r="N1301" s="0" t="str">
        <f aca="false">IF(F1301&lt;50,"1) Under Rs 50",IF(F1301&lt;100,"2) Rs 50-99",IF(F1301&lt;200,"3) Rs 100-199",IF(F1301&lt;500,"4) Rs 200-499","5) Rs 500+"))))</f>
        <v>3) Rs 100-199</v>
      </c>
      <c r="O1301" s="0" t="n">
        <f aca="false">G1301*E1301/1000</f>
        <v>1.5</v>
      </c>
    </row>
    <row r="1302" customFormat="false" ht="15" hidden="false" customHeight="false" outlineLevel="0" collapsed="false">
      <c r="A1302" s="0" t="s">
        <v>74</v>
      </c>
      <c r="B1302" s="0" t="s">
        <v>738</v>
      </c>
      <c r="C1302" s="0" t="n">
        <v>40</v>
      </c>
      <c r="D1302" s="0" t="n">
        <v>2</v>
      </c>
      <c r="E1302" s="0" t="n">
        <v>5</v>
      </c>
      <c r="F1302" s="0" t="n">
        <v>39</v>
      </c>
      <c r="G1302" s="0" t="n">
        <v>100</v>
      </c>
      <c r="H1302" s="0" t="s">
        <v>145</v>
      </c>
      <c r="I1302" s="0" t="n">
        <v>100</v>
      </c>
      <c r="J1302" s="0" t="n">
        <f aca="false">F1302*E1302</f>
        <v>195</v>
      </c>
      <c r="K1302" s="0" t="str">
        <f aca="false">IF(G1302&lt;1000,"1-Low",IF(G1302&lt;5000,"2-Medium","3-Bulk"))</f>
        <v>1-Low</v>
      </c>
      <c r="L1302" s="0" t="str">
        <f aca="false">IF(H1302="TRUE","Out of stock","In stock")</f>
        <v>In stock</v>
      </c>
      <c r="M1302" s="0" t="str">
        <f aca="false">IF(D1302&lt;5,"1) Under 5%",IF(D1302&lt;10,"2) 5-9%",IF(D1302&lt;15,"3) 10-14%",IF(D1302&lt;25,"4) 15-24%","5) 25%+"))))</f>
        <v>1) Under 5%</v>
      </c>
      <c r="N1302" s="0" t="str">
        <f aca="false">IF(F1302&lt;50,"1) Under Rs 50",IF(F1302&lt;100,"2) Rs 50-99",IF(F1302&lt;200,"3) Rs 100-199",IF(F1302&lt;500,"4) Rs 200-499","5) Rs 500+"))))</f>
        <v>1) Under Rs 50</v>
      </c>
      <c r="O1302" s="0" t="n">
        <f aca="false">G1302*E1302/1000</f>
        <v>0.5</v>
      </c>
    </row>
    <row r="1303" customFormat="false" ht="15" hidden="false" customHeight="false" outlineLevel="0" collapsed="false">
      <c r="A1303" s="0" t="s">
        <v>74</v>
      </c>
      <c r="B1303" s="0" t="s">
        <v>739</v>
      </c>
      <c r="C1303" s="0" t="n">
        <v>140</v>
      </c>
      <c r="D1303" s="0" t="n">
        <v>5</v>
      </c>
      <c r="E1303" s="0" t="n">
        <v>6</v>
      </c>
      <c r="F1303" s="0" t="n">
        <v>133</v>
      </c>
      <c r="G1303" s="0" t="n">
        <v>200</v>
      </c>
      <c r="H1303" s="0" t="s">
        <v>145</v>
      </c>
      <c r="I1303" s="0" t="n">
        <v>200</v>
      </c>
      <c r="J1303" s="0" t="n">
        <f aca="false">F1303*E1303</f>
        <v>798</v>
      </c>
      <c r="K1303" s="0" t="str">
        <f aca="false">IF(G1303&lt;1000,"1-Low",IF(G1303&lt;5000,"2-Medium","3-Bulk"))</f>
        <v>1-Low</v>
      </c>
      <c r="L1303" s="0" t="str">
        <f aca="false">IF(H1303="TRUE","Out of stock","In stock")</f>
        <v>In stock</v>
      </c>
      <c r="M1303" s="0" t="str">
        <f aca="false">IF(D1303&lt;5,"1) Under 5%",IF(D1303&lt;10,"2) 5-9%",IF(D1303&lt;15,"3) 10-14%",IF(D1303&lt;25,"4) 15-24%","5) 25%+"))))</f>
        <v>2) 5-9%</v>
      </c>
      <c r="N1303" s="0" t="str">
        <f aca="false">IF(F1303&lt;50,"1) Under Rs 50",IF(F1303&lt;100,"2) Rs 50-99",IF(F1303&lt;200,"3) Rs 100-199",IF(F1303&lt;500,"4) Rs 200-499","5) Rs 500+"))))</f>
        <v>3) Rs 100-199</v>
      </c>
      <c r="O1303" s="0" t="n">
        <f aca="false">G1303*E1303/1000</f>
        <v>1.2</v>
      </c>
    </row>
    <row r="1304" customFormat="false" ht="15" hidden="false" customHeight="false" outlineLevel="0" collapsed="false">
      <c r="A1304" s="0" t="s">
        <v>74</v>
      </c>
      <c r="B1304" s="0" t="s">
        <v>352</v>
      </c>
      <c r="C1304" s="0" t="n">
        <v>99</v>
      </c>
      <c r="D1304" s="0" t="n">
        <v>5</v>
      </c>
      <c r="E1304" s="0" t="n">
        <v>6</v>
      </c>
      <c r="F1304" s="0" t="n">
        <v>94</v>
      </c>
      <c r="G1304" s="0" t="n">
        <v>165</v>
      </c>
      <c r="H1304" s="0" t="s">
        <v>145</v>
      </c>
      <c r="I1304" s="0" t="n">
        <v>165</v>
      </c>
      <c r="J1304" s="0" t="n">
        <f aca="false">F1304*E1304</f>
        <v>564</v>
      </c>
      <c r="K1304" s="0" t="str">
        <f aca="false">IF(G1304&lt;1000,"1-Low",IF(G1304&lt;5000,"2-Medium","3-Bulk"))</f>
        <v>1-Low</v>
      </c>
      <c r="L1304" s="0" t="str">
        <f aca="false">IF(H1304="TRUE","Out of stock","In stock")</f>
        <v>In stock</v>
      </c>
      <c r="M1304" s="0" t="str">
        <f aca="false">IF(D1304&lt;5,"1) Under 5%",IF(D1304&lt;10,"2) 5-9%",IF(D1304&lt;15,"3) 10-14%",IF(D1304&lt;25,"4) 15-24%","5) 25%+"))))</f>
        <v>2) 5-9%</v>
      </c>
      <c r="N1304" s="0" t="str">
        <f aca="false">IF(F1304&lt;50,"1) Under Rs 50",IF(F1304&lt;100,"2) Rs 50-99",IF(F1304&lt;200,"3) Rs 100-199",IF(F1304&lt;500,"4) Rs 200-499","5) Rs 500+"))))</f>
        <v>2) Rs 50-99</v>
      </c>
      <c r="O1304" s="0" t="n">
        <f aca="false">G1304*E1304/1000</f>
        <v>0.99</v>
      </c>
    </row>
    <row r="1305" customFormat="false" ht="15" hidden="false" customHeight="false" outlineLevel="0" collapsed="false">
      <c r="A1305" s="0" t="s">
        <v>74</v>
      </c>
      <c r="B1305" s="0" t="s">
        <v>740</v>
      </c>
      <c r="C1305" s="0" t="n">
        <v>275</v>
      </c>
      <c r="D1305" s="0" t="n">
        <v>50</v>
      </c>
      <c r="E1305" s="0" t="n">
        <v>4</v>
      </c>
      <c r="F1305" s="0" t="n">
        <v>137</v>
      </c>
      <c r="G1305" s="0" t="n">
        <v>200</v>
      </c>
      <c r="H1305" s="0" t="s">
        <v>145</v>
      </c>
      <c r="I1305" s="0" t="n">
        <v>200</v>
      </c>
      <c r="J1305" s="0" t="n">
        <f aca="false">F1305*E1305</f>
        <v>548</v>
      </c>
      <c r="K1305" s="0" t="str">
        <f aca="false">IF(G1305&lt;1000,"1-Low",IF(G1305&lt;5000,"2-Medium","3-Bulk"))</f>
        <v>1-Low</v>
      </c>
      <c r="L1305" s="0" t="str">
        <f aca="false">IF(H1305="TRUE","Out of stock","In stock")</f>
        <v>In stock</v>
      </c>
      <c r="M1305" s="0" t="str">
        <f aca="false">IF(D1305&lt;5,"1) Under 5%",IF(D1305&lt;10,"2) 5-9%",IF(D1305&lt;15,"3) 10-14%",IF(D1305&lt;25,"4) 15-24%","5) 25%+"))))</f>
        <v>5) 25%+</v>
      </c>
      <c r="N1305" s="0" t="str">
        <f aca="false">IF(F1305&lt;50,"1) Under Rs 50",IF(F1305&lt;100,"2) Rs 50-99",IF(F1305&lt;200,"3) Rs 100-199",IF(F1305&lt;500,"4) Rs 200-499","5) Rs 500+"))))</f>
        <v>3) Rs 100-199</v>
      </c>
      <c r="O1305" s="0" t="n">
        <f aca="false">G1305*E1305/1000</f>
        <v>0.8</v>
      </c>
    </row>
    <row r="1306" customFormat="false" ht="15" hidden="false" customHeight="false" outlineLevel="0" collapsed="false">
      <c r="A1306" s="0" t="s">
        <v>74</v>
      </c>
      <c r="B1306" s="0" t="s">
        <v>741</v>
      </c>
      <c r="C1306" s="0" t="n">
        <v>100</v>
      </c>
      <c r="D1306" s="0" t="n">
        <v>5</v>
      </c>
      <c r="E1306" s="0" t="n">
        <v>4</v>
      </c>
      <c r="F1306" s="0" t="n">
        <v>95</v>
      </c>
      <c r="G1306" s="0" t="n">
        <v>100</v>
      </c>
      <c r="H1306" s="0" t="s">
        <v>145</v>
      </c>
      <c r="I1306" s="0" t="n">
        <v>100</v>
      </c>
      <c r="J1306" s="0" t="n">
        <f aca="false">F1306*E1306</f>
        <v>380</v>
      </c>
      <c r="K1306" s="0" t="str">
        <f aca="false">IF(G1306&lt;1000,"1-Low",IF(G1306&lt;5000,"2-Medium","3-Bulk"))</f>
        <v>1-Low</v>
      </c>
      <c r="L1306" s="0" t="str">
        <f aca="false">IF(H1306="TRUE","Out of stock","In stock")</f>
        <v>In stock</v>
      </c>
      <c r="M1306" s="0" t="str">
        <f aca="false">IF(D1306&lt;5,"1) Under 5%",IF(D1306&lt;10,"2) 5-9%",IF(D1306&lt;15,"3) 10-14%",IF(D1306&lt;25,"4) 15-24%","5) 25%+"))))</f>
        <v>2) 5-9%</v>
      </c>
      <c r="N1306" s="0" t="str">
        <f aca="false">IF(F1306&lt;50,"1) Under Rs 50",IF(F1306&lt;100,"2) Rs 50-99",IF(F1306&lt;200,"3) Rs 100-199",IF(F1306&lt;500,"4) Rs 200-499","5) Rs 500+"))))</f>
        <v>2) Rs 50-99</v>
      </c>
      <c r="O1306" s="0" t="n">
        <f aca="false">G1306*E1306/1000</f>
        <v>0.4</v>
      </c>
    </row>
    <row r="1307" customFormat="false" ht="15" hidden="false" customHeight="false" outlineLevel="0" collapsed="false">
      <c r="A1307" s="0" t="s">
        <v>74</v>
      </c>
      <c r="B1307" s="0" t="s">
        <v>742</v>
      </c>
      <c r="C1307" s="0" t="n">
        <v>72</v>
      </c>
      <c r="D1307" s="0" t="n">
        <v>13</v>
      </c>
      <c r="E1307" s="0" t="n">
        <v>4</v>
      </c>
      <c r="F1307" s="0" t="n">
        <v>62</v>
      </c>
      <c r="G1307" s="0" t="n">
        <v>348</v>
      </c>
      <c r="H1307" s="0" t="s">
        <v>145</v>
      </c>
      <c r="I1307" s="0" t="n">
        <v>6</v>
      </c>
      <c r="J1307" s="0" t="n">
        <f aca="false">F1307*E1307</f>
        <v>248</v>
      </c>
      <c r="K1307" s="0" t="str">
        <f aca="false">IF(G1307&lt;1000,"1-Low",IF(G1307&lt;5000,"2-Medium","3-Bulk"))</f>
        <v>1-Low</v>
      </c>
      <c r="L1307" s="0" t="str">
        <f aca="false">IF(H1307="TRUE","Out of stock","In stock")</f>
        <v>In stock</v>
      </c>
      <c r="M1307" s="0" t="str">
        <f aca="false">IF(D1307&lt;5,"1) Under 5%",IF(D1307&lt;10,"2) 5-9%",IF(D1307&lt;15,"3) 10-14%",IF(D1307&lt;25,"4) 15-24%","5) 25%+"))))</f>
        <v>3) 10-14%</v>
      </c>
      <c r="N1307" s="0" t="str">
        <f aca="false">IF(F1307&lt;50,"1) Under Rs 50",IF(F1307&lt;100,"2) Rs 50-99",IF(F1307&lt;200,"3) Rs 100-199",IF(F1307&lt;500,"4) Rs 200-499","5) Rs 500+"))))</f>
        <v>2) Rs 50-99</v>
      </c>
      <c r="O1307" s="0" t="n">
        <f aca="false">G1307*E1307/1000</f>
        <v>1.392</v>
      </c>
    </row>
    <row r="1308" customFormat="false" ht="15" hidden="false" customHeight="false" outlineLevel="0" collapsed="false">
      <c r="A1308" s="0" t="s">
        <v>74</v>
      </c>
      <c r="B1308" s="0" t="s">
        <v>743</v>
      </c>
      <c r="C1308" s="0" t="n">
        <v>100</v>
      </c>
      <c r="D1308" s="0" t="n">
        <v>5</v>
      </c>
      <c r="E1308" s="0" t="n">
        <v>6</v>
      </c>
      <c r="F1308" s="0" t="n">
        <v>95</v>
      </c>
      <c r="G1308" s="0" t="n">
        <v>160</v>
      </c>
      <c r="H1308" s="0" t="s">
        <v>145</v>
      </c>
      <c r="I1308" s="0" t="n">
        <v>160</v>
      </c>
      <c r="J1308" s="0" t="n">
        <f aca="false">F1308*E1308</f>
        <v>570</v>
      </c>
      <c r="K1308" s="0" t="str">
        <f aca="false">IF(G1308&lt;1000,"1-Low",IF(G1308&lt;5000,"2-Medium","3-Bulk"))</f>
        <v>1-Low</v>
      </c>
      <c r="L1308" s="0" t="str">
        <f aca="false">IF(H1308="TRUE","Out of stock","In stock")</f>
        <v>In stock</v>
      </c>
      <c r="M1308" s="0" t="str">
        <f aca="false">IF(D1308&lt;5,"1) Under 5%",IF(D1308&lt;10,"2) 5-9%",IF(D1308&lt;15,"3) 10-14%",IF(D1308&lt;25,"4) 15-24%","5) 25%+"))))</f>
        <v>2) 5-9%</v>
      </c>
      <c r="N1308" s="0" t="str">
        <f aca="false">IF(F1308&lt;50,"1) Under Rs 50",IF(F1308&lt;100,"2) Rs 50-99",IF(F1308&lt;200,"3) Rs 100-199",IF(F1308&lt;500,"4) Rs 200-499","5) Rs 500+"))))</f>
        <v>2) Rs 50-99</v>
      </c>
      <c r="O1308" s="0" t="n">
        <f aca="false">G1308*E1308/1000</f>
        <v>0.96</v>
      </c>
    </row>
    <row r="1309" customFormat="false" ht="15" hidden="false" customHeight="false" outlineLevel="0" collapsed="false">
      <c r="A1309" s="0" t="s">
        <v>74</v>
      </c>
      <c r="B1309" s="0" t="s">
        <v>744</v>
      </c>
      <c r="C1309" s="0" t="n">
        <v>200</v>
      </c>
      <c r="D1309" s="0" t="n">
        <v>0</v>
      </c>
      <c r="E1309" s="0" t="n">
        <v>1</v>
      </c>
      <c r="F1309" s="0" t="n">
        <v>200</v>
      </c>
      <c r="G1309" s="0" t="n">
        <v>400</v>
      </c>
      <c r="H1309" s="0" t="s">
        <v>145</v>
      </c>
      <c r="I1309" s="0" t="n">
        <v>400</v>
      </c>
      <c r="J1309" s="0" t="n">
        <f aca="false">F1309*E1309</f>
        <v>200</v>
      </c>
      <c r="K1309" s="0" t="str">
        <f aca="false">IF(G1309&lt;1000,"1-Low",IF(G1309&lt;5000,"2-Medium","3-Bulk"))</f>
        <v>1-Low</v>
      </c>
      <c r="L1309" s="0" t="str">
        <f aca="false">IF(H1309="TRUE","Out of stock","In stock")</f>
        <v>In stock</v>
      </c>
      <c r="M1309" s="0" t="str">
        <f aca="false">IF(D1309&lt;5,"1) Under 5%",IF(D1309&lt;10,"2) 5-9%",IF(D1309&lt;15,"3) 10-14%",IF(D1309&lt;25,"4) 15-24%","5) 25%+"))))</f>
        <v>1) Under 5%</v>
      </c>
      <c r="N1309" s="0" t="str">
        <f aca="false">IF(F1309&lt;50,"1) Under Rs 50",IF(F1309&lt;100,"2) Rs 50-99",IF(F1309&lt;200,"3) Rs 100-199",IF(F1309&lt;500,"4) Rs 200-499","5) Rs 500+"))))</f>
        <v>4) Rs 200-499</v>
      </c>
      <c r="O1309" s="0" t="n">
        <f aca="false">G1309*E1309/1000</f>
        <v>0.4</v>
      </c>
    </row>
    <row r="1310" customFormat="false" ht="15" hidden="false" customHeight="false" outlineLevel="0" collapsed="false">
      <c r="A1310" s="0" t="s">
        <v>74</v>
      </c>
      <c r="B1310" s="0" t="s">
        <v>745</v>
      </c>
      <c r="C1310" s="0" t="n">
        <v>245</v>
      </c>
      <c r="D1310" s="0" t="n">
        <v>2</v>
      </c>
      <c r="E1310" s="0" t="n">
        <v>6</v>
      </c>
      <c r="F1310" s="0" t="n">
        <v>238</v>
      </c>
      <c r="G1310" s="0" t="n">
        <v>500</v>
      </c>
      <c r="H1310" s="0" t="s">
        <v>145</v>
      </c>
      <c r="I1310" s="0" t="n">
        <v>500</v>
      </c>
      <c r="J1310" s="0" t="n">
        <f aca="false">F1310*E1310</f>
        <v>1428</v>
      </c>
      <c r="K1310" s="0" t="str">
        <f aca="false">IF(G1310&lt;1000,"1-Low",IF(G1310&lt;5000,"2-Medium","3-Bulk"))</f>
        <v>1-Low</v>
      </c>
      <c r="L1310" s="0" t="str">
        <f aca="false">IF(H1310="TRUE","Out of stock","In stock")</f>
        <v>In stock</v>
      </c>
      <c r="M1310" s="0" t="str">
        <f aca="false">IF(D1310&lt;5,"1) Under 5%",IF(D1310&lt;10,"2) 5-9%",IF(D1310&lt;15,"3) 10-14%",IF(D1310&lt;25,"4) 15-24%","5) 25%+"))))</f>
        <v>1) Under 5%</v>
      </c>
      <c r="N1310" s="0" t="str">
        <f aca="false">IF(F1310&lt;50,"1) Under Rs 50",IF(F1310&lt;100,"2) Rs 50-99",IF(F1310&lt;200,"3) Rs 100-199",IF(F1310&lt;500,"4) Rs 200-499","5) Rs 500+"))))</f>
        <v>4) Rs 200-499</v>
      </c>
      <c r="O1310" s="0" t="n">
        <f aca="false">G1310*E1310/1000</f>
        <v>3</v>
      </c>
    </row>
    <row r="1311" customFormat="false" ht="15" hidden="false" customHeight="false" outlineLevel="0" collapsed="false">
      <c r="A1311" s="0" t="s">
        <v>74</v>
      </c>
      <c r="B1311" s="0" t="s">
        <v>746</v>
      </c>
      <c r="C1311" s="0" t="n">
        <v>235</v>
      </c>
      <c r="D1311" s="0" t="n">
        <v>25</v>
      </c>
      <c r="E1311" s="0" t="n">
        <v>6</v>
      </c>
      <c r="F1311" s="0" t="n">
        <v>174</v>
      </c>
      <c r="G1311" s="0" t="n">
        <v>325</v>
      </c>
      <c r="H1311" s="0" t="s">
        <v>145</v>
      </c>
      <c r="I1311" s="0" t="n">
        <v>325</v>
      </c>
      <c r="J1311" s="0" t="n">
        <f aca="false">F1311*E1311</f>
        <v>1044</v>
      </c>
      <c r="K1311" s="0" t="str">
        <f aca="false">IF(G1311&lt;1000,"1-Low",IF(G1311&lt;5000,"2-Medium","3-Bulk"))</f>
        <v>1-Low</v>
      </c>
      <c r="L1311" s="0" t="str">
        <f aca="false">IF(H1311="TRUE","Out of stock","In stock")</f>
        <v>In stock</v>
      </c>
      <c r="M1311" s="0" t="str">
        <f aca="false">IF(D1311&lt;5,"1) Under 5%",IF(D1311&lt;10,"2) 5-9%",IF(D1311&lt;15,"3) 10-14%",IF(D1311&lt;25,"4) 15-24%","5) 25%+"))))</f>
        <v>5) 25%+</v>
      </c>
      <c r="N1311" s="0" t="str">
        <f aca="false">IF(F1311&lt;50,"1) Under Rs 50",IF(F1311&lt;100,"2) Rs 50-99",IF(F1311&lt;200,"3) Rs 100-199",IF(F1311&lt;500,"4) Rs 200-499","5) Rs 500+"))))</f>
        <v>3) Rs 100-199</v>
      </c>
      <c r="O1311" s="0" t="n">
        <f aca="false">G1311*E1311/1000</f>
        <v>1.95</v>
      </c>
    </row>
    <row r="1312" customFormat="false" ht="15" hidden="false" customHeight="false" outlineLevel="0" collapsed="false">
      <c r="A1312" s="0" t="s">
        <v>74</v>
      </c>
      <c r="B1312" s="0" t="s">
        <v>747</v>
      </c>
      <c r="C1312" s="0" t="n">
        <v>155</v>
      </c>
      <c r="D1312" s="0" t="n">
        <v>0</v>
      </c>
      <c r="E1312" s="0" t="n">
        <v>2</v>
      </c>
      <c r="F1312" s="0" t="n">
        <v>155</v>
      </c>
      <c r="G1312" s="0" t="n">
        <v>200</v>
      </c>
      <c r="H1312" s="0" t="s">
        <v>145</v>
      </c>
      <c r="I1312" s="0" t="n">
        <v>200</v>
      </c>
      <c r="J1312" s="0" t="n">
        <f aca="false">F1312*E1312</f>
        <v>310</v>
      </c>
      <c r="K1312" s="0" t="str">
        <f aca="false">IF(G1312&lt;1000,"1-Low",IF(G1312&lt;5000,"2-Medium","3-Bulk"))</f>
        <v>1-Low</v>
      </c>
      <c r="L1312" s="0" t="str">
        <f aca="false">IF(H1312="TRUE","Out of stock","In stock")</f>
        <v>In stock</v>
      </c>
      <c r="M1312" s="0" t="str">
        <f aca="false">IF(D1312&lt;5,"1) Under 5%",IF(D1312&lt;10,"2) 5-9%",IF(D1312&lt;15,"3) 10-14%",IF(D1312&lt;25,"4) 15-24%","5) 25%+"))))</f>
        <v>1) Under 5%</v>
      </c>
      <c r="N1312" s="0" t="str">
        <f aca="false">IF(F1312&lt;50,"1) Under Rs 50",IF(F1312&lt;100,"2) Rs 50-99",IF(F1312&lt;200,"3) Rs 100-199",IF(F1312&lt;500,"4) Rs 200-499","5) Rs 500+"))))</f>
        <v>3) Rs 100-199</v>
      </c>
      <c r="O1312" s="0" t="n">
        <f aca="false">G1312*E1312/1000</f>
        <v>0.4</v>
      </c>
    </row>
    <row r="1313" customFormat="false" ht="15" hidden="false" customHeight="false" outlineLevel="0" collapsed="false">
      <c r="A1313" s="0" t="s">
        <v>74</v>
      </c>
      <c r="B1313" s="0" t="s">
        <v>748</v>
      </c>
      <c r="C1313" s="0" t="n">
        <v>300</v>
      </c>
      <c r="D1313" s="0" t="n">
        <v>33</v>
      </c>
      <c r="E1313" s="0" t="n">
        <v>4</v>
      </c>
      <c r="F1313" s="0" t="n">
        <v>199</v>
      </c>
      <c r="G1313" s="0" t="n">
        <v>1000</v>
      </c>
      <c r="H1313" s="0" t="s">
        <v>145</v>
      </c>
      <c r="I1313" s="0" t="n">
        <v>1</v>
      </c>
      <c r="J1313" s="0" t="n">
        <f aca="false">F1313*E1313</f>
        <v>796</v>
      </c>
      <c r="K1313" s="0" t="str">
        <f aca="false">IF(G1313&lt;1000,"1-Low",IF(G1313&lt;5000,"2-Medium","3-Bulk"))</f>
        <v>2-Medium</v>
      </c>
      <c r="L1313" s="0" t="str">
        <f aca="false">IF(H1313="TRUE","Out of stock","In stock")</f>
        <v>In stock</v>
      </c>
      <c r="M1313" s="0" t="str">
        <f aca="false">IF(D1313&lt;5,"1) Under 5%",IF(D1313&lt;10,"2) 5-9%",IF(D1313&lt;15,"3) 10-14%",IF(D1313&lt;25,"4) 15-24%","5) 25%+"))))</f>
        <v>5) 25%+</v>
      </c>
      <c r="N1313" s="0" t="str">
        <f aca="false">IF(F1313&lt;50,"1) Under Rs 50",IF(F1313&lt;100,"2) Rs 50-99",IF(F1313&lt;200,"3) Rs 100-199",IF(F1313&lt;500,"4) Rs 200-499","5) Rs 500+"))))</f>
        <v>3) Rs 100-199</v>
      </c>
      <c r="O1313" s="0" t="n">
        <f aca="false">G1313*E1313/1000</f>
        <v>4</v>
      </c>
    </row>
    <row r="1314" customFormat="false" ht="15" hidden="false" customHeight="false" outlineLevel="0" collapsed="false">
      <c r="A1314" s="0" t="s">
        <v>74</v>
      </c>
      <c r="B1314" s="0" t="s">
        <v>749</v>
      </c>
      <c r="C1314" s="0" t="n">
        <v>99</v>
      </c>
      <c r="D1314" s="0" t="n">
        <v>5</v>
      </c>
      <c r="E1314" s="0" t="n">
        <v>6</v>
      </c>
      <c r="F1314" s="0" t="n">
        <v>94</v>
      </c>
      <c r="G1314" s="0" t="n">
        <v>200</v>
      </c>
      <c r="H1314" s="0" t="s">
        <v>145</v>
      </c>
      <c r="I1314" s="0" t="n">
        <v>200</v>
      </c>
      <c r="J1314" s="0" t="n">
        <f aca="false">F1314*E1314</f>
        <v>564</v>
      </c>
      <c r="K1314" s="0" t="str">
        <f aca="false">IF(G1314&lt;1000,"1-Low",IF(G1314&lt;5000,"2-Medium","3-Bulk"))</f>
        <v>1-Low</v>
      </c>
      <c r="L1314" s="0" t="str">
        <f aca="false">IF(H1314="TRUE","Out of stock","In stock")</f>
        <v>In stock</v>
      </c>
      <c r="M1314" s="0" t="str">
        <f aca="false">IF(D1314&lt;5,"1) Under 5%",IF(D1314&lt;10,"2) 5-9%",IF(D1314&lt;15,"3) 10-14%",IF(D1314&lt;25,"4) 15-24%","5) 25%+"))))</f>
        <v>2) 5-9%</v>
      </c>
      <c r="N1314" s="0" t="str">
        <f aca="false">IF(F1314&lt;50,"1) Under Rs 50",IF(F1314&lt;100,"2) Rs 50-99",IF(F1314&lt;200,"3) Rs 100-199",IF(F1314&lt;500,"4) Rs 200-499","5) Rs 500+"))))</f>
        <v>2) Rs 50-99</v>
      </c>
      <c r="O1314" s="0" t="n">
        <f aca="false">G1314*E1314/1000</f>
        <v>1.2</v>
      </c>
    </row>
    <row r="1315" customFormat="false" ht="15" hidden="false" customHeight="false" outlineLevel="0" collapsed="false">
      <c r="A1315" s="0" t="s">
        <v>74</v>
      </c>
      <c r="B1315" s="0" t="s">
        <v>750</v>
      </c>
      <c r="C1315" s="0" t="n">
        <v>70</v>
      </c>
      <c r="D1315" s="0" t="n">
        <v>0</v>
      </c>
      <c r="E1315" s="0" t="n">
        <v>4</v>
      </c>
      <c r="F1315" s="0" t="n">
        <v>70</v>
      </c>
      <c r="G1315" s="0" t="n">
        <v>200</v>
      </c>
      <c r="H1315" s="0" t="s">
        <v>145</v>
      </c>
      <c r="I1315" s="0" t="n">
        <v>200</v>
      </c>
      <c r="J1315" s="0" t="n">
        <f aca="false">F1315*E1315</f>
        <v>280</v>
      </c>
      <c r="K1315" s="0" t="str">
        <f aca="false">IF(G1315&lt;1000,"1-Low",IF(G1315&lt;5000,"2-Medium","3-Bulk"))</f>
        <v>1-Low</v>
      </c>
      <c r="L1315" s="0" t="str">
        <f aca="false">IF(H1315="TRUE","Out of stock","In stock")</f>
        <v>In stock</v>
      </c>
      <c r="M1315" s="0" t="str">
        <f aca="false">IF(D1315&lt;5,"1) Under 5%",IF(D1315&lt;10,"2) 5-9%",IF(D1315&lt;15,"3) 10-14%",IF(D1315&lt;25,"4) 15-24%","5) 25%+"))))</f>
        <v>1) Under 5%</v>
      </c>
      <c r="N1315" s="0" t="str">
        <f aca="false">IF(F1315&lt;50,"1) Under Rs 50",IF(F1315&lt;100,"2) Rs 50-99",IF(F1315&lt;200,"3) Rs 100-199",IF(F1315&lt;500,"4) Rs 200-499","5) Rs 500+"))))</f>
        <v>2) Rs 50-99</v>
      </c>
      <c r="O1315" s="0" t="n">
        <f aca="false">G1315*E1315/1000</f>
        <v>0.8</v>
      </c>
    </row>
    <row r="1316" customFormat="false" ht="15" hidden="false" customHeight="false" outlineLevel="0" collapsed="false">
      <c r="A1316" s="0" t="s">
        <v>74</v>
      </c>
      <c r="B1316" s="0" t="s">
        <v>751</v>
      </c>
      <c r="C1316" s="0" t="n">
        <v>75</v>
      </c>
      <c r="D1316" s="0" t="n">
        <v>0</v>
      </c>
      <c r="E1316" s="0" t="n">
        <v>5</v>
      </c>
      <c r="F1316" s="0" t="n">
        <v>75</v>
      </c>
      <c r="G1316" s="0" t="n">
        <v>200</v>
      </c>
      <c r="H1316" s="0" t="s">
        <v>145</v>
      </c>
      <c r="I1316" s="0" t="n">
        <v>200</v>
      </c>
      <c r="J1316" s="0" t="n">
        <f aca="false">F1316*E1316</f>
        <v>375</v>
      </c>
      <c r="K1316" s="0" t="str">
        <f aca="false">IF(G1316&lt;1000,"1-Low",IF(G1316&lt;5000,"2-Medium","3-Bulk"))</f>
        <v>1-Low</v>
      </c>
      <c r="L1316" s="0" t="str">
        <f aca="false">IF(H1316="TRUE","Out of stock","In stock")</f>
        <v>In stock</v>
      </c>
      <c r="M1316" s="0" t="str">
        <f aca="false">IF(D1316&lt;5,"1) Under 5%",IF(D1316&lt;10,"2) 5-9%",IF(D1316&lt;15,"3) 10-14%",IF(D1316&lt;25,"4) 15-24%","5) 25%+"))))</f>
        <v>1) Under 5%</v>
      </c>
      <c r="N1316" s="0" t="str">
        <f aca="false">IF(F1316&lt;50,"1) Under Rs 50",IF(F1316&lt;100,"2) Rs 50-99",IF(F1316&lt;200,"3) Rs 100-199",IF(F1316&lt;500,"4) Rs 200-499","5) Rs 500+"))))</f>
        <v>2) Rs 50-99</v>
      </c>
      <c r="O1316" s="0" t="n">
        <f aca="false">G1316*E1316/1000</f>
        <v>1</v>
      </c>
    </row>
    <row r="1317" customFormat="false" ht="15" hidden="false" customHeight="false" outlineLevel="0" collapsed="false">
      <c r="A1317" s="0" t="s">
        <v>74</v>
      </c>
      <c r="B1317" s="0" t="s">
        <v>752</v>
      </c>
      <c r="C1317" s="0" t="n">
        <v>169</v>
      </c>
      <c r="D1317" s="0" t="n">
        <v>4</v>
      </c>
      <c r="E1317" s="0" t="n">
        <v>4</v>
      </c>
      <c r="F1317" s="0" t="n">
        <v>161</v>
      </c>
      <c r="G1317" s="0" t="n">
        <v>150</v>
      </c>
      <c r="H1317" s="0" t="s">
        <v>145</v>
      </c>
      <c r="I1317" s="0" t="n">
        <v>150</v>
      </c>
      <c r="J1317" s="0" t="n">
        <f aca="false">F1317*E1317</f>
        <v>644</v>
      </c>
      <c r="K1317" s="0" t="str">
        <f aca="false">IF(G1317&lt;1000,"1-Low",IF(G1317&lt;5000,"2-Medium","3-Bulk"))</f>
        <v>1-Low</v>
      </c>
      <c r="L1317" s="0" t="str">
        <f aca="false">IF(H1317="TRUE","Out of stock","In stock")</f>
        <v>In stock</v>
      </c>
      <c r="M1317" s="0" t="str">
        <f aca="false">IF(D1317&lt;5,"1) Under 5%",IF(D1317&lt;10,"2) 5-9%",IF(D1317&lt;15,"3) 10-14%",IF(D1317&lt;25,"4) 15-24%","5) 25%+"))))</f>
        <v>1) Under 5%</v>
      </c>
      <c r="N1317" s="0" t="str">
        <f aca="false">IF(F1317&lt;50,"1) Under Rs 50",IF(F1317&lt;100,"2) Rs 50-99",IF(F1317&lt;200,"3) Rs 100-199",IF(F1317&lt;500,"4) Rs 200-499","5) Rs 500+"))))</f>
        <v>3) Rs 100-199</v>
      </c>
      <c r="O1317" s="0" t="n">
        <f aca="false">G1317*E1317/1000</f>
        <v>0.6</v>
      </c>
    </row>
    <row r="1318" customFormat="false" ht="15" hidden="false" customHeight="false" outlineLevel="0" collapsed="false">
      <c r="A1318" s="0" t="s">
        <v>74</v>
      </c>
      <c r="B1318" s="0" t="s">
        <v>753</v>
      </c>
      <c r="C1318" s="0" t="n">
        <v>199</v>
      </c>
      <c r="D1318" s="0" t="n">
        <v>5</v>
      </c>
      <c r="E1318" s="0" t="n">
        <v>6</v>
      </c>
      <c r="F1318" s="0" t="n">
        <v>189</v>
      </c>
      <c r="G1318" s="0" t="n">
        <v>200</v>
      </c>
      <c r="H1318" s="0" t="s">
        <v>145</v>
      </c>
      <c r="I1318" s="0" t="n">
        <v>200</v>
      </c>
      <c r="J1318" s="0" t="n">
        <f aca="false">F1318*E1318</f>
        <v>1134</v>
      </c>
      <c r="K1318" s="0" t="str">
        <f aca="false">IF(G1318&lt;1000,"1-Low",IF(G1318&lt;5000,"2-Medium","3-Bulk"))</f>
        <v>1-Low</v>
      </c>
      <c r="L1318" s="0" t="str">
        <f aca="false">IF(H1318="TRUE","Out of stock","In stock")</f>
        <v>In stock</v>
      </c>
      <c r="M1318" s="0" t="str">
        <f aca="false">IF(D1318&lt;5,"1) Under 5%",IF(D1318&lt;10,"2) 5-9%",IF(D1318&lt;15,"3) 10-14%",IF(D1318&lt;25,"4) 15-24%","5) 25%+"))))</f>
        <v>2) 5-9%</v>
      </c>
      <c r="N1318" s="0" t="str">
        <f aca="false">IF(F1318&lt;50,"1) Under Rs 50",IF(F1318&lt;100,"2) Rs 50-99",IF(F1318&lt;200,"3) Rs 100-199",IF(F1318&lt;500,"4) Rs 200-499","5) Rs 500+"))))</f>
        <v>3) Rs 100-199</v>
      </c>
      <c r="O1318" s="0" t="n">
        <f aca="false">G1318*E1318/1000</f>
        <v>1.2</v>
      </c>
    </row>
    <row r="1319" customFormat="false" ht="15" hidden="false" customHeight="false" outlineLevel="0" collapsed="false">
      <c r="A1319" s="0" t="s">
        <v>74</v>
      </c>
      <c r="B1319" s="0" t="s">
        <v>754</v>
      </c>
      <c r="C1319" s="0" t="n">
        <v>72</v>
      </c>
      <c r="D1319" s="0" t="n">
        <v>13</v>
      </c>
      <c r="E1319" s="0" t="n">
        <v>4</v>
      </c>
      <c r="F1319" s="0" t="n">
        <v>62</v>
      </c>
      <c r="G1319" s="0" t="n">
        <v>348</v>
      </c>
      <c r="H1319" s="0" t="s">
        <v>145</v>
      </c>
      <c r="I1319" s="0" t="n">
        <v>6</v>
      </c>
      <c r="J1319" s="0" t="n">
        <f aca="false">F1319*E1319</f>
        <v>248</v>
      </c>
      <c r="K1319" s="0" t="str">
        <f aca="false">IF(G1319&lt;1000,"1-Low",IF(G1319&lt;5000,"2-Medium","3-Bulk"))</f>
        <v>1-Low</v>
      </c>
      <c r="L1319" s="0" t="str">
        <f aca="false">IF(H1319="TRUE","Out of stock","In stock")</f>
        <v>In stock</v>
      </c>
      <c r="M1319" s="0" t="str">
        <f aca="false">IF(D1319&lt;5,"1) Under 5%",IF(D1319&lt;10,"2) 5-9%",IF(D1319&lt;15,"3) 10-14%",IF(D1319&lt;25,"4) 15-24%","5) 25%+"))))</f>
        <v>3) 10-14%</v>
      </c>
      <c r="N1319" s="0" t="str">
        <f aca="false">IF(F1319&lt;50,"1) Under Rs 50",IF(F1319&lt;100,"2) Rs 50-99",IF(F1319&lt;200,"3) Rs 100-199",IF(F1319&lt;500,"4) Rs 200-499","5) Rs 500+"))))</f>
        <v>2) Rs 50-99</v>
      </c>
      <c r="O1319" s="0" t="n">
        <f aca="false">G1319*E1319/1000</f>
        <v>1.392</v>
      </c>
    </row>
    <row r="1320" customFormat="false" ht="15" hidden="false" customHeight="false" outlineLevel="0" collapsed="false">
      <c r="A1320" s="0" t="s">
        <v>74</v>
      </c>
      <c r="B1320" s="0" t="s">
        <v>755</v>
      </c>
      <c r="C1320" s="0" t="n">
        <v>99</v>
      </c>
      <c r="D1320" s="0" t="n">
        <v>5</v>
      </c>
      <c r="E1320" s="0" t="n">
        <v>6</v>
      </c>
      <c r="F1320" s="0" t="n">
        <v>94</v>
      </c>
      <c r="G1320" s="0" t="n">
        <v>200</v>
      </c>
      <c r="H1320" s="0" t="s">
        <v>145</v>
      </c>
      <c r="I1320" s="0" t="n">
        <v>200</v>
      </c>
      <c r="J1320" s="0" t="n">
        <f aca="false">F1320*E1320</f>
        <v>564</v>
      </c>
      <c r="K1320" s="0" t="str">
        <f aca="false">IF(G1320&lt;1000,"1-Low",IF(G1320&lt;5000,"2-Medium","3-Bulk"))</f>
        <v>1-Low</v>
      </c>
      <c r="L1320" s="0" t="str">
        <f aca="false">IF(H1320="TRUE","Out of stock","In stock")</f>
        <v>In stock</v>
      </c>
      <c r="M1320" s="0" t="str">
        <f aca="false">IF(D1320&lt;5,"1) Under 5%",IF(D1320&lt;10,"2) 5-9%",IF(D1320&lt;15,"3) 10-14%",IF(D1320&lt;25,"4) 15-24%","5) 25%+"))))</f>
        <v>2) 5-9%</v>
      </c>
      <c r="N1320" s="0" t="str">
        <f aca="false">IF(F1320&lt;50,"1) Under Rs 50",IF(F1320&lt;100,"2) Rs 50-99",IF(F1320&lt;200,"3) Rs 100-199",IF(F1320&lt;500,"4) Rs 200-499","5) Rs 500+"))))</f>
        <v>2) Rs 50-99</v>
      </c>
      <c r="O1320" s="0" t="n">
        <f aca="false">G1320*E1320/1000</f>
        <v>1.2</v>
      </c>
    </row>
    <row r="1321" customFormat="false" ht="15" hidden="false" customHeight="false" outlineLevel="0" collapsed="false">
      <c r="A1321" s="0" t="s">
        <v>74</v>
      </c>
      <c r="B1321" s="0" t="s">
        <v>756</v>
      </c>
      <c r="C1321" s="0" t="n">
        <v>140</v>
      </c>
      <c r="D1321" s="0" t="n">
        <v>5</v>
      </c>
      <c r="E1321" s="0" t="n">
        <v>6</v>
      </c>
      <c r="F1321" s="0" t="n">
        <v>133</v>
      </c>
      <c r="G1321" s="0" t="n">
        <v>200</v>
      </c>
      <c r="H1321" s="0" t="s">
        <v>145</v>
      </c>
      <c r="I1321" s="0" t="n">
        <v>200</v>
      </c>
      <c r="J1321" s="0" t="n">
        <f aca="false">F1321*E1321</f>
        <v>798</v>
      </c>
      <c r="K1321" s="0" t="str">
        <f aca="false">IF(G1321&lt;1000,"1-Low",IF(G1321&lt;5000,"2-Medium","3-Bulk"))</f>
        <v>1-Low</v>
      </c>
      <c r="L1321" s="0" t="str">
        <f aca="false">IF(H1321="TRUE","Out of stock","In stock")</f>
        <v>In stock</v>
      </c>
      <c r="M1321" s="0" t="str">
        <f aca="false">IF(D1321&lt;5,"1) Under 5%",IF(D1321&lt;10,"2) 5-9%",IF(D1321&lt;15,"3) 10-14%",IF(D1321&lt;25,"4) 15-24%","5) 25%+"))))</f>
        <v>2) 5-9%</v>
      </c>
      <c r="N1321" s="0" t="str">
        <f aca="false">IF(F1321&lt;50,"1) Under Rs 50",IF(F1321&lt;100,"2) Rs 50-99",IF(F1321&lt;200,"3) Rs 100-199",IF(F1321&lt;500,"4) Rs 200-499","5) Rs 500+"))))</f>
        <v>3) Rs 100-199</v>
      </c>
      <c r="O1321" s="0" t="n">
        <f aca="false">G1321*E1321/1000</f>
        <v>1.2</v>
      </c>
    </row>
    <row r="1322" customFormat="false" ht="15" hidden="false" customHeight="false" outlineLevel="0" collapsed="false">
      <c r="A1322" s="0" t="s">
        <v>74</v>
      </c>
      <c r="B1322" s="0" t="s">
        <v>757</v>
      </c>
      <c r="C1322" s="0" t="n">
        <v>295</v>
      </c>
      <c r="D1322" s="0" t="n">
        <v>50</v>
      </c>
      <c r="E1322" s="0" t="n">
        <v>6</v>
      </c>
      <c r="F1322" s="0" t="n">
        <v>147</v>
      </c>
      <c r="G1322" s="0" t="n">
        <v>200</v>
      </c>
      <c r="H1322" s="0" t="s">
        <v>145</v>
      </c>
      <c r="I1322" s="0" t="n">
        <v>200</v>
      </c>
      <c r="J1322" s="0" t="n">
        <f aca="false">F1322*E1322</f>
        <v>882</v>
      </c>
      <c r="K1322" s="0" t="str">
        <f aca="false">IF(G1322&lt;1000,"1-Low",IF(G1322&lt;5000,"2-Medium","3-Bulk"))</f>
        <v>1-Low</v>
      </c>
      <c r="L1322" s="0" t="str">
        <f aca="false">IF(H1322="TRUE","Out of stock","In stock")</f>
        <v>In stock</v>
      </c>
      <c r="M1322" s="0" t="str">
        <f aca="false">IF(D1322&lt;5,"1) Under 5%",IF(D1322&lt;10,"2) 5-9%",IF(D1322&lt;15,"3) 10-14%",IF(D1322&lt;25,"4) 15-24%","5) 25%+"))))</f>
        <v>5) 25%+</v>
      </c>
      <c r="N1322" s="0" t="str">
        <f aca="false">IF(F1322&lt;50,"1) Under Rs 50",IF(F1322&lt;100,"2) Rs 50-99",IF(F1322&lt;200,"3) Rs 100-199",IF(F1322&lt;500,"4) Rs 200-499","5) Rs 500+"))))</f>
        <v>3) Rs 100-199</v>
      </c>
      <c r="O1322" s="0" t="n">
        <f aca="false">G1322*E1322/1000</f>
        <v>1.2</v>
      </c>
    </row>
    <row r="1323" customFormat="false" ht="15" hidden="false" customHeight="false" outlineLevel="0" collapsed="false">
      <c r="A1323" s="0" t="s">
        <v>74</v>
      </c>
      <c r="B1323" s="0" t="s">
        <v>758</v>
      </c>
      <c r="C1323" s="0" t="n">
        <v>215</v>
      </c>
      <c r="D1323" s="0" t="n">
        <v>9</v>
      </c>
      <c r="E1323" s="0" t="n">
        <v>6</v>
      </c>
      <c r="F1323" s="0" t="n">
        <v>194</v>
      </c>
      <c r="G1323" s="0" t="n">
        <v>325</v>
      </c>
      <c r="H1323" s="0" t="s">
        <v>145</v>
      </c>
      <c r="I1323" s="0" t="n">
        <v>325</v>
      </c>
      <c r="J1323" s="0" t="n">
        <f aca="false">F1323*E1323</f>
        <v>1164</v>
      </c>
      <c r="K1323" s="0" t="str">
        <f aca="false">IF(G1323&lt;1000,"1-Low",IF(G1323&lt;5000,"2-Medium","3-Bulk"))</f>
        <v>1-Low</v>
      </c>
      <c r="L1323" s="0" t="str">
        <f aca="false">IF(H1323="TRUE","Out of stock","In stock")</f>
        <v>In stock</v>
      </c>
      <c r="M1323" s="0" t="str">
        <f aca="false">IF(D1323&lt;5,"1) Under 5%",IF(D1323&lt;10,"2) 5-9%",IF(D1323&lt;15,"3) 10-14%",IF(D1323&lt;25,"4) 15-24%","5) 25%+"))))</f>
        <v>2) 5-9%</v>
      </c>
      <c r="N1323" s="0" t="str">
        <f aca="false">IF(F1323&lt;50,"1) Under Rs 50",IF(F1323&lt;100,"2) Rs 50-99",IF(F1323&lt;200,"3) Rs 100-199",IF(F1323&lt;500,"4) Rs 200-499","5) Rs 500+"))))</f>
        <v>3) Rs 100-199</v>
      </c>
      <c r="O1323" s="0" t="n">
        <f aca="false">G1323*E1323/1000</f>
        <v>1.95</v>
      </c>
    </row>
    <row r="1324" customFormat="false" ht="15" hidden="false" customHeight="false" outlineLevel="0" collapsed="false">
      <c r="A1324" s="0" t="s">
        <v>74</v>
      </c>
      <c r="B1324" s="0" t="s">
        <v>759</v>
      </c>
      <c r="C1324" s="0" t="n">
        <v>120</v>
      </c>
      <c r="D1324" s="0" t="n">
        <v>43</v>
      </c>
      <c r="E1324" s="0" t="n">
        <v>4</v>
      </c>
      <c r="F1324" s="0" t="n">
        <v>68</v>
      </c>
      <c r="G1324" s="0" t="n">
        <v>348</v>
      </c>
      <c r="H1324" s="0" t="s">
        <v>145</v>
      </c>
      <c r="I1324" s="0" t="n">
        <v>6</v>
      </c>
      <c r="J1324" s="0" t="n">
        <f aca="false">F1324*E1324</f>
        <v>272</v>
      </c>
      <c r="K1324" s="0" t="str">
        <f aca="false">IF(G1324&lt;1000,"1-Low",IF(G1324&lt;5000,"2-Medium","3-Bulk"))</f>
        <v>1-Low</v>
      </c>
      <c r="L1324" s="0" t="str">
        <f aca="false">IF(H1324="TRUE","Out of stock","In stock")</f>
        <v>In stock</v>
      </c>
      <c r="M1324" s="0" t="str">
        <f aca="false">IF(D1324&lt;5,"1) Under 5%",IF(D1324&lt;10,"2) 5-9%",IF(D1324&lt;15,"3) 10-14%",IF(D1324&lt;25,"4) 15-24%","5) 25%+"))))</f>
        <v>5) 25%+</v>
      </c>
      <c r="N1324" s="0" t="str">
        <f aca="false">IF(F1324&lt;50,"1) Under Rs 50",IF(F1324&lt;100,"2) Rs 50-99",IF(F1324&lt;200,"3) Rs 100-199",IF(F1324&lt;500,"4) Rs 200-499","5) Rs 500+"))))</f>
        <v>2) Rs 50-99</v>
      </c>
      <c r="O1324" s="0" t="n">
        <f aca="false">G1324*E1324/1000</f>
        <v>1.392</v>
      </c>
    </row>
    <row r="1325" customFormat="false" ht="15" hidden="false" customHeight="false" outlineLevel="0" collapsed="false">
      <c r="A1325" s="0" t="s">
        <v>74</v>
      </c>
      <c r="B1325" s="0" t="s">
        <v>456</v>
      </c>
      <c r="C1325" s="0" t="n">
        <v>150</v>
      </c>
      <c r="D1325" s="0" t="n">
        <v>4</v>
      </c>
      <c r="E1325" s="0" t="n">
        <v>4</v>
      </c>
      <c r="F1325" s="0" t="n">
        <v>143</v>
      </c>
      <c r="G1325" s="0" t="n">
        <v>400</v>
      </c>
      <c r="H1325" s="0" t="s">
        <v>145</v>
      </c>
      <c r="I1325" s="0" t="n">
        <v>400</v>
      </c>
      <c r="J1325" s="0" t="n">
        <f aca="false">F1325*E1325</f>
        <v>572</v>
      </c>
      <c r="K1325" s="0" t="str">
        <f aca="false">IF(G1325&lt;1000,"1-Low",IF(G1325&lt;5000,"2-Medium","3-Bulk"))</f>
        <v>1-Low</v>
      </c>
      <c r="L1325" s="0" t="str">
        <f aca="false">IF(H1325="TRUE","Out of stock","In stock")</f>
        <v>In stock</v>
      </c>
      <c r="M1325" s="0" t="str">
        <f aca="false">IF(D1325&lt;5,"1) Under 5%",IF(D1325&lt;10,"2) 5-9%",IF(D1325&lt;15,"3) 10-14%",IF(D1325&lt;25,"4) 15-24%","5) 25%+"))))</f>
        <v>1) Under 5%</v>
      </c>
      <c r="N1325" s="0" t="str">
        <f aca="false">IF(F1325&lt;50,"1) Under Rs 50",IF(F1325&lt;100,"2) Rs 50-99",IF(F1325&lt;200,"3) Rs 100-199",IF(F1325&lt;500,"4) Rs 200-499","5) Rs 500+"))))</f>
        <v>3) Rs 100-199</v>
      </c>
      <c r="O1325" s="0" t="n">
        <f aca="false">G1325*E1325/1000</f>
        <v>1.6</v>
      </c>
    </row>
    <row r="1326" customFormat="false" ht="15" hidden="false" customHeight="false" outlineLevel="0" collapsed="false">
      <c r="A1326" s="0" t="s">
        <v>74</v>
      </c>
      <c r="B1326" s="0" t="s">
        <v>760</v>
      </c>
      <c r="C1326" s="0" t="n">
        <v>275</v>
      </c>
      <c r="D1326" s="0" t="n">
        <v>50</v>
      </c>
      <c r="E1326" s="0" t="n">
        <v>6</v>
      </c>
      <c r="F1326" s="0" t="n">
        <v>137</v>
      </c>
      <c r="G1326" s="0" t="n">
        <v>200</v>
      </c>
      <c r="H1326" s="0" t="s">
        <v>145</v>
      </c>
      <c r="I1326" s="0" t="n">
        <v>200</v>
      </c>
      <c r="J1326" s="0" t="n">
        <f aca="false">F1326*E1326</f>
        <v>822</v>
      </c>
      <c r="K1326" s="0" t="str">
        <f aca="false">IF(G1326&lt;1000,"1-Low",IF(G1326&lt;5000,"2-Medium","3-Bulk"))</f>
        <v>1-Low</v>
      </c>
      <c r="L1326" s="0" t="str">
        <f aca="false">IF(H1326="TRUE","Out of stock","In stock")</f>
        <v>In stock</v>
      </c>
      <c r="M1326" s="0" t="str">
        <f aca="false">IF(D1326&lt;5,"1) Under 5%",IF(D1326&lt;10,"2) 5-9%",IF(D1326&lt;15,"3) 10-14%",IF(D1326&lt;25,"4) 15-24%","5) 25%+"))))</f>
        <v>5) 25%+</v>
      </c>
      <c r="N1326" s="0" t="str">
        <f aca="false">IF(F1326&lt;50,"1) Under Rs 50",IF(F1326&lt;100,"2) Rs 50-99",IF(F1326&lt;200,"3) Rs 100-199",IF(F1326&lt;500,"4) Rs 200-499","5) Rs 500+"))))</f>
        <v>3) Rs 100-199</v>
      </c>
      <c r="O1326" s="0" t="n">
        <f aca="false">G1326*E1326/1000</f>
        <v>1.2</v>
      </c>
    </row>
    <row r="1327" customFormat="false" ht="15" hidden="false" customHeight="false" outlineLevel="0" collapsed="false">
      <c r="A1327" s="0" t="s">
        <v>74</v>
      </c>
      <c r="B1327" s="0" t="s">
        <v>761</v>
      </c>
      <c r="C1327" s="0" t="n">
        <v>145</v>
      </c>
      <c r="D1327" s="0" t="n">
        <v>5</v>
      </c>
      <c r="E1327" s="0" t="n">
        <v>6</v>
      </c>
      <c r="F1327" s="0" t="n">
        <v>137</v>
      </c>
      <c r="G1327" s="0" t="n">
        <v>200</v>
      </c>
      <c r="H1327" s="0" t="s">
        <v>145</v>
      </c>
      <c r="I1327" s="0" t="n">
        <v>200</v>
      </c>
      <c r="J1327" s="0" t="n">
        <f aca="false">F1327*E1327</f>
        <v>822</v>
      </c>
      <c r="K1327" s="0" t="str">
        <f aca="false">IF(G1327&lt;1000,"1-Low",IF(G1327&lt;5000,"2-Medium","3-Bulk"))</f>
        <v>1-Low</v>
      </c>
      <c r="L1327" s="0" t="str">
        <f aca="false">IF(H1327="TRUE","Out of stock","In stock")</f>
        <v>In stock</v>
      </c>
      <c r="M1327" s="0" t="str">
        <f aca="false">IF(D1327&lt;5,"1) Under 5%",IF(D1327&lt;10,"2) 5-9%",IF(D1327&lt;15,"3) 10-14%",IF(D1327&lt;25,"4) 15-24%","5) 25%+"))))</f>
        <v>2) 5-9%</v>
      </c>
      <c r="N1327" s="0" t="str">
        <f aca="false">IF(F1327&lt;50,"1) Under Rs 50",IF(F1327&lt;100,"2) Rs 50-99",IF(F1327&lt;200,"3) Rs 100-199",IF(F1327&lt;500,"4) Rs 200-499","5) Rs 500+"))))</f>
        <v>3) Rs 100-199</v>
      </c>
      <c r="O1327" s="0" t="n">
        <f aca="false">G1327*E1327/1000</f>
        <v>1.2</v>
      </c>
    </row>
    <row r="1328" customFormat="false" ht="15" hidden="false" customHeight="false" outlineLevel="0" collapsed="false">
      <c r="A1328" s="0" t="s">
        <v>74</v>
      </c>
      <c r="B1328" s="0" t="s">
        <v>762</v>
      </c>
      <c r="C1328" s="0" t="n">
        <v>275</v>
      </c>
      <c r="D1328" s="0" t="n">
        <v>50</v>
      </c>
      <c r="E1328" s="0" t="n">
        <v>6</v>
      </c>
      <c r="F1328" s="0" t="n">
        <v>137</v>
      </c>
      <c r="G1328" s="0" t="n">
        <v>200</v>
      </c>
      <c r="H1328" s="0" t="s">
        <v>145</v>
      </c>
      <c r="I1328" s="0" t="n">
        <v>200</v>
      </c>
      <c r="J1328" s="0" t="n">
        <f aca="false">F1328*E1328</f>
        <v>822</v>
      </c>
      <c r="K1328" s="0" t="str">
        <f aca="false">IF(G1328&lt;1000,"1-Low",IF(G1328&lt;5000,"2-Medium","3-Bulk"))</f>
        <v>1-Low</v>
      </c>
      <c r="L1328" s="0" t="str">
        <f aca="false">IF(H1328="TRUE","Out of stock","In stock")</f>
        <v>In stock</v>
      </c>
      <c r="M1328" s="0" t="str">
        <f aca="false">IF(D1328&lt;5,"1) Under 5%",IF(D1328&lt;10,"2) 5-9%",IF(D1328&lt;15,"3) 10-14%",IF(D1328&lt;25,"4) 15-24%","5) 25%+"))))</f>
        <v>5) 25%+</v>
      </c>
      <c r="N1328" s="0" t="str">
        <f aca="false">IF(F1328&lt;50,"1) Under Rs 50",IF(F1328&lt;100,"2) Rs 50-99",IF(F1328&lt;200,"3) Rs 100-199",IF(F1328&lt;500,"4) Rs 200-499","5) Rs 500+"))))</f>
        <v>3) Rs 100-199</v>
      </c>
      <c r="O1328" s="0" t="n">
        <f aca="false">G1328*E1328/1000</f>
        <v>1.2</v>
      </c>
    </row>
    <row r="1329" customFormat="false" ht="15" hidden="false" customHeight="false" outlineLevel="0" collapsed="false">
      <c r="A1329" s="0" t="s">
        <v>74</v>
      </c>
      <c r="B1329" s="0" t="s">
        <v>763</v>
      </c>
      <c r="C1329" s="0" t="n">
        <v>150</v>
      </c>
      <c r="D1329" s="0" t="n">
        <v>0</v>
      </c>
      <c r="E1329" s="0" t="n">
        <v>4</v>
      </c>
      <c r="F1329" s="0" t="n">
        <v>150</v>
      </c>
      <c r="G1329" s="0" t="n">
        <v>200</v>
      </c>
      <c r="H1329" s="0" t="s">
        <v>145</v>
      </c>
      <c r="I1329" s="0" t="n">
        <v>200</v>
      </c>
      <c r="J1329" s="0" t="n">
        <f aca="false">F1329*E1329</f>
        <v>600</v>
      </c>
      <c r="K1329" s="0" t="str">
        <f aca="false">IF(G1329&lt;1000,"1-Low",IF(G1329&lt;5000,"2-Medium","3-Bulk"))</f>
        <v>1-Low</v>
      </c>
      <c r="L1329" s="0" t="str">
        <f aca="false">IF(H1329="TRUE","Out of stock","In stock")</f>
        <v>In stock</v>
      </c>
      <c r="M1329" s="0" t="str">
        <f aca="false">IF(D1329&lt;5,"1) Under 5%",IF(D1329&lt;10,"2) 5-9%",IF(D1329&lt;15,"3) 10-14%",IF(D1329&lt;25,"4) 15-24%","5) 25%+"))))</f>
        <v>1) Under 5%</v>
      </c>
      <c r="N1329" s="0" t="str">
        <f aca="false">IF(F1329&lt;50,"1) Under Rs 50",IF(F1329&lt;100,"2) Rs 50-99",IF(F1329&lt;200,"3) Rs 100-199",IF(F1329&lt;500,"4) Rs 200-499","5) Rs 500+"))))</f>
        <v>3) Rs 100-199</v>
      </c>
      <c r="O1329" s="0" t="n">
        <f aca="false">G1329*E1329/1000</f>
        <v>0.8</v>
      </c>
    </row>
    <row r="1330" customFormat="false" ht="15" hidden="false" customHeight="false" outlineLevel="0" collapsed="false">
      <c r="A1330" s="0" t="s">
        <v>74</v>
      </c>
      <c r="B1330" s="0" t="s">
        <v>764</v>
      </c>
      <c r="C1330" s="0" t="n">
        <v>229</v>
      </c>
      <c r="D1330" s="0" t="n">
        <v>10</v>
      </c>
      <c r="E1330" s="0" t="n">
        <v>6</v>
      </c>
      <c r="F1330" s="0" t="n">
        <v>206</v>
      </c>
      <c r="G1330" s="0" t="n">
        <v>400</v>
      </c>
      <c r="H1330" s="0" t="s">
        <v>145</v>
      </c>
      <c r="I1330" s="0" t="n">
        <v>400</v>
      </c>
      <c r="J1330" s="0" t="n">
        <f aca="false">F1330*E1330</f>
        <v>1236</v>
      </c>
      <c r="K1330" s="0" t="str">
        <f aca="false">IF(G1330&lt;1000,"1-Low",IF(G1330&lt;5000,"2-Medium","3-Bulk"))</f>
        <v>1-Low</v>
      </c>
      <c r="L1330" s="0" t="str">
        <f aca="false">IF(H1330="TRUE","Out of stock","In stock")</f>
        <v>In stock</v>
      </c>
      <c r="M1330" s="0" t="str">
        <f aca="false">IF(D1330&lt;5,"1) Under 5%",IF(D1330&lt;10,"2) 5-9%",IF(D1330&lt;15,"3) 10-14%",IF(D1330&lt;25,"4) 15-24%","5) 25%+"))))</f>
        <v>3) 10-14%</v>
      </c>
      <c r="N1330" s="0" t="str">
        <f aca="false">IF(F1330&lt;50,"1) Under Rs 50",IF(F1330&lt;100,"2) Rs 50-99",IF(F1330&lt;200,"3) Rs 100-199",IF(F1330&lt;500,"4) Rs 200-499","5) Rs 500+"))))</f>
        <v>4) Rs 200-499</v>
      </c>
      <c r="O1330" s="0" t="n">
        <f aca="false">G1330*E1330/1000</f>
        <v>2.4</v>
      </c>
    </row>
    <row r="1331" customFormat="false" ht="15" hidden="false" customHeight="false" outlineLevel="0" collapsed="false">
      <c r="A1331" s="0" t="s">
        <v>74</v>
      </c>
      <c r="B1331" s="0" t="s">
        <v>765</v>
      </c>
      <c r="C1331" s="0" t="n">
        <v>250</v>
      </c>
      <c r="D1331" s="0" t="n">
        <v>50</v>
      </c>
      <c r="E1331" s="0" t="n">
        <v>4</v>
      </c>
      <c r="F1331" s="0" t="n">
        <v>125</v>
      </c>
      <c r="G1331" s="0" t="n">
        <v>200</v>
      </c>
      <c r="H1331" s="0" t="s">
        <v>145</v>
      </c>
      <c r="I1331" s="0" t="n">
        <v>200</v>
      </c>
      <c r="J1331" s="0" t="n">
        <f aca="false">F1331*E1331</f>
        <v>500</v>
      </c>
      <c r="K1331" s="0" t="str">
        <f aca="false">IF(G1331&lt;1000,"1-Low",IF(G1331&lt;5000,"2-Medium","3-Bulk"))</f>
        <v>1-Low</v>
      </c>
      <c r="L1331" s="0" t="str">
        <f aca="false">IF(H1331="TRUE","Out of stock","In stock")</f>
        <v>In stock</v>
      </c>
      <c r="M1331" s="0" t="str">
        <f aca="false">IF(D1331&lt;5,"1) Under 5%",IF(D1331&lt;10,"2) 5-9%",IF(D1331&lt;15,"3) 10-14%",IF(D1331&lt;25,"4) 15-24%","5) 25%+"))))</f>
        <v>5) 25%+</v>
      </c>
      <c r="N1331" s="0" t="str">
        <f aca="false">IF(F1331&lt;50,"1) Under Rs 50",IF(F1331&lt;100,"2) Rs 50-99",IF(F1331&lt;200,"3) Rs 100-199",IF(F1331&lt;500,"4) Rs 200-499","5) Rs 500+"))))</f>
        <v>3) Rs 100-199</v>
      </c>
      <c r="O1331" s="0" t="n">
        <f aca="false">G1331*E1331/1000</f>
        <v>0.8</v>
      </c>
    </row>
    <row r="1332" customFormat="false" ht="15" hidden="false" customHeight="false" outlineLevel="0" collapsed="false">
      <c r="A1332" s="0" t="s">
        <v>74</v>
      </c>
      <c r="B1332" s="0" t="s">
        <v>766</v>
      </c>
      <c r="C1332" s="0" t="n">
        <v>235</v>
      </c>
      <c r="D1332" s="0" t="n">
        <v>20</v>
      </c>
      <c r="E1332" s="0" t="n">
        <v>5</v>
      </c>
      <c r="F1332" s="0" t="n">
        <v>188</v>
      </c>
      <c r="G1332" s="0" t="n">
        <v>325</v>
      </c>
      <c r="H1332" s="0" t="s">
        <v>145</v>
      </c>
      <c r="I1332" s="0" t="n">
        <v>325</v>
      </c>
      <c r="J1332" s="0" t="n">
        <f aca="false">F1332*E1332</f>
        <v>940</v>
      </c>
      <c r="K1332" s="0" t="str">
        <f aca="false">IF(G1332&lt;1000,"1-Low",IF(G1332&lt;5000,"2-Medium","3-Bulk"))</f>
        <v>1-Low</v>
      </c>
      <c r="L1332" s="0" t="str">
        <f aca="false">IF(H1332="TRUE","Out of stock","In stock")</f>
        <v>In stock</v>
      </c>
      <c r="M1332" s="0" t="str">
        <f aca="false">IF(D1332&lt;5,"1) Under 5%",IF(D1332&lt;10,"2) 5-9%",IF(D1332&lt;15,"3) 10-14%",IF(D1332&lt;25,"4) 15-24%","5) 25%+"))))</f>
        <v>4) 15-24%</v>
      </c>
      <c r="N1332" s="0" t="str">
        <f aca="false">IF(F1332&lt;50,"1) Under Rs 50",IF(F1332&lt;100,"2) Rs 50-99",IF(F1332&lt;200,"3) Rs 100-199",IF(F1332&lt;500,"4) Rs 200-499","5) Rs 500+"))))</f>
        <v>3) Rs 100-199</v>
      </c>
      <c r="O1332" s="0" t="n">
        <f aca="false">G1332*E1332/1000</f>
        <v>1.625</v>
      </c>
    </row>
    <row r="1333" customFormat="false" ht="15" hidden="false" customHeight="false" outlineLevel="0" collapsed="false">
      <c r="A1333" s="0" t="s">
        <v>74</v>
      </c>
      <c r="B1333" s="0" t="s">
        <v>767</v>
      </c>
      <c r="C1333" s="0" t="n">
        <v>125</v>
      </c>
      <c r="D1333" s="0" t="n">
        <v>5</v>
      </c>
      <c r="E1333" s="0" t="n">
        <v>6</v>
      </c>
      <c r="F1333" s="0" t="n">
        <v>118</v>
      </c>
      <c r="G1333" s="0" t="n">
        <v>200</v>
      </c>
      <c r="H1333" s="0" t="s">
        <v>145</v>
      </c>
      <c r="I1333" s="0" t="n">
        <v>200</v>
      </c>
      <c r="J1333" s="0" t="n">
        <f aca="false">F1333*E1333</f>
        <v>708</v>
      </c>
      <c r="K1333" s="0" t="str">
        <f aca="false">IF(G1333&lt;1000,"1-Low",IF(G1333&lt;5000,"2-Medium","3-Bulk"))</f>
        <v>1-Low</v>
      </c>
      <c r="L1333" s="0" t="str">
        <f aca="false">IF(H1333="TRUE","Out of stock","In stock")</f>
        <v>In stock</v>
      </c>
      <c r="M1333" s="0" t="str">
        <f aca="false">IF(D1333&lt;5,"1) Under 5%",IF(D1333&lt;10,"2) 5-9%",IF(D1333&lt;15,"3) 10-14%",IF(D1333&lt;25,"4) 15-24%","5) 25%+"))))</f>
        <v>2) 5-9%</v>
      </c>
      <c r="N1333" s="0" t="str">
        <f aca="false">IF(F1333&lt;50,"1) Under Rs 50",IF(F1333&lt;100,"2) Rs 50-99",IF(F1333&lt;200,"3) Rs 100-199",IF(F1333&lt;500,"4) Rs 200-499","5) Rs 500+"))))</f>
        <v>3) Rs 100-199</v>
      </c>
      <c r="O1333" s="0" t="n">
        <f aca="false">G1333*E1333/1000</f>
        <v>1.2</v>
      </c>
    </row>
    <row r="1334" customFormat="false" ht="15" hidden="false" customHeight="false" outlineLevel="0" collapsed="false">
      <c r="A1334" s="0" t="s">
        <v>74</v>
      </c>
      <c r="B1334" s="0" t="s">
        <v>768</v>
      </c>
      <c r="C1334" s="0" t="n">
        <v>169</v>
      </c>
      <c r="D1334" s="0" t="n">
        <v>7</v>
      </c>
      <c r="E1334" s="0" t="n">
        <v>1</v>
      </c>
      <c r="F1334" s="0" t="n">
        <v>156</v>
      </c>
      <c r="G1334" s="0" t="n">
        <v>400</v>
      </c>
      <c r="H1334" s="0" t="s">
        <v>145</v>
      </c>
      <c r="I1334" s="0" t="n">
        <v>400</v>
      </c>
      <c r="J1334" s="0" t="n">
        <f aca="false">F1334*E1334</f>
        <v>156</v>
      </c>
      <c r="K1334" s="0" t="str">
        <f aca="false">IF(G1334&lt;1000,"1-Low",IF(G1334&lt;5000,"2-Medium","3-Bulk"))</f>
        <v>1-Low</v>
      </c>
      <c r="L1334" s="0" t="str">
        <f aca="false">IF(H1334="TRUE","Out of stock","In stock")</f>
        <v>In stock</v>
      </c>
      <c r="M1334" s="0" t="str">
        <f aca="false">IF(D1334&lt;5,"1) Under 5%",IF(D1334&lt;10,"2) 5-9%",IF(D1334&lt;15,"3) 10-14%",IF(D1334&lt;25,"4) 15-24%","5) 25%+"))))</f>
        <v>2) 5-9%</v>
      </c>
      <c r="N1334" s="0" t="str">
        <f aca="false">IF(F1334&lt;50,"1) Under Rs 50",IF(F1334&lt;100,"2) Rs 50-99",IF(F1334&lt;200,"3) Rs 100-199",IF(F1334&lt;500,"4) Rs 200-499","5) Rs 500+"))))</f>
        <v>3) Rs 100-199</v>
      </c>
      <c r="O1334" s="0" t="n">
        <f aca="false">G1334*E1334/1000</f>
        <v>0.4</v>
      </c>
    </row>
    <row r="1335" customFormat="false" ht="15" hidden="false" customHeight="false" outlineLevel="0" collapsed="false">
      <c r="A1335" s="0" t="s">
        <v>74</v>
      </c>
      <c r="B1335" s="0" t="s">
        <v>769</v>
      </c>
      <c r="C1335" s="0" t="n">
        <v>235</v>
      </c>
      <c r="D1335" s="0" t="n">
        <v>1</v>
      </c>
      <c r="E1335" s="0" t="n">
        <v>6</v>
      </c>
      <c r="F1335" s="0" t="n">
        <v>232</v>
      </c>
      <c r="G1335" s="0" t="n">
        <v>500</v>
      </c>
      <c r="H1335" s="0" t="s">
        <v>145</v>
      </c>
      <c r="I1335" s="0" t="n">
        <v>500</v>
      </c>
      <c r="J1335" s="0" t="n">
        <f aca="false">F1335*E1335</f>
        <v>1392</v>
      </c>
      <c r="K1335" s="0" t="str">
        <f aca="false">IF(G1335&lt;1000,"1-Low",IF(G1335&lt;5000,"2-Medium","3-Bulk"))</f>
        <v>1-Low</v>
      </c>
      <c r="L1335" s="0" t="str">
        <f aca="false">IF(H1335="TRUE","Out of stock","In stock")</f>
        <v>In stock</v>
      </c>
      <c r="M1335" s="0" t="str">
        <f aca="false">IF(D1335&lt;5,"1) Under 5%",IF(D1335&lt;10,"2) 5-9%",IF(D1335&lt;15,"3) 10-14%",IF(D1335&lt;25,"4) 15-24%","5) 25%+"))))</f>
        <v>1) Under 5%</v>
      </c>
      <c r="N1335" s="0" t="str">
        <f aca="false">IF(F1335&lt;50,"1) Under Rs 50",IF(F1335&lt;100,"2) Rs 50-99",IF(F1335&lt;200,"3) Rs 100-199",IF(F1335&lt;500,"4) Rs 200-499","5) Rs 500+"))))</f>
        <v>4) Rs 200-499</v>
      </c>
      <c r="O1335" s="0" t="n">
        <f aca="false">G1335*E1335/1000</f>
        <v>3</v>
      </c>
    </row>
    <row r="1336" customFormat="false" ht="15" hidden="false" customHeight="false" outlineLevel="0" collapsed="false">
      <c r="A1336" s="0" t="s">
        <v>74</v>
      </c>
      <c r="B1336" s="0" t="s">
        <v>770</v>
      </c>
      <c r="C1336" s="0" t="n">
        <v>99</v>
      </c>
      <c r="D1336" s="0" t="n">
        <v>5</v>
      </c>
      <c r="E1336" s="0" t="n">
        <v>6</v>
      </c>
      <c r="F1336" s="0" t="n">
        <v>94</v>
      </c>
      <c r="G1336" s="0" t="n">
        <v>200</v>
      </c>
      <c r="H1336" s="0" t="s">
        <v>145</v>
      </c>
      <c r="I1336" s="0" t="n">
        <v>200</v>
      </c>
      <c r="J1336" s="0" t="n">
        <f aca="false">F1336*E1336</f>
        <v>564</v>
      </c>
      <c r="K1336" s="0" t="str">
        <f aca="false">IF(G1336&lt;1000,"1-Low",IF(G1336&lt;5000,"2-Medium","3-Bulk"))</f>
        <v>1-Low</v>
      </c>
      <c r="L1336" s="0" t="str">
        <f aca="false">IF(H1336="TRUE","Out of stock","In stock")</f>
        <v>In stock</v>
      </c>
      <c r="M1336" s="0" t="str">
        <f aca="false">IF(D1336&lt;5,"1) Under 5%",IF(D1336&lt;10,"2) 5-9%",IF(D1336&lt;15,"3) 10-14%",IF(D1336&lt;25,"4) 15-24%","5) 25%+"))))</f>
        <v>2) 5-9%</v>
      </c>
      <c r="N1336" s="0" t="str">
        <f aca="false">IF(F1336&lt;50,"1) Under Rs 50",IF(F1336&lt;100,"2) Rs 50-99",IF(F1336&lt;200,"3) Rs 100-199",IF(F1336&lt;500,"4) Rs 200-499","5) Rs 500+"))))</f>
        <v>2) Rs 50-99</v>
      </c>
      <c r="O1336" s="0" t="n">
        <f aca="false">G1336*E1336/1000</f>
        <v>1.2</v>
      </c>
    </row>
    <row r="1337" customFormat="false" ht="15" hidden="false" customHeight="false" outlineLevel="0" collapsed="false">
      <c r="A1337" s="0" t="s">
        <v>74</v>
      </c>
      <c r="B1337" s="0" t="s">
        <v>497</v>
      </c>
      <c r="C1337" s="0" t="n">
        <v>235</v>
      </c>
      <c r="D1337" s="0" t="n">
        <v>27</v>
      </c>
      <c r="E1337" s="0" t="n">
        <v>5</v>
      </c>
      <c r="F1337" s="0" t="n">
        <v>171</v>
      </c>
      <c r="G1337" s="0" t="n">
        <v>1000</v>
      </c>
      <c r="H1337" s="0" t="s">
        <v>145</v>
      </c>
      <c r="I1337" s="0" t="n">
        <v>1</v>
      </c>
      <c r="J1337" s="0" t="n">
        <f aca="false">F1337*E1337</f>
        <v>855</v>
      </c>
      <c r="K1337" s="0" t="str">
        <f aca="false">IF(G1337&lt;1000,"1-Low",IF(G1337&lt;5000,"2-Medium","3-Bulk"))</f>
        <v>2-Medium</v>
      </c>
      <c r="L1337" s="0" t="str">
        <f aca="false">IF(H1337="TRUE","Out of stock","In stock")</f>
        <v>In stock</v>
      </c>
      <c r="M1337" s="0" t="str">
        <f aca="false">IF(D1337&lt;5,"1) Under 5%",IF(D1337&lt;10,"2) 5-9%",IF(D1337&lt;15,"3) 10-14%",IF(D1337&lt;25,"4) 15-24%","5) 25%+"))))</f>
        <v>5) 25%+</v>
      </c>
      <c r="N1337" s="0" t="str">
        <f aca="false">IF(F1337&lt;50,"1) Under Rs 50",IF(F1337&lt;100,"2) Rs 50-99",IF(F1337&lt;200,"3) Rs 100-199",IF(F1337&lt;500,"4) Rs 200-499","5) Rs 500+"))))</f>
        <v>3) Rs 100-199</v>
      </c>
      <c r="O1337" s="0" t="n">
        <f aca="false">G1337*E1337/1000</f>
        <v>5</v>
      </c>
    </row>
    <row r="1338" customFormat="false" ht="15" hidden="false" customHeight="false" outlineLevel="0" collapsed="false">
      <c r="A1338" s="0" t="s">
        <v>74</v>
      </c>
      <c r="B1338" s="0" t="s">
        <v>531</v>
      </c>
      <c r="C1338" s="0" t="n">
        <v>380</v>
      </c>
      <c r="D1338" s="0" t="n">
        <v>2</v>
      </c>
      <c r="E1338" s="0" t="n">
        <v>4</v>
      </c>
      <c r="F1338" s="0" t="n">
        <v>372</v>
      </c>
      <c r="G1338" s="0" t="n">
        <v>1000</v>
      </c>
      <c r="H1338" s="0" t="s">
        <v>145</v>
      </c>
      <c r="I1338" s="0" t="n">
        <v>1</v>
      </c>
      <c r="J1338" s="0" t="n">
        <f aca="false">F1338*E1338</f>
        <v>1488</v>
      </c>
      <c r="K1338" s="0" t="str">
        <f aca="false">IF(G1338&lt;1000,"1-Low",IF(G1338&lt;5000,"2-Medium","3-Bulk"))</f>
        <v>2-Medium</v>
      </c>
      <c r="L1338" s="0" t="str">
        <f aca="false">IF(H1338="TRUE","Out of stock","In stock")</f>
        <v>In stock</v>
      </c>
      <c r="M1338" s="0" t="str">
        <f aca="false">IF(D1338&lt;5,"1) Under 5%",IF(D1338&lt;10,"2) 5-9%",IF(D1338&lt;15,"3) 10-14%",IF(D1338&lt;25,"4) 15-24%","5) 25%+"))))</f>
        <v>1) Under 5%</v>
      </c>
      <c r="N1338" s="0" t="str">
        <f aca="false">IF(F1338&lt;50,"1) Under Rs 50",IF(F1338&lt;100,"2) Rs 50-99",IF(F1338&lt;200,"3) Rs 100-199",IF(F1338&lt;500,"4) Rs 200-499","5) Rs 500+"))))</f>
        <v>4) Rs 200-499</v>
      </c>
      <c r="O1338" s="0" t="n">
        <f aca="false">G1338*E1338/1000</f>
        <v>4</v>
      </c>
    </row>
    <row r="1339" customFormat="false" ht="15" hidden="false" customHeight="false" outlineLevel="0" collapsed="false">
      <c r="A1339" s="0" t="s">
        <v>74</v>
      </c>
      <c r="B1339" s="0" t="s">
        <v>771</v>
      </c>
      <c r="C1339" s="0" t="n">
        <v>110</v>
      </c>
      <c r="D1339" s="0" t="n">
        <v>0</v>
      </c>
      <c r="E1339" s="0" t="n">
        <v>6</v>
      </c>
      <c r="F1339" s="0" t="n">
        <v>110</v>
      </c>
      <c r="G1339" s="0" t="n">
        <v>120</v>
      </c>
      <c r="H1339" s="0" t="s">
        <v>145</v>
      </c>
      <c r="I1339" s="0" t="n">
        <v>120</v>
      </c>
      <c r="J1339" s="0" t="n">
        <f aca="false">F1339*E1339</f>
        <v>660</v>
      </c>
      <c r="K1339" s="0" t="str">
        <f aca="false">IF(G1339&lt;1000,"1-Low",IF(G1339&lt;5000,"2-Medium","3-Bulk"))</f>
        <v>1-Low</v>
      </c>
      <c r="L1339" s="0" t="str">
        <f aca="false">IF(H1339="TRUE","Out of stock","In stock")</f>
        <v>In stock</v>
      </c>
      <c r="M1339" s="0" t="str">
        <f aca="false">IF(D1339&lt;5,"1) Under 5%",IF(D1339&lt;10,"2) 5-9%",IF(D1339&lt;15,"3) 10-14%",IF(D1339&lt;25,"4) 15-24%","5) 25%+"))))</f>
        <v>1) Under 5%</v>
      </c>
      <c r="N1339" s="0" t="str">
        <f aca="false">IF(F1339&lt;50,"1) Under Rs 50",IF(F1339&lt;100,"2) Rs 50-99",IF(F1339&lt;200,"3) Rs 100-199",IF(F1339&lt;500,"4) Rs 200-499","5) Rs 500+"))))</f>
        <v>3) Rs 100-199</v>
      </c>
      <c r="O1339" s="0" t="n">
        <f aca="false">G1339*E1339/1000</f>
        <v>0.72</v>
      </c>
    </row>
    <row r="1340" customFormat="false" ht="15" hidden="false" customHeight="false" outlineLevel="0" collapsed="false">
      <c r="A1340" s="0" t="s">
        <v>74</v>
      </c>
      <c r="B1340" s="0" t="s">
        <v>772</v>
      </c>
      <c r="C1340" s="0" t="n">
        <v>215</v>
      </c>
      <c r="D1340" s="0" t="n">
        <v>20</v>
      </c>
      <c r="E1340" s="0" t="n">
        <v>6</v>
      </c>
      <c r="F1340" s="0" t="n">
        <v>172</v>
      </c>
      <c r="G1340" s="0" t="n">
        <v>325</v>
      </c>
      <c r="H1340" s="0" t="s">
        <v>145</v>
      </c>
      <c r="I1340" s="0" t="n">
        <v>325</v>
      </c>
      <c r="J1340" s="0" t="n">
        <f aca="false">F1340*E1340</f>
        <v>1032</v>
      </c>
      <c r="K1340" s="0" t="str">
        <f aca="false">IF(G1340&lt;1000,"1-Low",IF(G1340&lt;5000,"2-Medium","3-Bulk"))</f>
        <v>1-Low</v>
      </c>
      <c r="L1340" s="0" t="str">
        <f aca="false">IF(H1340="TRUE","Out of stock","In stock")</f>
        <v>In stock</v>
      </c>
      <c r="M1340" s="0" t="str">
        <f aca="false">IF(D1340&lt;5,"1) Under 5%",IF(D1340&lt;10,"2) 5-9%",IF(D1340&lt;15,"3) 10-14%",IF(D1340&lt;25,"4) 15-24%","5) 25%+"))))</f>
        <v>4) 15-24%</v>
      </c>
      <c r="N1340" s="0" t="str">
        <f aca="false">IF(F1340&lt;50,"1) Under Rs 50",IF(F1340&lt;100,"2) Rs 50-99",IF(F1340&lt;200,"3) Rs 100-199",IF(F1340&lt;500,"4) Rs 200-499","5) Rs 500+"))))</f>
        <v>3) Rs 100-199</v>
      </c>
      <c r="O1340" s="0" t="n">
        <f aca="false">G1340*E1340/1000</f>
        <v>1.95</v>
      </c>
    </row>
    <row r="1341" customFormat="false" ht="15" hidden="false" customHeight="false" outlineLevel="0" collapsed="false">
      <c r="A1341" s="0" t="s">
        <v>74</v>
      </c>
      <c r="B1341" s="0" t="s">
        <v>773</v>
      </c>
      <c r="C1341" s="0" t="n">
        <v>125</v>
      </c>
      <c r="D1341" s="0" t="n">
        <v>4</v>
      </c>
      <c r="E1341" s="0" t="n">
        <v>6</v>
      </c>
      <c r="F1341" s="0" t="n">
        <v>119</v>
      </c>
      <c r="G1341" s="0" t="n">
        <v>200</v>
      </c>
      <c r="H1341" s="0" t="s">
        <v>145</v>
      </c>
      <c r="I1341" s="0" t="n">
        <v>200</v>
      </c>
      <c r="J1341" s="0" t="n">
        <f aca="false">F1341*E1341</f>
        <v>714</v>
      </c>
      <c r="K1341" s="0" t="str">
        <f aca="false">IF(G1341&lt;1000,"1-Low",IF(G1341&lt;5000,"2-Medium","3-Bulk"))</f>
        <v>1-Low</v>
      </c>
      <c r="L1341" s="0" t="str">
        <f aca="false">IF(H1341="TRUE","Out of stock","In stock")</f>
        <v>In stock</v>
      </c>
      <c r="M1341" s="0" t="str">
        <f aca="false">IF(D1341&lt;5,"1) Under 5%",IF(D1341&lt;10,"2) 5-9%",IF(D1341&lt;15,"3) 10-14%",IF(D1341&lt;25,"4) 15-24%","5) 25%+"))))</f>
        <v>1) Under 5%</v>
      </c>
      <c r="N1341" s="0" t="str">
        <f aca="false">IF(F1341&lt;50,"1) Under Rs 50",IF(F1341&lt;100,"2) Rs 50-99",IF(F1341&lt;200,"3) Rs 100-199",IF(F1341&lt;500,"4) Rs 200-499","5) Rs 500+"))))</f>
        <v>3) Rs 100-199</v>
      </c>
      <c r="O1341" s="0" t="n">
        <f aca="false">G1341*E1341/1000</f>
        <v>1.2</v>
      </c>
    </row>
    <row r="1342" customFormat="false" ht="15" hidden="false" customHeight="false" outlineLevel="0" collapsed="false">
      <c r="A1342" s="0" t="s">
        <v>74</v>
      </c>
      <c r="B1342" s="0" t="s">
        <v>774</v>
      </c>
      <c r="C1342" s="0" t="n">
        <v>249</v>
      </c>
      <c r="D1342" s="0" t="n">
        <v>4</v>
      </c>
      <c r="E1342" s="0" t="n">
        <v>6</v>
      </c>
      <c r="F1342" s="0" t="n">
        <v>237</v>
      </c>
      <c r="G1342" s="0" t="n">
        <v>400</v>
      </c>
      <c r="H1342" s="0" t="s">
        <v>145</v>
      </c>
      <c r="I1342" s="0" t="n">
        <v>400</v>
      </c>
      <c r="J1342" s="0" t="n">
        <f aca="false">F1342*E1342</f>
        <v>1422</v>
      </c>
      <c r="K1342" s="0" t="str">
        <f aca="false">IF(G1342&lt;1000,"1-Low",IF(G1342&lt;5000,"2-Medium","3-Bulk"))</f>
        <v>1-Low</v>
      </c>
      <c r="L1342" s="0" t="str">
        <f aca="false">IF(H1342="TRUE","Out of stock","In stock")</f>
        <v>In stock</v>
      </c>
      <c r="M1342" s="0" t="str">
        <f aca="false">IF(D1342&lt;5,"1) Under 5%",IF(D1342&lt;10,"2) 5-9%",IF(D1342&lt;15,"3) 10-14%",IF(D1342&lt;25,"4) 15-24%","5) 25%+"))))</f>
        <v>1) Under 5%</v>
      </c>
      <c r="N1342" s="0" t="str">
        <f aca="false">IF(F1342&lt;50,"1) Under Rs 50",IF(F1342&lt;100,"2) Rs 50-99",IF(F1342&lt;200,"3) Rs 100-199",IF(F1342&lt;500,"4) Rs 200-499","5) Rs 500+"))))</f>
        <v>4) Rs 200-499</v>
      </c>
      <c r="O1342" s="0" t="n">
        <f aca="false">G1342*E1342/1000</f>
        <v>2.4</v>
      </c>
    </row>
    <row r="1343" customFormat="false" ht="15" hidden="false" customHeight="false" outlineLevel="0" collapsed="false">
      <c r="A1343" s="0" t="s">
        <v>74</v>
      </c>
      <c r="B1343" s="0" t="s">
        <v>775</v>
      </c>
      <c r="C1343" s="0" t="n">
        <v>345</v>
      </c>
      <c r="D1343" s="0" t="n">
        <v>31</v>
      </c>
      <c r="E1343" s="0" t="n">
        <v>6</v>
      </c>
      <c r="F1343" s="0" t="n">
        <v>237</v>
      </c>
      <c r="G1343" s="0" t="n">
        <v>100</v>
      </c>
      <c r="H1343" s="0" t="s">
        <v>145</v>
      </c>
      <c r="I1343" s="0" t="n">
        <v>100</v>
      </c>
      <c r="J1343" s="0" t="n">
        <f aca="false">F1343*E1343</f>
        <v>1422</v>
      </c>
      <c r="K1343" s="0" t="str">
        <f aca="false">IF(G1343&lt;1000,"1-Low",IF(G1343&lt;5000,"2-Medium","3-Bulk"))</f>
        <v>1-Low</v>
      </c>
      <c r="L1343" s="0" t="str">
        <f aca="false">IF(H1343="TRUE","Out of stock","In stock")</f>
        <v>In stock</v>
      </c>
      <c r="M1343" s="0" t="str">
        <f aca="false">IF(D1343&lt;5,"1) Under 5%",IF(D1343&lt;10,"2) 5-9%",IF(D1343&lt;15,"3) 10-14%",IF(D1343&lt;25,"4) 15-24%","5) 25%+"))))</f>
        <v>5) 25%+</v>
      </c>
      <c r="N1343" s="0" t="str">
        <f aca="false">IF(F1343&lt;50,"1) Under Rs 50",IF(F1343&lt;100,"2) Rs 50-99",IF(F1343&lt;200,"3) Rs 100-199",IF(F1343&lt;500,"4) Rs 200-499","5) Rs 500+"))))</f>
        <v>4) Rs 200-499</v>
      </c>
      <c r="O1343" s="0" t="n">
        <f aca="false">G1343*E1343/1000</f>
        <v>0.6</v>
      </c>
    </row>
    <row r="1344" customFormat="false" ht="15" hidden="false" customHeight="false" outlineLevel="0" collapsed="false">
      <c r="A1344" s="0" t="s">
        <v>74</v>
      </c>
      <c r="B1344" s="0" t="s">
        <v>776</v>
      </c>
      <c r="C1344" s="0" t="n">
        <v>355</v>
      </c>
      <c r="D1344" s="0" t="n">
        <v>50</v>
      </c>
      <c r="E1344" s="0" t="n">
        <v>6</v>
      </c>
      <c r="F1344" s="0" t="n">
        <v>177</v>
      </c>
      <c r="G1344" s="0" t="n">
        <v>200</v>
      </c>
      <c r="H1344" s="0" t="s">
        <v>145</v>
      </c>
      <c r="I1344" s="0" t="n">
        <v>200</v>
      </c>
      <c r="J1344" s="0" t="n">
        <f aca="false">F1344*E1344</f>
        <v>1062</v>
      </c>
      <c r="K1344" s="0" t="str">
        <f aca="false">IF(G1344&lt;1000,"1-Low",IF(G1344&lt;5000,"2-Medium","3-Bulk"))</f>
        <v>1-Low</v>
      </c>
      <c r="L1344" s="0" t="str">
        <f aca="false">IF(H1344="TRUE","Out of stock","In stock")</f>
        <v>In stock</v>
      </c>
      <c r="M1344" s="0" t="str">
        <f aca="false">IF(D1344&lt;5,"1) Under 5%",IF(D1344&lt;10,"2) 5-9%",IF(D1344&lt;15,"3) 10-14%",IF(D1344&lt;25,"4) 15-24%","5) 25%+"))))</f>
        <v>5) 25%+</v>
      </c>
      <c r="N1344" s="0" t="str">
        <f aca="false">IF(F1344&lt;50,"1) Under Rs 50",IF(F1344&lt;100,"2) Rs 50-99",IF(F1344&lt;200,"3) Rs 100-199",IF(F1344&lt;500,"4) Rs 200-499","5) Rs 500+"))))</f>
        <v>3) Rs 100-199</v>
      </c>
      <c r="O1344" s="0" t="n">
        <f aca="false">G1344*E1344/1000</f>
        <v>1.2</v>
      </c>
    </row>
    <row r="1345" customFormat="false" ht="15" hidden="false" customHeight="false" outlineLevel="0" collapsed="false">
      <c r="A1345" s="0" t="s">
        <v>74</v>
      </c>
      <c r="B1345" s="0" t="s">
        <v>777</v>
      </c>
      <c r="C1345" s="0" t="n">
        <v>199</v>
      </c>
      <c r="D1345" s="0" t="n">
        <v>5</v>
      </c>
      <c r="E1345" s="0" t="n">
        <v>6</v>
      </c>
      <c r="F1345" s="0" t="n">
        <v>189</v>
      </c>
      <c r="G1345" s="0" t="n">
        <v>200</v>
      </c>
      <c r="H1345" s="0" t="s">
        <v>145</v>
      </c>
      <c r="I1345" s="0" t="n">
        <v>200</v>
      </c>
      <c r="J1345" s="0" t="n">
        <f aca="false">F1345*E1345</f>
        <v>1134</v>
      </c>
      <c r="K1345" s="0" t="str">
        <f aca="false">IF(G1345&lt;1000,"1-Low",IF(G1345&lt;5000,"2-Medium","3-Bulk"))</f>
        <v>1-Low</v>
      </c>
      <c r="L1345" s="0" t="str">
        <f aca="false">IF(H1345="TRUE","Out of stock","In stock")</f>
        <v>In stock</v>
      </c>
      <c r="M1345" s="0" t="str">
        <f aca="false">IF(D1345&lt;5,"1) Under 5%",IF(D1345&lt;10,"2) 5-9%",IF(D1345&lt;15,"3) 10-14%",IF(D1345&lt;25,"4) 15-24%","5) 25%+"))))</f>
        <v>2) 5-9%</v>
      </c>
      <c r="N1345" s="0" t="str">
        <f aca="false">IF(F1345&lt;50,"1) Under Rs 50",IF(F1345&lt;100,"2) Rs 50-99",IF(F1345&lt;200,"3) Rs 100-199",IF(F1345&lt;500,"4) Rs 200-499","5) Rs 500+"))))</f>
        <v>3) Rs 100-199</v>
      </c>
      <c r="O1345" s="0" t="n">
        <f aca="false">G1345*E1345/1000</f>
        <v>1.2</v>
      </c>
    </row>
    <row r="1346" customFormat="false" ht="15" hidden="false" customHeight="false" outlineLevel="0" collapsed="false">
      <c r="A1346" s="0" t="s">
        <v>74</v>
      </c>
      <c r="B1346" s="0" t="s">
        <v>778</v>
      </c>
      <c r="C1346" s="0" t="n">
        <v>169</v>
      </c>
      <c r="D1346" s="0" t="n">
        <v>0</v>
      </c>
      <c r="E1346" s="0" t="n">
        <v>1</v>
      </c>
      <c r="F1346" s="0" t="n">
        <v>169</v>
      </c>
      <c r="G1346" s="0" t="n">
        <v>400</v>
      </c>
      <c r="H1346" s="0" t="s">
        <v>145</v>
      </c>
      <c r="I1346" s="0" t="n">
        <v>400</v>
      </c>
      <c r="J1346" s="0" t="n">
        <f aca="false">F1346*E1346</f>
        <v>169</v>
      </c>
      <c r="K1346" s="0" t="str">
        <f aca="false">IF(G1346&lt;1000,"1-Low",IF(G1346&lt;5000,"2-Medium","3-Bulk"))</f>
        <v>1-Low</v>
      </c>
      <c r="L1346" s="0" t="str">
        <f aca="false">IF(H1346="TRUE","Out of stock","In stock")</f>
        <v>In stock</v>
      </c>
      <c r="M1346" s="0" t="str">
        <f aca="false">IF(D1346&lt;5,"1) Under 5%",IF(D1346&lt;10,"2) 5-9%",IF(D1346&lt;15,"3) 10-14%",IF(D1346&lt;25,"4) 15-24%","5) 25%+"))))</f>
        <v>1) Under 5%</v>
      </c>
      <c r="N1346" s="0" t="str">
        <f aca="false">IF(F1346&lt;50,"1) Under Rs 50",IF(F1346&lt;100,"2) Rs 50-99",IF(F1346&lt;200,"3) Rs 100-199",IF(F1346&lt;500,"4) Rs 200-499","5) Rs 500+"))))</f>
        <v>3) Rs 100-199</v>
      </c>
      <c r="O1346" s="0" t="n">
        <f aca="false">G1346*E1346/1000</f>
        <v>0.4</v>
      </c>
    </row>
    <row r="1347" customFormat="false" ht="15" hidden="false" customHeight="false" outlineLevel="0" collapsed="false">
      <c r="A1347" s="0" t="s">
        <v>74</v>
      </c>
      <c r="B1347" s="0" t="s">
        <v>577</v>
      </c>
      <c r="C1347" s="0" t="n">
        <v>150</v>
      </c>
      <c r="D1347" s="0" t="n">
        <v>0</v>
      </c>
      <c r="E1347" s="0" t="n">
        <v>4</v>
      </c>
      <c r="F1347" s="0" t="n">
        <v>150</v>
      </c>
      <c r="G1347" s="0" t="n">
        <v>400</v>
      </c>
      <c r="H1347" s="0" t="s">
        <v>145</v>
      </c>
      <c r="I1347" s="0" t="n">
        <v>400</v>
      </c>
      <c r="J1347" s="0" t="n">
        <f aca="false">F1347*E1347</f>
        <v>600</v>
      </c>
      <c r="K1347" s="0" t="str">
        <f aca="false">IF(G1347&lt;1000,"1-Low",IF(G1347&lt;5000,"2-Medium","3-Bulk"))</f>
        <v>1-Low</v>
      </c>
      <c r="L1347" s="0" t="str">
        <f aca="false">IF(H1347="TRUE","Out of stock","In stock")</f>
        <v>In stock</v>
      </c>
      <c r="M1347" s="0" t="str">
        <f aca="false">IF(D1347&lt;5,"1) Under 5%",IF(D1347&lt;10,"2) 5-9%",IF(D1347&lt;15,"3) 10-14%",IF(D1347&lt;25,"4) 15-24%","5) 25%+"))))</f>
        <v>1) Under 5%</v>
      </c>
      <c r="N1347" s="0" t="str">
        <f aca="false">IF(F1347&lt;50,"1) Under Rs 50",IF(F1347&lt;100,"2) Rs 50-99",IF(F1347&lt;200,"3) Rs 100-199",IF(F1347&lt;500,"4) Rs 200-499","5) Rs 500+"))))</f>
        <v>3) Rs 100-199</v>
      </c>
      <c r="O1347" s="0" t="n">
        <f aca="false">G1347*E1347/1000</f>
        <v>1.6</v>
      </c>
    </row>
    <row r="1348" customFormat="false" ht="15" hidden="false" customHeight="false" outlineLevel="0" collapsed="false">
      <c r="A1348" s="0" t="s">
        <v>74</v>
      </c>
      <c r="B1348" s="0" t="s">
        <v>779</v>
      </c>
      <c r="C1348" s="0" t="n">
        <v>145</v>
      </c>
      <c r="D1348" s="0" t="n">
        <v>0</v>
      </c>
      <c r="E1348" s="0" t="n">
        <v>6</v>
      </c>
      <c r="F1348" s="0" t="n">
        <v>145</v>
      </c>
      <c r="G1348" s="0" t="n">
        <v>200</v>
      </c>
      <c r="H1348" s="0" t="s">
        <v>145</v>
      </c>
      <c r="I1348" s="0" t="n">
        <v>200</v>
      </c>
      <c r="J1348" s="0" t="n">
        <f aca="false">F1348*E1348</f>
        <v>870</v>
      </c>
      <c r="K1348" s="0" t="str">
        <f aca="false">IF(G1348&lt;1000,"1-Low",IF(G1348&lt;5000,"2-Medium","3-Bulk"))</f>
        <v>1-Low</v>
      </c>
      <c r="L1348" s="0" t="str">
        <f aca="false">IF(H1348="TRUE","Out of stock","In stock")</f>
        <v>In stock</v>
      </c>
      <c r="M1348" s="0" t="str">
        <f aca="false">IF(D1348&lt;5,"1) Under 5%",IF(D1348&lt;10,"2) 5-9%",IF(D1348&lt;15,"3) 10-14%",IF(D1348&lt;25,"4) 15-24%","5) 25%+"))))</f>
        <v>1) Under 5%</v>
      </c>
      <c r="N1348" s="0" t="str">
        <f aca="false">IF(F1348&lt;50,"1) Under Rs 50",IF(F1348&lt;100,"2) Rs 50-99",IF(F1348&lt;200,"3) Rs 100-199",IF(F1348&lt;500,"4) Rs 200-499","5) Rs 500+"))))</f>
        <v>3) Rs 100-199</v>
      </c>
      <c r="O1348" s="0" t="n">
        <f aca="false">G1348*E1348/1000</f>
        <v>1.2</v>
      </c>
    </row>
    <row r="1349" customFormat="false" ht="15" hidden="false" customHeight="false" outlineLevel="0" collapsed="false">
      <c r="A1349" s="0" t="s">
        <v>74</v>
      </c>
      <c r="B1349" s="0" t="s">
        <v>780</v>
      </c>
      <c r="C1349" s="0" t="n">
        <v>54</v>
      </c>
      <c r="D1349" s="0" t="n">
        <v>0</v>
      </c>
      <c r="E1349" s="0" t="n">
        <v>6</v>
      </c>
      <c r="F1349" s="0" t="n">
        <v>54</v>
      </c>
      <c r="G1349" s="0" t="n">
        <v>100</v>
      </c>
      <c r="H1349" s="0" t="s">
        <v>145</v>
      </c>
      <c r="I1349" s="0" t="n">
        <v>100</v>
      </c>
      <c r="J1349" s="0" t="n">
        <f aca="false">F1349*E1349</f>
        <v>324</v>
      </c>
      <c r="K1349" s="0" t="str">
        <f aca="false">IF(G1349&lt;1000,"1-Low",IF(G1349&lt;5000,"2-Medium","3-Bulk"))</f>
        <v>1-Low</v>
      </c>
      <c r="L1349" s="0" t="str">
        <f aca="false">IF(H1349="TRUE","Out of stock","In stock")</f>
        <v>In stock</v>
      </c>
      <c r="M1349" s="0" t="str">
        <f aca="false">IF(D1349&lt;5,"1) Under 5%",IF(D1349&lt;10,"2) 5-9%",IF(D1349&lt;15,"3) 10-14%",IF(D1349&lt;25,"4) 15-24%","5) 25%+"))))</f>
        <v>1) Under 5%</v>
      </c>
      <c r="N1349" s="0" t="str">
        <f aca="false">IF(F1349&lt;50,"1) Under Rs 50",IF(F1349&lt;100,"2) Rs 50-99",IF(F1349&lt;200,"3) Rs 100-199",IF(F1349&lt;500,"4) Rs 200-499","5) Rs 500+"))))</f>
        <v>2) Rs 50-99</v>
      </c>
      <c r="O1349" s="0" t="n">
        <f aca="false">G1349*E1349/1000</f>
        <v>0.6</v>
      </c>
    </row>
    <row r="1350" customFormat="false" ht="15" hidden="false" customHeight="false" outlineLevel="0" collapsed="false">
      <c r="A1350" s="0" t="s">
        <v>74</v>
      </c>
      <c r="B1350" s="0" t="s">
        <v>781</v>
      </c>
      <c r="C1350" s="0" t="n">
        <v>150</v>
      </c>
      <c r="D1350" s="0" t="n">
        <v>0</v>
      </c>
      <c r="E1350" s="0" t="n">
        <v>6</v>
      </c>
      <c r="F1350" s="0" t="n">
        <v>150</v>
      </c>
      <c r="G1350" s="0" t="n">
        <v>200</v>
      </c>
      <c r="H1350" s="0" t="s">
        <v>145</v>
      </c>
      <c r="I1350" s="0" t="n">
        <v>200</v>
      </c>
      <c r="J1350" s="0" t="n">
        <f aca="false">F1350*E1350</f>
        <v>900</v>
      </c>
      <c r="K1350" s="0" t="str">
        <f aca="false">IF(G1350&lt;1000,"1-Low",IF(G1350&lt;5000,"2-Medium","3-Bulk"))</f>
        <v>1-Low</v>
      </c>
      <c r="L1350" s="0" t="str">
        <f aca="false">IF(H1350="TRUE","Out of stock","In stock")</f>
        <v>In stock</v>
      </c>
      <c r="M1350" s="0" t="str">
        <f aca="false">IF(D1350&lt;5,"1) Under 5%",IF(D1350&lt;10,"2) 5-9%",IF(D1350&lt;15,"3) 10-14%",IF(D1350&lt;25,"4) 15-24%","5) 25%+"))))</f>
        <v>1) Under 5%</v>
      </c>
      <c r="N1350" s="0" t="str">
        <f aca="false">IF(F1350&lt;50,"1) Under Rs 50",IF(F1350&lt;100,"2) Rs 50-99",IF(F1350&lt;200,"3) Rs 100-199",IF(F1350&lt;500,"4) Rs 200-499","5) Rs 500+"))))</f>
        <v>3) Rs 100-199</v>
      </c>
      <c r="O1350" s="0" t="n">
        <f aca="false">G1350*E1350/1000</f>
        <v>1.2</v>
      </c>
    </row>
    <row r="1351" customFormat="false" ht="15" hidden="false" customHeight="false" outlineLevel="0" collapsed="false">
      <c r="A1351" s="0" t="s">
        <v>74</v>
      </c>
      <c r="B1351" s="0" t="s">
        <v>782</v>
      </c>
      <c r="C1351" s="0" t="n">
        <v>249</v>
      </c>
      <c r="D1351" s="0" t="n">
        <v>0</v>
      </c>
      <c r="E1351" s="0" t="n">
        <v>4</v>
      </c>
      <c r="F1351" s="0" t="n">
        <v>249</v>
      </c>
      <c r="G1351" s="0" t="n">
        <v>400</v>
      </c>
      <c r="H1351" s="0" t="s">
        <v>145</v>
      </c>
      <c r="I1351" s="0" t="n">
        <v>400</v>
      </c>
      <c r="J1351" s="0" t="n">
        <f aca="false">F1351*E1351</f>
        <v>996</v>
      </c>
      <c r="K1351" s="0" t="str">
        <f aca="false">IF(G1351&lt;1000,"1-Low",IF(G1351&lt;5000,"2-Medium","3-Bulk"))</f>
        <v>1-Low</v>
      </c>
      <c r="L1351" s="0" t="str">
        <f aca="false">IF(H1351="TRUE","Out of stock","In stock")</f>
        <v>In stock</v>
      </c>
      <c r="M1351" s="0" t="str">
        <f aca="false">IF(D1351&lt;5,"1) Under 5%",IF(D1351&lt;10,"2) 5-9%",IF(D1351&lt;15,"3) 10-14%",IF(D1351&lt;25,"4) 15-24%","5) 25%+"))))</f>
        <v>1) Under 5%</v>
      </c>
      <c r="N1351" s="0" t="str">
        <f aca="false">IF(F1351&lt;50,"1) Under Rs 50",IF(F1351&lt;100,"2) Rs 50-99",IF(F1351&lt;200,"3) Rs 100-199",IF(F1351&lt;500,"4) Rs 200-499","5) Rs 500+"))))</f>
        <v>4) Rs 200-499</v>
      </c>
      <c r="O1351" s="0" t="n">
        <f aca="false">G1351*E1351/1000</f>
        <v>1.6</v>
      </c>
    </row>
    <row r="1352" customFormat="false" ht="15" hidden="false" customHeight="false" outlineLevel="0" collapsed="false">
      <c r="A1352" s="0" t="s">
        <v>74</v>
      </c>
      <c r="B1352" s="0" t="s">
        <v>783</v>
      </c>
      <c r="C1352" s="0" t="n">
        <v>110</v>
      </c>
      <c r="D1352" s="0" t="n">
        <v>0</v>
      </c>
      <c r="E1352" s="0" t="n">
        <v>6</v>
      </c>
      <c r="F1352" s="0" t="n">
        <v>110</v>
      </c>
      <c r="G1352" s="0" t="n">
        <v>180</v>
      </c>
      <c r="H1352" s="0" t="s">
        <v>145</v>
      </c>
      <c r="I1352" s="0" t="n">
        <v>180</v>
      </c>
      <c r="J1352" s="0" t="n">
        <f aca="false">F1352*E1352</f>
        <v>660</v>
      </c>
      <c r="K1352" s="0" t="str">
        <f aca="false">IF(G1352&lt;1000,"1-Low",IF(G1352&lt;5000,"2-Medium","3-Bulk"))</f>
        <v>1-Low</v>
      </c>
      <c r="L1352" s="0" t="str">
        <f aca="false">IF(H1352="TRUE","Out of stock","In stock")</f>
        <v>In stock</v>
      </c>
      <c r="M1352" s="0" t="str">
        <f aca="false">IF(D1352&lt;5,"1) Under 5%",IF(D1352&lt;10,"2) 5-9%",IF(D1352&lt;15,"3) 10-14%",IF(D1352&lt;25,"4) 15-24%","5) 25%+"))))</f>
        <v>1) Under 5%</v>
      </c>
      <c r="N1352" s="0" t="str">
        <f aca="false">IF(F1352&lt;50,"1) Under Rs 50",IF(F1352&lt;100,"2) Rs 50-99",IF(F1352&lt;200,"3) Rs 100-199",IF(F1352&lt;500,"4) Rs 200-499","5) Rs 500+"))))</f>
        <v>3) Rs 100-199</v>
      </c>
      <c r="O1352" s="0" t="n">
        <f aca="false">G1352*E1352/1000</f>
        <v>1.08</v>
      </c>
    </row>
    <row r="1353" customFormat="false" ht="15" hidden="false" customHeight="false" outlineLevel="0" collapsed="false">
      <c r="A1353" s="0" t="s">
        <v>74</v>
      </c>
      <c r="B1353" s="0" t="s">
        <v>784</v>
      </c>
      <c r="C1353" s="0" t="n">
        <v>76</v>
      </c>
      <c r="D1353" s="0" t="n">
        <v>3</v>
      </c>
      <c r="E1353" s="0" t="n">
        <v>0</v>
      </c>
      <c r="F1353" s="0" t="n">
        <v>73</v>
      </c>
      <c r="G1353" s="0" t="n">
        <v>200</v>
      </c>
      <c r="H1353" s="0" t="s">
        <v>230</v>
      </c>
      <c r="I1353" s="0" t="n">
        <v>200</v>
      </c>
      <c r="J1353" s="0" t="n">
        <f aca="false">F1353*E1353</f>
        <v>0</v>
      </c>
      <c r="K1353" s="0" t="str">
        <f aca="false">IF(G1353&lt;1000,"1-Low",IF(G1353&lt;5000,"2-Medium","3-Bulk"))</f>
        <v>1-Low</v>
      </c>
      <c r="L1353" s="0" t="str">
        <f aca="false">IF(H1353="TRUE","Out of stock","In stock")</f>
        <v>Out of stock</v>
      </c>
      <c r="M1353" s="0" t="str">
        <f aca="false">IF(D1353&lt;5,"1) Under 5%",IF(D1353&lt;10,"2) 5-9%",IF(D1353&lt;15,"3) 10-14%",IF(D1353&lt;25,"4) 15-24%","5) 25%+"))))</f>
        <v>1) Under 5%</v>
      </c>
      <c r="N1353" s="0" t="str">
        <f aca="false">IF(F1353&lt;50,"1) Under Rs 50",IF(F1353&lt;100,"2) Rs 50-99",IF(F1353&lt;200,"3) Rs 100-199",IF(F1353&lt;500,"4) Rs 200-499","5) Rs 500+"))))</f>
        <v>2) Rs 50-99</v>
      </c>
      <c r="O1353" s="0" t="n">
        <f aca="false">G1353*E1353/1000</f>
        <v>0</v>
      </c>
    </row>
    <row r="1354" customFormat="false" ht="15" hidden="false" customHeight="false" outlineLevel="0" collapsed="false">
      <c r="A1354" s="0" t="s">
        <v>74</v>
      </c>
      <c r="B1354" s="0" t="s">
        <v>785</v>
      </c>
      <c r="C1354" s="0" t="n">
        <v>66</v>
      </c>
      <c r="D1354" s="0" t="n">
        <v>3</v>
      </c>
      <c r="E1354" s="0" t="n">
        <v>0</v>
      </c>
      <c r="F1354" s="0" t="n">
        <v>64</v>
      </c>
      <c r="G1354" s="0" t="n">
        <v>1000</v>
      </c>
      <c r="H1354" s="0" t="s">
        <v>230</v>
      </c>
      <c r="I1354" s="0" t="n">
        <v>1</v>
      </c>
      <c r="J1354" s="0" t="n">
        <f aca="false">F1354*E1354</f>
        <v>0</v>
      </c>
      <c r="K1354" s="0" t="str">
        <f aca="false">IF(G1354&lt;1000,"1-Low",IF(G1354&lt;5000,"2-Medium","3-Bulk"))</f>
        <v>2-Medium</v>
      </c>
      <c r="L1354" s="0" t="str">
        <f aca="false">IF(H1354="TRUE","Out of stock","In stock")</f>
        <v>Out of stock</v>
      </c>
      <c r="M1354" s="0" t="str">
        <f aca="false">IF(D1354&lt;5,"1) Under 5%",IF(D1354&lt;10,"2) 5-9%",IF(D1354&lt;15,"3) 10-14%",IF(D1354&lt;25,"4) 15-24%","5) 25%+"))))</f>
        <v>1) Under 5%</v>
      </c>
      <c r="N1354" s="0" t="str">
        <f aca="false">IF(F1354&lt;50,"1) Under Rs 50",IF(F1354&lt;100,"2) Rs 50-99",IF(F1354&lt;200,"3) Rs 100-199",IF(F1354&lt;500,"4) Rs 200-499","5) Rs 500+"))))</f>
        <v>2) Rs 50-99</v>
      </c>
      <c r="O1354" s="0" t="n">
        <f aca="false">G1354*E1354/1000</f>
        <v>0</v>
      </c>
    </row>
    <row r="1355" customFormat="false" ht="15" hidden="false" customHeight="false" outlineLevel="0" collapsed="false">
      <c r="A1355" s="0" t="s">
        <v>74</v>
      </c>
      <c r="B1355" s="0" t="s">
        <v>250</v>
      </c>
      <c r="C1355" s="0" t="n">
        <v>63</v>
      </c>
      <c r="D1355" s="0" t="n">
        <v>0</v>
      </c>
      <c r="E1355" s="0" t="n">
        <v>0</v>
      </c>
      <c r="F1355" s="0" t="n">
        <v>63</v>
      </c>
      <c r="G1355" s="0" t="n">
        <v>250</v>
      </c>
      <c r="H1355" s="0" t="s">
        <v>230</v>
      </c>
      <c r="I1355" s="0" t="n">
        <v>250</v>
      </c>
      <c r="J1355" s="0" t="n">
        <f aca="false">F1355*E1355</f>
        <v>0</v>
      </c>
      <c r="K1355" s="0" t="str">
        <f aca="false">IF(G1355&lt;1000,"1-Low",IF(G1355&lt;5000,"2-Medium","3-Bulk"))</f>
        <v>1-Low</v>
      </c>
      <c r="L1355" s="0" t="str">
        <f aca="false">IF(H1355="TRUE","Out of stock","In stock")</f>
        <v>Out of stock</v>
      </c>
      <c r="M1355" s="0" t="str">
        <f aca="false">IF(D1355&lt;5,"1) Under 5%",IF(D1355&lt;10,"2) 5-9%",IF(D1355&lt;15,"3) 10-14%",IF(D1355&lt;25,"4) 15-24%","5) 25%+"))))</f>
        <v>1) Under 5%</v>
      </c>
      <c r="N1355" s="0" t="str">
        <f aca="false">IF(F1355&lt;50,"1) Under Rs 50",IF(F1355&lt;100,"2) Rs 50-99",IF(F1355&lt;200,"3) Rs 100-199",IF(F1355&lt;500,"4) Rs 200-499","5) Rs 500+"))))</f>
        <v>2) Rs 50-99</v>
      </c>
      <c r="O1355" s="0" t="n">
        <f aca="false">G1355*E1355/1000</f>
        <v>0</v>
      </c>
    </row>
    <row r="1356" customFormat="false" ht="15" hidden="false" customHeight="false" outlineLevel="0" collapsed="false">
      <c r="A1356" s="0" t="s">
        <v>74</v>
      </c>
      <c r="B1356" s="0" t="s">
        <v>786</v>
      </c>
      <c r="C1356" s="0" t="n">
        <v>25</v>
      </c>
      <c r="D1356" s="0" t="n">
        <v>4</v>
      </c>
      <c r="E1356" s="0" t="n">
        <v>0</v>
      </c>
      <c r="F1356" s="0" t="n">
        <v>24</v>
      </c>
      <c r="G1356" s="0" t="n">
        <v>250</v>
      </c>
      <c r="H1356" s="0" t="s">
        <v>230</v>
      </c>
      <c r="I1356" s="0" t="n">
        <v>250</v>
      </c>
      <c r="J1356" s="0" t="n">
        <f aca="false">F1356*E1356</f>
        <v>0</v>
      </c>
      <c r="K1356" s="0" t="str">
        <f aca="false">IF(G1356&lt;1000,"1-Low",IF(G1356&lt;5000,"2-Medium","3-Bulk"))</f>
        <v>1-Low</v>
      </c>
      <c r="L1356" s="0" t="str">
        <f aca="false">IF(H1356="TRUE","Out of stock","In stock")</f>
        <v>Out of stock</v>
      </c>
      <c r="M1356" s="0" t="str">
        <f aca="false">IF(D1356&lt;5,"1) Under 5%",IF(D1356&lt;10,"2) 5-9%",IF(D1356&lt;15,"3) 10-14%",IF(D1356&lt;25,"4) 15-24%","5) 25%+"))))</f>
        <v>1) Under 5%</v>
      </c>
      <c r="N1356" s="0" t="str">
        <f aca="false">IF(F1356&lt;50,"1) Under Rs 50",IF(F1356&lt;100,"2) Rs 50-99",IF(F1356&lt;200,"3) Rs 100-199",IF(F1356&lt;500,"4) Rs 200-499","5) Rs 500+"))))</f>
        <v>1) Under Rs 50</v>
      </c>
      <c r="O1356" s="0" t="n">
        <f aca="false">G1356*E1356/1000</f>
        <v>0</v>
      </c>
    </row>
    <row r="1357" customFormat="false" ht="15" hidden="false" customHeight="false" outlineLevel="0" collapsed="false">
      <c r="A1357" s="0" t="s">
        <v>74</v>
      </c>
      <c r="B1357" s="0" t="s">
        <v>787</v>
      </c>
      <c r="C1357" s="0" t="n">
        <v>40</v>
      </c>
      <c r="D1357" s="0" t="n">
        <v>0</v>
      </c>
      <c r="E1357" s="0" t="n">
        <v>0</v>
      </c>
      <c r="F1357" s="0" t="n">
        <v>40</v>
      </c>
      <c r="G1357" s="0" t="n">
        <v>400</v>
      </c>
      <c r="H1357" s="0" t="s">
        <v>230</v>
      </c>
      <c r="I1357" s="0" t="n">
        <v>400</v>
      </c>
      <c r="J1357" s="0" t="n">
        <f aca="false">F1357*E1357</f>
        <v>0</v>
      </c>
      <c r="K1357" s="0" t="str">
        <f aca="false">IF(G1357&lt;1000,"1-Low",IF(G1357&lt;5000,"2-Medium","3-Bulk"))</f>
        <v>1-Low</v>
      </c>
      <c r="L1357" s="0" t="str">
        <f aca="false">IF(H1357="TRUE","Out of stock","In stock")</f>
        <v>Out of stock</v>
      </c>
      <c r="M1357" s="0" t="str">
        <f aca="false">IF(D1357&lt;5,"1) Under 5%",IF(D1357&lt;10,"2) 5-9%",IF(D1357&lt;15,"3) 10-14%",IF(D1357&lt;25,"4) 15-24%","5) 25%+"))))</f>
        <v>1) Under 5%</v>
      </c>
      <c r="N1357" s="0" t="str">
        <f aca="false">IF(F1357&lt;50,"1) Under Rs 50",IF(F1357&lt;100,"2) Rs 50-99",IF(F1357&lt;200,"3) Rs 100-199",IF(F1357&lt;500,"4) Rs 200-499","5) Rs 500+"))))</f>
        <v>1) Under Rs 50</v>
      </c>
      <c r="O1357" s="0" t="n">
        <f aca="false">G1357*E1357/1000</f>
        <v>0</v>
      </c>
    </row>
    <row r="1358" customFormat="false" ht="15" hidden="false" customHeight="false" outlineLevel="0" collapsed="false">
      <c r="A1358" s="0" t="s">
        <v>74</v>
      </c>
      <c r="B1358" s="0" t="s">
        <v>788</v>
      </c>
      <c r="C1358" s="0" t="n">
        <v>75</v>
      </c>
      <c r="D1358" s="0" t="n">
        <v>0</v>
      </c>
      <c r="E1358" s="0" t="n">
        <v>0</v>
      </c>
      <c r="F1358" s="0" t="n">
        <v>75</v>
      </c>
      <c r="G1358" s="0" t="n">
        <v>1000</v>
      </c>
      <c r="H1358" s="0" t="s">
        <v>230</v>
      </c>
      <c r="I1358" s="0" t="n">
        <v>1</v>
      </c>
      <c r="J1358" s="0" t="n">
        <f aca="false">F1358*E1358</f>
        <v>0</v>
      </c>
      <c r="K1358" s="0" t="str">
        <f aca="false">IF(G1358&lt;1000,"1-Low",IF(G1358&lt;5000,"2-Medium","3-Bulk"))</f>
        <v>2-Medium</v>
      </c>
      <c r="L1358" s="0" t="str">
        <f aca="false">IF(H1358="TRUE","Out of stock","In stock")</f>
        <v>Out of stock</v>
      </c>
      <c r="M1358" s="0" t="str">
        <f aca="false">IF(D1358&lt;5,"1) Under 5%",IF(D1358&lt;10,"2) 5-9%",IF(D1358&lt;15,"3) 10-14%",IF(D1358&lt;25,"4) 15-24%","5) 25%+"))))</f>
        <v>1) Under 5%</v>
      </c>
      <c r="N1358" s="0" t="str">
        <f aca="false">IF(F1358&lt;50,"1) Under Rs 50",IF(F1358&lt;100,"2) Rs 50-99",IF(F1358&lt;200,"3) Rs 100-199",IF(F1358&lt;500,"4) Rs 200-499","5) Rs 500+"))))</f>
        <v>2) Rs 50-99</v>
      </c>
      <c r="O1358" s="0" t="n">
        <f aca="false">G1358*E1358/1000</f>
        <v>0</v>
      </c>
    </row>
    <row r="1359" customFormat="false" ht="15" hidden="false" customHeight="false" outlineLevel="0" collapsed="false">
      <c r="A1359" s="0" t="s">
        <v>74</v>
      </c>
      <c r="B1359" s="0" t="s">
        <v>734</v>
      </c>
      <c r="C1359" s="0" t="n">
        <v>71</v>
      </c>
      <c r="D1359" s="0" t="n">
        <v>1</v>
      </c>
      <c r="E1359" s="0" t="n">
        <v>0</v>
      </c>
      <c r="F1359" s="0" t="n">
        <v>70</v>
      </c>
      <c r="G1359" s="0" t="n">
        <v>100</v>
      </c>
      <c r="H1359" s="0" t="s">
        <v>230</v>
      </c>
      <c r="I1359" s="0" t="n">
        <v>100</v>
      </c>
      <c r="J1359" s="0" t="n">
        <f aca="false">F1359*E1359</f>
        <v>0</v>
      </c>
      <c r="K1359" s="0" t="str">
        <f aca="false">IF(G1359&lt;1000,"1-Low",IF(G1359&lt;5000,"2-Medium","3-Bulk"))</f>
        <v>1-Low</v>
      </c>
      <c r="L1359" s="0" t="str">
        <f aca="false">IF(H1359="TRUE","Out of stock","In stock")</f>
        <v>Out of stock</v>
      </c>
      <c r="M1359" s="0" t="str">
        <f aca="false">IF(D1359&lt;5,"1) Under 5%",IF(D1359&lt;10,"2) 5-9%",IF(D1359&lt;15,"3) 10-14%",IF(D1359&lt;25,"4) 15-24%","5) 25%+"))))</f>
        <v>1) Under 5%</v>
      </c>
      <c r="N1359" s="0" t="str">
        <f aca="false">IF(F1359&lt;50,"1) Under Rs 50",IF(F1359&lt;100,"2) Rs 50-99",IF(F1359&lt;200,"3) Rs 100-199",IF(F1359&lt;500,"4) Rs 200-499","5) Rs 500+"))))</f>
        <v>2) Rs 50-99</v>
      </c>
      <c r="O1359" s="0" t="n">
        <f aca="false">G1359*E1359/1000</f>
        <v>0</v>
      </c>
    </row>
    <row r="1360" customFormat="false" ht="15" hidden="false" customHeight="false" outlineLevel="0" collapsed="false">
      <c r="A1360" s="0" t="s">
        <v>74</v>
      </c>
      <c r="B1360" s="0" t="s">
        <v>789</v>
      </c>
      <c r="C1360" s="0" t="n">
        <v>100</v>
      </c>
      <c r="D1360" s="0" t="n">
        <v>1</v>
      </c>
      <c r="E1360" s="0" t="n">
        <v>0</v>
      </c>
      <c r="F1360" s="0" t="n">
        <v>99</v>
      </c>
      <c r="G1360" s="0" t="n">
        <v>200</v>
      </c>
      <c r="H1360" s="0" t="s">
        <v>230</v>
      </c>
      <c r="I1360" s="0" t="n">
        <v>200</v>
      </c>
      <c r="J1360" s="0" t="n">
        <f aca="false">F1360*E1360</f>
        <v>0</v>
      </c>
      <c r="K1360" s="0" t="str">
        <f aca="false">IF(G1360&lt;1000,"1-Low",IF(G1360&lt;5000,"2-Medium","3-Bulk"))</f>
        <v>1-Low</v>
      </c>
      <c r="L1360" s="0" t="str">
        <f aca="false">IF(H1360="TRUE","Out of stock","In stock")</f>
        <v>Out of stock</v>
      </c>
      <c r="M1360" s="0" t="str">
        <f aca="false">IF(D1360&lt;5,"1) Under 5%",IF(D1360&lt;10,"2) 5-9%",IF(D1360&lt;15,"3) 10-14%",IF(D1360&lt;25,"4) 15-24%","5) 25%+"))))</f>
        <v>1) Under 5%</v>
      </c>
      <c r="N1360" s="0" t="str">
        <f aca="false">IF(F1360&lt;50,"1) Under Rs 50",IF(F1360&lt;100,"2) Rs 50-99",IF(F1360&lt;200,"3) Rs 100-199",IF(F1360&lt;500,"4) Rs 200-499","5) Rs 500+"))))</f>
        <v>2) Rs 50-99</v>
      </c>
      <c r="O1360" s="0" t="n">
        <f aca="false">G1360*E1360/1000</f>
        <v>0</v>
      </c>
    </row>
    <row r="1361" customFormat="false" ht="15" hidden="false" customHeight="false" outlineLevel="0" collapsed="false">
      <c r="A1361" s="0" t="s">
        <v>74</v>
      </c>
      <c r="B1361" s="0" t="s">
        <v>790</v>
      </c>
      <c r="C1361" s="0" t="n">
        <v>30</v>
      </c>
      <c r="D1361" s="0" t="n">
        <v>0</v>
      </c>
      <c r="E1361" s="0" t="n">
        <v>0</v>
      </c>
      <c r="F1361" s="0" t="n">
        <v>30</v>
      </c>
      <c r="G1361" s="0" t="n">
        <v>150</v>
      </c>
      <c r="H1361" s="0" t="s">
        <v>230</v>
      </c>
      <c r="I1361" s="0" t="n">
        <v>150</v>
      </c>
      <c r="J1361" s="0" t="n">
        <f aca="false">F1361*E1361</f>
        <v>0</v>
      </c>
      <c r="K1361" s="0" t="str">
        <f aca="false">IF(G1361&lt;1000,"1-Low",IF(G1361&lt;5000,"2-Medium","3-Bulk"))</f>
        <v>1-Low</v>
      </c>
      <c r="L1361" s="0" t="str">
        <f aca="false">IF(H1361="TRUE","Out of stock","In stock")</f>
        <v>Out of stock</v>
      </c>
      <c r="M1361" s="0" t="str">
        <f aca="false">IF(D1361&lt;5,"1) Under 5%",IF(D1361&lt;10,"2) 5-9%",IF(D1361&lt;15,"3) 10-14%",IF(D1361&lt;25,"4) 15-24%","5) 25%+"))))</f>
        <v>1) Under 5%</v>
      </c>
      <c r="N1361" s="0" t="str">
        <f aca="false">IF(F1361&lt;50,"1) Under Rs 50",IF(F1361&lt;100,"2) Rs 50-99",IF(F1361&lt;200,"3) Rs 100-199",IF(F1361&lt;500,"4) Rs 200-499","5) Rs 500+"))))</f>
        <v>1) Under Rs 50</v>
      </c>
      <c r="O1361" s="0" t="n">
        <f aca="false">G1361*E1361/1000</f>
        <v>0</v>
      </c>
    </row>
    <row r="1362" customFormat="false" ht="15" hidden="false" customHeight="false" outlineLevel="0" collapsed="false">
      <c r="A1362" s="0" t="s">
        <v>74</v>
      </c>
      <c r="B1362" s="0" t="s">
        <v>791</v>
      </c>
      <c r="C1362" s="0" t="n">
        <v>78</v>
      </c>
      <c r="D1362" s="0" t="n">
        <v>3</v>
      </c>
      <c r="E1362" s="0" t="n">
        <v>0</v>
      </c>
      <c r="F1362" s="0" t="n">
        <v>75</v>
      </c>
      <c r="G1362" s="0" t="n">
        <v>400</v>
      </c>
      <c r="H1362" s="0" t="s">
        <v>230</v>
      </c>
      <c r="I1362" s="0" t="n">
        <v>400</v>
      </c>
      <c r="J1362" s="0" t="n">
        <f aca="false">F1362*E1362</f>
        <v>0</v>
      </c>
      <c r="K1362" s="0" t="str">
        <f aca="false">IF(G1362&lt;1000,"1-Low",IF(G1362&lt;5000,"2-Medium","3-Bulk"))</f>
        <v>1-Low</v>
      </c>
      <c r="L1362" s="0" t="str">
        <f aca="false">IF(H1362="TRUE","Out of stock","In stock")</f>
        <v>Out of stock</v>
      </c>
      <c r="M1362" s="0" t="str">
        <f aca="false">IF(D1362&lt;5,"1) Under 5%",IF(D1362&lt;10,"2) 5-9%",IF(D1362&lt;15,"3) 10-14%",IF(D1362&lt;25,"4) 15-24%","5) 25%+"))))</f>
        <v>1) Under 5%</v>
      </c>
      <c r="N1362" s="0" t="str">
        <f aca="false">IF(F1362&lt;50,"1) Under Rs 50",IF(F1362&lt;100,"2) Rs 50-99",IF(F1362&lt;200,"3) Rs 100-199",IF(F1362&lt;500,"4) Rs 200-499","5) Rs 500+"))))</f>
        <v>2) Rs 50-99</v>
      </c>
      <c r="O1362" s="0" t="n">
        <f aca="false">G1362*E1362/1000</f>
        <v>0</v>
      </c>
    </row>
    <row r="1363" customFormat="false" ht="15" hidden="false" customHeight="false" outlineLevel="0" collapsed="false">
      <c r="A1363" s="0" t="s">
        <v>74</v>
      </c>
      <c r="B1363" s="0" t="s">
        <v>792</v>
      </c>
      <c r="C1363" s="0" t="n">
        <v>35</v>
      </c>
      <c r="D1363" s="0" t="n">
        <v>0</v>
      </c>
      <c r="E1363" s="0" t="n">
        <v>0</v>
      </c>
      <c r="F1363" s="0" t="n">
        <v>35</v>
      </c>
      <c r="G1363" s="0" t="n">
        <v>300</v>
      </c>
      <c r="H1363" s="0" t="s">
        <v>230</v>
      </c>
      <c r="I1363" s="0" t="n">
        <v>300</v>
      </c>
      <c r="J1363" s="0" t="n">
        <f aca="false">F1363*E1363</f>
        <v>0</v>
      </c>
      <c r="K1363" s="0" t="str">
        <f aca="false">IF(G1363&lt;1000,"1-Low",IF(G1363&lt;5000,"2-Medium","3-Bulk"))</f>
        <v>1-Low</v>
      </c>
      <c r="L1363" s="0" t="str">
        <f aca="false">IF(H1363="TRUE","Out of stock","In stock")</f>
        <v>Out of stock</v>
      </c>
      <c r="M1363" s="0" t="str">
        <f aca="false">IF(D1363&lt;5,"1) Under 5%",IF(D1363&lt;10,"2) 5-9%",IF(D1363&lt;15,"3) 10-14%",IF(D1363&lt;25,"4) 15-24%","5) 25%+"))))</f>
        <v>1) Under 5%</v>
      </c>
      <c r="N1363" s="0" t="str">
        <f aca="false">IF(F1363&lt;50,"1) Under Rs 50",IF(F1363&lt;100,"2) Rs 50-99",IF(F1363&lt;200,"3) Rs 100-199",IF(F1363&lt;500,"4) Rs 200-499","5) Rs 500+"))))</f>
        <v>1) Under Rs 50</v>
      </c>
      <c r="O1363" s="0" t="n">
        <f aca="false">G1363*E1363/1000</f>
        <v>0</v>
      </c>
    </row>
    <row r="1364" customFormat="false" ht="15" hidden="false" customHeight="false" outlineLevel="0" collapsed="false">
      <c r="A1364" s="0" t="s">
        <v>74</v>
      </c>
      <c r="B1364" s="0" t="s">
        <v>793</v>
      </c>
      <c r="C1364" s="0" t="n">
        <v>40</v>
      </c>
      <c r="D1364" s="0" t="n">
        <v>0</v>
      </c>
      <c r="E1364" s="0" t="n">
        <v>0</v>
      </c>
      <c r="F1364" s="0" t="n">
        <v>40</v>
      </c>
      <c r="G1364" s="0" t="n">
        <v>200</v>
      </c>
      <c r="H1364" s="0" t="s">
        <v>230</v>
      </c>
      <c r="I1364" s="0" t="n">
        <v>200</v>
      </c>
      <c r="J1364" s="0" t="n">
        <f aca="false">F1364*E1364</f>
        <v>0</v>
      </c>
      <c r="K1364" s="0" t="str">
        <f aca="false">IF(G1364&lt;1000,"1-Low",IF(G1364&lt;5000,"2-Medium","3-Bulk"))</f>
        <v>1-Low</v>
      </c>
      <c r="L1364" s="0" t="str">
        <f aca="false">IF(H1364="TRUE","Out of stock","In stock")</f>
        <v>Out of stock</v>
      </c>
      <c r="M1364" s="0" t="str">
        <f aca="false">IF(D1364&lt;5,"1) Under 5%",IF(D1364&lt;10,"2) 5-9%",IF(D1364&lt;15,"3) 10-14%",IF(D1364&lt;25,"4) 15-24%","5) 25%+"))))</f>
        <v>1) Under 5%</v>
      </c>
      <c r="N1364" s="0" t="str">
        <f aca="false">IF(F1364&lt;50,"1) Under Rs 50",IF(F1364&lt;100,"2) Rs 50-99",IF(F1364&lt;200,"3) Rs 100-199",IF(F1364&lt;500,"4) Rs 200-499","5) Rs 500+"))))</f>
        <v>1) Under Rs 50</v>
      </c>
      <c r="O1364" s="0" t="n">
        <f aca="false">G1364*E1364/1000</f>
        <v>0</v>
      </c>
    </row>
    <row r="1365" customFormat="false" ht="15" hidden="false" customHeight="false" outlineLevel="0" collapsed="false">
      <c r="A1365" s="0" t="s">
        <v>74</v>
      </c>
      <c r="B1365" s="0" t="s">
        <v>794</v>
      </c>
      <c r="C1365" s="0" t="n">
        <v>85</v>
      </c>
      <c r="D1365" s="0" t="n">
        <v>0</v>
      </c>
      <c r="E1365" s="0" t="n">
        <v>0</v>
      </c>
      <c r="F1365" s="0" t="n">
        <v>85</v>
      </c>
      <c r="G1365" s="0" t="n">
        <v>200</v>
      </c>
      <c r="H1365" s="0" t="s">
        <v>230</v>
      </c>
      <c r="I1365" s="0" t="n">
        <v>200</v>
      </c>
      <c r="J1365" s="0" t="n">
        <f aca="false">F1365*E1365</f>
        <v>0</v>
      </c>
      <c r="K1365" s="0" t="str">
        <f aca="false">IF(G1365&lt;1000,"1-Low",IF(G1365&lt;5000,"2-Medium","3-Bulk"))</f>
        <v>1-Low</v>
      </c>
      <c r="L1365" s="0" t="str">
        <f aca="false">IF(H1365="TRUE","Out of stock","In stock")</f>
        <v>Out of stock</v>
      </c>
      <c r="M1365" s="0" t="str">
        <f aca="false">IF(D1365&lt;5,"1) Under 5%",IF(D1365&lt;10,"2) 5-9%",IF(D1365&lt;15,"3) 10-14%",IF(D1365&lt;25,"4) 15-24%","5) 25%+"))))</f>
        <v>1) Under 5%</v>
      </c>
      <c r="N1365" s="0" t="str">
        <f aca="false">IF(F1365&lt;50,"1) Under Rs 50",IF(F1365&lt;100,"2) Rs 50-99",IF(F1365&lt;200,"3) Rs 100-199",IF(F1365&lt;500,"4) Rs 200-499","5) Rs 500+"))))</f>
        <v>2) Rs 50-99</v>
      </c>
      <c r="O1365" s="0" t="n">
        <f aca="false">G1365*E1365/1000</f>
        <v>0</v>
      </c>
    </row>
    <row r="1366" customFormat="false" ht="15" hidden="false" customHeight="false" outlineLevel="0" collapsed="false">
      <c r="A1366" s="0" t="s">
        <v>74</v>
      </c>
      <c r="B1366" s="0" t="s">
        <v>795</v>
      </c>
      <c r="C1366" s="0" t="n">
        <v>30</v>
      </c>
      <c r="D1366" s="0" t="n">
        <v>0</v>
      </c>
      <c r="E1366" s="0" t="n">
        <v>0</v>
      </c>
      <c r="F1366" s="0" t="n">
        <v>30</v>
      </c>
      <c r="G1366" s="0" t="n">
        <v>250</v>
      </c>
      <c r="H1366" s="0" t="s">
        <v>230</v>
      </c>
      <c r="I1366" s="0" t="n">
        <v>250</v>
      </c>
      <c r="J1366" s="0" t="n">
        <f aca="false">F1366*E1366</f>
        <v>0</v>
      </c>
      <c r="K1366" s="0" t="str">
        <f aca="false">IF(G1366&lt;1000,"1-Low",IF(G1366&lt;5000,"2-Medium","3-Bulk"))</f>
        <v>1-Low</v>
      </c>
      <c r="L1366" s="0" t="str">
        <f aca="false">IF(H1366="TRUE","Out of stock","In stock")</f>
        <v>Out of stock</v>
      </c>
      <c r="M1366" s="0" t="str">
        <f aca="false">IF(D1366&lt;5,"1) Under 5%",IF(D1366&lt;10,"2) 5-9%",IF(D1366&lt;15,"3) 10-14%",IF(D1366&lt;25,"4) 15-24%","5) 25%+"))))</f>
        <v>1) Under 5%</v>
      </c>
      <c r="N1366" s="0" t="str">
        <f aca="false">IF(F1366&lt;50,"1) Under Rs 50",IF(F1366&lt;100,"2) Rs 50-99",IF(F1366&lt;200,"3) Rs 100-199",IF(F1366&lt;500,"4) Rs 200-499","5) Rs 500+"))))</f>
        <v>1) Under Rs 50</v>
      </c>
      <c r="O1366" s="0" t="n">
        <f aca="false">G1366*E1366/1000</f>
        <v>0</v>
      </c>
    </row>
    <row r="1367" customFormat="false" ht="15" hidden="false" customHeight="false" outlineLevel="0" collapsed="false">
      <c r="A1367" s="0" t="s">
        <v>74</v>
      </c>
      <c r="B1367" s="0" t="s">
        <v>796</v>
      </c>
      <c r="C1367" s="0" t="n">
        <v>62</v>
      </c>
      <c r="D1367" s="0" t="n">
        <v>0</v>
      </c>
      <c r="E1367" s="0" t="n">
        <v>0</v>
      </c>
      <c r="F1367" s="0" t="n">
        <v>62</v>
      </c>
      <c r="G1367" s="0" t="n">
        <v>696</v>
      </c>
      <c r="H1367" s="0" t="s">
        <v>230</v>
      </c>
      <c r="I1367" s="0" t="n">
        <v>12</v>
      </c>
      <c r="J1367" s="0" t="n">
        <f aca="false">F1367*E1367</f>
        <v>0</v>
      </c>
      <c r="K1367" s="0" t="str">
        <f aca="false">IF(G1367&lt;1000,"1-Low",IF(G1367&lt;5000,"2-Medium","3-Bulk"))</f>
        <v>1-Low</v>
      </c>
      <c r="L1367" s="0" t="str">
        <f aca="false">IF(H1367="TRUE","Out of stock","In stock")</f>
        <v>Out of stock</v>
      </c>
      <c r="M1367" s="0" t="str">
        <f aca="false">IF(D1367&lt;5,"1) Under 5%",IF(D1367&lt;10,"2) 5-9%",IF(D1367&lt;15,"3) 10-14%",IF(D1367&lt;25,"4) 15-24%","5) 25%+"))))</f>
        <v>1) Under 5%</v>
      </c>
      <c r="N1367" s="0" t="str">
        <f aca="false">IF(F1367&lt;50,"1) Under Rs 50",IF(F1367&lt;100,"2) Rs 50-99",IF(F1367&lt;200,"3) Rs 100-199",IF(F1367&lt;500,"4) Rs 200-499","5) Rs 500+"))))</f>
        <v>2) Rs 50-99</v>
      </c>
      <c r="O1367" s="0" t="n">
        <f aca="false">G1367*E1367/1000</f>
        <v>0</v>
      </c>
    </row>
    <row r="1368" customFormat="false" ht="15" hidden="false" customHeight="false" outlineLevel="0" collapsed="false">
      <c r="A1368" s="0" t="s">
        <v>74</v>
      </c>
      <c r="B1368" s="0" t="s">
        <v>797</v>
      </c>
      <c r="C1368" s="0" t="n">
        <v>65</v>
      </c>
      <c r="D1368" s="0" t="n">
        <v>0</v>
      </c>
      <c r="E1368" s="0" t="n">
        <v>0</v>
      </c>
      <c r="F1368" s="0" t="n">
        <v>65</v>
      </c>
      <c r="G1368" s="0" t="n">
        <v>400</v>
      </c>
      <c r="H1368" s="0" t="s">
        <v>230</v>
      </c>
      <c r="I1368" s="0" t="n">
        <v>400</v>
      </c>
      <c r="J1368" s="0" t="n">
        <f aca="false">F1368*E1368</f>
        <v>0</v>
      </c>
      <c r="K1368" s="0" t="str">
        <f aca="false">IF(G1368&lt;1000,"1-Low",IF(G1368&lt;5000,"2-Medium","3-Bulk"))</f>
        <v>1-Low</v>
      </c>
      <c r="L1368" s="0" t="str">
        <f aca="false">IF(H1368="TRUE","Out of stock","In stock")</f>
        <v>Out of stock</v>
      </c>
      <c r="M1368" s="0" t="str">
        <f aca="false">IF(D1368&lt;5,"1) Under 5%",IF(D1368&lt;10,"2) 5-9%",IF(D1368&lt;15,"3) 10-14%",IF(D1368&lt;25,"4) 15-24%","5) 25%+"))))</f>
        <v>1) Under 5%</v>
      </c>
      <c r="N1368" s="0" t="str">
        <f aca="false">IF(F1368&lt;50,"1) Under Rs 50",IF(F1368&lt;100,"2) Rs 50-99",IF(F1368&lt;200,"3) Rs 100-199",IF(F1368&lt;500,"4) Rs 200-499","5) Rs 500+"))))</f>
        <v>2) Rs 50-99</v>
      </c>
      <c r="O1368" s="0" t="n">
        <f aca="false">G1368*E1368/1000</f>
        <v>0</v>
      </c>
    </row>
    <row r="1369" customFormat="false" ht="15" hidden="false" customHeight="false" outlineLevel="0" collapsed="false">
      <c r="A1369" s="0" t="s">
        <v>74</v>
      </c>
      <c r="B1369" s="0" t="s">
        <v>798</v>
      </c>
      <c r="C1369" s="0" t="n">
        <v>89</v>
      </c>
      <c r="D1369" s="0" t="n">
        <v>0</v>
      </c>
      <c r="E1369" s="0" t="n">
        <v>0</v>
      </c>
      <c r="F1369" s="0" t="n">
        <v>89</v>
      </c>
      <c r="G1369" s="0" t="n">
        <v>1000</v>
      </c>
      <c r="H1369" s="0" t="s">
        <v>230</v>
      </c>
      <c r="I1369" s="0" t="n">
        <v>1</v>
      </c>
      <c r="J1369" s="0" t="n">
        <f aca="false">F1369*E1369</f>
        <v>0</v>
      </c>
      <c r="K1369" s="0" t="str">
        <f aca="false">IF(G1369&lt;1000,"1-Low",IF(G1369&lt;5000,"2-Medium","3-Bulk"))</f>
        <v>2-Medium</v>
      </c>
      <c r="L1369" s="0" t="str">
        <f aca="false">IF(H1369="TRUE","Out of stock","In stock")</f>
        <v>Out of stock</v>
      </c>
      <c r="M1369" s="0" t="str">
        <f aca="false">IF(D1369&lt;5,"1) Under 5%",IF(D1369&lt;10,"2) 5-9%",IF(D1369&lt;15,"3) 10-14%",IF(D1369&lt;25,"4) 15-24%","5) 25%+"))))</f>
        <v>1) Under 5%</v>
      </c>
      <c r="N1369" s="0" t="str">
        <f aca="false">IF(F1369&lt;50,"1) Under Rs 50",IF(F1369&lt;100,"2) Rs 50-99",IF(F1369&lt;200,"3) Rs 100-199",IF(F1369&lt;500,"4) Rs 200-499","5) Rs 500+"))))</f>
        <v>2) Rs 50-99</v>
      </c>
      <c r="O1369" s="0" t="n">
        <f aca="false">G1369*E1369/1000</f>
        <v>0</v>
      </c>
    </row>
    <row r="1370" customFormat="false" ht="15" hidden="false" customHeight="false" outlineLevel="0" collapsed="false">
      <c r="A1370" s="0" t="s">
        <v>74</v>
      </c>
      <c r="B1370" s="0" t="s">
        <v>799</v>
      </c>
      <c r="C1370" s="0" t="n">
        <v>125</v>
      </c>
      <c r="D1370" s="0" t="n">
        <v>5</v>
      </c>
      <c r="E1370" s="0" t="n">
        <v>0</v>
      </c>
      <c r="F1370" s="0" t="n">
        <v>118</v>
      </c>
      <c r="G1370" s="0" t="n">
        <v>200</v>
      </c>
      <c r="H1370" s="0" t="s">
        <v>230</v>
      </c>
      <c r="I1370" s="0" t="n">
        <v>200</v>
      </c>
      <c r="J1370" s="0" t="n">
        <f aca="false">F1370*E1370</f>
        <v>0</v>
      </c>
      <c r="K1370" s="0" t="str">
        <f aca="false">IF(G1370&lt;1000,"1-Low",IF(G1370&lt;5000,"2-Medium","3-Bulk"))</f>
        <v>1-Low</v>
      </c>
      <c r="L1370" s="0" t="str">
        <f aca="false">IF(H1370="TRUE","Out of stock","In stock")</f>
        <v>Out of stock</v>
      </c>
      <c r="M1370" s="0" t="str">
        <f aca="false">IF(D1370&lt;5,"1) Under 5%",IF(D1370&lt;10,"2) 5-9%",IF(D1370&lt;15,"3) 10-14%",IF(D1370&lt;25,"4) 15-24%","5) 25%+"))))</f>
        <v>2) 5-9%</v>
      </c>
      <c r="N1370" s="0" t="str">
        <f aca="false">IF(F1370&lt;50,"1) Under Rs 50",IF(F1370&lt;100,"2) Rs 50-99",IF(F1370&lt;200,"3) Rs 100-199",IF(F1370&lt;500,"4) Rs 200-499","5) Rs 500+"))))</f>
        <v>3) Rs 100-199</v>
      </c>
      <c r="O1370" s="0" t="n">
        <f aca="false">G1370*E1370/1000</f>
        <v>0</v>
      </c>
    </row>
    <row r="1371" customFormat="false" ht="15" hidden="false" customHeight="false" outlineLevel="0" collapsed="false">
      <c r="A1371" s="0" t="s">
        <v>74</v>
      </c>
      <c r="B1371" s="0" t="s">
        <v>800</v>
      </c>
      <c r="C1371" s="0" t="n">
        <v>185</v>
      </c>
      <c r="D1371" s="0" t="n">
        <v>20</v>
      </c>
      <c r="E1371" s="0" t="n">
        <v>0</v>
      </c>
      <c r="F1371" s="0" t="n">
        <v>148</v>
      </c>
      <c r="G1371" s="0" t="n">
        <v>325</v>
      </c>
      <c r="H1371" s="0" t="s">
        <v>230</v>
      </c>
      <c r="I1371" s="0" t="n">
        <v>325</v>
      </c>
      <c r="J1371" s="0" t="n">
        <f aca="false">F1371*E1371</f>
        <v>0</v>
      </c>
      <c r="K1371" s="0" t="str">
        <f aca="false">IF(G1371&lt;1000,"1-Low",IF(G1371&lt;5000,"2-Medium","3-Bulk"))</f>
        <v>1-Low</v>
      </c>
      <c r="L1371" s="0" t="str">
        <f aca="false">IF(H1371="TRUE","Out of stock","In stock")</f>
        <v>Out of stock</v>
      </c>
      <c r="M1371" s="0" t="str">
        <f aca="false">IF(D1371&lt;5,"1) Under 5%",IF(D1371&lt;10,"2) 5-9%",IF(D1371&lt;15,"3) 10-14%",IF(D1371&lt;25,"4) 15-24%","5) 25%+"))))</f>
        <v>4) 15-24%</v>
      </c>
      <c r="N1371" s="0" t="str">
        <f aca="false">IF(F1371&lt;50,"1) Under Rs 50",IF(F1371&lt;100,"2) Rs 50-99",IF(F1371&lt;200,"3) Rs 100-199",IF(F1371&lt;500,"4) Rs 200-499","5) Rs 500+"))))</f>
        <v>3) Rs 100-199</v>
      </c>
      <c r="O1371" s="0" t="n">
        <f aca="false">G1371*E1371/1000</f>
        <v>0</v>
      </c>
    </row>
    <row r="1372" customFormat="false" ht="15" hidden="false" customHeight="false" outlineLevel="0" collapsed="false">
      <c r="A1372" s="0" t="s">
        <v>74</v>
      </c>
      <c r="B1372" s="0" t="s">
        <v>801</v>
      </c>
      <c r="C1372" s="0" t="n">
        <v>85</v>
      </c>
      <c r="D1372" s="0" t="n">
        <v>3</v>
      </c>
      <c r="E1372" s="0" t="n">
        <v>0</v>
      </c>
      <c r="F1372" s="0" t="n">
        <v>82</v>
      </c>
      <c r="G1372" s="0" t="n">
        <v>200</v>
      </c>
      <c r="H1372" s="0" t="s">
        <v>230</v>
      </c>
      <c r="I1372" s="0" t="n">
        <v>200</v>
      </c>
      <c r="J1372" s="0" t="n">
        <f aca="false">F1372*E1372</f>
        <v>0</v>
      </c>
      <c r="K1372" s="0" t="str">
        <f aca="false">IF(G1372&lt;1000,"1-Low",IF(G1372&lt;5000,"2-Medium","3-Bulk"))</f>
        <v>1-Low</v>
      </c>
      <c r="L1372" s="0" t="str">
        <f aca="false">IF(H1372="TRUE","Out of stock","In stock")</f>
        <v>Out of stock</v>
      </c>
      <c r="M1372" s="0" t="str">
        <f aca="false">IF(D1372&lt;5,"1) Under 5%",IF(D1372&lt;10,"2) 5-9%",IF(D1372&lt;15,"3) 10-14%",IF(D1372&lt;25,"4) 15-24%","5) 25%+"))))</f>
        <v>1) Under 5%</v>
      </c>
      <c r="N1372" s="0" t="str">
        <f aca="false">IF(F1372&lt;50,"1) Under Rs 50",IF(F1372&lt;100,"2) Rs 50-99",IF(F1372&lt;200,"3) Rs 100-199",IF(F1372&lt;500,"4) Rs 200-499","5) Rs 500+"))))</f>
        <v>2) Rs 50-99</v>
      </c>
      <c r="O1372" s="0" t="n">
        <f aca="false">G1372*E1372/1000</f>
        <v>0</v>
      </c>
    </row>
    <row r="1373" customFormat="false" ht="15" hidden="false" customHeight="false" outlineLevel="0" collapsed="false">
      <c r="A1373" s="0" t="s">
        <v>74</v>
      </c>
      <c r="B1373" s="0" t="s">
        <v>802</v>
      </c>
      <c r="C1373" s="0" t="n">
        <v>20</v>
      </c>
      <c r="D1373" s="0" t="n">
        <v>0</v>
      </c>
      <c r="E1373" s="0" t="n">
        <v>0</v>
      </c>
      <c r="F1373" s="0" t="n">
        <v>20</v>
      </c>
      <c r="G1373" s="0" t="n">
        <v>100</v>
      </c>
      <c r="H1373" s="0" t="s">
        <v>230</v>
      </c>
      <c r="I1373" s="0" t="n">
        <v>100</v>
      </c>
      <c r="J1373" s="0" t="n">
        <f aca="false">F1373*E1373</f>
        <v>0</v>
      </c>
      <c r="K1373" s="0" t="str">
        <f aca="false">IF(G1373&lt;1000,"1-Low",IF(G1373&lt;5000,"2-Medium","3-Bulk"))</f>
        <v>1-Low</v>
      </c>
      <c r="L1373" s="0" t="str">
        <f aca="false">IF(H1373="TRUE","Out of stock","In stock")</f>
        <v>Out of stock</v>
      </c>
      <c r="M1373" s="0" t="str">
        <f aca="false">IF(D1373&lt;5,"1) Under 5%",IF(D1373&lt;10,"2) 5-9%",IF(D1373&lt;15,"3) 10-14%",IF(D1373&lt;25,"4) 15-24%","5) 25%+"))))</f>
        <v>1) Under 5%</v>
      </c>
      <c r="N1373" s="0" t="str">
        <f aca="false">IF(F1373&lt;50,"1) Under Rs 50",IF(F1373&lt;100,"2) Rs 50-99",IF(F1373&lt;200,"3) Rs 100-199",IF(F1373&lt;500,"4) Rs 200-499","5) Rs 500+"))))</f>
        <v>1) Under Rs 50</v>
      </c>
      <c r="O1373" s="0" t="n">
        <f aca="false">G1373*E1373/1000</f>
        <v>0</v>
      </c>
    </row>
    <row r="1374" customFormat="false" ht="15" hidden="false" customHeight="false" outlineLevel="0" collapsed="false">
      <c r="A1374" s="0" t="s">
        <v>74</v>
      </c>
      <c r="B1374" s="0" t="s">
        <v>803</v>
      </c>
      <c r="C1374" s="0" t="n">
        <v>100</v>
      </c>
      <c r="D1374" s="0" t="n">
        <v>5</v>
      </c>
      <c r="E1374" s="0" t="n">
        <v>0</v>
      </c>
      <c r="F1374" s="0" t="n">
        <v>95</v>
      </c>
      <c r="G1374" s="0" t="n">
        <v>140</v>
      </c>
      <c r="H1374" s="0" t="s">
        <v>230</v>
      </c>
      <c r="I1374" s="0" t="n">
        <v>140</v>
      </c>
      <c r="J1374" s="0" t="n">
        <f aca="false">F1374*E1374</f>
        <v>0</v>
      </c>
      <c r="K1374" s="0" t="str">
        <f aca="false">IF(G1374&lt;1000,"1-Low",IF(G1374&lt;5000,"2-Medium","3-Bulk"))</f>
        <v>1-Low</v>
      </c>
      <c r="L1374" s="0" t="str">
        <f aca="false">IF(H1374="TRUE","Out of stock","In stock")</f>
        <v>Out of stock</v>
      </c>
      <c r="M1374" s="0" t="str">
        <f aca="false">IF(D1374&lt;5,"1) Under 5%",IF(D1374&lt;10,"2) 5-9%",IF(D1374&lt;15,"3) 10-14%",IF(D1374&lt;25,"4) 15-24%","5) 25%+"))))</f>
        <v>2) 5-9%</v>
      </c>
      <c r="N1374" s="0" t="str">
        <f aca="false">IF(F1374&lt;50,"1) Under Rs 50",IF(F1374&lt;100,"2) Rs 50-99",IF(F1374&lt;200,"3) Rs 100-199",IF(F1374&lt;500,"4) Rs 200-499","5) Rs 500+"))))</f>
        <v>2) Rs 50-99</v>
      </c>
      <c r="O1374" s="0" t="n">
        <f aca="false">G1374*E1374/1000</f>
        <v>0</v>
      </c>
    </row>
    <row r="1375" customFormat="false" ht="15" hidden="false" customHeight="false" outlineLevel="0" collapsed="false">
      <c r="A1375" s="0" t="s">
        <v>74</v>
      </c>
      <c r="B1375" s="0" t="s">
        <v>713</v>
      </c>
      <c r="C1375" s="0" t="n">
        <v>30</v>
      </c>
      <c r="D1375" s="0" t="n">
        <v>0</v>
      </c>
      <c r="E1375" s="0" t="n">
        <v>0</v>
      </c>
      <c r="F1375" s="0" t="n">
        <v>30</v>
      </c>
      <c r="G1375" s="0" t="n">
        <v>200</v>
      </c>
      <c r="H1375" s="0" t="s">
        <v>230</v>
      </c>
      <c r="I1375" s="0" t="n">
        <v>200</v>
      </c>
      <c r="J1375" s="0" t="n">
        <f aca="false">F1375*E1375</f>
        <v>0</v>
      </c>
      <c r="K1375" s="0" t="str">
        <f aca="false">IF(G1375&lt;1000,"1-Low",IF(G1375&lt;5000,"2-Medium","3-Bulk"))</f>
        <v>1-Low</v>
      </c>
      <c r="L1375" s="0" t="str">
        <f aca="false">IF(H1375="TRUE","Out of stock","In stock")</f>
        <v>Out of stock</v>
      </c>
      <c r="M1375" s="0" t="str">
        <f aca="false">IF(D1375&lt;5,"1) Under 5%",IF(D1375&lt;10,"2) 5-9%",IF(D1375&lt;15,"3) 10-14%",IF(D1375&lt;25,"4) 15-24%","5) 25%+"))))</f>
        <v>1) Under 5%</v>
      </c>
      <c r="N1375" s="0" t="str">
        <f aca="false">IF(F1375&lt;50,"1) Under Rs 50",IF(F1375&lt;100,"2) Rs 50-99",IF(F1375&lt;200,"3) Rs 100-199",IF(F1375&lt;500,"4) Rs 200-499","5) Rs 500+"))))</f>
        <v>1) Under Rs 50</v>
      </c>
      <c r="O1375" s="0" t="n">
        <f aca="false">G1375*E1375/1000</f>
        <v>0</v>
      </c>
    </row>
    <row r="1376" customFormat="false" ht="15" hidden="false" customHeight="false" outlineLevel="0" collapsed="false">
      <c r="A1376" s="0" t="s">
        <v>74</v>
      </c>
      <c r="B1376" s="0" t="s">
        <v>804</v>
      </c>
      <c r="C1376" s="0" t="n">
        <v>75</v>
      </c>
      <c r="D1376" s="0" t="n">
        <v>17</v>
      </c>
      <c r="E1376" s="0" t="n">
        <v>0</v>
      </c>
      <c r="F1376" s="0" t="n">
        <v>62</v>
      </c>
      <c r="G1376" s="0" t="n">
        <v>348</v>
      </c>
      <c r="H1376" s="0" t="s">
        <v>230</v>
      </c>
      <c r="I1376" s="0" t="n">
        <v>6</v>
      </c>
      <c r="J1376" s="0" t="n">
        <f aca="false">F1376*E1376</f>
        <v>0</v>
      </c>
      <c r="K1376" s="0" t="str">
        <f aca="false">IF(G1376&lt;1000,"1-Low",IF(G1376&lt;5000,"2-Medium","3-Bulk"))</f>
        <v>1-Low</v>
      </c>
      <c r="L1376" s="0" t="str">
        <f aca="false">IF(H1376="TRUE","Out of stock","In stock")</f>
        <v>Out of stock</v>
      </c>
      <c r="M1376" s="0" t="str">
        <f aca="false">IF(D1376&lt;5,"1) Under 5%",IF(D1376&lt;10,"2) 5-9%",IF(D1376&lt;15,"3) 10-14%",IF(D1376&lt;25,"4) 15-24%","5) 25%+"))))</f>
        <v>4) 15-24%</v>
      </c>
      <c r="N1376" s="0" t="str">
        <f aca="false">IF(F1376&lt;50,"1) Under Rs 50",IF(F1376&lt;100,"2) Rs 50-99",IF(F1376&lt;200,"3) Rs 100-199",IF(F1376&lt;500,"4) Rs 200-499","5) Rs 500+"))))</f>
        <v>2) Rs 50-99</v>
      </c>
      <c r="O1376" s="0" t="n">
        <f aca="false">G1376*E1376/1000</f>
        <v>0</v>
      </c>
    </row>
    <row r="1377" customFormat="false" ht="15" hidden="false" customHeight="false" outlineLevel="0" collapsed="false">
      <c r="A1377" s="0" t="s">
        <v>74</v>
      </c>
      <c r="B1377" s="0" t="s">
        <v>805</v>
      </c>
      <c r="C1377" s="0" t="n">
        <v>99</v>
      </c>
      <c r="D1377" s="0" t="n">
        <v>11</v>
      </c>
      <c r="E1377" s="0" t="n">
        <v>0</v>
      </c>
      <c r="F1377" s="0" t="n">
        <v>88</v>
      </c>
      <c r="G1377" s="0" t="n">
        <v>162</v>
      </c>
      <c r="H1377" s="0" t="s">
        <v>230</v>
      </c>
      <c r="I1377" s="0" t="n">
        <v>162</v>
      </c>
      <c r="J1377" s="0" t="n">
        <f aca="false">F1377*E1377</f>
        <v>0</v>
      </c>
      <c r="K1377" s="0" t="str">
        <f aca="false">IF(G1377&lt;1000,"1-Low",IF(G1377&lt;5000,"2-Medium","3-Bulk"))</f>
        <v>1-Low</v>
      </c>
      <c r="L1377" s="0" t="str">
        <f aca="false">IF(H1377="TRUE","Out of stock","In stock")</f>
        <v>Out of stock</v>
      </c>
      <c r="M1377" s="0" t="str">
        <f aca="false">IF(D1377&lt;5,"1) Under 5%",IF(D1377&lt;10,"2) 5-9%",IF(D1377&lt;15,"3) 10-14%",IF(D1377&lt;25,"4) 15-24%","5) 25%+"))))</f>
        <v>3) 10-14%</v>
      </c>
      <c r="N1377" s="0" t="str">
        <f aca="false">IF(F1377&lt;50,"1) Under Rs 50",IF(F1377&lt;100,"2) Rs 50-99",IF(F1377&lt;200,"3) Rs 100-199",IF(F1377&lt;500,"4) Rs 200-499","5) Rs 500+"))))</f>
        <v>2) Rs 50-99</v>
      </c>
      <c r="O1377" s="0" t="n">
        <f aca="false">G1377*E1377/1000</f>
        <v>0</v>
      </c>
    </row>
    <row r="1378" customFormat="false" ht="15" hidden="false" customHeight="false" outlineLevel="0" collapsed="false">
      <c r="A1378" s="0" t="s">
        <v>74</v>
      </c>
      <c r="B1378" s="0" t="s">
        <v>806</v>
      </c>
      <c r="C1378" s="0" t="n">
        <v>80</v>
      </c>
      <c r="D1378" s="0" t="n">
        <v>0</v>
      </c>
      <c r="E1378" s="0" t="n">
        <v>0</v>
      </c>
      <c r="F1378" s="0" t="n">
        <v>80</v>
      </c>
      <c r="G1378" s="0" t="n">
        <v>200</v>
      </c>
      <c r="H1378" s="0" t="s">
        <v>230</v>
      </c>
      <c r="I1378" s="0" t="n">
        <v>200</v>
      </c>
      <c r="J1378" s="0" t="n">
        <f aca="false">F1378*E1378</f>
        <v>0</v>
      </c>
      <c r="K1378" s="0" t="str">
        <f aca="false">IF(G1378&lt;1000,"1-Low",IF(G1378&lt;5000,"2-Medium","3-Bulk"))</f>
        <v>1-Low</v>
      </c>
      <c r="L1378" s="0" t="str">
        <f aca="false">IF(H1378="TRUE","Out of stock","In stock")</f>
        <v>Out of stock</v>
      </c>
      <c r="M1378" s="0" t="str">
        <f aca="false">IF(D1378&lt;5,"1) Under 5%",IF(D1378&lt;10,"2) 5-9%",IF(D1378&lt;15,"3) 10-14%",IF(D1378&lt;25,"4) 15-24%","5) 25%+"))))</f>
        <v>1) Under 5%</v>
      </c>
      <c r="N1378" s="0" t="str">
        <f aca="false">IF(F1378&lt;50,"1) Under Rs 50",IF(F1378&lt;100,"2) Rs 50-99",IF(F1378&lt;200,"3) Rs 100-199",IF(F1378&lt;500,"4) Rs 200-499","5) Rs 500+"))))</f>
        <v>2) Rs 50-99</v>
      </c>
      <c r="O1378" s="0" t="n">
        <f aca="false">G1378*E1378/1000</f>
        <v>0</v>
      </c>
    </row>
    <row r="1379" customFormat="false" ht="15" hidden="false" customHeight="false" outlineLevel="0" collapsed="false">
      <c r="A1379" s="0" t="s">
        <v>74</v>
      </c>
      <c r="B1379" s="0" t="s">
        <v>807</v>
      </c>
      <c r="C1379" s="0" t="n">
        <v>72</v>
      </c>
      <c r="D1379" s="0" t="n">
        <v>16</v>
      </c>
      <c r="E1379" s="0" t="n">
        <v>0</v>
      </c>
      <c r="F1379" s="0" t="n">
        <v>60</v>
      </c>
      <c r="G1379" s="0" t="n">
        <v>348</v>
      </c>
      <c r="H1379" s="0" t="s">
        <v>230</v>
      </c>
      <c r="I1379" s="0" t="n">
        <v>6</v>
      </c>
      <c r="J1379" s="0" t="n">
        <f aca="false">F1379*E1379</f>
        <v>0</v>
      </c>
      <c r="K1379" s="0" t="str">
        <f aca="false">IF(G1379&lt;1000,"1-Low",IF(G1379&lt;5000,"2-Medium","3-Bulk"))</f>
        <v>1-Low</v>
      </c>
      <c r="L1379" s="0" t="str">
        <f aca="false">IF(H1379="TRUE","Out of stock","In stock")</f>
        <v>Out of stock</v>
      </c>
      <c r="M1379" s="0" t="str">
        <f aca="false">IF(D1379&lt;5,"1) Under 5%",IF(D1379&lt;10,"2) 5-9%",IF(D1379&lt;15,"3) 10-14%",IF(D1379&lt;25,"4) 15-24%","5) 25%+"))))</f>
        <v>4) 15-24%</v>
      </c>
      <c r="N1379" s="0" t="str">
        <f aca="false">IF(F1379&lt;50,"1) Under Rs 50",IF(F1379&lt;100,"2) Rs 50-99",IF(F1379&lt;200,"3) Rs 100-199",IF(F1379&lt;500,"4) Rs 200-499","5) Rs 500+"))))</f>
        <v>2) Rs 50-99</v>
      </c>
      <c r="O1379" s="0" t="n">
        <f aca="false">G1379*E1379/1000</f>
        <v>0</v>
      </c>
    </row>
    <row r="1380" customFormat="false" ht="15" hidden="false" customHeight="false" outlineLevel="0" collapsed="false">
      <c r="A1380" s="0" t="s">
        <v>74</v>
      </c>
      <c r="B1380" s="0" t="s">
        <v>808</v>
      </c>
      <c r="C1380" s="0" t="n">
        <v>295</v>
      </c>
      <c r="D1380" s="0" t="n">
        <v>50</v>
      </c>
      <c r="E1380" s="0" t="n">
        <v>0</v>
      </c>
      <c r="F1380" s="0" t="n">
        <v>147</v>
      </c>
      <c r="G1380" s="0" t="n">
        <v>200</v>
      </c>
      <c r="H1380" s="0" t="s">
        <v>230</v>
      </c>
      <c r="I1380" s="0" t="n">
        <v>200</v>
      </c>
      <c r="J1380" s="0" t="n">
        <f aca="false">F1380*E1380</f>
        <v>0</v>
      </c>
      <c r="K1380" s="0" t="str">
        <f aca="false">IF(G1380&lt;1000,"1-Low",IF(G1380&lt;5000,"2-Medium","3-Bulk"))</f>
        <v>1-Low</v>
      </c>
      <c r="L1380" s="0" t="str">
        <f aca="false">IF(H1380="TRUE","Out of stock","In stock")</f>
        <v>Out of stock</v>
      </c>
      <c r="M1380" s="0" t="str">
        <f aca="false">IF(D1380&lt;5,"1) Under 5%",IF(D1380&lt;10,"2) 5-9%",IF(D1380&lt;15,"3) 10-14%",IF(D1380&lt;25,"4) 15-24%","5) 25%+"))))</f>
        <v>5) 25%+</v>
      </c>
      <c r="N1380" s="0" t="str">
        <f aca="false">IF(F1380&lt;50,"1) Under Rs 50",IF(F1380&lt;100,"2) Rs 50-99",IF(F1380&lt;200,"3) Rs 100-199",IF(F1380&lt;500,"4) Rs 200-499","5) Rs 500+"))))</f>
        <v>3) Rs 100-199</v>
      </c>
      <c r="O1380" s="0" t="n">
        <f aca="false">G1380*E1380/1000</f>
        <v>0</v>
      </c>
    </row>
    <row r="1381" customFormat="false" ht="15" hidden="false" customHeight="false" outlineLevel="0" collapsed="false">
      <c r="A1381" s="0" t="s">
        <v>121</v>
      </c>
      <c r="B1381" s="0" t="s">
        <v>235</v>
      </c>
      <c r="C1381" s="0" t="n">
        <v>12</v>
      </c>
      <c r="D1381" s="0" t="n">
        <v>0</v>
      </c>
      <c r="E1381" s="0" t="n">
        <v>6</v>
      </c>
      <c r="F1381" s="0" t="n">
        <v>12</v>
      </c>
      <c r="G1381" s="0" t="n">
        <v>70</v>
      </c>
      <c r="H1381" s="0" t="s">
        <v>145</v>
      </c>
      <c r="I1381" s="0" t="n">
        <v>70</v>
      </c>
      <c r="J1381" s="0" t="n">
        <f aca="false">F1381*E1381</f>
        <v>72</v>
      </c>
      <c r="K1381" s="0" t="str">
        <f aca="false">IF(G1381&lt;1000,"1-Low",IF(G1381&lt;5000,"2-Medium","3-Bulk"))</f>
        <v>1-Low</v>
      </c>
      <c r="L1381" s="0" t="str">
        <f aca="false">IF(H1381="TRUE","Out of stock","In stock")</f>
        <v>In stock</v>
      </c>
      <c r="M1381" s="0" t="str">
        <f aca="false">IF(D1381&lt;5,"1) Under 5%",IF(D1381&lt;10,"2) 5-9%",IF(D1381&lt;15,"3) 10-14%",IF(D1381&lt;25,"4) 15-24%","5) 25%+"))))</f>
        <v>1) Under 5%</v>
      </c>
      <c r="N1381" s="0" t="str">
        <f aca="false">IF(F1381&lt;50,"1) Under Rs 50",IF(F1381&lt;100,"2) Rs 50-99",IF(F1381&lt;200,"3) Rs 100-199",IF(F1381&lt;500,"4) Rs 200-499","5) Rs 500+"))))</f>
        <v>1) Under Rs 50</v>
      </c>
      <c r="O1381" s="0" t="n">
        <f aca="false">G1381*E1381/1000</f>
        <v>0.42</v>
      </c>
    </row>
    <row r="1382" customFormat="false" ht="15" hidden="false" customHeight="false" outlineLevel="0" collapsed="false">
      <c r="A1382" s="0" t="s">
        <v>121</v>
      </c>
      <c r="B1382" s="0" t="s">
        <v>236</v>
      </c>
      <c r="C1382" s="0" t="n">
        <v>80</v>
      </c>
      <c r="D1382" s="0" t="n">
        <v>15</v>
      </c>
      <c r="E1382" s="0" t="n">
        <v>6</v>
      </c>
      <c r="F1382" s="0" t="n">
        <v>68</v>
      </c>
      <c r="G1382" s="0" t="n">
        <v>1000</v>
      </c>
      <c r="H1382" s="0" t="s">
        <v>145</v>
      </c>
      <c r="I1382" s="0" t="n">
        <v>1</v>
      </c>
      <c r="J1382" s="0" t="n">
        <f aca="false">F1382*E1382</f>
        <v>408</v>
      </c>
      <c r="K1382" s="0" t="str">
        <f aca="false">IF(G1382&lt;1000,"1-Low",IF(G1382&lt;5000,"2-Medium","3-Bulk"))</f>
        <v>2-Medium</v>
      </c>
      <c r="L1382" s="0" t="str">
        <f aca="false">IF(H1382="TRUE","Out of stock","In stock")</f>
        <v>In stock</v>
      </c>
      <c r="M1382" s="0" t="str">
        <f aca="false">IF(D1382&lt;5,"1) Under 5%",IF(D1382&lt;10,"2) 5-9%",IF(D1382&lt;15,"3) 10-14%",IF(D1382&lt;25,"4) 15-24%","5) 25%+"))))</f>
        <v>4) 15-24%</v>
      </c>
      <c r="N1382" s="0" t="str">
        <f aca="false">IF(F1382&lt;50,"1) Under Rs 50",IF(F1382&lt;100,"2) Rs 50-99",IF(F1382&lt;200,"3) Rs 100-199",IF(F1382&lt;500,"4) Rs 200-499","5) Rs 500+"))))</f>
        <v>2) Rs 50-99</v>
      </c>
      <c r="O1382" s="0" t="n">
        <f aca="false">G1382*E1382/1000</f>
        <v>6</v>
      </c>
    </row>
    <row r="1383" customFormat="false" ht="15" hidden="false" customHeight="false" outlineLevel="0" collapsed="false">
      <c r="A1383" s="0" t="s">
        <v>121</v>
      </c>
      <c r="B1383" s="0" t="s">
        <v>809</v>
      </c>
      <c r="C1383" s="0" t="n">
        <v>80</v>
      </c>
      <c r="D1383" s="0" t="n">
        <v>10</v>
      </c>
      <c r="E1383" s="0" t="n">
        <v>4</v>
      </c>
      <c r="F1383" s="0" t="n">
        <v>72</v>
      </c>
      <c r="G1383" s="0" t="n">
        <v>400</v>
      </c>
      <c r="H1383" s="0" t="s">
        <v>145</v>
      </c>
      <c r="I1383" s="0" t="n">
        <v>400</v>
      </c>
      <c r="J1383" s="0" t="n">
        <f aca="false">F1383*E1383</f>
        <v>288</v>
      </c>
      <c r="K1383" s="0" t="str">
        <f aca="false">IF(G1383&lt;1000,"1-Low",IF(G1383&lt;5000,"2-Medium","3-Bulk"))</f>
        <v>1-Low</v>
      </c>
      <c r="L1383" s="0" t="str">
        <f aca="false">IF(H1383="TRUE","Out of stock","In stock")</f>
        <v>In stock</v>
      </c>
      <c r="M1383" s="0" t="str">
        <f aca="false">IF(D1383&lt;5,"1) Under 5%",IF(D1383&lt;10,"2) 5-9%",IF(D1383&lt;15,"3) 10-14%",IF(D1383&lt;25,"4) 15-24%","5) 25%+"))))</f>
        <v>3) 10-14%</v>
      </c>
      <c r="N1383" s="0" t="str">
        <f aca="false">IF(F1383&lt;50,"1) Under Rs 50",IF(F1383&lt;100,"2) Rs 50-99",IF(F1383&lt;200,"3) Rs 100-199",IF(F1383&lt;500,"4) Rs 200-499","5) Rs 500+"))))</f>
        <v>2) Rs 50-99</v>
      </c>
      <c r="O1383" s="0" t="n">
        <f aca="false">G1383*E1383/1000</f>
        <v>1.6</v>
      </c>
    </row>
    <row r="1384" customFormat="false" ht="15" hidden="false" customHeight="false" outlineLevel="0" collapsed="false">
      <c r="A1384" s="0" t="s">
        <v>121</v>
      </c>
      <c r="B1384" s="0" t="s">
        <v>810</v>
      </c>
      <c r="C1384" s="0" t="n">
        <v>80</v>
      </c>
      <c r="D1384" s="0" t="n">
        <v>12</v>
      </c>
      <c r="E1384" s="0" t="n">
        <v>6</v>
      </c>
      <c r="F1384" s="0" t="n">
        <v>70</v>
      </c>
      <c r="G1384" s="0" t="n">
        <v>400</v>
      </c>
      <c r="H1384" s="0" t="s">
        <v>145</v>
      </c>
      <c r="I1384" s="0" t="n">
        <v>400</v>
      </c>
      <c r="J1384" s="0" t="n">
        <f aca="false">F1384*E1384</f>
        <v>420</v>
      </c>
      <c r="K1384" s="0" t="str">
        <f aca="false">IF(G1384&lt;1000,"1-Low",IF(G1384&lt;5000,"2-Medium","3-Bulk"))</f>
        <v>1-Low</v>
      </c>
      <c r="L1384" s="0" t="str">
        <f aca="false">IF(H1384="TRUE","Out of stock","In stock")</f>
        <v>In stock</v>
      </c>
      <c r="M1384" s="0" t="str">
        <f aca="false">IF(D1384&lt;5,"1) Under 5%",IF(D1384&lt;10,"2) 5-9%",IF(D1384&lt;15,"3) 10-14%",IF(D1384&lt;25,"4) 15-24%","5) 25%+"))))</f>
        <v>3) 10-14%</v>
      </c>
      <c r="N1384" s="0" t="str">
        <f aca="false">IF(F1384&lt;50,"1) Under Rs 50",IF(F1384&lt;100,"2) Rs 50-99",IF(F1384&lt;200,"3) Rs 100-199",IF(F1384&lt;500,"4) Rs 200-499","5) Rs 500+"))))</f>
        <v>2) Rs 50-99</v>
      </c>
      <c r="O1384" s="0" t="n">
        <f aca="false">G1384*E1384/1000</f>
        <v>2.4</v>
      </c>
    </row>
    <row r="1385" customFormat="false" ht="15" hidden="false" customHeight="false" outlineLevel="0" collapsed="false">
      <c r="A1385" s="0" t="s">
        <v>121</v>
      </c>
      <c r="B1385" s="0" t="s">
        <v>811</v>
      </c>
      <c r="C1385" s="0" t="n">
        <v>110</v>
      </c>
      <c r="D1385" s="0" t="n">
        <v>4</v>
      </c>
      <c r="E1385" s="0" t="n">
        <v>6</v>
      </c>
      <c r="F1385" s="0" t="n">
        <v>105</v>
      </c>
      <c r="G1385" s="0" t="n">
        <v>400</v>
      </c>
      <c r="H1385" s="0" t="s">
        <v>145</v>
      </c>
      <c r="I1385" s="0" t="n">
        <v>400</v>
      </c>
      <c r="J1385" s="0" t="n">
        <f aca="false">F1385*E1385</f>
        <v>630</v>
      </c>
      <c r="K1385" s="0" t="str">
        <f aca="false">IF(G1385&lt;1000,"1-Low",IF(G1385&lt;5000,"2-Medium","3-Bulk"))</f>
        <v>1-Low</v>
      </c>
      <c r="L1385" s="0" t="str">
        <f aca="false">IF(H1385="TRUE","Out of stock","In stock")</f>
        <v>In stock</v>
      </c>
      <c r="M1385" s="0" t="str">
        <f aca="false">IF(D1385&lt;5,"1) Under 5%",IF(D1385&lt;10,"2) 5-9%",IF(D1385&lt;15,"3) 10-14%",IF(D1385&lt;25,"4) 15-24%","5) 25%+"))))</f>
        <v>1) Under 5%</v>
      </c>
      <c r="N1385" s="0" t="str">
        <f aca="false">IF(F1385&lt;50,"1) Under Rs 50",IF(F1385&lt;100,"2) Rs 50-99",IF(F1385&lt;200,"3) Rs 100-199",IF(F1385&lt;500,"4) Rs 200-499","5) Rs 500+"))))</f>
        <v>3) Rs 100-199</v>
      </c>
      <c r="O1385" s="0" t="n">
        <f aca="false">G1385*E1385/1000</f>
        <v>2.4</v>
      </c>
    </row>
    <row r="1386" customFormat="false" ht="15" hidden="false" customHeight="false" outlineLevel="0" collapsed="false">
      <c r="A1386" s="0" t="s">
        <v>121</v>
      </c>
      <c r="B1386" s="0" t="s">
        <v>812</v>
      </c>
      <c r="C1386" s="0" t="n">
        <v>120</v>
      </c>
      <c r="D1386" s="0" t="n">
        <v>5</v>
      </c>
      <c r="E1386" s="0" t="n">
        <v>6</v>
      </c>
      <c r="F1386" s="0" t="n">
        <v>114</v>
      </c>
      <c r="G1386" s="0" t="n">
        <v>415</v>
      </c>
      <c r="H1386" s="0" t="s">
        <v>145</v>
      </c>
      <c r="I1386" s="0" t="n">
        <v>415</v>
      </c>
      <c r="J1386" s="0" t="n">
        <f aca="false">F1386*E1386</f>
        <v>684</v>
      </c>
      <c r="K1386" s="0" t="str">
        <f aca="false">IF(G1386&lt;1000,"1-Low",IF(G1386&lt;5000,"2-Medium","3-Bulk"))</f>
        <v>1-Low</v>
      </c>
      <c r="L1386" s="0" t="str">
        <f aca="false">IF(H1386="TRUE","Out of stock","In stock")</f>
        <v>In stock</v>
      </c>
      <c r="M1386" s="0" t="str">
        <f aca="false">IF(D1386&lt;5,"1) Under 5%",IF(D1386&lt;10,"2) 5-9%",IF(D1386&lt;15,"3) 10-14%",IF(D1386&lt;25,"4) 15-24%","5) 25%+"))))</f>
        <v>2) 5-9%</v>
      </c>
      <c r="N1386" s="0" t="str">
        <f aca="false">IF(F1386&lt;50,"1) Under Rs 50",IF(F1386&lt;100,"2) Rs 50-99",IF(F1386&lt;200,"3) Rs 100-199",IF(F1386&lt;500,"4) Rs 200-499","5) Rs 500+"))))</f>
        <v>3) Rs 100-199</v>
      </c>
      <c r="O1386" s="0" t="n">
        <f aca="false">G1386*E1386/1000</f>
        <v>2.49</v>
      </c>
    </row>
    <row r="1387" customFormat="false" ht="15" hidden="false" customHeight="false" outlineLevel="0" collapsed="false">
      <c r="A1387" s="0" t="s">
        <v>121</v>
      </c>
      <c r="B1387" s="0" t="s">
        <v>813</v>
      </c>
      <c r="C1387" s="0" t="n">
        <v>115</v>
      </c>
      <c r="D1387" s="0" t="n">
        <v>3</v>
      </c>
      <c r="E1387" s="0" t="n">
        <v>6</v>
      </c>
      <c r="F1387" s="0" t="n">
        <v>111</v>
      </c>
      <c r="G1387" s="0" t="n">
        <v>360</v>
      </c>
      <c r="H1387" s="0" t="s">
        <v>145</v>
      </c>
      <c r="I1387" s="0" t="n">
        <v>360</v>
      </c>
      <c r="J1387" s="0" t="n">
        <f aca="false">F1387*E1387</f>
        <v>666</v>
      </c>
      <c r="K1387" s="0" t="str">
        <f aca="false">IF(G1387&lt;1000,"1-Low",IF(G1387&lt;5000,"2-Medium","3-Bulk"))</f>
        <v>1-Low</v>
      </c>
      <c r="L1387" s="0" t="str">
        <f aca="false">IF(H1387="TRUE","Out of stock","In stock")</f>
        <v>In stock</v>
      </c>
      <c r="M1387" s="0" t="str">
        <f aca="false">IF(D1387&lt;5,"1) Under 5%",IF(D1387&lt;10,"2) 5-9%",IF(D1387&lt;15,"3) 10-14%",IF(D1387&lt;25,"4) 15-24%","5) 25%+"))))</f>
        <v>1) Under 5%</v>
      </c>
      <c r="N1387" s="0" t="str">
        <f aca="false">IF(F1387&lt;50,"1) Under Rs 50",IF(F1387&lt;100,"2) Rs 50-99",IF(F1387&lt;200,"3) Rs 100-199",IF(F1387&lt;500,"4) Rs 200-499","5) Rs 500+"))))</f>
        <v>3) Rs 100-199</v>
      </c>
      <c r="O1387" s="0" t="n">
        <f aca="false">G1387*E1387/1000</f>
        <v>2.16</v>
      </c>
    </row>
    <row r="1388" customFormat="false" ht="15" hidden="false" customHeight="false" outlineLevel="0" collapsed="false">
      <c r="A1388" s="0" t="s">
        <v>121</v>
      </c>
      <c r="B1388" s="0" t="s">
        <v>814</v>
      </c>
      <c r="C1388" s="0" t="n">
        <v>117</v>
      </c>
      <c r="D1388" s="0" t="n">
        <v>5</v>
      </c>
      <c r="E1388" s="0" t="n">
        <v>6</v>
      </c>
      <c r="F1388" s="0" t="n">
        <v>111</v>
      </c>
      <c r="G1388" s="0" t="n">
        <v>400</v>
      </c>
      <c r="H1388" s="0" t="s">
        <v>145</v>
      </c>
      <c r="I1388" s="0" t="n">
        <v>400</v>
      </c>
      <c r="J1388" s="0" t="n">
        <f aca="false">F1388*E1388</f>
        <v>666</v>
      </c>
      <c r="K1388" s="0" t="str">
        <f aca="false">IF(G1388&lt;1000,"1-Low",IF(G1388&lt;5000,"2-Medium","3-Bulk"))</f>
        <v>1-Low</v>
      </c>
      <c r="L1388" s="0" t="str">
        <f aca="false">IF(H1388="TRUE","Out of stock","In stock")</f>
        <v>In stock</v>
      </c>
      <c r="M1388" s="0" t="str">
        <f aca="false">IF(D1388&lt;5,"1) Under 5%",IF(D1388&lt;10,"2) 5-9%",IF(D1388&lt;15,"3) 10-14%",IF(D1388&lt;25,"4) 15-24%","5) 25%+"))))</f>
        <v>2) 5-9%</v>
      </c>
      <c r="N1388" s="0" t="str">
        <f aca="false">IF(F1388&lt;50,"1) Under Rs 50",IF(F1388&lt;100,"2) Rs 50-99",IF(F1388&lt;200,"3) Rs 100-199",IF(F1388&lt;500,"4) Rs 200-499","5) Rs 500+"))))</f>
        <v>3) Rs 100-199</v>
      </c>
      <c r="O1388" s="0" t="n">
        <f aca="false">G1388*E1388/1000</f>
        <v>2.4</v>
      </c>
    </row>
    <row r="1389" customFormat="false" ht="15" hidden="false" customHeight="false" outlineLevel="0" collapsed="false">
      <c r="A1389" s="0" t="s">
        <v>121</v>
      </c>
      <c r="B1389" s="0" t="s">
        <v>728</v>
      </c>
      <c r="C1389" s="0" t="n">
        <v>18</v>
      </c>
      <c r="D1389" s="0" t="n">
        <v>5</v>
      </c>
      <c r="E1389" s="0" t="n">
        <v>6</v>
      </c>
      <c r="F1389" s="0" t="n">
        <v>17</v>
      </c>
      <c r="G1389" s="0" t="n">
        <v>100</v>
      </c>
      <c r="H1389" s="0" t="s">
        <v>145</v>
      </c>
      <c r="I1389" s="0" t="n">
        <v>100</v>
      </c>
      <c r="J1389" s="0" t="n">
        <f aca="false">F1389*E1389</f>
        <v>102</v>
      </c>
      <c r="K1389" s="0" t="str">
        <f aca="false">IF(G1389&lt;1000,"1-Low",IF(G1389&lt;5000,"2-Medium","3-Bulk"))</f>
        <v>1-Low</v>
      </c>
      <c r="L1389" s="0" t="str">
        <f aca="false">IF(H1389="TRUE","Out of stock","In stock")</f>
        <v>In stock</v>
      </c>
      <c r="M1389" s="0" t="str">
        <f aca="false">IF(D1389&lt;5,"1) Under 5%",IF(D1389&lt;10,"2) 5-9%",IF(D1389&lt;15,"3) 10-14%",IF(D1389&lt;25,"4) 15-24%","5) 25%+"))))</f>
        <v>2) 5-9%</v>
      </c>
      <c r="N1389" s="0" t="str">
        <f aca="false">IF(F1389&lt;50,"1) Under Rs 50",IF(F1389&lt;100,"2) Rs 50-99",IF(F1389&lt;200,"3) Rs 100-199",IF(F1389&lt;500,"4) Rs 200-499","5) Rs 500+"))))</f>
        <v>1) Under Rs 50</v>
      </c>
      <c r="O1389" s="0" t="n">
        <f aca="false">G1389*E1389/1000</f>
        <v>0.6</v>
      </c>
    </row>
    <row r="1390" customFormat="false" ht="15" hidden="false" customHeight="false" outlineLevel="0" collapsed="false">
      <c r="A1390" s="0" t="s">
        <v>121</v>
      </c>
      <c r="B1390" s="0" t="s">
        <v>815</v>
      </c>
      <c r="C1390" s="0" t="n">
        <v>35</v>
      </c>
      <c r="D1390" s="0" t="n">
        <v>2</v>
      </c>
      <c r="E1390" s="0" t="n">
        <v>2</v>
      </c>
      <c r="F1390" s="0" t="n">
        <v>34</v>
      </c>
      <c r="G1390" s="0" t="n">
        <v>85</v>
      </c>
      <c r="H1390" s="0" t="s">
        <v>145</v>
      </c>
      <c r="I1390" s="0" t="n">
        <v>85</v>
      </c>
      <c r="J1390" s="0" t="n">
        <f aca="false">F1390*E1390</f>
        <v>68</v>
      </c>
      <c r="K1390" s="0" t="str">
        <f aca="false">IF(G1390&lt;1000,"1-Low",IF(G1390&lt;5000,"2-Medium","3-Bulk"))</f>
        <v>1-Low</v>
      </c>
      <c r="L1390" s="0" t="str">
        <f aca="false">IF(H1390="TRUE","Out of stock","In stock")</f>
        <v>In stock</v>
      </c>
      <c r="M1390" s="0" t="str">
        <f aca="false">IF(D1390&lt;5,"1) Under 5%",IF(D1390&lt;10,"2) 5-9%",IF(D1390&lt;15,"3) 10-14%",IF(D1390&lt;25,"4) 15-24%","5) 25%+"))))</f>
        <v>1) Under 5%</v>
      </c>
      <c r="N1390" s="0" t="str">
        <f aca="false">IF(F1390&lt;50,"1) Under Rs 50",IF(F1390&lt;100,"2) Rs 50-99",IF(F1390&lt;200,"3) Rs 100-199",IF(F1390&lt;500,"4) Rs 200-499","5) Rs 500+"))))</f>
        <v>1) Under Rs 50</v>
      </c>
      <c r="O1390" s="0" t="n">
        <f aca="false">G1390*E1390/1000</f>
        <v>0.17</v>
      </c>
    </row>
    <row r="1391" customFormat="false" ht="15" hidden="false" customHeight="false" outlineLevel="0" collapsed="false">
      <c r="A1391" s="0" t="s">
        <v>121</v>
      </c>
      <c r="B1391" s="0" t="s">
        <v>816</v>
      </c>
      <c r="C1391" s="0" t="n">
        <v>125</v>
      </c>
      <c r="D1391" s="0" t="n">
        <v>5</v>
      </c>
      <c r="E1391" s="0" t="n">
        <v>1</v>
      </c>
      <c r="F1391" s="0" t="n">
        <v>118</v>
      </c>
      <c r="G1391" s="0" t="n">
        <v>420</v>
      </c>
      <c r="H1391" s="0" t="s">
        <v>145</v>
      </c>
      <c r="I1391" s="0" t="n">
        <v>420</v>
      </c>
      <c r="J1391" s="0" t="n">
        <f aca="false">F1391*E1391</f>
        <v>118</v>
      </c>
      <c r="K1391" s="0" t="str">
        <f aca="false">IF(G1391&lt;1000,"1-Low",IF(G1391&lt;5000,"2-Medium","3-Bulk"))</f>
        <v>1-Low</v>
      </c>
      <c r="L1391" s="0" t="str">
        <f aca="false">IF(H1391="TRUE","Out of stock","In stock")</f>
        <v>In stock</v>
      </c>
      <c r="M1391" s="0" t="str">
        <f aca="false">IF(D1391&lt;5,"1) Under 5%",IF(D1391&lt;10,"2) 5-9%",IF(D1391&lt;15,"3) 10-14%",IF(D1391&lt;25,"4) 15-24%","5) 25%+"))))</f>
        <v>2) 5-9%</v>
      </c>
      <c r="N1391" s="0" t="str">
        <f aca="false">IF(F1391&lt;50,"1) Under Rs 50",IF(F1391&lt;100,"2) Rs 50-99",IF(F1391&lt;200,"3) Rs 100-199",IF(F1391&lt;500,"4) Rs 200-499","5) Rs 500+"))))</f>
        <v>3) Rs 100-199</v>
      </c>
      <c r="O1391" s="0" t="n">
        <f aca="false">G1391*E1391/1000</f>
        <v>0.42</v>
      </c>
    </row>
    <row r="1392" customFormat="false" ht="15" hidden="false" customHeight="false" outlineLevel="0" collapsed="false">
      <c r="A1392" s="0" t="s">
        <v>121</v>
      </c>
      <c r="B1392" s="0" t="s">
        <v>259</v>
      </c>
      <c r="C1392" s="0" t="n">
        <v>15</v>
      </c>
      <c r="D1392" s="0" t="n">
        <v>0</v>
      </c>
      <c r="E1392" s="0" t="n">
        <v>3</v>
      </c>
      <c r="F1392" s="0" t="n">
        <v>15</v>
      </c>
      <c r="G1392" s="0" t="n">
        <v>60</v>
      </c>
      <c r="H1392" s="0" t="s">
        <v>145</v>
      </c>
      <c r="I1392" s="0" t="n">
        <v>60</v>
      </c>
      <c r="J1392" s="0" t="n">
        <f aca="false">F1392*E1392</f>
        <v>45</v>
      </c>
      <c r="K1392" s="0" t="str">
        <f aca="false">IF(G1392&lt;1000,"1-Low",IF(G1392&lt;5000,"2-Medium","3-Bulk"))</f>
        <v>1-Low</v>
      </c>
      <c r="L1392" s="0" t="str">
        <f aca="false">IF(H1392="TRUE","Out of stock","In stock")</f>
        <v>In stock</v>
      </c>
      <c r="M1392" s="0" t="str">
        <f aca="false">IF(D1392&lt;5,"1) Under 5%",IF(D1392&lt;10,"2) 5-9%",IF(D1392&lt;15,"3) 10-14%",IF(D1392&lt;25,"4) 15-24%","5) 25%+"))))</f>
        <v>1) Under 5%</v>
      </c>
      <c r="N1392" s="0" t="str">
        <f aca="false">IF(F1392&lt;50,"1) Under Rs 50",IF(F1392&lt;100,"2) Rs 50-99",IF(F1392&lt;200,"3) Rs 100-199",IF(F1392&lt;500,"4) Rs 200-499","5) Rs 500+"))))</f>
        <v>1) Under Rs 50</v>
      </c>
      <c r="O1392" s="0" t="n">
        <f aca="false">G1392*E1392/1000</f>
        <v>0.18</v>
      </c>
    </row>
    <row r="1393" customFormat="false" ht="15" hidden="false" customHeight="false" outlineLevel="0" collapsed="false">
      <c r="A1393" s="0" t="s">
        <v>121</v>
      </c>
      <c r="B1393" s="0" t="s">
        <v>817</v>
      </c>
      <c r="C1393" s="0" t="n">
        <v>79</v>
      </c>
      <c r="D1393" s="0" t="n">
        <v>11</v>
      </c>
      <c r="E1393" s="0" t="n">
        <v>5</v>
      </c>
      <c r="F1393" s="0" t="n">
        <v>70</v>
      </c>
      <c r="G1393" s="0" t="n">
        <v>250</v>
      </c>
      <c r="H1393" s="0" t="s">
        <v>145</v>
      </c>
      <c r="I1393" s="0" t="n">
        <v>250</v>
      </c>
      <c r="J1393" s="0" t="n">
        <f aca="false">F1393*E1393</f>
        <v>350</v>
      </c>
      <c r="K1393" s="0" t="str">
        <f aca="false">IF(G1393&lt;1000,"1-Low",IF(G1393&lt;5000,"2-Medium","3-Bulk"))</f>
        <v>1-Low</v>
      </c>
      <c r="L1393" s="0" t="str">
        <f aca="false">IF(H1393="TRUE","Out of stock","In stock")</f>
        <v>In stock</v>
      </c>
      <c r="M1393" s="0" t="str">
        <f aca="false">IF(D1393&lt;5,"1) Under 5%",IF(D1393&lt;10,"2) 5-9%",IF(D1393&lt;15,"3) 10-14%",IF(D1393&lt;25,"4) 15-24%","5) 25%+"))))</f>
        <v>3) 10-14%</v>
      </c>
      <c r="N1393" s="0" t="str">
        <f aca="false">IF(F1393&lt;50,"1) Under Rs 50",IF(F1393&lt;100,"2) Rs 50-99",IF(F1393&lt;200,"3) Rs 100-199",IF(F1393&lt;500,"4) Rs 200-499","5) Rs 500+"))))</f>
        <v>2) Rs 50-99</v>
      </c>
      <c r="O1393" s="0" t="n">
        <f aca="false">G1393*E1393/1000</f>
        <v>1.25</v>
      </c>
    </row>
    <row r="1394" customFormat="false" ht="15" hidden="false" customHeight="false" outlineLevel="0" collapsed="false">
      <c r="A1394" s="0" t="s">
        <v>121</v>
      </c>
      <c r="B1394" s="0" t="s">
        <v>261</v>
      </c>
      <c r="C1394" s="0" t="n">
        <v>15</v>
      </c>
      <c r="D1394" s="0" t="n">
        <v>0</v>
      </c>
      <c r="E1394" s="0" t="n">
        <v>6</v>
      </c>
      <c r="F1394" s="0" t="n">
        <v>15</v>
      </c>
      <c r="G1394" s="0" t="n">
        <v>60</v>
      </c>
      <c r="H1394" s="0" t="s">
        <v>145</v>
      </c>
      <c r="I1394" s="0" t="n">
        <v>60</v>
      </c>
      <c r="J1394" s="0" t="n">
        <f aca="false">F1394*E1394</f>
        <v>90</v>
      </c>
      <c r="K1394" s="0" t="str">
        <f aca="false">IF(G1394&lt;1000,"1-Low",IF(G1394&lt;5000,"2-Medium","3-Bulk"))</f>
        <v>1-Low</v>
      </c>
      <c r="L1394" s="0" t="str">
        <f aca="false">IF(H1394="TRUE","Out of stock","In stock")</f>
        <v>In stock</v>
      </c>
      <c r="M1394" s="0" t="str">
        <f aca="false">IF(D1394&lt;5,"1) Under 5%",IF(D1394&lt;10,"2) 5-9%",IF(D1394&lt;15,"3) 10-14%",IF(D1394&lt;25,"4) 15-24%","5) 25%+"))))</f>
        <v>1) Under 5%</v>
      </c>
      <c r="N1394" s="0" t="str">
        <f aca="false">IF(F1394&lt;50,"1) Under Rs 50",IF(F1394&lt;100,"2) Rs 50-99",IF(F1394&lt;200,"3) Rs 100-199",IF(F1394&lt;500,"4) Rs 200-499","5) Rs 500+"))))</f>
        <v>1) Under Rs 50</v>
      </c>
      <c r="O1394" s="0" t="n">
        <f aca="false">G1394*E1394/1000</f>
        <v>0.36</v>
      </c>
    </row>
    <row r="1395" customFormat="false" ht="15" hidden="false" customHeight="false" outlineLevel="0" collapsed="false">
      <c r="A1395" s="0" t="s">
        <v>121</v>
      </c>
      <c r="B1395" s="0" t="s">
        <v>818</v>
      </c>
      <c r="C1395" s="0" t="n">
        <v>75</v>
      </c>
      <c r="D1395" s="0" t="n">
        <v>13</v>
      </c>
      <c r="E1395" s="0" t="n">
        <v>5</v>
      </c>
      <c r="F1395" s="0" t="n">
        <v>65</v>
      </c>
      <c r="G1395" s="0" t="n">
        <v>280</v>
      </c>
      <c r="H1395" s="0" t="s">
        <v>145</v>
      </c>
      <c r="I1395" s="0" t="n">
        <v>280</v>
      </c>
      <c r="J1395" s="0" t="n">
        <f aca="false">F1395*E1395</f>
        <v>325</v>
      </c>
      <c r="K1395" s="0" t="str">
        <f aca="false">IF(G1395&lt;1000,"1-Low",IF(G1395&lt;5000,"2-Medium","3-Bulk"))</f>
        <v>1-Low</v>
      </c>
      <c r="L1395" s="0" t="str">
        <f aca="false">IF(H1395="TRUE","Out of stock","In stock")</f>
        <v>In stock</v>
      </c>
      <c r="M1395" s="0" t="str">
        <f aca="false">IF(D1395&lt;5,"1) Under 5%",IF(D1395&lt;10,"2) 5-9%",IF(D1395&lt;15,"3) 10-14%",IF(D1395&lt;25,"4) 15-24%","5) 25%+"))))</f>
        <v>3) 10-14%</v>
      </c>
      <c r="N1395" s="0" t="str">
        <f aca="false">IF(F1395&lt;50,"1) Under Rs 50",IF(F1395&lt;100,"2) Rs 50-99",IF(F1395&lt;200,"3) Rs 100-199",IF(F1395&lt;500,"4) Rs 200-499","5) Rs 500+"))))</f>
        <v>2) Rs 50-99</v>
      </c>
      <c r="O1395" s="0" t="n">
        <f aca="false">G1395*E1395/1000</f>
        <v>1.4</v>
      </c>
    </row>
    <row r="1396" customFormat="false" ht="15" hidden="false" customHeight="false" outlineLevel="0" collapsed="false">
      <c r="A1396" s="0" t="s">
        <v>121</v>
      </c>
      <c r="B1396" s="0" t="s">
        <v>267</v>
      </c>
      <c r="C1396" s="0" t="n">
        <v>20</v>
      </c>
      <c r="D1396" s="0" t="n">
        <v>0</v>
      </c>
      <c r="E1396" s="0" t="n">
        <v>1</v>
      </c>
      <c r="F1396" s="0" t="n">
        <v>20</v>
      </c>
      <c r="G1396" s="0" t="n">
        <v>70</v>
      </c>
      <c r="H1396" s="0" t="s">
        <v>145</v>
      </c>
      <c r="I1396" s="0" t="n">
        <v>70</v>
      </c>
      <c r="J1396" s="0" t="n">
        <f aca="false">F1396*E1396</f>
        <v>20</v>
      </c>
      <c r="K1396" s="0" t="str">
        <f aca="false">IF(G1396&lt;1000,"1-Low",IF(G1396&lt;5000,"2-Medium","3-Bulk"))</f>
        <v>1-Low</v>
      </c>
      <c r="L1396" s="0" t="str">
        <f aca="false">IF(H1396="TRUE","Out of stock","In stock")</f>
        <v>In stock</v>
      </c>
      <c r="M1396" s="0" t="str">
        <f aca="false">IF(D1396&lt;5,"1) Under 5%",IF(D1396&lt;10,"2) 5-9%",IF(D1396&lt;15,"3) 10-14%",IF(D1396&lt;25,"4) 15-24%","5) 25%+"))))</f>
        <v>1) Under 5%</v>
      </c>
      <c r="N1396" s="0" t="str">
        <f aca="false">IF(F1396&lt;50,"1) Under Rs 50",IF(F1396&lt;100,"2) Rs 50-99",IF(F1396&lt;200,"3) Rs 100-199",IF(F1396&lt;500,"4) Rs 200-499","5) Rs 500+"))))</f>
        <v>1) Under Rs 50</v>
      </c>
      <c r="O1396" s="0" t="n">
        <f aca="false">G1396*E1396/1000</f>
        <v>0.07</v>
      </c>
    </row>
    <row r="1397" customFormat="false" ht="15" hidden="false" customHeight="false" outlineLevel="0" collapsed="false">
      <c r="A1397" s="0" t="s">
        <v>121</v>
      </c>
      <c r="B1397" s="0" t="s">
        <v>270</v>
      </c>
      <c r="C1397" s="0" t="n">
        <v>15</v>
      </c>
      <c r="D1397" s="0" t="n">
        <v>0</v>
      </c>
      <c r="E1397" s="0" t="n">
        <v>6</v>
      </c>
      <c r="F1397" s="0" t="n">
        <v>15</v>
      </c>
      <c r="G1397" s="0" t="n">
        <v>38</v>
      </c>
      <c r="H1397" s="0" t="s">
        <v>145</v>
      </c>
      <c r="I1397" s="0" t="n">
        <v>38</v>
      </c>
      <c r="J1397" s="0" t="n">
        <f aca="false">F1397*E1397</f>
        <v>90</v>
      </c>
      <c r="K1397" s="0" t="str">
        <f aca="false">IF(G1397&lt;1000,"1-Low",IF(G1397&lt;5000,"2-Medium","3-Bulk"))</f>
        <v>1-Low</v>
      </c>
      <c r="L1397" s="0" t="str">
        <f aca="false">IF(H1397="TRUE","Out of stock","In stock")</f>
        <v>In stock</v>
      </c>
      <c r="M1397" s="0" t="str">
        <f aca="false">IF(D1397&lt;5,"1) Under 5%",IF(D1397&lt;10,"2) 5-9%",IF(D1397&lt;15,"3) 10-14%",IF(D1397&lt;25,"4) 15-24%","5) 25%+"))))</f>
        <v>1) Under 5%</v>
      </c>
      <c r="N1397" s="0" t="str">
        <f aca="false">IF(F1397&lt;50,"1) Under Rs 50",IF(F1397&lt;100,"2) Rs 50-99",IF(F1397&lt;200,"3) Rs 100-199",IF(F1397&lt;500,"4) Rs 200-499","5) Rs 500+"))))</f>
        <v>1) Under Rs 50</v>
      </c>
      <c r="O1397" s="0" t="n">
        <f aca="false">G1397*E1397/1000</f>
        <v>0.228</v>
      </c>
    </row>
    <row r="1398" customFormat="false" ht="15" hidden="false" customHeight="false" outlineLevel="0" collapsed="false">
      <c r="A1398" s="0" t="s">
        <v>121</v>
      </c>
      <c r="B1398" s="0" t="s">
        <v>819</v>
      </c>
      <c r="C1398" s="0" t="n">
        <v>40</v>
      </c>
      <c r="D1398" s="0" t="n">
        <v>17</v>
      </c>
      <c r="E1398" s="0" t="n">
        <v>4</v>
      </c>
      <c r="F1398" s="0" t="n">
        <v>33</v>
      </c>
      <c r="G1398" s="0" t="n">
        <v>30</v>
      </c>
      <c r="H1398" s="0" t="s">
        <v>145</v>
      </c>
      <c r="I1398" s="0" t="n">
        <v>30</v>
      </c>
      <c r="J1398" s="0" t="n">
        <f aca="false">F1398*E1398</f>
        <v>132</v>
      </c>
      <c r="K1398" s="0" t="str">
        <f aca="false">IF(G1398&lt;1000,"1-Low",IF(G1398&lt;5000,"2-Medium","3-Bulk"))</f>
        <v>1-Low</v>
      </c>
      <c r="L1398" s="0" t="str">
        <f aca="false">IF(H1398="TRUE","Out of stock","In stock")</f>
        <v>In stock</v>
      </c>
      <c r="M1398" s="0" t="str">
        <f aca="false">IF(D1398&lt;5,"1) Under 5%",IF(D1398&lt;10,"2) 5-9%",IF(D1398&lt;15,"3) 10-14%",IF(D1398&lt;25,"4) 15-24%","5) 25%+"))))</f>
        <v>4) 15-24%</v>
      </c>
      <c r="N1398" s="0" t="str">
        <f aca="false">IF(F1398&lt;50,"1) Under Rs 50",IF(F1398&lt;100,"2) Rs 50-99",IF(F1398&lt;200,"3) Rs 100-199",IF(F1398&lt;500,"4) Rs 200-499","5) Rs 500+"))))</f>
        <v>1) Under Rs 50</v>
      </c>
      <c r="O1398" s="0" t="n">
        <f aca="false">G1398*E1398/1000</f>
        <v>0.12</v>
      </c>
    </row>
    <row r="1399" customFormat="false" ht="15" hidden="false" customHeight="false" outlineLevel="0" collapsed="false">
      <c r="A1399" s="0" t="s">
        <v>121</v>
      </c>
      <c r="B1399" s="0" t="s">
        <v>272</v>
      </c>
      <c r="C1399" s="0" t="n">
        <v>79</v>
      </c>
      <c r="D1399" s="0" t="n">
        <v>0</v>
      </c>
      <c r="E1399" s="0" t="n">
        <v>2</v>
      </c>
      <c r="F1399" s="0" t="n">
        <v>79</v>
      </c>
      <c r="G1399" s="0" t="n">
        <v>400</v>
      </c>
      <c r="H1399" s="0" t="s">
        <v>145</v>
      </c>
      <c r="I1399" s="0" t="n">
        <v>400</v>
      </c>
      <c r="J1399" s="0" t="n">
        <f aca="false">F1399*E1399</f>
        <v>158</v>
      </c>
      <c r="K1399" s="0" t="str">
        <f aca="false">IF(G1399&lt;1000,"1-Low",IF(G1399&lt;5000,"2-Medium","3-Bulk"))</f>
        <v>1-Low</v>
      </c>
      <c r="L1399" s="0" t="str">
        <f aca="false">IF(H1399="TRUE","Out of stock","In stock")</f>
        <v>In stock</v>
      </c>
      <c r="M1399" s="0" t="str">
        <f aca="false">IF(D1399&lt;5,"1) Under 5%",IF(D1399&lt;10,"2) 5-9%",IF(D1399&lt;15,"3) 10-14%",IF(D1399&lt;25,"4) 15-24%","5) 25%+"))))</f>
        <v>1) Under 5%</v>
      </c>
      <c r="N1399" s="0" t="str">
        <f aca="false">IF(F1399&lt;50,"1) Under Rs 50",IF(F1399&lt;100,"2) Rs 50-99",IF(F1399&lt;200,"3) Rs 100-199",IF(F1399&lt;500,"4) Rs 200-499","5) Rs 500+"))))</f>
        <v>2) Rs 50-99</v>
      </c>
      <c r="O1399" s="0" t="n">
        <f aca="false">G1399*E1399/1000</f>
        <v>0.8</v>
      </c>
    </row>
    <row r="1400" customFormat="false" ht="15" hidden="false" customHeight="false" outlineLevel="0" collapsed="false">
      <c r="A1400" s="0" t="s">
        <v>121</v>
      </c>
      <c r="B1400" s="0" t="s">
        <v>728</v>
      </c>
      <c r="C1400" s="0" t="n">
        <v>88</v>
      </c>
      <c r="D1400" s="0" t="n">
        <v>2</v>
      </c>
      <c r="E1400" s="0" t="n">
        <v>2</v>
      </c>
      <c r="F1400" s="0" t="n">
        <v>86</v>
      </c>
      <c r="G1400" s="0" t="n">
        <v>500</v>
      </c>
      <c r="H1400" s="0" t="s">
        <v>145</v>
      </c>
      <c r="I1400" s="0" t="n">
        <v>500</v>
      </c>
      <c r="J1400" s="0" t="n">
        <f aca="false">F1400*E1400</f>
        <v>172</v>
      </c>
      <c r="K1400" s="0" t="str">
        <f aca="false">IF(G1400&lt;1000,"1-Low",IF(G1400&lt;5000,"2-Medium","3-Bulk"))</f>
        <v>1-Low</v>
      </c>
      <c r="L1400" s="0" t="str">
        <f aca="false">IF(H1400="TRUE","Out of stock","In stock")</f>
        <v>In stock</v>
      </c>
      <c r="M1400" s="0" t="str">
        <f aca="false">IF(D1400&lt;5,"1) Under 5%",IF(D1400&lt;10,"2) 5-9%",IF(D1400&lt;15,"3) 10-14%",IF(D1400&lt;25,"4) 15-24%","5) 25%+"))))</f>
        <v>1) Under 5%</v>
      </c>
      <c r="N1400" s="0" t="str">
        <f aca="false">IF(F1400&lt;50,"1) Under Rs 50",IF(F1400&lt;100,"2) Rs 50-99",IF(F1400&lt;200,"3) Rs 100-199",IF(F1400&lt;500,"4) Rs 200-499","5) Rs 500+"))))</f>
        <v>2) Rs 50-99</v>
      </c>
      <c r="O1400" s="0" t="n">
        <f aca="false">G1400*E1400/1000</f>
        <v>1</v>
      </c>
    </row>
    <row r="1401" customFormat="false" ht="15" hidden="false" customHeight="false" outlineLevel="0" collapsed="false">
      <c r="A1401" s="0" t="s">
        <v>121</v>
      </c>
      <c r="B1401" s="0" t="s">
        <v>820</v>
      </c>
      <c r="C1401" s="0" t="n">
        <v>120</v>
      </c>
      <c r="D1401" s="0" t="n">
        <v>5</v>
      </c>
      <c r="E1401" s="0" t="n">
        <v>1</v>
      </c>
      <c r="F1401" s="0" t="n">
        <v>114</v>
      </c>
      <c r="G1401" s="0" t="n">
        <v>420</v>
      </c>
      <c r="H1401" s="0" t="s">
        <v>145</v>
      </c>
      <c r="I1401" s="0" t="n">
        <v>420</v>
      </c>
      <c r="J1401" s="0" t="n">
        <f aca="false">F1401*E1401</f>
        <v>114</v>
      </c>
      <c r="K1401" s="0" t="str">
        <f aca="false">IF(G1401&lt;1000,"1-Low",IF(G1401&lt;5000,"2-Medium","3-Bulk"))</f>
        <v>1-Low</v>
      </c>
      <c r="L1401" s="0" t="str">
        <f aca="false">IF(H1401="TRUE","Out of stock","In stock")</f>
        <v>In stock</v>
      </c>
      <c r="M1401" s="0" t="str">
        <f aca="false">IF(D1401&lt;5,"1) Under 5%",IF(D1401&lt;10,"2) 5-9%",IF(D1401&lt;15,"3) 10-14%",IF(D1401&lt;25,"4) 15-24%","5) 25%+"))))</f>
        <v>2) 5-9%</v>
      </c>
      <c r="N1401" s="0" t="str">
        <f aca="false">IF(F1401&lt;50,"1) Under Rs 50",IF(F1401&lt;100,"2) Rs 50-99",IF(F1401&lt;200,"3) Rs 100-199",IF(F1401&lt;500,"4) Rs 200-499","5) Rs 500+"))))</f>
        <v>3) Rs 100-199</v>
      </c>
      <c r="O1401" s="0" t="n">
        <f aca="false">G1401*E1401/1000</f>
        <v>0.42</v>
      </c>
    </row>
    <row r="1402" customFormat="false" ht="15" hidden="false" customHeight="false" outlineLevel="0" collapsed="false">
      <c r="A1402" s="0" t="s">
        <v>121</v>
      </c>
      <c r="B1402" s="0" t="s">
        <v>821</v>
      </c>
      <c r="C1402" s="0" t="n">
        <v>10</v>
      </c>
      <c r="D1402" s="0" t="n">
        <v>0</v>
      </c>
      <c r="E1402" s="0" t="n">
        <v>1</v>
      </c>
      <c r="F1402" s="0" t="n">
        <v>10</v>
      </c>
      <c r="G1402" s="0" t="n">
        <v>15</v>
      </c>
      <c r="H1402" s="0" t="s">
        <v>145</v>
      </c>
      <c r="I1402" s="0" t="n">
        <v>15</v>
      </c>
      <c r="J1402" s="0" t="n">
        <f aca="false">F1402*E1402</f>
        <v>10</v>
      </c>
      <c r="K1402" s="0" t="str">
        <f aca="false">IF(G1402&lt;1000,"1-Low",IF(G1402&lt;5000,"2-Medium","3-Bulk"))</f>
        <v>1-Low</v>
      </c>
      <c r="L1402" s="0" t="str">
        <f aca="false">IF(H1402="TRUE","Out of stock","In stock")</f>
        <v>In stock</v>
      </c>
      <c r="M1402" s="0" t="str">
        <f aca="false">IF(D1402&lt;5,"1) Under 5%",IF(D1402&lt;10,"2) 5-9%",IF(D1402&lt;15,"3) 10-14%",IF(D1402&lt;25,"4) 15-24%","5) 25%+"))))</f>
        <v>1) Under 5%</v>
      </c>
      <c r="N1402" s="0" t="str">
        <f aca="false">IF(F1402&lt;50,"1) Under Rs 50",IF(F1402&lt;100,"2) Rs 50-99",IF(F1402&lt;200,"3) Rs 100-199",IF(F1402&lt;500,"4) Rs 200-499","5) Rs 500+"))))</f>
        <v>1) Under Rs 50</v>
      </c>
      <c r="O1402" s="0" t="n">
        <f aca="false">G1402*E1402/1000</f>
        <v>0.015</v>
      </c>
    </row>
    <row r="1403" customFormat="false" ht="15" hidden="false" customHeight="false" outlineLevel="0" collapsed="false">
      <c r="A1403" s="0" t="s">
        <v>121</v>
      </c>
      <c r="B1403" s="0" t="s">
        <v>822</v>
      </c>
      <c r="C1403" s="0" t="n">
        <v>130</v>
      </c>
      <c r="D1403" s="0" t="n">
        <v>4</v>
      </c>
      <c r="E1403" s="0" t="n">
        <v>6</v>
      </c>
      <c r="F1403" s="0" t="n">
        <v>124</v>
      </c>
      <c r="G1403" s="0" t="n">
        <v>250</v>
      </c>
      <c r="H1403" s="0" t="s">
        <v>145</v>
      </c>
      <c r="I1403" s="0" t="n">
        <v>250</v>
      </c>
      <c r="J1403" s="0" t="n">
        <f aca="false">F1403*E1403</f>
        <v>744</v>
      </c>
      <c r="K1403" s="0" t="str">
        <f aca="false">IF(G1403&lt;1000,"1-Low",IF(G1403&lt;5000,"2-Medium","3-Bulk"))</f>
        <v>1-Low</v>
      </c>
      <c r="L1403" s="0" t="str">
        <f aca="false">IF(H1403="TRUE","Out of stock","In stock")</f>
        <v>In stock</v>
      </c>
      <c r="M1403" s="0" t="str">
        <f aca="false">IF(D1403&lt;5,"1) Under 5%",IF(D1403&lt;10,"2) 5-9%",IF(D1403&lt;15,"3) 10-14%",IF(D1403&lt;25,"4) 15-24%","5) 25%+"))))</f>
        <v>1) Under 5%</v>
      </c>
      <c r="N1403" s="0" t="str">
        <f aca="false">IF(F1403&lt;50,"1) Under Rs 50",IF(F1403&lt;100,"2) Rs 50-99",IF(F1403&lt;200,"3) Rs 100-199",IF(F1403&lt;500,"4) Rs 200-499","5) Rs 500+"))))</f>
        <v>3) Rs 100-199</v>
      </c>
      <c r="O1403" s="0" t="n">
        <f aca="false">G1403*E1403/1000</f>
        <v>1.5</v>
      </c>
    </row>
    <row r="1404" customFormat="false" ht="15" hidden="false" customHeight="false" outlineLevel="0" collapsed="false">
      <c r="A1404" s="0" t="s">
        <v>121</v>
      </c>
      <c r="B1404" s="0" t="s">
        <v>823</v>
      </c>
      <c r="C1404" s="0" t="n">
        <v>120</v>
      </c>
      <c r="D1404" s="0" t="n">
        <v>5</v>
      </c>
      <c r="E1404" s="0" t="n">
        <v>3</v>
      </c>
      <c r="F1404" s="0" t="n">
        <v>114</v>
      </c>
      <c r="G1404" s="0" t="n">
        <v>375</v>
      </c>
      <c r="H1404" s="0" t="s">
        <v>145</v>
      </c>
      <c r="I1404" s="0" t="n">
        <v>375</v>
      </c>
      <c r="J1404" s="0" t="n">
        <f aca="false">F1404*E1404</f>
        <v>342</v>
      </c>
      <c r="K1404" s="0" t="str">
        <f aca="false">IF(G1404&lt;1000,"1-Low",IF(G1404&lt;5000,"2-Medium","3-Bulk"))</f>
        <v>1-Low</v>
      </c>
      <c r="L1404" s="0" t="str">
        <f aca="false">IF(H1404="TRUE","Out of stock","In stock")</f>
        <v>In stock</v>
      </c>
      <c r="M1404" s="0" t="str">
        <f aca="false">IF(D1404&lt;5,"1) Under 5%",IF(D1404&lt;10,"2) 5-9%",IF(D1404&lt;15,"3) 10-14%",IF(D1404&lt;25,"4) 15-24%","5) 25%+"))))</f>
        <v>2) 5-9%</v>
      </c>
      <c r="N1404" s="0" t="str">
        <f aca="false">IF(F1404&lt;50,"1) Under Rs 50",IF(F1404&lt;100,"2) Rs 50-99",IF(F1404&lt;200,"3) Rs 100-199",IF(F1404&lt;500,"4) Rs 200-499","5) Rs 500+"))))</f>
        <v>3) Rs 100-199</v>
      </c>
      <c r="O1404" s="0" t="n">
        <f aca="false">G1404*E1404/1000</f>
        <v>1.125</v>
      </c>
    </row>
    <row r="1405" customFormat="false" ht="15" hidden="false" customHeight="false" outlineLevel="0" collapsed="false">
      <c r="A1405" s="0" t="s">
        <v>121</v>
      </c>
      <c r="B1405" s="0" t="s">
        <v>824</v>
      </c>
      <c r="C1405" s="0" t="n">
        <v>15</v>
      </c>
      <c r="D1405" s="0" t="n">
        <v>0</v>
      </c>
      <c r="E1405" s="0" t="n">
        <v>6</v>
      </c>
      <c r="F1405" s="0" t="n">
        <v>15</v>
      </c>
      <c r="G1405" s="0" t="n">
        <v>20</v>
      </c>
      <c r="H1405" s="0" t="s">
        <v>145</v>
      </c>
      <c r="I1405" s="0" t="n">
        <v>20</v>
      </c>
      <c r="J1405" s="0" t="n">
        <f aca="false">F1405*E1405</f>
        <v>90</v>
      </c>
      <c r="K1405" s="0" t="str">
        <f aca="false">IF(G1405&lt;1000,"1-Low",IF(G1405&lt;5000,"2-Medium","3-Bulk"))</f>
        <v>1-Low</v>
      </c>
      <c r="L1405" s="0" t="str">
        <f aca="false">IF(H1405="TRUE","Out of stock","In stock")</f>
        <v>In stock</v>
      </c>
      <c r="M1405" s="0" t="str">
        <f aca="false">IF(D1405&lt;5,"1) Under 5%",IF(D1405&lt;10,"2) 5-9%",IF(D1405&lt;15,"3) 10-14%",IF(D1405&lt;25,"4) 15-24%","5) 25%+"))))</f>
        <v>1) Under 5%</v>
      </c>
      <c r="N1405" s="0" t="str">
        <f aca="false">IF(F1405&lt;50,"1) Under Rs 50",IF(F1405&lt;100,"2) Rs 50-99",IF(F1405&lt;200,"3) Rs 100-199",IF(F1405&lt;500,"4) Rs 200-499","5) Rs 500+"))))</f>
        <v>1) Under Rs 50</v>
      </c>
      <c r="O1405" s="0" t="n">
        <f aca="false">G1405*E1405/1000</f>
        <v>0.12</v>
      </c>
    </row>
    <row r="1406" customFormat="false" ht="15" hidden="false" customHeight="false" outlineLevel="0" collapsed="false">
      <c r="A1406" s="0" t="s">
        <v>121</v>
      </c>
      <c r="B1406" s="0" t="s">
        <v>279</v>
      </c>
      <c r="C1406" s="0" t="n">
        <v>120</v>
      </c>
      <c r="D1406" s="0" t="n">
        <v>1</v>
      </c>
      <c r="E1406" s="0" t="n">
        <v>3</v>
      </c>
      <c r="F1406" s="0" t="n">
        <v>118</v>
      </c>
      <c r="G1406" s="0" t="n">
        <v>240</v>
      </c>
      <c r="H1406" s="0" t="s">
        <v>145</v>
      </c>
      <c r="I1406" s="0" t="n">
        <v>240</v>
      </c>
      <c r="J1406" s="0" t="n">
        <f aca="false">F1406*E1406</f>
        <v>354</v>
      </c>
      <c r="K1406" s="0" t="str">
        <f aca="false">IF(G1406&lt;1000,"1-Low",IF(G1406&lt;5000,"2-Medium","3-Bulk"))</f>
        <v>1-Low</v>
      </c>
      <c r="L1406" s="0" t="str">
        <f aca="false">IF(H1406="TRUE","Out of stock","In stock")</f>
        <v>In stock</v>
      </c>
      <c r="M1406" s="0" t="str">
        <f aca="false">IF(D1406&lt;5,"1) Under 5%",IF(D1406&lt;10,"2) 5-9%",IF(D1406&lt;15,"3) 10-14%",IF(D1406&lt;25,"4) 15-24%","5) 25%+"))))</f>
        <v>1) Under 5%</v>
      </c>
      <c r="N1406" s="0" t="str">
        <f aca="false">IF(F1406&lt;50,"1) Under Rs 50",IF(F1406&lt;100,"2) Rs 50-99",IF(F1406&lt;200,"3) Rs 100-199",IF(F1406&lt;500,"4) Rs 200-499","5) Rs 500+"))))</f>
        <v>3) Rs 100-199</v>
      </c>
      <c r="O1406" s="0" t="n">
        <f aca="false">G1406*E1406/1000</f>
        <v>0.72</v>
      </c>
    </row>
    <row r="1407" customFormat="false" ht="15" hidden="false" customHeight="false" outlineLevel="0" collapsed="false">
      <c r="A1407" s="0" t="s">
        <v>121</v>
      </c>
      <c r="B1407" s="0" t="s">
        <v>825</v>
      </c>
      <c r="C1407" s="0" t="n">
        <v>130</v>
      </c>
      <c r="D1407" s="0" t="n">
        <v>4</v>
      </c>
      <c r="E1407" s="0" t="n">
        <v>1</v>
      </c>
      <c r="F1407" s="0" t="n">
        <v>124</v>
      </c>
      <c r="G1407" s="0" t="n">
        <v>250</v>
      </c>
      <c r="H1407" s="0" t="s">
        <v>145</v>
      </c>
      <c r="I1407" s="0" t="n">
        <v>250</v>
      </c>
      <c r="J1407" s="0" t="n">
        <f aca="false">F1407*E1407</f>
        <v>124</v>
      </c>
      <c r="K1407" s="0" t="str">
        <f aca="false">IF(G1407&lt;1000,"1-Low",IF(G1407&lt;5000,"2-Medium","3-Bulk"))</f>
        <v>1-Low</v>
      </c>
      <c r="L1407" s="0" t="str">
        <f aca="false">IF(H1407="TRUE","Out of stock","In stock")</f>
        <v>In stock</v>
      </c>
      <c r="M1407" s="0" t="str">
        <f aca="false">IF(D1407&lt;5,"1) Under 5%",IF(D1407&lt;10,"2) 5-9%",IF(D1407&lt;15,"3) 10-14%",IF(D1407&lt;25,"4) 15-24%","5) 25%+"))))</f>
        <v>1) Under 5%</v>
      </c>
      <c r="N1407" s="0" t="str">
        <f aca="false">IF(F1407&lt;50,"1) Under Rs 50",IF(F1407&lt;100,"2) Rs 50-99",IF(F1407&lt;200,"3) Rs 100-199",IF(F1407&lt;500,"4) Rs 200-499","5) Rs 500+"))))</f>
        <v>3) Rs 100-199</v>
      </c>
      <c r="O1407" s="0" t="n">
        <f aca="false">G1407*E1407/1000</f>
        <v>0.25</v>
      </c>
    </row>
    <row r="1408" customFormat="false" ht="15" hidden="false" customHeight="false" outlineLevel="0" collapsed="false">
      <c r="A1408" s="0" t="s">
        <v>121</v>
      </c>
      <c r="B1408" s="0" t="s">
        <v>826</v>
      </c>
      <c r="C1408" s="0" t="n">
        <v>430</v>
      </c>
      <c r="D1408" s="0" t="n">
        <v>10</v>
      </c>
      <c r="E1408" s="0" t="n">
        <v>6</v>
      </c>
      <c r="F1408" s="0" t="n">
        <v>387</v>
      </c>
      <c r="G1408" s="0" t="n">
        <v>1200</v>
      </c>
      <c r="H1408" s="0" t="s">
        <v>145</v>
      </c>
      <c r="I1408" s="0" t="n">
        <v>1</v>
      </c>
      <c r="J1408" s="0" t="n">
        <f aca="false">F1408*E1408</f>
        <v>2322</v>
      </c>
      <c r="K1408" s="0" t="str">
        <f aca="false">IF(G1408&lt;1000,"1-Low",IF(G1408&lt;5000,"2-Medium","3-Bulk"))</f>
        <v>2-Medium</v>
      </c>
      <c r="L1408" s="0" t="str">
        <f aca="false">IF(H1408="TRUE","Out of stock","In stock")</f>
        <v>In stock</v>
      </c>
      <c r="M1408" s="0" t="str">
        <f aca="false">IF(D1408&lt;5,"1) Under 5%",IF(D1408&lt;10,"2) 5-9%",IF(D1408&lt;15,"3) 10-14%",IF(D1408&lt;25,"4) 15-24%","5) 25%+"))))</f>
        <v>3) 10-14%</v>
      </c>
      <c r="N1408" s="0" t="str">
        <f aca="false">IF(F1408&lt;50,"1) Under Rs 50",IF(F1408&lt;100,"2) Rs 50-99",IF(F1408&lt;200,"3) Rs 100-199",IF(F1408&lt;500,"4) Rs 200-499","5) Rs 500+"))))</f>
        <v>4) Rs 200-499</v>
      </c>
      <c r="O1408" s="0" t="n">
        <f aca="false">G1408*E1408/1000</f>
        <v>7.2</v>
      </c>
    </row>
    <row r="1409" customFormat="false" ht="15" hidden="false" customHeight="false" outlineLevel="0" collapsed="false">
      <c r="A1409" s="0" t="s">
        <v>121</v>
      </c>
      <c r="B1409" s="0" t="s">
        <v>827</v>
      </c>
      <c r="C1409" s="0" t="n">
        <v>10</v>
      </c>
      <c r="D1409" s="0" t="n">
        <v>0</v>
      </c>
      <c r="E1409" s="0" t="n">
        <v>1</v>
      </c>
      <c r="F1409" s="0" t="n">
        <v>10</v>
      </c>
      <c r="G1409" s="0" t="n">
        <v>15</v>
      </c>
      <c r="H1409" s="0" t="s">
        <v>145</v>
      </c>
      <c r="I1409" s="0" t="n">
        <v>15</v>
      </c>
      <c r="J1409" s="0" t="n">
        <f aca="false">F1409*E1409</f>
        <v>10</v>
      </c>
      <c r="K1409" s="0" t="str">
        <f aca="false">IF(G1409&lt;1000,"1-Low",IF(G1409&lt;5000,"2-Medium","3-Bulk"))</f>
        <v>1-Low</v>
      </c>
      <c r="L1409" s="0" t="str">
        <f aca="false">IF(H1409="TRUE","Out of stock","In stock")</f>
        <v>In stock</v>
      </c>
      <c r="M1409" s="0" t="str">
        <f aca="false">IF(D1409&lt;5,"1) Under 5%",IF(D1409&lt;10,"2) 5-9%",IF(D1409&lt;15,"3) 10-14%",IF(D1409&lt;25,"4) 15-24%","5) 25%+"))))</f>
        <v>1) Under 5%</v>
      </c>
      <c r="N1409" s="0" t="str">
        <f aca="false">IF(F1409&lt;50,"1) Under Rs 50",IF(F1409&lt;100,"2) Rs 50-99",IF(F1409&lt;200,"3) Rs 100-199",IF(F1409&lt;500,"4) Rs 200-499","5) Rs 500+"))))</f>
        <v>1) Under Rs 50</v>
      </c>
      <c r="O1409" s="0" t="n">
        <f aca="false">G1409*E1409/1000</f>
        <v>0.015</v>
      </c>
    </row>
    <row r="1410" customFormat="false" ht="15" hidden="false" customHeight="false" outlineLevel="0" collapsed="false">
      <c r="A1410" s="0" t="s">
        <v>121</v>
      </c>
      <c r="B1410" s="0" t="s">
        <v>828</v>
      </c>
      <c r="C1410" s="0" t="n">
        <v>197</v>
      </c>
      <c r="D1410" s="0" t="n">
        <v>2</v>
      </c>
      <c r="E1410" s="0" t="n">
        <v>6</v>
      </c>
      <c r="F1410" s="0" t="n">
        <v>193</v>
      </c>
      <c r="G1410" s="0" t="n">
        <v>500</v>
      </c>
      <c r="H1410" s="0" t="s">
        <v>145</v>
      </c>
      <c r="I1410" s="0" t="n">
        <v>500</v>
      </c>
      <c r="J1410" s="0" t="n">
        <f aca="false">F1410*E1410</f>
        <v>1158</v>
      </c>
      <c r="K1410" s="0" t="str">
        <f aca="false">IF(G1410&lt;1000,"1-Low",IF(G1410&lt;5000,"2-Medium","3-Bulk"))</f>
        <v>1-Low</v>
      </c>
      <c r="L1410" s="0" t="str">
        <f aca="false">IF(H1410="TRUE","Out of stock","In stock")</f>
        <v>In stock</v>
      </c>
      <c r="M1410" s="0" t="str">
        <f aca="false">IF(D1410&lt;5,"1) Under 5%",IF(D1410&lt;10,"2) 5-9%",IF(D1410&lt;15,"3) 10-14%",IF(D1410&lt;25,"4) 15-24%","5) 25%+"))))</f>
        <v>1) Under 5%</v>
      </c>
      <c r="N1410" s="0" t="str">
        <f aca="false">IF(F1410&lt;50,"1) Under Rs 50",IF(F1410&lt;100,"2) Rs 50-99",IF(F1410&lt;200,"3) Rs 100-199",IF(F1410&lt;500,"4) Rs 200-499","5) Rs 500+"))))</f>
        <v>3) Rs 100-199</v>
      </c>
      <c r="O1410" s="0" t="n">
        <f aca="false">G1410*E1410/1000</f>
        <v>3</v>
      </c>
    </row>
    <row r="1411" customFormat="false" ht="15" hidden="false" customHeight="false" outlineLevel="0" collapsed="false">
      <c r="A1411" s="0" t="s">
        <v>121</v>
      </c>
      <c r="B1411" s="0" t="s">
        <v>829</v>
      </c>
      <c r="C1411" s="0" t="n">
        <v>120</v>
      </c>
      <c r="D1411" s="0" t="n">
        <v>5</v>
      </c>
      <c r="E1411" s="0" t="n">
        <v>3</v>
      </c>
      <c r="F1411" s="0" t="n">
        <v>114</v>
      </c>
      <c r="G1411" s="0" t="n">
        <v>375</v>
      </c>
      <c r="H1411" s="0" t="s">
        <v>145</v>
      </c>
      <c r="I1411" s="0" t="n">
        <v>375</v>
      </c>
      <c r="J1411" s="0" t="n">
        <f aca="false">F1411*E1411</f>
        <v>342</v>
      </c>
      <c r="K1411" s="0" t="str">
        <f aca="false">IF(G1411&lt;1000,"1-Low",IF(G1411&lt;5000,"2-Medium","3-Bulk"))</f>
        <v>1-Low</v>
      </c>
      <c r="L1411" s="0" t="str">
        <f aca="false">IF(H1411="TRUE","Out of stock","In stock")</f>
        <v>In stock</v>
      </c>
      <c r="M1411" s="0" t="str">
        <f aca="false">IF(D1411&lt;5,"1) Under 5%",IF(D1411&lt;10,"2) 5-9%",IF(D1411&lt;15,"3) 10-14%",IF(D1411&lt;25,"4) 15-24%","5) 25%+"))))</f>
        <v>2) 5-9%</v>
      </c>
      <c r="N1411" s="0" t="str">
        <f aca="false">IF(F1411&lt;50,"1) Under Rs 50",IF(F1411&lt;100,"2) Rs 50-99",IF(F1411&lt;200,"3) Rs 100-199",IF(F1411&lt;500,"4) Rs 200-499","5) Rs 500+"))))</f>
        <v>3) Rs 100-199</v>
      </c>
      <c r="O1411" s="0" t="n">
        <f aca="false">G1411*E1411/1000</f>
        <v>1.125</v>
      </c>
    </row>
    <row r="1412" customFormat="false" ht="15" hidden="false" customHeight="false" outlineLevel="0" collapsed="false">
      <c r="A1412" s="0" t="s">
        <v>121</v>
      </c>
      <c r="B1412" s="0" t="s">
        <v>830</v>
      </c>
      <c r="C1412" s="0" t="n">
        <v>175</v>
      </c>
      <c r="D1412" s="0" t="n">
        <v>4</v>
      </c>
      <c r="E1412" s="0" t="n">
        <v>3</v>
      </c>
      <c r="F1412" s="0" t="n">
        <v>167</v>
      </c>
      <c r="G1412" s="0" t="n">
        <v>750</v>
      </c>
      <c r="H1412" s="0" t="s">
        <v>145</v>
      </c>
      <c r="I1412" s="0" t="n">
        <v>750</v>
      </c>
      <c r="J1412" s="0" t="n">
        <f aca="false">F1412*E1412</f>
        <v>501</v>
      </c>
      <c r="K1412" s="0" t="str">
        <f aca="false">IF(G1412&lt;1000,"1-Low",IF(G1412&lt;5000,"2-Medium","3-Bulk"))</f>
        <v>1-Low</v>
      </c>
      <c r="L1412" s="0" t="str">
        <f aca="false">IF(H1412="TRUE","Out of stock","In stock")</f>
        <v>In stock</v>
      </c>
      <c r="M1412" s="0" t="str">
        <f aca="false">IF(D1412&lt;5,"1) Under 5%",IF(D1412&lt;10,"2) 5-9%",IF(D1412&lt;15,"3) 10-14%",IF(D1412&lt;25,"4) 15-24%","5) 25%+"))))</f>
        <v>1) Under 5%</v>
      </c>
      <c r="N1412" s="0" t="str">
        <f aca="false">IF(F1412&lt;50,"1) Under Rs 50",IF(F1412&lt;100,"2) Rs 50-99",IF(F1412&lt;200,"3) Rs 100-199",IF(F1412&lt;500,"4) Rs 200-499","5) Rs 500+"))))</f>
        <v>3) Rs 100-199</v>
      </c>
      <c r="O1412" s="0" t="n">
        <f aca="false">G1412*E1412/1000</f>
        <v>2.25</v>
      </c>
    </row>
    <row r="1413" customFormat="false" ht="15" hidden="false" customHeight="false" outlineLevel="0" collapsed="false">
      <c r="A1413" s="0" t="s">
        <v>121</v>
      </c>
      <c r="B1413" s="0" t="s">
        <v>831</v>
      </c>
      <c r="C1413" s="0" t="n">
        <v>220</v>
      </c>
      <c r="D1413" s="0" t="n">
        <v>5</v>
      </c>
      <c r="E1413" s="0" t="n">
        <v>2</v>
      </c>
      <c r="F1413" s="0" t="n">
        <v>207</v>
      </c>
      <c r="G1413" s="0" t="n">
        <v>180</v>
      </c>
      <c r="H1413" s="0" t="s">
        <v>145</v>
      </c>
      <c r="I1413" s="0" t="n">
        <v>180</v>
      </c>
      <c r="J1413" s="0" t="n">
        <f aca="false">F1413*E1413</f>
        <v>414</v>
      </c>
      <c r="K1413" s="0" t="str">
        <f aca="false">IF(G1413&lt;1000,"1-Low",IF(G1413&lt;5000,"2-Medium","3-Bulk"))</f>
        <v>1-Low</v>
      </c>
      <c r="L1413" s="0" t="str">
        <f aca="false">IF(H1413="TRUE","Out of stock","In stock")</f>
        <v>In stock</v>
      </c>
      <c r="M1413" s="0" t="str">
        <f aca="false">IF(D1413&lt;5,"1) Under 5%",IF(D1413&lt;10,"2) 5-9%",IF(D1413&lt;15,"3) 10-14%",IF(D1413&lt;25,"4) 15-24%","5) 25%+"))))</f>
        <v>2) 5-9%</v>
      </c>
      <c r="N1413" s="0" t="str">
        <f aca="false">IF(F1413&lt;50,"1) Under Rs 50",IF(F1413&lt;100,"2) Rs 50-99",IF(F1413&lt;200,"3) Rs 100-199",IF(F1413&lt;500,"4) Rs 200-499","5) Rs 500+"))))</f>
        <v>4) Rs 200-499</v>
      </c>
      <c r="O1413" s="0" t="n">
        <f aca="false">G1413*E1413/1000</f>
        <v>0.36</v>
      </c>
    </row>
    <row r="1414" customFormat="false" ht="15" hidden="false" customHeight="false" outlineLevel="0" collapsed="false">
      <c r="A1414" s="0" t="s">
        <v>121</v>
      </c>
      <c r="B1414" s="0" t="s">
        <v>832</v>
      </c>
      <c r="C1414" s="0" t="n">
        <v>60</v>
      </c>
      <c r="D1414" s="0" t="n">
        <v>5</v>
      </c>
      <c r="E1414" s="0" t="n">
        <v>5</v>
      </c>
      <c r="F1414" s="0" t="n">
        <v>57</v>
      </c>
      <c r="G1414" s="0" t="n">
        <v>200</v>
      </c>
      <c r="H1414" s="0" t="s">
        <v>145</v>
      </c>
      <c r="I1414" s="0" t="n">
        <v>200</v>
      </c>
      <c r="J1414" s="0" t="n">
        <f aca="false">F1414*E1414</f>
        <v>285</v>
      </c>
      <c r="K1414" s="0" t="str">
        <f aca="false">IF(G1414&lt;1000,"1-Low",IF(G1414&lt;5000,"2-Medium","3-Bulk"))</f>
        <v>1-Low</v>
      </c>
      <c r="L1414" s="0" t="str">
        <f aca="false">IF(H1414="TRUE","Out of stock","In stock")</f>
        <v>In stock</v>
      </c>
      <c r="M1414" s="0" t="str">
        <f aca="false">IF(D1414&lt;5,"1) Under 5%",IF(D1414&lt;10,"2) 5-9%",IF(D1414&lt;15,"3) 10-14%",IF(D1414&lt;25,"4) 15-24%","5) 25%+"))))</f>
        <v>2) 5-9%</v>
      </c>
      <c r="N1414" s="0" t="str">
        <f aca="false">IF(F1414&lt;50,"1) Under Rs 50",IF(F1414&lt;100,"2) Rs 50-99",IF(F1414&lt;200,"3) Rs 100-199",IF(F1414&lt;500,"4) Rs 200-499","5) Rs 500+"))))</f>
        <v>2) Rs 50-99</v>
      </c>
      <c r="O1414" s="0" t="n">
        <f aca="false">G1414*E1414/1000</f>
        <v>1</v>
      </c>
    </row>
    <row r="1415" customFormat="false" ht="15" hidden="false" customHeight="false" outlineLevel="0" collapsed="false">
      <c r="A1415" s="0" t="s">
        <v>121</v>
      </c>
      <c r="B1415" s="0" t="s">
        <v>833</v>
      </c>
      <c r="C1415" s="0" t="n">
        <v>90</v>
      </c>
      <c r="D1415" s="0" t="n">
        <v>4</v>
      </c>
      <c r="E1415" s="0" t="n">
        <v>6</v>
      </c>
      <c r="F1415" s="0" t="n">
        <v>86</v>
      </c>
      <c r="G1415" s="0" t="n">
        <v>50</v>
      </c>
      <c r="H1415" s="0" t="s">
        <v>145</v>
      </c>
      <c r="I1415" s="0" t="n">
        <v>50</v>
      </c>
      <c r="J1415" s="0" t="n">
        <f aca="false">F1415*E1415</f>
        <v>516</v>
      </c>
      <c r="K1415" s="0" t="str">
        <f aca="false">IF(G1415&lt;1000,"1-Low",IF(G1415&lt;5000,"2-Medium","3-Bulk"))</f>
        <v>1-Low</v>
      </c>
      <c r="L1415" s="0" t="str">
        <f aca="false">IF(H1415="TRUE","Out of stock","In stock")</f>
        <v>In stock</v>
      </c>
      <c r="M1415" s="0" t="str">
        <f aca="false">IF(D1415&lt;5,"1) Under 5%",IF(D1415&lt;10,"2) 5-9%",IF(D1415&lt;15,"3) 10-14%",IF(D1415&lt;25,"4) 15-24%","5) 25%+"))))</f>
        <v>1) Under 5%</v>
      </c>
      <c r="N1415" s="0" t="str">
        <f aca="false">IF(F1415&lt;50,"1) Under Rs 50",IF(F1415&lt;100,"2) Rs 50-99",IF(F1415&lt;200,"3) Rs 100-199",IF(F1415&lt;500,"4) Rs 200-499","5) Rs 500+"))))</f>
        <v>2) Rs 50-99</v>
      </c>
      <c r="O1415" s="0" t="n">
        <f aca="false">G1415*E1415/1000</f>
        <v>0.3</v>
      </c>
    </row>
    <row r="1416" customFormat="false" ht="15" hidden="false" customHeight="false" outlineLevel="0" collapsed="false">
      <c r="A1416" s="0" t="s">
        <v>121</v>
      </c>
      <c r="B1416" s="0" t="s">
        <v>732</v>
      </c>
      <c r="C1416" s="0" t="n">
        <v>85</v>
      </c>
      <c r="D1416" s="0" t="n">
        <v>5</v>
      </c>
      <c r="E1416" s="0" t="n">
        <v>6</v>
      </c>
      <c r="F1416" s="0" t="n">
        <v>80</v>
      </c>
      <c r="G1416" s="0" t="n">
        <v>180</v>
      </c>
      <c r="H1416" s="0" t="s">
        <v>145</v>
      </c>
      <c r="I1416" s="0" t="n">
        <v>180</v>
      </c>
      <c r="J1416" s="0" t="n">
        <f aca="false">F1416*E1416</f>
        <v>480</v>
      </c>
      <c r="K1416" s="0" t="str">
        <f aca="false">IF(G1416&lt;1000,"1-Low",IF(G1416&lt;5000,"2-Medium","3-Bulk"))</f>
        <v>1-Low</v>
      </c>
      <c r="L1416" s="0" t="str">
        <f aca="false">IF(H1416="TRUE","Out of stock","In stock")</f>
        <v>In stock</v>
      </c>
      <c r="M1416" s="0" t="str">
        <f aca="false">IF(D1416&lt;5,"1) Under 5%",IF(D1416&lt;10,"2) 5-9%",IF(D1416&lt;15,"3) 10-14%",IF(D1416&lt;25,"4) 15-24%","5) 25%+"))))</f>
        <v>2) 5-9%</v>
      </c>
      <c r="N1416" s="0" t="str">
        <f aca="false">IF(F1416&lt;50,"1) Under Rs 50",IF(F1416&lt;100,"2) Rs 50-99",IF(F1416&lt;200,"3) Rs 100-199",IF(F1416&lt;500,"4) Rs 200-499","5) Rs 500+"))))</f>
        <v>2) Rs 50-99</v>
      </c>
      <c r="O1416" s="0" t="n">
        <f aca="false">G1416*E1416/1000</f>
        <v>1.08</v>
      </c>
    </row>
    <row r="1417" customFormat="false" ht="15" hidden="false" customHeight="false" outlineLevel="0" collapsed="false">
      <c r="A1417" s="0" t="s">
        <v>121</v>
      </c>
      <c r="B1417" s="0" t="s">
        <v>834</v>
      </c>
      <c r="C1417" s="0" t="n">
        <v>22</v>
      </c>
      <c r="D1417" s="0" t="n">
        <v>0</v>
      </c>
      <c r="E1417" s="0" t="n">
        <v>6</v>
      </c>
      <c r="F1417" s="0" t="n">
        <v>22</v>
      </c>
      <c r="G1417" s="0" t="n">
        <v>90</v>
      </c>
      <c r="H1417" s="0" t="s">
        <v>145</v>
      </c>
      <c r="I1417" s="0" t="n">
        <v>90</v>
      </c>
      <c r="J1417" s="0" t="n">
        <f aca="false">F1417*E1417</f>
        <v>132</v>
      </c>
      <c r="K1417" s="0" t="str">
        <f aca="false">IF(G1417&lt;1000,"1-Low",IF(G1417&lt;5000,"2-Medium","3-Bulk"))</f>
        <v>1-Low</v>
      </c>
      <c r="L1417" s="0" t="str">
        <f aca="false">IF(H1417="TRUE","Out of stock","In stock")</f>
        <v>In stock</v>
      </c>
      <c r="M1417" s="0" t="str">
        <f aca="false">IF(D1417&lt;5,"1) Under 5%",IF(D1417&lt;10,"2) 5-9%",IF(D1417&lt;15,"3) 10-14%",IF(D1417&lt;25,"4) 15-24%","5) 25%+"))))</f>
        <v>1) Under 5%</v>
      </c>
      <c r="N1417" s="0" t="str">
        <f aca="false">IF(F1417&lt;50,"1) Under Rs 50",IF(F1417&lt;100,"2) Rs 50-99",IF(F1417&lt;200,"3) Rs 100-199",IF(F1417&lt;500,"4) Rs 200-499","5) Rs 500+"))))</f>
        <v>1) Under Rs 50</v>
      </c>
      <c r="O1417" s="0" t="n">
        <f aca="false">G1417*E1417/1000</f>
        <v>0.54</v>
      </c>
    </row>
    <row r="1418" customFormat="false" ht="15" hidden="false" customHeight="false" outlineLevel="0" collapsed="false">
      <c r="A1418" s="0" t="s">
        <v>121</v>
      </c>
      <c r="B1418" s="0" t="s">
        <v>835</v>
      </c>
      <c r="C1418" s="0" t="n">
        <v>385</v>
      </c>
      <c r="D1418" s="0" t="n">
        <v>9</v>
      </c>
      <c r="E1418" s="0" t="n">
        <v>5</v>
      </c>
      <c r="F1418" s="0" t="n">
        <v>347</v>
      </c>
      <c r="G1418" s="0" t="n">
        <v>1100</v>
      </c>
      <c r="H1418" s="0" t="s">
        <v>145</v>
      </c>
      <c r="I1418" s="0" t="n">
        <v>1100</v>
      </c>
      <c r="J1418" s="0" t="n">
        <f aca="false">F1418*E1418</f>
        <v>1735</v>
      </c>
      <c r="K1418" s="0" t="str">
        <f aca="false">IF(G1418&lt;1000,"1-Low",IF(G1418&lt;5000,"2-Medium","3-Bulk"))</f>
        <v>2-Medium</v>
      </c>
      <c r="L1418" s="0" t="str">
        <f aca="false">IF(H1418="TRUE","Out of stock","In stock")</f>
        <v>In stock</v>
      </c>
      <c r="M1418" s="0" t="str">
        <f aca="false">IF(D1418&lt;5,"1) Under 5%",IF(D1418&lt;10,"2) 5-9%",IF(D1418&lt;15,"3) 10-14%",IF(D1418&lt;25,"4) 15-24%","5) 25%+"))))</f>
        <v>2) 5-9%</v>
      </c>
      <c r="N1418" s="0" t="str">
        <f aca="false">IF(F1418&lt;50,"1) Under Rs 50",IF(F1418&lt;100,"2) Rs 50-99",IF(F1418&lt;200,"3) Rs 100-199",IF(F1418&lt;500,"4) Rs 200-499","5) Rs 500+"))))</f>
        <v>4) Rs 200-499</v>
      </c>
      <c r="O1418" s="0" t="n">
        <f aca="false">G1418*E1418/1000</f>
        <v>5.5</v>
      </c>
    </row>
    <row r="1419" customFormat="false" ht="15" hidden="false" customHeight="false" outlineLevel="0" collapsed="false">
      <c r="A1419" s="0" t="s">
        <v>121</v>
      </c>
      <c r="B1419" s="0" t="s">
        <v>836</v>
      </c>
      <c r="C1419" s="0" t="n">
        <v>10</v>
      </c>
      <c r="D1419" s="0" t="n">
        <v>0</v>
      </c>
      <c r="E1419" s="0" t="n">
        <v>2</v>
      </c>
      <c r="F1419" s="0" t="n">
        <v>10</v>
      </c>
      <c r="G1419" s="0" t="n">
        <v>15</v>
      </c>
      <c r="H1419" s="0" t="s">
        <v>145</v>
      </c>
      <c r="I1419" s="0" t="n">
        <v>15</v>
      </c>
      <c r="J1419" s="0" t="n">
        <f aca="false">F1419*E1419</f>
        <v>20</v>
      </c>
      <c r="K1419" s="0" t="str">
        <f aca="false">IF(G1419&lt;1000,"1-Low",IF(G1419&lt;5000,"2-Medium","3-Bulk"))</f>
        <v>1-Low</v>
      </c>
      <c r="L1419" s="0" t="str">
        <f aca="false">IF(H1419="TRUE","Out of stock","In stock")</f>
        <v>In stock</v>
      </c>
      <c r="M1419" s="0" t="str">
        <f aca="false">IF(D1419&lt;5,"1) Under 5%",IF(D1419&lt;10,"2) 5-9%",IF(D1419&lt;15,"3) 10-14%",IF(D1419&lt;25,"4) 15-24%","5) 25%+"))))</f>
        <v>1) Under 5%</v>
      </c>
      <c r="N1419" s="0" t="str">
        <f aca="false">IF(F1419&lt;50,"1) Under Rs 50",IF(F1419&lt;100,"2) Rs 50-99",IF(F1419&lt;200,"3) Rs 100-199",IF(F1419&lt;500,"4) Rs 200-499","5) Rs 500+"))))</f>
        <v>1) Under Rs 50</v>
      </c>
      <c r="O1419" s="0" t="n">
        <f aca="false">G1419*E1419/1000</f>
        <v>0.03</v>
      </c>
    </row>
    <row r="1420" customFormat="false" ht="15" hidden="false" customHeight="false" outlineLevel="0" collapsed="false">
      <c r="A1420" s="0" t="s">
        <v>121</v>
      </c>
      <c r="B1420" s="0" t="s">
        <v>837</v>
      </c>
      <c r="C1420" s="0" t="n">
        <v>35</v>
      </c>
      <c r="D1420" s="0" t="n">
        <v>5</v>
      </c>
      <c r="E1420" s="0" t="n">
        <v>2</v>
      </c>
      <c r="F1420" s="0" t="n">
        <v>33</v>
      </c>
      <c r="G1420" s="0" t="n">
        <v>85</v>
      </c>
      <c r="H1420" s="0" t="s">
        <v>145</v>
      </c>
      <c r="I1420" s="0" t="n">
        <v>85</v>
      </c>
      <c r="J1420" s="0" t="n">
        <f aca="false">F1420*E1420</f>
        <v>66</v>
      </c>
      <c r="K1420" s="0" t="str">
        <f aca="false">IF(G1420&lt;1000,"1-Low",IF(G1420&lt;5000,"2-Medium","3-Bulk"))</f>
        <v>1-Low</v>
      </c>
      <c r="L1420" s="0" t="str">
        <f aca="false">IF(H1420="TRUE","Out of stock","In stock")</f>
        <v>In stock</v>
      </c>
      <c r="M1420" s="0" t="str">
        <f aca="false">IF(D1420&lt;5,"1) Under 5%",IF(D1420&lt;10,"2) 5-9%",IF(D1420&lt;15,"3) 10-14%",IF(D1420&lt;25,"4) 15-24%","5) 25%+"))))</f>
        <v>2) 5-9%</v>
      </c>
      <c r="N1420" s="0" t="str">
        <f aca="false">IF(F1420&lt;50,"1) Under Rs 50",IF(F1420&lt;100,"2) Rs 50-99",IF(F1420&lt;200,"3) Rs 100-199",IF(F1420&lt;500,"4) Rs 200-499","5) Rs 500+"))))</f>
        <v>1) Under Rs 50</v>
      </c>
      <c r="O1420" s="0" t="n">
        <f aca="false">G1420*E1420/1000</f>
        <v>0.17</v>
      </c>
    </row>
    <row r="1421" customFormat="false" ht="15" hidden="false" customHeight="false" outlineLevel="0" collapsed="false">
      <c r="A1421" s="0" t="s">
        <v>121</v>
      </c>
      <c r="B1421" s="0" t="s">
        <v>838</v>
      </c>
      <c r="C1421" s="0" t="n">
        <v>120</v>
      </c>
      <c r="D1421" s="0" t="n">
        <v>5</v>
      </c>
      <c r="E1421" s="0" t="n">
        <v>6</v>
      </c>
      <c r="F1421" s="0" t="n">
        <v>114</v>
      </c>
      <c r="G1421" s="0" t="n">
        <v>400</v>
      </c>
      <c r="H1421" s="0" t="s">
        <v>145</v>
      </c>
      <c r="I1421" s="0" t="n">
        <v>400</v>
      </c>
      <c r="J1421" s="0" t="n">
        <f aca="false">F1421*E1421</f>
        <v>684</v>
      </c>
      <c r="K1421" s="0" t="str">
        <f aca="false">IF(G1421&lt;1000,"1-Low",IF(G1421&lt;5000,"2-Medium","3-Bulk"))</f>
        <v>1-Low</v>
      </c>
      <c r="L1421" s="0" t="str">
        <f aca="false">IF(H1421="TRUE","Out of stock","In stock")</f>
        <v>In stock</v>
      </c>
      <c r="M1421" s="0" t="str">
        <f aca="false">IF(D1421&lt;5,"1) Under 5%",IF(D1421&lt;10,"2) 5-9%",IF(D1421&lt;15,"3) 10-14%",IF(D1421&lt;25,"4) 15-24%","5) 25%+"))))</f>
        <v>2) 5-9%</v>
      </c>
      <c r="N1421" s="0" t="str">
        <f aca="false">IF(F1421&lt;50,"1) Under Rs 50",IF(F1421&lt;100,"2) Rs 50-99",IF(F1421&lt;200,"3) Rs 100-199",IF(F1421&lt;500,"4) Rs 200-499","5) Rs 500+"))))</f>
        <v>3) Rs 100-199</v>
      </c>
      <c r="O1421" s="0" t="n">
        <f aca="false">G1421*E1421/1000</f>
        <v>2.4</v>
      </c>
    </row>
    <row r="1422" customFormat="false" ht="15" hidden="false" customHeight="false" outlineLevel="0" collapsed="false">
      <c r="A1422" s="0" t="s">
        <v>121</v>
      </c>
      <c r="B1422" s="0" t="s">
        <v>839</v>
      </c>
      <c r="C1422" s="0" t="n">
        <v>100</v>
      </c>
      <c r="D1422" s="0" t="n">
        <v>10</v>
      </c>
      <c r="E1422" s="0" t="n">
        <v>6</v>
      </c>
      <c r="F1422" s="0" t="n">
        <v>90</v>
      </c>
      <c r="G1422" s="0" t="n">
        <v>52</v>
      </c>
      <c r="H1422" s="0" t="s">
        <v>145</v>
      </c>
      <c r="I1422" s="0" t="n">
        <v>52</v>
      </c>
      <c r="J1422" s="0" t="n">
        <f aca="false">F1422*E1422</f>
        <v>540</v>
      </c>
      <c r="K1422" s="0" t="str">
        <f aca="false">IF(G1422&lt;1000,"1-Low",IF(G1422&lt;5000,"2-Medium","3-Bulk"))</f>
        <v>1-Low</v>
      </c>
      <c r="L1422" s="0" t="str">
        <f aca="false">IF(H1422="TRUE","Out of stock","In stock")</f>
        <v>In stock</v>
      </c>
      <c r="M1422" s="0" t="str">
        <f aca="false">IF(D1422&lt;5,"1) Under 5%",IF(D1422&lt;10,"2) 5-9%",IF(D1422&lt;15,"3) 10-14%",IF(D1422&lt;25,"4) 15-24%","5) 25%+"))))</f>
        <v>3) 10-14%</v>
      </c>
      <c r="N1422" s="0" t="str">
        <f aca="false">IF(F1422&lt;50,"1) Under Rs 50",IF(F1422&lt;100,"2) Rs 50-99",IF(F1422&lt;200,"3) Rs 100-199",IF(F1422&lt;500,"4) Rs 200-499","5) Rs 500+"))))</f>
        <v>2) Rs 50-99</v>
      </c>
      <c r="O1422" s="0" t="n">
        <f aca="false">G1422*E1422/1000</f>
        <v>0.312</v>
      </c>
    </row>
    <row r="1423" customFormat="false" ht="15" hidden="false" customHeight="false" outlineLevel="0" collapsed="false">
      <c r="A1423" s="0" t="s">
        <v>121</v>
      </c>
      <c r="B1423" s="0" t="s">
        <v>840</v>
      </c>
      <c r="C1423" s="0" t="n">
        <v>68</v>
      </c>
      <c r="D1423" s="0" t="n">
        <v>4</v>
      </c>
      <c r="E1423" s="0" t="n">
        <v>1</v>
      </c>
      <c r="F1423" s="0" t="n">
        <v>65</v>
      </c>
      <c r="G1423" s="0" t="n">
        <v>425</v>
      </c>
      <c r="H1423" s="0" t="s">
        <v>145</v>
      </c>
      <c r="I1423" s="0" t="n">
        <v>425</v>
      </c>
      <c r="J1423" s="0" t="n">
        <f aca="false">F1423*E1423</f>
        <v>65</v>
      </c>
      <c r="K1423" s="0" t="str">
        <f aca="false">IF(G1423&lt;1000,"1-Low",IF(G1423&lt;5000,"2-Medium","3-Bulk"))</f>
        <v>1-Low</v>
      </c>
      <c r="L1423" s="0" t="str">
        <f aca="false">IF(H1423="TRUE","Out of stock","In stock")</f>
        <v>In stock</v>
      </c>
      <c r="M1423" s="0" t="str">
        <f aca="false">IF(D1423&lt;5,"1) Under 5%",IF(D1423&lt;10,"2) 5-9%",IF(D1423&lt;15,"3) 10-14%",IF(D1423&lt;25,"4) 15-24%","5) 25%+"))))</f>
        <v>1) Under 5%</v>
      </c>
      <c r="N1423" s="0" t="str">
        <f aca="false">IF(F1423&lt;50,"1) Under Rs 50",IF(F1423&lt;100,"2) Rs 50-99",IF(F1423&lt;200,"3) Rs 100-199",IF(F1423&lt;500,"4) Rs 200-499","5) Rs 500+"))))</f>
        <v>2) Rs 50-99</v>
      </c>
      <c r="O1423" s="0" t="n">
        <f aca="false">G1423*E1423/1000</f>
        <v>0.425</v>
      </c>
    </row>
    <row r="1424" customFormat="false" ht="15" hidden="false" customHeight="false" outlineLevel="0" collapsed="false">
      <c r="A1424" s="0" t="s">
        <v>121</v>
      </c>
      <c r="B1424" s="0" t="s">
        <v>841</v>
      </c>
      <c r="C1424" s="0" t="n">
        <v>380</v>
      </c>
      <c r="D1424" s="0" t="n">
        <v>6</v>
      </c>
      <c r="E1424" s="0" t="n">
        <v>5</v>
      </c>
      <c r="F1424" s="0" t="n">
        <v>357</v>
      </c>
      <c r="G1424" s="0" t="n">
        <v>350</v>
      </c>
      <c r="H1424" s="0" t="s">
        <v>145</v>
      </c>
      <c r="I1424" s="0" t="n">
        <v>350</v>
      </c>
      <c r="J1424" s="0" t="n">
        <f aca="false">F1424*E1424</f>
        <v>1785</v>
      </c>
      <c r="K1424" s="0" t="str">
        <f aca="false">IF(G1424&lt;1000,"1-Low",IF(G1424&lt;5000,"2-Medium","3-Bulk"))</f>
        <v>1-Low</v>
      </c>
      <c r="L1424" s="0" t="str">
        <f aca="false">IF(H1424="TRUE","Out of stock","In stock")</f>
        <v>In stock</v>
      </c>
      <c r="M1424" s="0" t="str">
        <f aca="false">IF(D1424&lt;5,"1) Under 5%",IF(D1424&lt;10,"2) 5-9%",IF(D1424&lt;15,"3) 10-14%",IF(D1424&lt;25,"4) 15-24%","5) 25%+"))))</f>
        <v>2) 5-9%</v>
      </c>
      <c r="N1424" s="0" t="str">
        <f aca="false">IF(F1424&lt;50,"1) Under Rs 50",IF(F1424&lt;100,"2) Rs 50-99",IF(F1424&lt;200,"3) Rs 100-199",IF(F1424&lt;500,"4) Rs 200-499","5) Rs 500+"))))</f>
        <v>4) Rs 200-499</v>
      </c>
      <c r="O1424" s="0" t="n">
        <f aca="false">G1424*E1424/1000</f>
        <v>1.75</v>
      </c>
    </row>
    <row r="1425" customFormat="false" ht="15" hidden="false" customHeight="false" outlineLevel="0" collapsed="false">
      <c r="A1425" s="0" t="s">
        <v>121</v>
      </c>
      <c r="B1425" s="0" t="s">
        <v>842</v>
      </c>
      <c r="C1425" s="0" t="n">
        <v>161</v>
      </c>
      <c r="D1425" s="0" t="n">
        <v>7</v>
      </c>
      <c r="E1425" s="0" t="n">
        <v>4</v>
      </c>
      <c r="F1425" s="0" t="n">
        <v>149</v>
      </c>
      <c r="G1425" s="0" t="n">
        <v>300</v>
      </c>
      <c r="H1425" s="0" t="s">
        <v>145</v>
      </c>
      <c r="I1425" s="0" t="n">
        <v>300</v>
      </c>
      <c r="J1425" s="0" t="n">
        <f aca="false">F1425*E1425</f>
        <v>596</v>
      </c>
      <c r="K1425" s="0" t="str">
        <f aca="false">IF(G1425&lt;1000,"1-Low",IF(G1425&lt;5000,"2-Medium","3-Bulk"))</f>
        <v>1-Low</v>
      </c>
      <c r="L1425" s="0" t="str">
        <f aca="false">IF(H1425="TRUE","Out of stock","In stock")</f>
        <v>In stock</v>
      </c>
      <c r="M1425" s="0" t="str">
        <f aca="false">IF(D1425&lt;5,"1) Under 5%",IF(D1425&lt;10,"2) 5-9%",IF(D1425&lt;15,"3) 10-14%",IF(D1425&lt;25,"4) 15-24%","5) 25%+"))))</f>
        <v>2) 5-9%</v>
      </c>
      <c r="N1425" s="0" t="str">
        <f aca="false">IF(F1425&lt;50,"1) Under Rs 50",IF(F1425&lt;100,"2) Rs 50-99",IF(F1425&lt;200,"3) Rs 100-199",IF(F1425&lt;500,"4) Rs 200-499","5) Rs 500+"))))</f>
        <v>3) Rs 100-199</v>
      </c>
      <c r="O1425" s="0" t="n">
        <f aca="false">G1425*E1425/1000</f>
        <v>1.2</v>
      </c>
    </row>
    <row r="1426" customFormat="false" ht="15" hidden="false" customHeight="false" outlineLevel="0" collapsed="false">
      <c r="A1426" s="0" t="s">
        <v>121</v>
      </c>
      <c r="B1426" s="0" t="s">
        <v>843</v>
      </c>
      <c r="C1426" s="0" t="n">
        <v>15</v>
      </c>
      <c r="D1426" s="0" t="n">
        <v>0</v>
      </c>
      <c r="E1426" s="0" t="n">
        <v>6</v>
      </c>
      <c r="F1426" s="0" t="n">
        <v>15</v>
      </c>
      <c r="G1426" s="0" t="n">
        <v>20</v>
      </c>
      <c r="H1426" s="0" t="s">
        <v>145</v>
      </c>
      <c r="I1426" s="0" t="n">
        <v>20</v>
      </c>
      <c r="J1426" s="0" t="n">
        <f aca="false">F1426*E1426</f>
        <v>90</v>
      </c>
      <c r="K1426" s="0" t="str">
        <f aca="false">IF(G1426&lt;1000,"1-Low",IF(G1426&lt;5000,"2-Medium","3-Bulk"))</f>
        <v>1-Low</v>
      </c>
      <c r="L1426" s="0" t="str">
        <f aca="false">IF(H1426="TRUE","Out of stock","In stock")</f>
        <v>In stock</v>
      </c>
      <c r="M1426" s="0" t="str">
        <f aca="false">IF(D1426&lt;5,"1) Under 5%",IF(D1426&lt;10,"2) 5-9%",IF(D1426&lt;15,"3) 10-14%",IF(D1426&lt;25,"4) 15-24%","5) 25%+"))))</f>
        <v>1) Under 5%</v>
      </c>
      <c r="N1426" s="0" t="str">
        <f aca="false">IF(F1426&lt;50,"1) Under Rs 50",IF(F1426&lt;100,"2) Rs 50-99",IF(F1426&lt;200,"3) Rs 100-199",IF(F1426&lt;500,"4) Rs 200-499","5) Rs 500+"))))</f>
        <v>1) Under Rs 50</v>
      </c>
      <c r="O1426" s="0" t="n">
        <f aca="false">G1426*E1426/1000</f>
        <v>0.12</v>
      </c>
    </row>
    <row r="1427" customFormat="false" ht="15" hidden="false" customHeight="false" outlineLevel="0" collapsed="false">
      <c r="A1427" s="0" t="s">
        <v>121</v>
      </c>
      <c r="B1427" s="0" t="s">
        <v>844</v>
      </c>
      <c r="C1427" s="0" t="n">
        <v>50</v>
      </c>
      <c r="D1427" s="0" t="n">
        <v>12</v>
      </c>
      <c r="E1427" s="0" t="n">
        <v>1</v>
      </c>
      <c r="F1427" s="0" t="n">
        <v>44</v>
      </c>
      <c r="G1427" s="0" t="n">
        <v>50</v>
      </c>
      <c r="H1427" s="0" t="s">
        <v>145</v>
      </c>
      <c r="I1427" s="0" t="n">
        <v>50</v>
      </c>
      <c r="J1427" s="0" t="n">
        <f aca="false">F1427*E1427</f>
        <v>44</v>
      </c>
      <c r="K1427" s="0" t="str">
        <f aca="false">IF(G1427&lt;1000,"1-Low",IF(G1427&lt;5000,"2-Medium","3-Bulk"))</f>
        <v>1-Low</v>
      </c>
      <c r="L1427" s="0" t="str">
        <f aca="false">IF(H1427="TRUE","Out of stock","In stock")</f>
        <v>In stock</v>
      </c>
      <c r="M1427" s="0" t="str">
        <f aca="false">IF(D1427&lt;5,"1) Under 5%",IF(D1427&lt;10,"2) 5-9%",IF(D1427&lt;15,"3) 10-14%",IF(D1427&lt;25,"4) 15-24%","5) 25%+"))))</f>
        <v>3) 10-14%</v>
      </c>
      <c r="N1427" s="0" t="str">
        <f aca="false">IF(F1427&lt;50,"1) Under Rs 50",IF(F1427&lt;100,"2) Rs 50-99",IF(F1427&lt;200,"3) Rs 100-199",IF(F1427&lt;500,"4) Rs 200-499","5) Rs 500+"))))</f>
        <v>1) Under Rs 50</v>
      </c>
      <c r="O1427" s="0" t="n">
        <f aca="false">G1427*E1427/1000</f>
        <v>0.05</v>
      </c>
    </row>
    <row r="1428" customFormat="false" ht="15" hidden="false" customHeight="false" outlineLevel="0" collapsed="false">
      <c r="A1428" s="0" t="s">
        <v>121</v>
      </c>
      <c r="B1428" s="0" t="s">
        <v>272</v>
      </c>
      <c r="C1428" s="0" t="n">
        <v>199</v>
      </c>
      <c r="D1428" s="0" t="n">
        <v>7</v>
      </c>
      <c r="E1428" s="0" t="n">
        <v>6</v>
      </c>
      <c r="F1428" s="0" t="n">
        <v>184</v>
      </c>
      <c r="G1428" s="0" t="n">
        <v>1000</v>
      </c>
      <c r="H1428" s="0" t="s">
        <v>145</v>
      </c>
      <c r="I1428" s="0" t="n">
        <v>1</v>
      </c>
      <c r="J1428" s="0" t="n">
        <f aca="false">F1428*E1428</f>
        <v>1104</v>
      </c>
      <c r="K1428" s="0" t="str">
        <f aca="false">IF(G1428&lt;1000,"1-Low",IF(G1428&lt;5000,"2-Medium","3-Bulk"))</f>
        <v>2-Medium</v>
      </c>
      <c r="L1428" s="0" t="str">
        <f aca="false">IF(H1428="TRUE","Out of stock","In stock")</f>
        <v>In stock</v>
      </c>
      <c r="M1428" s="0" t="str">
        <f aca="false">IF(D1428&lt;5,"1) Under 5%",IF(D1428&lt;10,"2) 5-9%",IF(D1428&lt;15,"3) 10-14%",IF(D1428&lt;25,"4) 15-24%","5) 25%+"))))</f>
        <v>2) 5-9%</v>
      </c>
      <c r="N1428" s="0" t="str">
        <f aca="false">IF(F1428&lt;50,"1) Under Rs 50",IF(F1428&lt;100,"2) Rs 50-99",IF(F1428&lt;200,"3) Rs 100-199",IF(F1428&lt;500,"4) Rs 200-499","5) Rs 500+"))))</f>
        <v>3) Rs 100-199</v>
      </c>
      <c r="O1428" s="0" t="n">
        <f aca="false">G1428*E1428/1000</f>
        <v>6</v>
      </c>
    </row>
    <row r="1429" customFormat="false" ht="15" hidden="false" customHeight="false" outlineLevel="0" collapsed="false">
      <c r="A1429" s="0" t="s">
        <v>121</v>
      </c>
      <c r="B1429" s="0" t="s">
        <v>845</v>
      </c>
      <c r="C1429" s="0" t="n">
        <v>55</v>
      </c>
      <c r="D1429" s="0" t="n">
        <v>25</v>
      </c>
      <c r="E1429" s="0" t="n">
        <v>6</v>
      </c>
      <c r="F1429" s="0" t="n">
        <v>41</v>
      </c>
      <c r="G1429" s="0" t="n">
        <v>27</v>
      </c>
      <c r="H1429" s="0" t="s">
        <v>145</v>
      </c>
      <c r="I1429" s="0" t="n">
        <v>27</v>
      </c>
      <c r="J1429" s="0" t="n">
        <f aca="false">F1429*E1429</f>
        <v>246</v>
      </c>
      <c r="K1429" s="0" t="str">
        <f aca="false">IF(G1429&lt;1000,"1-Low",IF(G1429&lt;5000,"2-Medium","3-Bulk"))</f>
        <v>1-Low</v>
      </c>
      <c r="L1429" s="0" t="str">
        <f aca="false">IF(H1429="TRUE","Out of stock","In stock")</f>
        <v>In stock</v>
      </c>
      <c r="M1429" s="0" t="str">
        <f aca="false">IF(D1429&lt;5,"1) Under 5%",IF(D1429&lt;10,"2) 5-9%",IF(D1429&lt;15,"3) 10-14%",IF(D1429&lt;25,"4) 15-24%","5) 25%+"))))</f>
        <v>5) 25%+</v>
      </c>
      <c r="N1429" s="0" t="str">
        <f aca="false">IF(F1429&lt;50,"1) Under Rs 50",IF(F1429&lt;100,"2) Rs 50-99",IF(F1429&lt;200,"3) Rs 100-199",IF(F1429&lt;500,"4) Rs 200-499","5) Rs 500+"))))</f>
        <v>1) Under Rs 50</v>
      </c>
      <c r="O1429" s="0" t="n">
        <f aca="false">G1429*E1429/1000</f>
        <v>0.162</v>
      </c>
    </row>
    <row r="1430" customFormat="false" ht="15" hidden="false" customHeight="false" outlineLevel="0" collapsed="false">
      <c r="A1430" s="0" t="s">
        <v>121</v>
      </c>
      <c r="B1430" s="0" t="s">
        <v>846</v>
      </c>
      <c r="C1430" s="0" t="n">
        <v>90</v>
      </c>
      <c r="D1430" s="0" t="n">
        <v>4</v>
      </c>
      <c r="E1430" s="0" t="n">
        <v>6</v>
      </c>
      <c r="F1430" s="0" t="n">
        <v>86</v>
      </c>
      <c r="G1430" s="0" t="n">
        <v>1160</v>
      </c>
      <c r="H1430" s="0" t="s">
        <v>145</v>
      </c>
      <c r="I1430" s="0" t="n">
        <v>20</v>
      </c>
      <c r="J1430" s="0" t="n">
        <f aca="false">F1430*E1430</f>
        <v>516</v>
      </c>
      <c r="K1430" s="0" t="str">
        <f aca="false">IF(G1430&lt;1000,"1-Low",IF(G1430&lt;5000,"2-Medium","3-Bulk"))</f>
        <v>2-Medium</v>
      </c>
      <c r="L1430" s="0" t="str">
        <f aca="false">IF(H1430="TRUE","Out of stock","In stock")</f>
        <v>In stock</v>
      </c>
      <c r="M1430" s="0" t="str">
        <f aca="false">IF(D1430&lt;5,"1) Under 5%",IF(D1430&lt;10,"2) 5-9%",IF(D1430&lt;15,"3) 10-14%",IF(D1430&lt;25,"4) 15-24%","5) 25%+"))))</f>
        <v>1) Under 5%</v>
      </c>
      <c r="N1430" s="0" t="str">
        <f aca="false">IF(F1430&lt;50,"1) Under Rs 50",IF(F1430&lt;100,"2) Rs 50-99",IF(F1430&lt;200,"3) Rs 100-199",IF(F1430&lt;500,"4) Rs 200-499","5) Rs 500+"))))</f>
        <v>2) Rs 50-99</v>
      </c>
      <c r="O1430" s="0" t="n">
        <f aca="false">G1430*E1430/1000</f>
        <v>6.96</v>
      </c>
    </row>
    <row r="1431" customFormat="false" ht="15" hidden="false" customHeight="false" outlineLevel="0" collapsed="false">
      <c r="A1431" s="0" t="s">
        <v>121</v>
      </c>
      <c r="B1431" s="0" t="s">
        <v>847</v>
      </c>
      <c r="C1431" s="0" t="n">
        <v>40</v>
      </c>
      <c r="D1431" s="0" t="n">
        <v>17</v>
      </c>
      <c r="E1431" s="0" t="n">
        <v>6</v>
      </c>
      <c r="F1431" s="0" t="n">
        <v>33</v>
      </c>
      <c r="G1431" s="0" t="n">
        <v>30</v>
      </c>
      <c r="H1431" s="0" t="s">
        <v>145</v>
      </c>
      <c r="I1431" s="0" t="n">
        <v>30</v>
      </c>
      <c r="J1431" s="0" t="n">
        <f aca="false">F1431*E1431</f>
        <v>198</v>
      </c>
      <c r="K1431" s="0" t="str">
        <f aca="false">IF(G1431&lt;1000,"1-Low",IF(G1431&lt;5000,"2-Medium","3-Bulk"))</f>
        <v>1-Low</v>
      </c>
      <c r="L1431" s="0" t="str">
        <f aca="false">IF(H1431="TRUE","Out of stock","In stock")</f>
        <v>In stock</v>
      </c>
      <c r="M1431" s="0" t="str">
        <f aca="false">IF(D1431&lt;5,"1) Under 5%",IF(D1431&lt;10,"2) 5-9%",IF(D1431&lt;15,"3) 10-14%",IF(D1431&lt;25,"4) 15-24%","5) 25%+"))))</f>
        <v>4) 15-24%</v>
      </c>
      <c r="N1431" s="0" t="str">
        <f aca="false">IF(F1431&lt;50,"1) Under Rs 50",IF(F1431&lt;100,"2) Rs 50-99",IF(F1431&lt;200,"3) Rs 100-199",IF(F1431&lt;500,"4) Rs 200-499","5) Rs 500+"))))</f>
        <v>1) Under Rs 50</v>
      </c>
      <c r="O1431" s="0" t="n">
        <f aca="false">G1431*E1431/1000</f>
        <v>0.18</v>
      </c>
    </row>
    <row r="1432" customFormat="false" ht="15" hidden="false" customHeight="false" outlineLevel="0" collapsed="false">
      <c r="A1432" s="0" t="s">
        <v>121</v>
      </c>
      <c r="B1432" s="0" t="s">
        <v>848</v>
      </c>
      <c r="C1432" s="0" t="n">
        <v>10</v>
      </c>
      <c r="D1432" s="0" t="n">
        <v>0</v>
      </c>
      <c r="E1432" s="0" t="n">
        <v>1</v>
      </c>
      <c r="F1432" s="0" t="n">
        <v>10</v>
      </c>
      <c r="G1432" s="0" t="n">
        <v>16</v>
      </c>
      <c r="H1432" s="0" t="s">
        <v>145</v>
      </c>
      <c r="I1432" s="0" t="n">
        <v>15</v>
      </c>
      <c r="J1432" s="0" t="n">
        <f aca="false">F1432*E1432</f>
        <v>10</v>
      </c>
      <c r="K1432" s="0" t="str">
        <f aca="false">IF(G1432&lt;1000,"1-Low",IF(G1432&lt;5000,"2-Medium","3-Bulk"))</f>
        <v>1-Low</v>
      </c>
      <c r="L1432" s="0" t="str">
        <f aca="false">IF(H1432="TRUE","Out of stock","In stock")</f>
        <v>In stock</v>
      </c>
      <c r="M1432" s="0" t="str">
        <f aca="false">IF(D1432&lt;5,"1) Under 5%",IF(D1432&lt;10,"2) 5-9%",IF(D1432&lt;15,"3) 10-14%",IF(D1432&lt;25,"4) 15-24%","5) 25%+"))))</f>
        <v>1) Under 5%</v>
      </c>
      <c r="N1432" s="0" t="str">
        <f aca="false">IF(F1432&lt;50,"1) Under Rs 50",IF(F1432&lt;100,"2) Rs 50-99",IF(F1432&lt;200,"3) Rs 100-199",IF(F1432&lt;500,"4) Rs 200-499","5) Rs 500+"))))</f>
        <v>1) Under Rs 50</v>
      </c>
      <c r="O1432" s="0" t="n">
        <f aca="false">G1432*E1432/1000</f>
        <v>0.016</v>
      </c>
    </row>
    <row r="1433" customFormat="false" ht="15" hidden="false" customHeight="false" outlineLevel="0" collapsed="false">
      <c r="A1433" s="0" t="s">
        <v>121</v>
      </c>
      <c r="B1433" s="0" t="s">
        <v>327</v>
      </c>
      <c r="C1433" s="0" t="n">
        <v>160</v>
      </c>
      <c r="D1433" s="0" t="n">
        <v>50</v>
      </c>
      <c r="E1433" s="0" t="n">
        <v>6</v>
      </c>
      <c r="F1433" s="0" t="n">
        <v>80</v>
      </c>
      <c r="G1433" s="0" t="n">
        <v>500</v>
      </c>
      <c r="H1433" s="0" t="s">
        <v>145</v>
      </c>
      <c r="I1433" s="0" t="n">
        <v>500</v>
      </c>
      <c r="J1433" s="0" t="n">
        <f aca="false">F1433*E1433</f>
        <v>480</v>
      </c>
      <c r="K1433" s="0" t="str">
        <f aca="false">IF(G1433&lt;1000,"1-Low",IF(G1433&lt;5000,"2-Medium","3-Bulk"))</f>
        <v>1-Low</v>
      </c>
      <c r="L1433" s="0" t="str">
        <f aca="false">IF(H1433="TRUE","Out of stock","In stock")</f>
        <v>In stock</v>
      </c>
      <c r="M1433" s="0" t="str">
        <f aca="false">IF(D1433&lt;5,"1) Under 5%",IF(D1433&lt;10,"2) 5-9%",IF(D1433&lt;15,"3) 10-14%",IF(D1433&lt;25,"4) 15-24%","5) 25%+"))))</f>
        <v>5) 25%+</v>
      </c>
      <c r="N1433" s="0" t="str">
        <f aca="false">IF(F1433&lt;50,"1) Under Rs 50",IF(F1433&lt;100,"2) Rs 50-99",IF(F1433&lt;200,"3) Rs 100-199",IF(F1433&lt;500,"4) Rs 200-499","5) Rs 500+"))))</f>
        <v>2) Rs 50-99</v>
      </c>
      <c r="O1433" s="0" t="n">
        <f aca="false">G1433*E1433/1000</f>
        <v>3</v>
      </c>
    </row>
    <row r="1434" customFormat="false" ht="15" hidden="false" customHeight="false" outlineLevel="0" collapsed="false">
      <c r="A1434" s="0" t="s">
        <v>121</v>
      </c>
      <c r="B1434" s="0" t="s">
        <v>326</v>
      </c>
      <c r="C1434" s="0" t="n">
        <v>60</v>
      </c>
      <c r="D1434" s="0" t="n">
        <v>28</v>
      </c>
      <c r="E1434" s="0" t="n">
        <v>3</v>
      </c>
      <c r="F1434" s="0" t="n">
        <v>43</v>
      </c>
      <c r="G1434" s="0" t="n">
        <v>260</v>
      </c>
      <c r="H1434" s="0" t="s">
        <v>145</v>
      </c>
      <c r="I1434" s="0" t="n">
        <v>260</v>
      </c>
      <c r="J1434" s="0" t="n">
        <f aca="false">F1434*E1434</f>
        <v>129</v>
      </c>
      <c r="K1434" s="0" t="str">
        <f aca="false">IF(G1434&lt;1000,"1-Low",IF(G1434&lt;5000,"2-Medium","3-Bulk"))</f>
        <v>1-Low</v>
      </c>
      <c r="L1434" s="0" t="str">
        <f aca="false">IF(H1434="TRUE","Out of stock","In stock")</f>
        <v>In stock</v>
      </c>
      <c r="M1434" s="0" t="str">
        <f aca="false">IF(D1434&lt;5,"1) Under 5%",IF(D1434&lt;10,"2) 5-9%",IF(D1434&lt;15,"3) 10-14%",IF(D1434&lt;25,"4) 15-24%","5) 25%+"))))</f>
        <v>5) 25%+</v>
      </c>
      <c r="N1434" s="0" t="str">
        <f aca="false">IF(F1434&lt;50,"1) Under Rs 50",IF(F1434&lt;100,"2) Rs 50-99",IF(F1434&lt;200,"3) Rs 100-199",IF(F1434&lt;500,"4) Rs 200-499","5) Rs 500+"))))</f>
        <v>1) Under Rs 50</v>
      </c>
      <c r="O1434" s="0" t="n">
        <f aca="false">G1434*E1434/1000</f>
        <v>0.78</v>
      </c>
    </row>
    <row r="1435" customFormat="false" ht="15" hidden="false" customHeight="false" outlineLevel="0" collapsed="false">
      <c r="A1435" s="0" t="s">
        <v>121</v>
      </c>
      <c r="B1435" s="0" t="s">
        <v>328</v>
      </c>
      <c r="C1435" s="0" t="n">
        <v>25</v>
      </c>
      <c r="D1435" s="0" t="n">
        <v>20</v>
      </c>
      <c r="E1435" s="0" t="n">
        <v>6</v>
      </c>
      <c r="F1435" s="0" t="n">
        <v>20</v>
      </c>
      <c r="G1435" s="0" t="n">
        <v>60</v>
      </c>
      <c r="H1435" s="0" t="s">
        <v>145</v>
      </c>
      <c r="I1435" s="0" t="n">
        <v>60</v>
      </c>
      <c r="J1435" s="0" t="n">
        <f aca="false">F1435*E1435</f>
        <v>120</v>
      </c>
      <c r="K1435" s="0" t="str">
        <f aca="false">IF(G1435&lt;1000,"1-Low",IF(G1435&lt;5000,"2-Medium","3-Bulk"))</f>
        <v>1-Low</v>
      </c>
      <c r="L1435" s="0" t="str">
        <f aca="false">IF(H1435="TRUE","Out of stock","In stock")</f>
        <v>In stock</v>
      </c>
      <c r="M1435" s="0" t="str">
        <f aca="false">IF(D1435&lt;5,"1) Under 5%",IF(D1435&lt;10,"2) 5-9%",IF(D1435&lt;15,"3) 10-14%",IF(D1435&lt;25,"4) 15-24%","5) 25%+"))))</f>
        <v>4) 15-24%</v>
      </c>
      <c r="N1435" s="0" t="str">
        <f aca="false">IF(F1435&lt;50,"1) Under Rs 50",IF(F1435&lt;100,"2) Rs 50-99",IF(F1435&lt;200,"3) Rs 100-199",IF(F1435&lt;500,"4) Rs 200-499","5) Rs 500+"))))</f>
        <v>1) Under Rs 50</v>
      </c>
      <c r="O1435" s="0" t="n">
        <f aca="false">G1435*E1435/1000</f>
        <v>0.36</v>
      </c>
    </row>
    <row r="1436" customFormat="false" ht="15" hidden="false" customHeight="false" outlineLevel="0" collapsed="false">
      <c r="A1436" s="0" t="s">
        <v>121</v>
      </c>
      <c r="B1436" s="0" t="s">
        <v>849</v>
      </c>
      <c r="C1436" s="0" t="n">
        <v>445</v>
      </c>
      <c r="D1436" s="0" t="n">
        <v>9</v>
      </c>
      <c r="E1436" s="0" t="n">
        <v>6</v>
      </c>
      <c r="F1436" s="0" t="n">
        <v>401</v>
      </c>
      <c r="G1436" s="0" t="n">
        <v>750</v>
      </c>
      <c r="H1436" s="0" t="s">
        <v>145</v>
      </c>
      <c r="I1436" s="0" t="n">
        <v>750</v>
      </c>
      <c r="J1436" s="0" t="n">
        <f aca="false">F1436*E1436</f>
        <v>2406</v>
      </c>
      <c r="K1436" s="0" t="str">
        <f aca="false">IF(G1436&lt;1000,"1-Low",IF(G1436&lt;5000,"2-Medium","3-Bulk"))</f>
        <v>1-Low</v>
      </c>
      <c r="L1436" s="0" t="str">
        <f aca="false">IF(H1436="TRUE","Out of stock","In stock")</f>
        <v>In stock</v>
      </c>
      <c r="M1436" s="0" t="str">
        <f aca="false">IF(D1436&lt;5,"1) Under 5%",IF(D1436&lt;10,"2) 5-9%",IF(D1436&lt;15,"3) 10-14%",IF(D1436&lt;25,"4) 15-24%","5) 25%+"))))</f>
        <v>2) 5-9%</v>
      </c>
      <c r="N1436" s="0" t="str">
        <f aca="false">IF(F1436&lt;50,"1) Under Rs 50",IF(F1436&lt;100,"2) Rs 50-99",IF(F1436&lt;200,"3) Rs 100-199",IF(F1436&lt;500,"4) Rs 200-499","5) Rs 500+"))))</f>
        <v>4) Rs 200-499</v>
      </c>
      <c r="O1436" s="0" t="n">
        <f aca="false">G1436*E1436/1000</f>
        <v>4.5</v>
      </c>
    </row>
    <row r="1437" customFormat="false" ht="15" hidden="false" customHeight="false" outlineLevel="0" collapsed="false">
      <c r="A1437" s="0" t="s">
        <v>121</v>
      </c>
      <c r="B1437" s="0" t="s">
        <v>850</v>
      </c>
      <c r="C1437" s="0" t="n">
        <v>50</v>
      </c>
      <c r="D1437" s="0" t="n">
        <v>0</v>
      </c>
      <c r="E1437" s="0" t="n">
        <v>4</v>
      </c>
      <c r="F1437" s="0" t="n">
        <v>50</v>
      </c>
      <c r="G1437" s="0" t="n">
        <v>170</v>
      </c>
      <c r="H1437" s="0" t="s">
        <v>145</v>
      </c>
      <c r="I1437" s="0" t="n">
        <v>170</v>
      </c>
      <c r="J1437" s="0" t="n">
        <f aca="false">F1437*E1437</f>
        <v>200</v>
      </c>
      <c r="K1437" s="0" t="str">
        <f aca="false">IF(G1437&lt;1000,"1-Low",IF(G1437&lt;5000,"2-Medium","3-Bulk"))</f>
        <v>1-Low</v>
      </c>
      <c r="L1437" s="0" t="str">
        <f aca="false">IF(H1437="TRUE","Out of stock","In stock")</f>
        <v>In stock</v>
      </c>
      <c r="M1437" s="0" t="str">
        <f aca="false">IF(D1437&lt;5,"1) Under 5%",IF(D1437&lt;10,"2) 5-9%",IF(D1437&lt;15,"3) 10-14%",IF(D1437&lt;25,"4) 15-24%","5) 25%+"))))</f>
        <v>1) Under 5%</v>
      </c>
      <c r="N1437" s="0" t="str">
        <f aca="false">IF(F1437&lt;50,"1) Under Rs 50",IF(F1437&lt;100,"2) Rs 50-99",IF(F1437&lt;200,"3) Rs 100-199",IF(F1437&lt;500,"4) Rs 200-499","5) Rs 500+"))))</f>
        <v>2) Rs 50-99</v>
      </c>
      <c r="O1437" s="0" t="n">
        <f aca="false">G1437*E1437/1000</f>
        <v>0.68</v>
      </c>
    </row>
    <row r="1438" customFormat="false" ht="15" hidden="false" customHeight="false" outlineLevel="0" collapsed="false">
      <c r="A1438" s="0" t="s">
        <v>121</v>
      </c>
      <c r="B1438" s="0" t="s">
        <v>851</v>
      </c>
      <c r="C1438" s="0" t="n">
        <v>55</v>
      </c>
      <c r="D1438" s="0" t="n">
        <v>0</v>
      </c>
      <c r="E1438" s="0" t="n">
        <v>6</v>
      </c>
      <c r="F1438" s="0" t="n">
        <v>55</v>
      </c>
      <c r="G1438" s="0" t="n">
        <v>200</v>
      </c>
      <c r="H1438" s="0" t="s">
        <v>145</v>
      </c>
      <c r="I1438" s="0" t="n">
        <v>200</v>
      </c>
      <c r="J1438" s="0" t="n">
        <f aca="false">F1438*E1438</f>
        <v>330</v>
      </c>
      <c r="K1438" s="0" t="str">
        <f aca="false">IF(G1438&lt;1000,"1-Low",IF(G1438&lt;5000,"2-Medium","3-Bulk"))</f>
        <v>1-Low</v>
      </c>
      <c r="L1438" s="0" t="str">
        <f aca="false">IF(H1438="TRUE","Out of stock","In stock")</f>
        <v>In stock</v>
      </c>
      <c r="M1438" s="0" t="str">
        <f aca="false">IF(D1438&lt;5,"1) Under 5%",IF(D1438&lt;10,"2) 5-9%",IF(D1438&lt;15,"3) 10-14%",IF(D1438&lt;25,"4) 15-24%","5) 25%+"))))</f>
        <v>1) Under 5%</v>
      </c>
      <c r="N1438" s="0" t="str">
        <f aca="false">IF(F1438&lt;50,"1) Under Rs 50",IF(F1438&lt;100,"2) Rs 50-99",IF(F1438&lt;200,"3) Rs 100-199",IF(F1438&lt;500,"4) Rs 200-499","5) Rs 500+"))))</f>
        <v>2) Rs 50-99</v>
      </c>
      <c r="O1438" s="0" t="n">
        <f aca="false">G1438*E1438/1000</f>
        <v>1.2</v>
      </c>
    </row>
    <row r="1439" customFormat="false" ht="15" hidden="false" customHeight="false" outlineLevel="0" collapsed="false">
      <c r="A1439" s="0" t="s">
        <v>121</v>
      </c>
      <c r="B1439" s="0" t="s">
        <v>738</v>
      </c>
      <c r="C1439" s="0" t="n">
        <v>40</v>
      </c>
      <c r="D1439" s="0" t="n">
        <v>2</v>
      </c>
      <c r="E1439" s="0" t="n">
        <v>5</v>
      </c>
      <c r="F1439" s="0" t="n">
        <v>39</v>
      </c>
      <c r="G1439" s="0" t="n">
        <v>100</v>
      </c>
      <c r="H1439" s="0" t="s">
        <v>145</v>
      </c>
      <c r="I1439" s="0" t="n">
        <v>100</v>
      </c>
      <c r="J1439" s="0" t="n">
        <f aca="false">F1439*E1439</f>
        <v>195</v>
      </c>
      <c r="K1439" s="0" t="str">
        <f aca="false">IF(G1439&lt;1000,"1-Low",IF(G1439&lt;5000,"2-Medium","3-Bulk"))</f>
        <v>1-Low</v>
      </c>
      <c r="L1439" s="0" t="str">
        <f aca="false">IF(H1439="TRUE","Out of stock","In stock")</f>
        <v>In stock</v>
      </c>
      <c r="M1439" s="0" t="str">
        <f aca="false">IF(D1439&lt;5,"1) Under 5%",IF(D1439&lt;10,"2) 5-9%",IF(D1439&lt;15,"3) 10-14%",IF(D1439&lt;25,"4) 15-24%","5) 25%+"))))</f>
        <v>1) Under 5%</v>
      </c>
      <c r="N1439" s="0" t="str">
        <f aca="false">IF(F1439&lt;50,"1) Under Rs 50",IF(F1439&lt;100,"2) Rs 50-99",IF(F1439&lt;200,"3) Rs 100-199",IF(F1439&lt;500,"4) Rs 200-499","5) Rs 500+"))))</f>
        <v>1) Under Rs 50</v>
      </c>
      <c r="O1439" s="0" t="n">
        <f aca="false">G1439*E1439/1000</f>
        <v>0.5</v>
      </c>
    </row>
    <row r="1440" customFormat="false" ht="15" hidden="false" customHeight="false" outlineLevel="0" collapsed="false">
      <c r="A1440" s="0" t="s">
        <v>121</v>
      </c>
      <c r="B1440" s="0" t="s">
        <v>331</v>
      </c>
      <c r="C1440" s="0" t="n">
        <v>250</v>
      </c>
      <c r="D1440" s="0" t="n">
        <v>0</v>
      </c>
      <c r="E1440" s="0" t="n">
        <v>3</v>
      </c>
      <c r="F1440" s="0" t="n">
        <v>250</v>
      </c>
      <c r="G1440" s="0" t="n">
        <v>500</v>
      </c>
      <c r="H1440" s="0" t="s">
        <v>145</v>
      </c>
      <c r="I1440" s="0" t="n">
        <v>500</v>
      </c>
      <c r="J1440" s="0" t="n">
        <f aca="false">F1440*E1440</f>
        <v>750</v>
      </c>
      <c r="K1440" s="0" t="str">
        <f aca="false">IF(G1440&lt;1000,"1-Low",IF(G1440&lt;5000,"2-Medium","3-Bulk"))</f>
        <v>1-Low</v>
      </c>
      <c r="L1440" s="0" t="str">
        <f aca="false">IF(H1440="TRUE","Out of stock","In stock")</f>
        <v>In stock</v>
      </c>
      <c r="M1440" s="0" t="str">
        <f aca="false">IF(D1440&lt;5,"1) Under 5%",IF(D1440&lt;10,"2) 5-9%",IF(D1440&lt;15,"3) 10-14%",IF(D1440&lt;25,"4) 15-24%","5) 25%+"))))</f>
        <v>1) Under 5%</v>
      </c>
      <c r="N1440" s="0" t="str">
        <f aca="false">IF(F1440&lt;50,"1) Under Rs 50",IF(F1440&lt;100,"2) Rs 50-99",IF(F1440&lt;200,"3) Rs 100-199",IF(F1440&lt;500,"4) Rs 200-499","5) Rs 500+"))))</f>
        <v>4) Rs 200-499</v>
      </c>
      <c r="O1440" s="0" t="n">
        <f aca="false">G1440*E1440/1000</f>
        <v>1.5</v>
      </c>
    </row>
    <row r="1441" customFormat="false" ht="15" hidden="false" customHeight="false" outlineLevel="0" collapsed="false">
      <c r="A1441" s="0" t="s">
        <v>121</v>
      </c>
      <c r="B1441" s="0" t="s">
        <v>852</v>
      </c>
      <c r="C1441" s="0" t="n">
        <v>55</v>
      </c>
      <c r="D1441" s="0" t="n">
        <v>20</v>
      </c>
      <c r="E1441" s="0" t="n">
        <v>6</v>
      </c>
      <c r="F1441" s="0" t="n">
        <v>44</v>
      </c>
      <c r="G1441" s="0" t="n">
        <v>27</v>
      </c>
      <c r="H1441" s="0" t="s">
        <v>145</v>
      </c>
      <c r="I1441" s="0" t="n">
        <v>27</v>
      </c>
      <c r="J1441" s="0" t="n">
        <f aca="false">F1441*E1441</f>
        <v>264</v>
      </c>
      <c r="K1441" s="0" t="str">
        <f aca="false">IF(G1441&lt;1000,"1-Low",IF(G1441&lt;5000,"2-Medium","3-Bulk"))</f>
        <v>1-Low</v>
      </c>
      <c r="L1441" s="0" t="str">
        <f aca="false">IF(H1441="TRUE","Out of stock","In stock")</f>
        <v>In stock</v>
      </c>
      <c r="M1441" s="0" t="str">
        <f aca="false">IF(D1441&lt;5,"1) Under 5%",IF(D1441&lt;10,"2) 5-9%",IF(D1441&lt;15,"3) 10-14%",IF(D1441&lt;25,"4) 15-24%","5) 25%+"))))</f>
        <v>4) 15-24%</v>
      </c>
      <c r="N1441" s="0" t="str">
        <f aca="false">IF(F1441&lt;50,"1) Under Rs 50",IF(F1441&lt;100,"2) Rs 50-99",IF(F1441&lt;200,"3) Rs 100-199",IF(F1441&lt;500,"4) Rs 200-499","5) Rs 500+"))))</f>
        <v>1) Under Rs 50</v>
      </c>
      <c r="O1441" s="0" t="n">
        <f aca="false">G1441*E1441/1000</f>
        <v>0.162</v>
      </c>
    </row>
    <row r="1442" customFormat="false" ht="15" hidden="false" customHeight="false" outlineLevel="0" collapsed="false">
      <c r="A1442" s="0" t="s">
        <v>121</v>
      </c>
      <c r="B1442" s="0" t="s">
        <v>853</v>
      </c>
      <c r="C1442" s="0" t="n">
        <v>55</v>
      </c>
      <c r="D1442" s="0" t="n">
        <v>20</v>
      </c>
      <c r="E1442" s="0" t="n">
        <v>6</v>
      </c>
      <c r="F1442" s="0" t="n">
        <v>44</v>
      </c>
      <c r="G1442" s="0" t="n">
        <v>27</v>
      </c>
      <c r="H1442" s="0" t="s">
        <v>145</v>
      </c>
      <c r="I1442" s="0" t="n">
        <v>27</v>
      </c>
      <c r="J1442" s="0" t="n">
        <f aca="false">F1442*E1442</f>
        <v>264</v>
      </c>
      <c r="K1442" s="0" t="str">
        <f aca="false">IF(G1442&lt;1000,"1-Low",IF(G1442&lt;5000,"2-Medium","3-Bulk"))</f>
        <v>1-Low</v>
      </c>
      <c r="L1442" s="0" t="str">
        <f aca="false">IF(H1442="TRUE","Out of stock","In stock")</f>
        <v>In stock</v>
      </c>
      <c r="M1442" s="0" t="str">
        <f aca="false">IF(D1442&lt;5,"1) Under 5%",IF(D1442&lt;10,"2) 5-9%",IF(D1442&lt;15,"3) 10-14%",IF(D1442&lt;25,"4) 15-24%","5) 25%+"))))</f>
        <v>4) 15-24%</v>
      </c>
      <c r="N1442" s="0" t="str">
        <f aca="false">IF(F1442&lt;50,"1) Under Rs 50",IF(F1442&lt;100,"2) Rs 50-99",IF(F1442&lt;200,"3) Rs 100-199",IF(F1442&lt;500,"4) Rs 200-499","5) Rs 500+"))))</f>
        <v>1) Under Rs 50</v>
      </c>
      <c r="O1442" s="0" t="n">
        <f aca="false">G1442*E1442/1000</f>
        <v>0.162</v>
      </c>
    </row>
    <row r="1443" customFormat="false" ht="15" hidden="false" customHeight="false" outlineLevel="0" collapsed="false">
      <c r="A1443" s="0" t="s">
        <v>121</v>
      </c>
      <c r="B1443" s="0" t="s">
        <v>854</v>
      </c>
      <c r="C1443" s="0" t="n">
        <v>115</v>
      </c>
      <c r="D1443" s="0" t="n">
        <v>0</v>
      </c>
      <c r="E1443" s="0" t="n">
        <v>1</v>
      </c>
      <c r="F1443" s="0" t="n">
        <v>115</v>
      </c>
      <c r="G1443" s="0" t="n">
        <v>500</v>
      </c>
      <c r="H1443" s="0" t="s">
        <v>145</v>
      </c>
      <c r="I1443" s="0" t="n">
        <v>500</v>
      </c>
      <c r="J1443" s="0" t="n">
        <f aca="false">F1443*E1443</f>
        <v>115</v>
      </c>
      <c r="K1443" s="0" t="str">
        <f aca="false">IF(G1443&lt;1000,"1-Low",IF(G1443&lt;5000,"2-Medium","3-Bulk"))</f>
        <v>1-Low</v>
      </c>
      <c r="L1443" s="0" t="str">
        <f aca="false">IF(H1443="TRUE","Out of stock","In stock")</f>
        <v>In stock</v>
      </c>
      <c r="M1443" s="0" t="str">
        <f aca="false">IF(D1443&lt;5,"1) Under 5%",IF(D1443&lt;10,"2) 5-9%",IF(D1443&lt;15,"3) 10-14%",IF(D1443&lt;25,"4) 15-24%","5) 25%+"))))</f>
        <v>1) Under 5%</v>
      </c>
      <c r="N1443" s="0" t="str">
        <f aca="false">IF(F1443&lt;50,"1) Under Rs 50",IF(F1443&lt;100,"2) Rs 50-99",IF(F1443&lt;200,"3) Rs 100-199",IF(F1443&lt;500,"4) Rs 200-499","5) Rs 500+"))))</f>
        <v>3) Rs 100-199</v>
      </c>
      <c r="O1443" s="0" t="n">
        <f aca="false">G1443*E1443/1000</f>
        <v>0.5</v>
      </c>
    </row>
    <row r="1444" customFormat="false" ht="15" hidden="false" customHeight="false" outlineLevel="0" collapsed="false">
      <c r="A1444" s="0" t="s">
        <v>121</v>
      </c>
      <c r="B1444" s="0" t="s">
        <v>855</v>
      </c>
      <c r="C1444" s="0" t="n">
        <v>96</v>
      </c>
      <c r="D1444" s="0" t="n">
        <v>5</v>
      </c>
      <c r="E1444" s="0" t="n">
        <v>4</v>
      </c>
      <c r="F1444" s="0" t="n">
        <v>91</v>
      </c>
      <c r="G1444" s="0" t="n">
        <v>540</v>
      </c>
      <c r="H1444" s="0" t="s">
        <v>145</v>
      </c>
      <c r="I1444" s="0" t="n">
        <v>540</v>
      </c>
      <c r="J1444" s="0" t="n">
        <f aca="false">F1444*E1444</f>
        <v>364</v>
      </c>
      <c r="K1444" s="0" t="str">
        <f aca="false">IF(G1444&lt;1000,"1-Low",IF(G1444&lt;5000,"2-Medium","3-Bulk"))</f>
        <v>1-Low</v>
      </c>
      <c r="L1444" s="0" t="str">
        <f aca="false">IF(H1444="TRUE","Out of stock","In stock")</f>
        <v>In stock</v>
      </c>
      <c r="M1444" s="0" t="str">
        <f aca="false">IF(D1444&lt;5,"1) Under 5%",IF(D1444&lt;10,"2) 5-9%",IF(D1444&lt;15,"3) 10-14%",IF(D1444&lt;25,"4) 15-24%","5) 25%+"))))</f>
        <v>2) 5-9%</v>
      </c>
      <c r="N1444" s="0" t="str">
        <f aca="false">IF(F1444&lt;50,"1) Under Rs 50",IF(F1444&lt;100,"2) Rs 50-99",IF(F1444&lt;200,"3) Rs 100-199",IF(F1444&lt;500,"4) Rs 200-499","5) Rs 500+"))))</f>
        <v>2) Rs 50-99</v>
      </c>
      <c r="O1444" s="0" t="n">
        <f aca="false">G1444*E1444/1000</f>
        <v>2.16</v>
      </c>
    </row>
    <row r="1445" customFormat="false" ht="15" hidden="false" customHeight="false" outlineLevel="0" collapsed="false">
      <c r="A1445" s="0" t="s">
        <v>121</v>
      </c>
      <c r="B1445" s="0" t="s">
        <v>345</v>
      </c>
      <c r="C1445" s="0" t="n">
        <v>160</v>
      </c>
      <c r="D1445" s="0" t="n">
        <v>50</v>
      </c>
      <c r="E1445" s="0" t="n">
        <v>6</v>
      </c>
      <c r="F1445" s="0" t="n">
        <v>80</v>
      </c>
      <c r="G1445" s="0" t="n">
        <v>500</v>
      </c>
      <c r="H1445" s="0" t="s">
        <v>145</v>
      </c>
      <c r="I1445" s="0" t="n">
        <v>500</v>
      </c>
      <c r="J1445" s="0" t="n">
        <f aca="false">F1445*E1445</f>
        <v>480</v>
      </c>
      <c r="K1445" s="0" t="str">
        <f aca="false">IF(G1445&lt;1000,"1-Low",IF(G1445&lt;5000,"2-Medium","3-Bulk"))</f>
        <v>1-Low</v>
      </c>
      <c r="L1445" s="0" t="str">
        <f aca="false">IF(H1445="TRUE","Out of stock","In stock")</f>
        <v>In stock</v>
      </c>
      <c r="M1445" s="0" t="str">
        <f aca="false">IF(D1445&lt;5,"1) Under 5%",IF(D1445&lt;10,"2) 5-9%",IF(D1445&lt;15,"3) 10-14%",IF(D1445&lt;25,"4) 15-24%","5) 25%+"))))</f>
        <v>5) 25%+</v>
      </c>
      <c r="N1445" s="0" t="str">
        <f aca="false">IF(F1445&lt;50,"1) Under Rs 50",IF(F1445&lt;100,"2) Rs 50-99",IF(F1445&lt;200,"3) Rs 100-199",IF(F1445&lt;500,"4) Rs 200-499","5) Rs 500+"))))</f>
        <v>2) Rs 50-99</v>
      </c>
      <c r="O1445" s="0" t="n">
        <f aca="false">G1445*E1445/1000</f>
        <v>3</v>
      </c>
    </row>
    <row r="1446" customFormat="false" ht="15" hidden="false" customHeight="false" outlineLevel="0" collapsed="false">
      <c r="A1446" s="0" t="s">
        <v>121</v>
      </c>
      <c r="B1446" s="0" t="s">
        <v>347</v>
      </c>
      <c r="C1446" s="0" t="n">
        <v>60</v>
      </c>
      <c r="D1446" s="0" t="n">
        <v>10</v>
      </c>
      <c r="E1446" s="0" t="n">
        <v>1</v>
      </c>
      <c r="F1446" s="0" t="n">
        <v>54</v>
      </c>
      <c r="G1446" s="0" t="n">
        <v>280</v>
      </c>
      <c r="H1446" s="0" t="s">
        <v>145</v>
      </c>
      <c r="I1446" s="0" t="n">
        <v>280</v>
      </c>
      <c r="J1446" s="0" t="n">
        <f aca="false">F1446*E1446</f>
        <v>54</v>
      </c>
      <c r="K1446" s="0" t="str">
        <f aca="false">IF(G1446&lt;1000,"1-Low",IF(G1446&lt;5000,"2-Medium","3-Bulk"))</f>
        <v>1-Low</v>
      </c>
      <c r="L1446" s="0" t="str">
        <f aca="false">IF(H1446="TRUE","Out of stock","In stock")</f>
        <v>In stock</v>
      </c>
      <c r="M1446" s="0" t="str">
        <f aca="false">IF(D1446&lt;5,"1) Under 5%",IF(D1446&lt;10,"2) 5-9%",IF(D1446&lt;15,"3) 10-14%",IF(D1446&lt;25,"4) 15-24%","5) 25%+"))))</f>
        <v>3) 10-14%</v>
      </c>
      <c r="N1446" s="0" t="str">
        <f aca="false">IF(F1446&lt;50,"1) Under Rs 50",IF(F1446&lt;100,"2) Rs 50-99",IF(F1446&lt;200,"3) Rs 100-199",IF(F1446&lt;500,"4) Rs 200-499","5) Rs 500+"))))</f>
        <v>2) Rs 50-99</v>
      </c>
      <c r="O1446" s="0" t="n">
        <f aca="false">G1446*E1446/1000</f>
        <v>0.28</v>
      </c>
    </row>
    <row r="1447" customFormat="false" ht="15" hidden="false" customHeight="false" outlineLevel="0" collapsed="false">
      <c r="A1447" s="0" t="s">
        <v>121</v>
      </c>
      <c r="B1447" s="0" t="s">
        <v>856</v>
      </c>
      <c r="C1447" s="0" t="n">
        <v>89</v>
      </c>
      <c r="D1447" s="0" t="n">
        <v>11</v>
      </c>
      <c r="E1447" s="0" t="n">
        <v>6</v>
      </c>
      <c r="F1447" s="0" t="n">
        <v>79</v>
      </c>
      <c r="G1447" s="0" t="n">
        <v>275</v>
      </c>
      <c r="H1447" s="0" t="s">
        <v>145</v>
      </c>
      <c r="I1447" s="0" t="n">
        <v>275</v>
      </c>
      <c r="J1447" s="0" t="n">
        <f aca="false">F1447*E1447</f>
        <v>474</v>
      </c>
      <c r="K1447" s="0" t="str">
        <f aca="false">IF(G1447&lt;1000,"1-Low",IF(G1447&lt;5000,"2-Medium","3-Bulk"))</f>
        <v>1-Low</v>
      </c>
      <c r="L1447" s="0" t="str">
        <f aca="false">IF(H1447="TRUE","Out of stock","In stock")</f>
        <v>In stock</v>
      </c>
      <c r="M1447" s="0" t="str">
        <f aca="false">IF(D1447&lt;5,"1) Under 5%",IF(D1447&lt;10,"2) 5-9%",IF(D1447&lt;15,"3) 10-14%",IF(D1447&lt;25,"4) 15-24%","5) 25%+"))))</f>
        <v>3) 10-14%</v>
      </c>
      <c r="N1447" s="0" t="str">
        <f aca="false">IF(F1447&lt;50,"1) Under Rs 50",IF(F1447&lt;100,"2) Rs 50-99",IF(F1447&lt;200,"3) Rs 100-199",IF(F1447&lt;500,"4) Rs 200-499","5) Rs 500+"))))</f>
        <v>2) Rs 50-99</v>
      </c>
      <c r="O1447" s="0" t="n">
        <f aca="false">G1447*E1447/1000</f>
        <v>1.65</v>
      </c>
    </row>
    <row r="1448" customFormat="false" ht="15" hidden="false" customHeight="false" outlineLevel="0" collapsed="false">
      <c r="A1448" s="0" t="s">
        <v>121</v>
      </c>
      <c r="B1448" s="0" t="s">
        <v>351</v>
      </c>
      <c r="C1448" s="0" t="n">
        <v>44</v>
      </c>
      <c r="D1448" s="0" t="n">
        <v>0</v>
      </c>
      <c r="E1448" s="0" t="n">
        <v>2</v>
      </c>
      <c r="F1448" s="0" t="n">
        <v>44</v>
      </c>
      <c r="G1448" s="0" t="n">
        <v>60</v>
      </c>
      <c r="H1448" s="0" t="s">
        <v>145</v>
      </c>
      <c r="I1448" s="0" t="n">
        <v>60</v>
      </c>
      <c r="J1448" s="0" t="n">
        <f aca="false">F1448*E1448</f>
        <v>88</v>
      </c>
      <c r="K1448" s="0" t="str">
        <f aca="false">IF(G1448&lt;1000,"1-Low",IF(G1448&lt;5000,"2-Medium","3-Bulk"))</f>
        <v>1-Low</v>
      </c>
      <c r="L1448" s="0" t="str">
        <f aca="false">IF(H1448="TRUE","Out of stock","In stock")</f>
        <v>In stock</v>
      </c>
      <c r="M1448" s="0" t="str">
        <f aca="false">IF(D1448&lt;5,"1) Under 5%",IF(D1448&lt;10,"2) 5-9%",IF(D1448&lt;15,"3) 10-14%",IF(D1448&lt;25,"4) 15-24%","5) 25%+"))))</f>
        <v>1) Under 5%</v>
      </c>
      <c r="N1448" s="0" t="str">
        <f aca="false">IF(F1448&lt;50,"1) Under Rs 50",IF(F1448&lt;100,"2) Rs 50-99",IF(F1448&lt;200,"3) Rs 100-199",IF(F1448&lt;500,"4) Rs 200-499","5) Rs 500+"))))</f>
        <v>1) Under Rs 50</v>
      </c>
      <c r="O1448" s="0" t="n">
        <f aca="false">G1448*E1448/1000</f>
        <v>0.12</v>
      </c>
    </row>
    <row r="1449" customFormat="false" ht="15" hidden="false" customHeight="false" outlineLevel="0" collapsed="false">
      <c r="A1449" s="0" t="s">
        <v>121</v>
      </c>
      <c r="B1449" s="0" t="s">
        <v>224</v>
      </c>
      <c r="C1449" s="0" t="n">
        <v>110</v>
      </c>
      <c r="D1449" s="0" t="n">
        <v>4</v>
      </c>
      <c r="E1449" s="0" t="n">
        <v>2</v>
      </c>
      <c r="F1449" s="0" t="n">
        <v>105</v>
      </c>
      <c r="G1449" s="0" t="n">
        <v>1000</v>
      </c>
      <c r="H1449" s="0" t="s">
        <v>145</v>
      </c>
      <c r="I1449" s="0" t="n">
        <v>1</v>
      </c>
      <c r="J1449" s="0" t="n">
        <f aca="false">F1449*E1449</f>
        <v>210</v>
      </c>
      <c r="K1449" s="0" t="str">
        <f aca="false">IF(G1449&lt;1000,"1-Low",IF(G1449&lt;5000,"2-Medium","3-Bulk"))</f>
        <v>2-Medium</v>
      </c>
      <c r="L1449" s="0" t="str">
        <f aca="false">IF(H1449="TRUE","Out of stock","In stock")</f>
        <v>In stock</v>
      </c>
      <c r="M1449" s="0" t="str">
        <f aca="false">IF(D1449&lt;5,"1) Under 5%",IF(D1449&lt;10,"2) 5-9%",IF(D1449&lt;15,"3) 10-14%",IF(D1449&lt;25,"4) 15-24%","5) 25%+"))))</f>
        <v>1) Under 5%</v>
      </c>
      <c r="N1449" s="0" t="str">
        <f aca="false">IF(F1449&lt;50,"1) Under Rs 50",IF(F1449&lt;100,"2) Rs 50-99",IF(F1449&lt;200,"3) Rs 100-199",IF(F1449&lt;500,"4) Rs 200-499","5) Rs 500+"))))</f>
        <v>3) Rs 100-199</v>
      </c>
      <c r="O1449" s="0" t="n">
        <f aca="false">G1449*E1449/1000</f>
        <v>2</v>
      </c>
    </row>
    <row r="1450" customFormat="false" ht="15" hidden="false" customHeight="false" outlineLevel="0" collapsed="false">
      <c r="A1450" s="0" t="s">
        <v>121</v>
      </c>
      <c r="B1450" s="0" t="s">
        <v>357</v>
      </c>
      <c r="C1450" s="0" t="n">
        <v>25</v>
      </c>
      <c r="D1450" s="0" t="n">
        <v>0</v>
      </c>
      <c r="E1450" s="0" t="n">
        <v>6</v>
      </c>
      <c r="F1450" s="0" t="n">
        <v>25</v>
      </c>
      <c r="G1450" s="0" t="n">
        <v>60</v>
      </c>
      <c r="H1450" s="0" t="s">
        <v>145</v>
      </c>
      <c r="I1450" s="0" t="n">
        <v>60</v>
      </c>
      <c r="J1450" s="0" t="n">
        <f aca="false">F1450*E1450</f>
        <v>150</v>
      </c>
      <c r="K1450" s="0" t="str">
        <f aca="false">IF(G1450&lt;1000,"1-Low",IF(G1450&lt;5000,"2-Medium","3-Bulk"))</f>
        <v>1-Low</v>
      </c>
      <c r="L1450" s="0" t="str">
        <f aca="false">IF(H1450="TRUE","Out of stock","In stock")</f>
        <v>In stock</v>
      </c>
      <c r="M1450" s="0" t="str">
        <f aca="false">IF(D1450&lt;5,"1) Under 5%",IF(D1450&lt;10,"2) 5-9%",IF(D1450&lt;15,"3) 10-14%",IF(D1450&lt;25,"4) 15-24%","5) 25%+"))))</f>
        <v>1) Under 5%</v>
      </c>
      <c r="N1450" s="0" t="str">
        <f aca="false">IF(F1450&lt;50,"1) Under Rs 50",IF(F1450&lt;100,"2) Rs 50-99",IF(F1450&lt;200,"3) Rs 100-199",IF(F1450&lt;500,"4) Rs 200-499","5) Rs 500+"))))</f>
        <v>1) Under Rs 50</v>
      </c>
      <c r="O1450" s="0" t="n">
        <f aca="false">G1450*E1450/1000</f>
        <v>0.36</v>
      </c>
    </row>
    <row r="1451" customFormat="false" ht="15" hidden="false" customHeight="false" outlineLevel="0" collapsed="false">
      <c r="A1451" s="0" t="s">
        <v>121</v>
      </c>
      <c r="B1451" s="0" t="s">
        <v>358</v>
      </c>
      <c r="C1451" s="0" t="n">
        <v>15</v>
      </c>
      <c r="D1451" s="0" t="n">
        <v>0</v>
      </c>
      <c r="E1451" s="0" t="n">
        <v>5</v>
      </c>
      <c r="F1451" s="0" t="n">
        <v>15</v>
      </c>
      <c r="G1451" s="0" t="n">
        <v>60</v>
      </c>
      <c r="H1451" s="0" t="s">
        <v>145</v>
      </c>
      <c r="I1451" s="0" t="n">
        <v>60</v>
      </c>
      <c r="J1451" s="0" t="n">
        <f aca="false">F1451*E1451</f>
        <v>75</v>
      </c>
      <c r="K1451" s="0" t="str">
        <f aca="false">IF(G1451&lt;1000,"1-Low",IF(G1451&lt;5000,"2-Medium","3-Bulk"))</f>
        <v>1-Low</v>
      </c>
      <c r="L1451" s="0" t="str">
        <f aca="false">IF(H1451="TRUE","Out of stock","In stock")</f>
        <v>In stock</v>
      </c>
      <c r="M1451" s="0" t="str">
        <f aca="false">IF(D1451&lt;5,"1) Under 5%",IF(D1451&lt;10,"2) 5-9%",IF(D1451&lt;15,"3) 10-14%",IF(D1451&lt;25,"4) 15-24%","5) 25%+"))))</f>
        <v>1) Under 5%</v>
      </c>
      <c r="N1451" s="0" t="str">
        <f aca="false">IF(F1451&lt;50,"1) Under Rs 50",IF(F1451&lt;100,"2) Rs 50-99",IF(F1451&lt;200,"3) Rs 100-199",IF(F1451&lt;500,"4) Rs 200-499","5) Rs 500+"))))</f>
        <v>1) Under Rs 50</v>
      </c>
      <c r="O1451" s="0" t="n">
        <f aca="false">G1451*E1451/1000</f>
        <v>0.3</v>
      </c>
    </row>
    <row r="1452" customFormat="false" ht="15" hidden="false" customHeight="false" outlineLevel="0" collapsed="false">
      <c r="A1452" s="0" t="s">
        <v>121</v>
      </c>
      <c r="B1452" s="0" t="s">
        <v>857</v>
      </c>
      <c r="C1452" s="0" t="n">
        <v>55</v>
      </c>
      <c r="D1452" s="0" t="n">
        <v>25</v>
      </c>
      <c r="E1452" s="0" t="n">
        <v>6</v>
      </c>
      <c r="F1452" s="0" t="n">
        <v>41</v>
      </c>
      <c r="G1452" s="0" t="n">
        <v>27</v>
      </c>
      <c r="H1452" s="0" t="s">
        <v>145</v>
      </c>
      <c r="I1452" s="0" t="n">
        <v>27</v>
      </c>
      <c r="J1452" s="0" t="n">
        <f aca="false">F1452*E1452</f>
        <v>246</v>
      </c>
      <c r="K1452" s="0" t="str">
        <f aca="false">IF(G1452&lt;1000,"1-Low",IF(G1452&lt;5000,"2-Medium","3-Bulk"))</f>
        <v>1-Low</v>
      </c>
      <c r="L1452" s="0" t="str">
        <f aca="false">IF(H1452="TRUE","Out of stock","In stock")</f>
        <v>In stock</v>
      </c>
      <c r="M1452" s="0" t="str">
        <f aca="false">IF(D1452&lt;5,"1) Under 5%",IF(D1452&lt;10,"2) 5-9%",IF(D1452&lt;15,"3) 10-14%",IF(D1452&lt;25,"4) 15-24%","5) 25%+"))))</f>
        <v>5) 25%+</v>
      </c>
      <c r="N1452" s="0" t="str">
        <f aca="false">IF(F1452&lt;50,"1) Under Rs 50",IF(F1452&lt;100,"2) Rs 50-99",IF(F1452&lt;200,"3) Rs 100-199",IF(F1452&lt;500,"4) Rs 200-499","5) Rs 500+"))))</f>
        <v>1) Under Rs 50</v>
      </c>
      <c r="O1452" s="0" t="n">
        <f aca="false">G1452*E1452/1000</f>
        <v>0.162</v>
      </c>
    </row>
    <row r="1453" customFormat="false" ht="15" hidden="false" customHeight="false" outlineLevel="0" collapsed="false">
      <c r="A1453" s="0" t="s">
        <v>121</v>
      </c>
      <c r="B1453" s="0" t="s">
        <v>858</v>
      </c>
      <c r="C1453" s="0" t="n">
        <v>110</v>
      </c>
      <c r="D1453" s="0" t="n">
        <v>22</v>
      </c>
      <c r="E1453" s="0" t="n">
        <v>6</v>
      </c>
      <c r="F1453" s="0" t="n">
        <v>85</v>
      </c>
      <c r="G1453" s="0" t="n">
        <v>300</v>
      </c>
      <c r="H1453" s="0" t="s">
        <v>145</v>
      </c>
      <c r="I1453" s="0" t="n">
        <v>300</v>
      </c>
      <c r="J1453" s="0" t="n">
        <f aca="false">F1453*E1453</f>
        <v>510</v>
      </c>
      <c r="K1453" s="0" t="str">
        <f aca="false">IF(G1453&lt;1000,"1-Low",IF(G1453&lt;5000,"2-Medium","3-Bulk"))</f>
        <v>1-Low</v>
      </c>
      <c r="L1453" s="0" t="str">
        <f aca="false">IF(H1453="TRUE","Out of stock","In stock")</f>
        <v>In stock</v>
      </c>
      <c r="M1453" s="0" t="str">
        <f aca="false">IF(D1453&lt;5,"1) Under 5%",IF(D1453&lt;10,"2) 5-9%",IF(D1453&lt;15,"3) 10-14%",IF(D1453&lt;25,"4) 15-24%","5) 25%+"))))</f>
        <v>4) 15-24%</v>
      </c>
      <c r="N1453" s="0" t="str">
        <f aca="false">IF(F1453&lt;50,"1) Under Rs 50",IF(F1453&lt;100,"2) Rs 50-99",IF(F1453&lt;200,"3) Rs 100-199",IF(F1453&lt;500,"4) Rs 200-499","5) Rs 500+"))))</f>
        <v>2) Rs 50-99</v>
      </c>
      <c r="O1453" s="0" t="n">
        <f aca="false">G1453*E1453/1000</f>
        <v>1.8</v>
      </c>
    </row>
    <row r="1454" customFormat="false" ht="15" hidden="false" customHeight="false" outlineLevel="0" collapsed="false">
      <c r="A1454" s="0" t="s">
        <v>121</v>
      </c>
      <c r="B1454" s="0" t="s">
        <v>355</v>
      </c>
      <c r="C1454" s="0" t="n">
        <v>120</v>
      </c>
      <c r="D1454" s="0" t="n">
        <v>1</v>
      </c>
      <c r="E1454" s="0" t="n">
        <v>2</v>
      </c>
      <c r="F1454" s="0" t="n">
        <v>118</v>
      </c>
      <c r="G1454" s="0" t="n">
        <v>240</v>
      </c>
      <c r="H1454" s="0" t="s">
        <v>145</v>
      </c>
      <c r="I1454" s="0" t="n">
        <v>240</v>
      </c>
      <c r="J1454" s="0" t="n">
        <f aca="false">F1454*E1454</f>
        <v>236</v>
      </c>
      <c r="K1454" s="0" t="str">
        <f aca="false">IF(G1454&lt;1000,"1-Low",IF(G1454&lt;5000,"2-Medium","3-Bulk"))</f>
        <v>1-Low</v>
      </c>
      <c r="L1454" s="0" t="str">
        <f aca="false">IF(H1454="TRUE","Out of stock","In stock")</f>
        <v>In stock</v>
      </c>
      <c r="M1454" s="0" t="str">
        <f aca="false">IF(D1454&lt;5,"1) Under 5%",IF(D1454&lt;10,"2) 5-9%",IF(D1454&lt;15,"3) 10-14%",IF(D1454&lt;25,"4) 15-24%","5) 25%+"))))</f>
        <v>1) Under 5%</v>
      </c>
      <c r="N1454" s="0" t="str">
        <f aca="false">IF(F1454&lt;50,"1) Under Rs 50",IF(F1454&lt;100,"2) Rs 50-99",IF(F1454&lt;200,"3) Rs 100-199",IF(F1454&lt;500,"4) Rs 200-499","5) Rs 500+"))))</f>
        <v>3) Rs 100-199</v>
      </c>
      <c r="O1454" s="0" t="n">
        <f aca="false">G1454*E1454/1000</f>
        <v>0.48</v>
      </c>
    </row>
    <row r="1455" customFormat="false" ht="15" hidden="false" customHeight="false" outlineLevel="0" collapsed="false">
      <c r="A1455" s="0" t="s">
        <v>121</v>
      </c>
      <c r="B1455" s="0" t="s">
        <v>859</v>
      </c>
      <c r="C1455" s="0" t="n">
        <v>60</v>
      </c>
      <c r="D1455" s="0" t="n">
        <v>6</v>
      </c>
      <c r="E1455" s="0" t="n">
        <v>6</v>
      </c>
      <c r="F1455" s="0" t="n">
        <v>56</v>
      </c>
      <c r="G1455" s="0" t="n">
        <v>200</v>
      </c>
      <c r="H1455" s="0" t="s">
        <v>145</v>
      </c>
      <c r="I1455" s="0" t="n">
        <v>200</v>
      </c>
      <c r="J1455" s="0" t="n">
        <f aca="false">F1455*E1455</f>
        <v>336</v>
      </c>
      <c r="K1455" s="0" t="str">
        <f aca="false">IF(G1455&lt;1000,"1-Low",IF(G1455&lt;5000,"2-Medium","3-Bulk"))</f>
        <v>1-Low</v>
      </c>
      <c r="L1455" s="0" t="str">
        <f aca="false">IF(H1455="TRUE","Out of stock","In stock")</f>
        <v>In stock</v>
      </c>
      <c r="M1455" s="0" t="str">
        <f aca="false">IF(D1455&lt;5,"1) Under 5%",IF(D1455&lt;10,"2) 5-9%",IF(D1455&lt;15,"3) 10-14%",IF(D1455&lt;25,"4) 15-24%","5) 25%+"))))</f>
        <v>2) 5-9%</v>
      </c>
      <c r="N1455" s="0" t="str">
        <f aca="false">IF(F1455&lt;50,"1) Under Rs 50",IF(F1455&lt;100,"2) Rs 50-99",IF(F1455&lt;200,"3) Rs 100-199",IF(F1455&lt;500,"4) Rs 200-499","5) Rs 500+"))))</f>
        <v>2) Rs 50-99</v>
      </c>
      <c r="O1455" s="0" t="n">
        <f aca="false">G1455*E1455/1000</f>
        <v>1.2</v>
      </c>
    </row>
    <row r="1456" customFormat="false" ht="15" hidden="false" customHeight="false" outlineLevel="0" collapsed="false">
      <c r="A1456" s="0" t="s">
        <v>121</v>
      </c>
      <c r="B1456" s="0" t="s">
        <v>860</v>
      </c>
      <c r="C1456" s="0" t="n">
        <v>120</v>
      </c>
      <c r="D1456" s="0" t="n">
        <v>5</v>
      </c>
      <c r="E1456" s="0" t="n">
        <v>5</v>
      </c>
      <c r="F1456" s="0" t="n">
        <v>114</v>
      </c>
      <c r="G1456" s="0" t="n">
        <v>400</v>
      </c>
      <c r="H1456" s="0" t="s">
        <v>145</v>
      </c>
      <c r="I1456" s="0" t="n">
        <v>400</v>
      </c>
      <c r="J1456" s="0" t="n">
        <f aca="false">F1456*E1456</f>
        <v>570</v>
      </c>
      <c r="K1456" s="0" t="str">
        <f aca="false">IF(G1456&lt;1000,"1-Low",IF(G1456&lt;5000,"2-Medium","3-Bulk"))</f>
        <v>1-Low</v>
      </c>
      <c r="L1456" s="0" t="str">
        <f aca="false">IF(H1456="TRUE","Out of stock","In stock")</f>
        <v>In stock</v>
      </c>
      <c r="M1456" s="0" t="str">
        <f aca="false">IF(D1456&lt;5,"1) Under 5%",IF(D1456&lt;10,"2) 5-9%",IF(D1456&lt;15,"3) 10-14%",IF(D1456&lt;25,"4) 15-24%","5) 25%+"))))</f>
        <v>2) 5-9%</v>
      </c>
      <c r="N1456" s="0" t="str">
        <f aca="false">IF(F1456&lt;50,"1) Under Rs 50",IF(F1456&lt;100,"2) Rs 50-99",IF(F1456&lt;200,"3) Rs 100-199",IF(F1456&lt;500,"4) Rs 200-499","5) Rs 500+"))))</f>
        <v>3) Rs 100-199</v>
      </c>
      <c r="O1456" s="0" t="n">
        <f aca="false">G1456*E1456/1000</f>
        <v>2</v>
      </c>
    </row>
    <row r="1457" customFormat="false" ht="15" hidden="false" customHeight="false" outlineLevel="0" collapsed="false">
      <c r="A1457" s="0" t="s">
        <v>121</v>
      </c>
      <c r="B1457" s="0" t="s">
        <v>861</v>
      </c>
      <c r="C1457" s="0" t="n">
        <v>40</v>
      </c>
      <c r="D1457" s="0" t="n">
        <v>12</v>
      </c>
      <c r="E1457" s="0" t="n">
        <v>4</v>
      </c>
      <c r="F1457" s="0" t="n">
        <v>35</v>
      </c>
      <c r="G1457" s="0" t="n">
        <v>38</v>
      </c>
      <c r="H1457" s="0" t="s">
        <v>145</v>
      </c>
      <c r="I1457" s="0" t="n">
        <v>38</v>
      </c>
      <c r="J1457" s="0" t="n">
        <f aca="false">F1457*E1457</f>
        <v>140</v>
      </c>
      <c r="K1457" s="0" t="str">
        <f aca="false">IF(G1457&lt;1000,"1-Low",IF(G1457&lt;5000,"2-Medium","3-Bulk"))</f>
        <v>1-Low</v>
      </c>
      <c r="L1457" s="0" t="str">
        <f aca="false">IF(H1457="TRUE","Out of stock","In stock")</f>
        <v>In stock</v>
      </c>
      <c r="M1457" s="0" t="str">
        <f aca="false">IF(D1457&lt;5,"1) Under 5%",IF(D1457&lt;10,"2) 5-9%",IF(D1457&lt;15,"3) 10-14%",IF(D1457&lt;25,"4) 15-24%","5) 25%+"))))</f>
        <v>3) 10-14%</v>
      </c>
      <c r="N1457" s="0" t="str">
        <f aca="false">IF(F1457&lt;50,"1) Under Rs 50",IF(F1457&lt;100,"2) Rs 50-99",IF(F1457&lt;200,"3) Rs 100-199",IF(F1457&lt;500,"4) Rs 200-499","5) Rs 500+"))))</f>
        <v>1) Under Rs 50</v>
      </c>
      <c r="O1457" s="0" t="n">
        <f aca="false">G1457*E1457/1000</f>
        <v>0.152</v>
      </c>
    </row>
    <row r="1458" customFormat="false" ht="15" hidden="false" customHeight="false" outlineLevel="0" collapsed="false">
      <c r="A1458" s="0" t="s">
        <v>121</v>
      </c>
      <c r="B1458" s="0" t="s">
        <v>862</v>
      </c>
      <c r="C1458" s="0" t="n">
        <v>55</v>
      </c>
      <c r="D1458" s="0" t="n">
        <v>0</v>
      </c>
      <c r="E1458" s="0" t="n">
        <v>5</v>
      </c>
      <c r="F1458" s="0" t="n">
        <v>55</v>
      </c>
      <c r="G1458" s="0" t="n">
        <v>190</v>
      </c>
      <c r="H1458" s="0" t="s">
        <v>145</v>
      </c>
      <c r="I1458" s="0" t="n">
        <v>190</v>
      </c>
      <c r="J1458" s="0" t="n">
        <f aca="false">F1458*E1458</f>
        <v>275</v>
      </c>
      <c r="K1458" s="0" t="str">
        <f aca="false">IF(G1458&lt;1000,"1-Low",IF(G1458&lt;5000,"2-Medium","3-Bulk"))</f>
        <v>1-Low</v>
      </c>
      <c r="L1458" s="0" t="str">
        <f aca="false">IF(H1458="TRUE","Out of stock","In stock")</f>
        <v>In stock</v>
      </c>
      <c r="M1458" s="0" t="str">
        <f aca="false">IF(D1458&lt;5,"1) Under 5%",IF(D1458&lt;10,"2) 5-9%",IF(D1458&lt;15,"3) 10-14%",IF(D1458&lt;25,"4) 15-24%","5) 25%+"))))</f>
        <v>1) Under 5%</v>
      </c>
      <c r="N1458" s="0" t="str">
        <f aca="false">IF(F1458&lt;50,"1) Under Rs 50",IF(F1458&lt;100,"2) Rs 50-99",IF(F1458&lt;200,"3) Rs 100-199",IF(F1458&lt;500,"4) Rs 200-499","5) Rs 500+"))))</f>
        <v>2) Rs 50-99</v>
      </c>
      <c r="O1458" s="0" t="n">
        <f aca="false">G1458*E1458/1000</f>
        <v>0.95</v>
      </c>
    </row>
    <row r="1459" customFormat="false" ht="15" hidden="false" customHeight="false" outlineLevel="0" collapsed="false">
      <c r="A1459" s="0" t="s">
        <v>121</v>
      </c>
      <c r="B1459" s="0" t="s">
        <v>863</v>
      </c>
      <c r="C1459" s="0" t="n">
        <v>75</v>
      </c>
      <c r="D1459" s="0" t="n">
        <v>6</v>
      </c>
      <c r="E1459" s="0" t="n">
        <v>4</v>
      </c>
      <c r="F1459" s="0" t="n">
        <v>70</v>
      </c>
      <c r="G1459" s="0" t="n">
        <v>280</v>
      </c>
      <c r="H1459" s="0" t="s">
        <v>145</v>
      </c>
      <c r="I1459" s="0" t="n">
        <v>280</v>
      </c>
      <c r="J1459" s="0" t="n">
        <f aca="false">F1459*E1459</f>
        <v>280</v>
      </c>
      <c r="K1459" s="0" t="str">
        <f aca="false">IF(G1459&lt;1000,"1-Low",IF(G1459&lt;5000,"2-Medium","3-Bulk"))</f>
        <v>1-Low</v>
      </c>
      <c r="L1459" s="0" t="str">
        <f aca="false">IF(H1459="TRUE","Out of stock","In stock")</f>
        <v>In stock</v>
      </c>
      <c r="M1459" s="0" t="str">
        <f aca="false">IF(D1459&lt;5,"1) Under 5%",IF(D1459&lt;10,"2) 5-9%",IF(D1459&lt;15,"3) 10-14%",IF(D1459&lt;25,"4) 15-24%","5) 25%+"))))</f>
        <v>2) 5-9%</v>
      </c>
      <c r="N1459" s="0" t="str">
        <f aca="false">IF(F1459&lt;50,"1) Under Rs 50",IF(F1459&lt;100,"2) Rs 50-99",IF(F1459&lt;200,"3) Rs 100-199",IF(F1459&lt;500,"4) Rs 200-499","5) Rs 500+"))))</f>
        <v>2) Rs 50-99</v>
      </c>
      <c r="O1459" s="0" t="n">
        <f aca="false">G1459*E1459/1000</f>
        <v>1.12</v>
      </c>
    </row>
    <row r="1460" customFormat="false" ht="15" hidden="false" customHeight="false" outlineLevel="0" collapsed="false">
      <c r="A1460" s="0" t="s">
        <v>121</v>
      </c>
      <c r="B1460" s="0" t="s">
        <v>864</v>
      </c>
      <c r="C1460" s="0" t="n">
        <v>110</v>
      </c>
      <c r="D1460" s="0" t="n">
        <v>4</v>
      </c>
      <c r="E1460" s="0" t="n">
        <v>6</v>
      </c>
      <c r="F1460" s="0" t="n">
        <v>105</v>
      </c>
      <c r="G1460" s="0" t="n">
        <v>400</v>
      </c>
      <c r="H1460" s="0" t="s">
        <v>145</v>
      </c>
      <c r="I1460" s="0" t="n">
        <v>400</v>
      </c>
      <c r="J1460" s="0" t="n">
        <f aca="false">F1460*E1460</f>
        <v>630</v>
      </c>
      <c r="K1460" s="0" t="str">
        <f aca="false">IF(G1460&lt;1000,"1-Low",IF(G1460&lt;5000,"2-Medium","3-Bulk"))</f>
        <v>1-Low</v>
      </c>
      <c r="L1460" s="0" t="str">
        <f aca="false">IF(H1460="TRUE","Out of stock","In stock")</f>
        <v>In stock</v>
      </c>
      <c r="M1460" s="0" t="str">
        <f aca="false">IF(D1460&lt;5,"1) Under 5%",IF(D1460&lt;10,"2) 5-9%",IF(D1460&lt;15,"3) 10-14%",IF(D1460&lt;25,"4) 15-24%","5) 25%+"))))</f>
        <v>1) Under 5%</v>
      </c>
      <c r="N1460" s="0" t="str">
        <f aca="false">IF(F1460&lt;50,"1) Under Rs 50",IF(F1460&lt;100,"2) Rs 50-99",IF(F1460&lt;200,"3) Rs 100-199",IF(F1460&lt;500,"4) Rs 200-499","5) Rs 500+"))))</f>
        <v>3) Rs 100-199</v>
      </c>
      <c r="O1460" s="0" t="n">
        <f aca="false">G1460*E1460/1000</f>
        <v>2.4</v>
      </c>
    </row>
    <row r="1461" customFormat="false" ht="15" hidden="false" customHeight="false" outlineLevel="0" collapsed="false">
      <c r="A1461" s="0" t="s">
        <v>121</v>
      </c>
      <c r="B1461" s="0" t="s">
        <v>865</v>
      </c>
      <c r="C1461" s="0" t="n">
        <v>325</v>
      </c>
      <c r="D1461" s="0" t="n">
        <v>6</v>
      </c>
      <c r="E1461" s="0" t="n">
        <v>6</v>
      </c>
      <c r="F1461" s="0" t="n">
        <v>305</v>
      </c>
      <c r="G1461" s="0" t="n">
        <v>500</v>
      </c>
      <c r="H1461" s="0" t="s">
        <v>145</v>
      </c>
      <c r="I1461" s="0" t="n">
        <v>500</v>
      </c>
      <c r="J1461" s="0" t="n">
        <f aca="false">F1461*E1461</f>
        <v>1830</v>
      </c>
      <c r="K1461" s="0" t="str">
        <f aca="false">IF(G1461&lt;1000,"1-Low",IF(G1461&lt;5000,"2-Medium","3-Bulk"))</f>
        <v>1-Low</v>
      </c>
      <c r="L1461" s="0" t="str">
        <f aca="false">IF(H1461="TRUE","Out of stock","In stock")</f>
        <v>In stock</v>
      </c>
      <c r="M1461" s="0" t="str">
        <f aca="false">IF(D1461&lt;5,"1) Under 5%",IF(D1461&lt;10,"2) 5-9%",IF(D1461&lt;15,"3) 10-14%",IF(D1461&lt;25,"4) 15-24%","5) 25%+"))))</f>
        <v>2) 5-9%</v>
      </c>
      <c r="N1461" s="0" t="str">
        <f aca="false">IF(F1461&lt;50,"1) Under Rs 50",IF(F1461&lt;100,"2) Rs 50-99",IF(F1461&lt;200,"3) Rs 100-199",IF(F1461&lt;500,"4) Rs 200-499","5) Rs 500+"))))</f>
        <v>4) Rs 200-499</v>
      </c>
      <c r="O1461" s="0" t="n">
        <f aca="false">G1461*E1461/1000</f>
        <v>3</v>
      </c>
    </row>
    <row r="1462" customFormat="false" ht="15" hidden="false" customHeight="false" outlineLevel="0" collapsed="false">
      <c r="A1462" s="0" t="s">
        <v>121</v>
      </c>
      <c r="B1462" s="0" t="s">
        <v>866</v>
      </c>
      <c r="C1462" s="0" t="n">
        <v>55</v>
      </c>
      <c r="D1462" s="0" t="n">
        <v>20</v>
      </c>
      <c r="E1462" s="0" t="n">
        <v>5</v>
      </c>
      <c r="F1462" s="0" t="n">
        <v>44</v>
      </c>
      <c r="G1462" s="0" t="n">
        <v>27</v>
      </c>
      <c r="H1462" s="0" t="s">
        <v>145</v>
      </c>
      <c r="I1462" s="0" t="n">
        <v>27</v>
      </c>
      <c r="J1462" s="0" t="n">
        <f aca="false">F1462*E1462</f>
        <v>220</v>
      </c>
      <c r="K1462" s="0" t="str">
        <f aca="false">IF(G1462&lt;1000,"1-Low",IF(G1462&lt;5000,"2-Medium","3-Bulk"))</f>
        <v>1-Low</v>
      </c>
      <c r="L1462" s="0" t="str">
        <f aca="false">IF(H1462="TRUE","Out of stock","In stock")</f>
        <v>In stock</v>
      </c>
      <c r="M1462" s="0" t="str">
        <f aca="false">IF(D1462&lt;5,"1) Under 5%",IF(D1462&lt;10,"2) 5-9%",IF(D1462&lt;15,"3) 10-14%",IF(D1462&lt;25,"4) 15-24%","5) 25%+"))))</f>
        <v>4) 15-24%</v>
      </c>
      <c r="N1462" s="0" t="str">
        <f aca="false">IF(F1462&lt;50,"1) Under Rs 50",IF(F1462&lt;100,"2) Rs 50-99",IF(F1462&lt;200,"3) Rs 100-199",IF(F1462&lt;500,"4) Rs 200-499","5) Rs 500+"))))</f>
        <v>1) Under Rs 50</v>
      </c>
      <c r="O1462" s="0" t="n">
        <f aca="false">G1462*E1462/1000</f>
        <v>0.135</v>
      </c>
    </row>
    <row r="1463" customFormat="false" ht="15" hidden="false" customHeight="false" outlineLevel="0" collapsed="false">
      <c r="A1463" s="0" t="s">
        <v>121</v>
      </c>
      <c r="B1463" s="0" t="s">
        <v>867</v>
      </c>
      <c r="C1463" s="0" t="n">
        <v>28</v>
      </c>
      <c r="D1463" s="0" t="n">
        <v>17</v>
      </c>
      <c r="E1463" s="0" t="n">
        <v>1</v>
      </c>
      <c r="F1463" s="0" t="n">
        <v>23</v>
      </c>
      <c r="G1463" s="0" t="n">
        <v>65</v>
      </c>
      <c r="H1463" s="0" t="s">
        <v>145</v>
      </c>
      <c r="I1463" s="0" t="n">
        <v>65</v>
      </c>
      <c r="J1463" s="0" t="n">
        <f aca="false">F1463*E1463</f>
        <v>23</v>
      </c>
      <c r="K1463" s="0" t="str">
        <f aca="false">IF(G1463&lt;1000,"1-Low",IF(G1463&lt;5000,"2-Medium","3-Bulk"))</f>
        <v>1-Low</v>
      </c>
      <c r="L1463" s="0" t="str">
        <f aca="false">IF(H1463="TRUE","Out of stock","In stock")</f>
        <v>In stock</v>
      </c>
      <c r="M1463" s="0" t="str">
        <f aca="false">IF(D1463&lt;5,"1) Under 5%",IF(D1463&lt;10,"2) 5-9%",IF(D1463&lt;15,"3) 10-14%",IF(D1463&lt;25,"4) 15-24%","5) 25%+"))))</f>
        <v>4) 15-24%</v>
      </c>
      <c r="N1463" s="0" t="str">
        <f aca="false">IF(F1463&lt;50,"1) Under Rs 50",IF(F1463&lt;100,"2) Rs 50-99",IF(F1463&lt;200,"3) Rs 100-199",IF(F1463&lt;500,"4) Rs 200-499","5) Rs 500+"))))</f>
        <v>1) Under Rs 50</v>
      </c>
      <c r="O1463" s="0" t="n">
        <f aca="false">G1463*E1463/1000</f>
        <v>0.065</v>
      </c>
    </row>
    <row r="1464" customFormat="false" ht="15" hidden="false" customHeight="false" outlineLevel="0" collapsed="false">
      <c r="A1464" s="0" t="s">
        <v>121</v>
      </c>
      <c r="B1464" s="0" t="s">
        <v>868</v>
      </c>
      <c r="C1464" s="0" t="n">
        <v>99</v>
      </c>
      <c r="D1464" s="0" t="n">
        <v>49</v>
      </c>
      <c r="E1464" s="0" t="n">
        <v>1</v>
      </c>
      <c r="F1464" s="0" t="n">
        <v>50</v>
      </c>
      <c r="G1464" s="0" t="n">
        <v>130</v>
      </c>
      <c r="H1464" s="0" t="s">
        <v>145</v>
      </c>
      <c r="I1464" s="0" t="n">
        <v>130</v>
      </c>
      <c r="J1464" s="0" t="n">
        <f aca="false">F1464*E1464</f>
        <v>50</v>
      </c>
      <c r="K1464" s="0" t="str">
        <f aca="false">IF(G1464&lt;1000,"1-Low",IF(G1464&lt;5000,"2-Medium","3-Bulk"))</f>
        <v>1-Low</v>
      </c>
      <c r="L1464" s="0" t="str">
        <f aca="false">IF(H1464="TRUE","Out of stock","In stock")</f>
        <v>In stock</v>
      </c>
      <c r="M1464" s="0" t="str">
        <f aca="false">IF(D1464&lt;5,"1) Under 5%",IF(D1464&lt;10,"2) 5-9%",IF(D1464&lt;15,"3) 10-14%",IF(D1464&lt;25,"4) 15-24%","5) 25%+"))))</f>
        <v>5) 25%+</v>
      </c>
      <c r="N1464" s="0" t="str">
        <f aca="false">IF(F1464&lt;50,"1) Under Rs 50",IF(F1464&lt;100,"2) Rs 50-99",IF(F1464&lt;200,"3) Rs 100-199",IF(F1464&lt;500,"4) Rs 200-499","5) Rs 500+"))))</f>
        <v>2) Rs 50-99</v>
      </c>
      <c r="O1464" s="0" t="n">
        <f aca="false">G1464*E1464/1000</f>
        <v>0.13</v>
      </c>
    </row>
    <row r="1465" customFormat="false" ht="15" hidden="false" customHeight="false" outlineLevel="0" collapsed="false">
      <c r="A1465" s="0" t="s">
        <v>121</v>
      </c>
      <c r="B1465" s="0" t="s">
        <v>869</v>
      </c>
      <c r="C1465" s="0" t="n">
        <v>105</v>
      </c>
      <c r="D1465" s="0" t="n">
        <v>4</v>
      </c>
      <c r="E1465" s="0" t="n">
        <v>2</v>
      </c>
      <c r="F1465" s="0" t="n">
        <v>100</v>
      </c>
      <c r="G1465" s="0" t="n">
        <v>500</v>
      </c>
      <c r="H1465" s="0" t="s">
        <v>145</v>
      </c>
      <c r="I1465" s="0" t="n">
        <v>500</v>
      </c>
      <c r="J1465" s="0" t="n">
        <f aca="false">F1465*E1465</f>
        <v>200</v>
      </c>
      <c r="K1465" s="0" t="str">
        <f aca="false">IF(G1465&lt;1000,"1-Low",IF(G1465&lt;5000,"2-Medium","3-Bulk"))</f>
        <v>1-Low</v>
      </c>
      <c r="L1465" s="0" t="str">
        <f aca="false">IF(H1465="TRUE","Out of stock","In stock")</f>
        <v>In stock</v>
      </c>
      <c r="M1465" s="0" t="str">
        <f aca="false">IF(D1465&lt;5,"1) Under 5%",IF(D1465&lt;10,"2) 5-9%",IF(D1465&lt;15,"3) 10-14%",IF(D1465&lt;25,"4) 15-24%","5) 25%+"))))</f>
        <v>1) Under 5%</v>
      </c>
      <c r="N1465" s="0" t="str">
        <f aca="false">IF(F1465&lt;50,"1) Under Rs 50",IF(F1465&lt;100,"2) Rs 50-99",IF(F1465&lt;200,"3) Rs 100-199",IF(F1465&lt;500,"4) Rs 200-499","5) Rs 500+"))))</f>
        <v>3) Rs 100-199</v>
      </c>
      <c r="O1465" s="0" t="n">
        <f aca="false">G1465*E1465/1000</f>
        <v>1</v>
      </c>
    </row>
    <row r="1466" customFormat="false" ht="15" hidden="false" customHeight="false" outlineLevel="0" collapsed="false">
      <c r="A1466" s="0" t="s">
        <v>121</v>
      </c>
      <c r="B1466" s="0" t="s">
        <v>746</v>
      </c>
      <c r="C1466" s="0" t="n">
        <v>235</v>
      </c>
      <c r="D1466" s="0" t="n">
        <v>25</v>
      </c>
      <c r="E1466" s="0" t="n">
        <v>6</v>
      </c>
      <c r="F1466" s="0" t="n">
        <v>174</v>
      </c>
      <c r="G1466" s="0" t="n">
        <v>325</v>
      </c>
      <c r="H1466" s="0" t="s">
        <v>145</v>
      </c>
      <c r="I1466" s="0" t="n">
        <v>325</v>
      </c>
      <c r="J1466" s="0" t="n">
        <f aca="false">F1466*E1466</f>
        <v>1044</v>
      </c>
      <c r="K1466" s="0" t="str">
        <f aca="false">IF(G1466&lt;1000,"1-Low",IF(G1466&lt;5000,"2-Medium","3-Bulk"))</f>
        <v>1-Low</v>
      </c>
      <c r="L1466" s="0" t="str">
        <f aca="false">IF(H1466="TRUE","Out of stock","In stock")</f>
        <v>In stock</v>
      </c>
      <c r="M1466" s="0" t="str">
        <f aca="false">IF(D1466&lt;5,"1) Under 5%",IF(D1466&lt;10,"2) 5-9%",IF(D1466&lt;15,"3) 10-14%",IF(D1466&lt;25,"4) 15-24%","5) 25%+"))))</f>
        <v>5) 25%+</v>
      </c>
      <c r="N1466" s="0" t="str">
        <f aca="false">IF(F1466&lt;50,"1) Under Rs 50",IF(F1466&lt;100,"2) Rs 50-99",IF(F1466&lt;200,"3) Rs 100-199",IF(F1466&lt;500,"4) Rs 200-499","5) Rs 500+"))))</f>
        <v>3) Rs 100-199</v>
      </c>
      <c r="O1466" s="0" t="n">
        <f aca="false">G1466*E1466/1000</f>
        <v>1.95</v>
      </c>
    </row>
    <row r="1467" customFormat="false" ht="15" hidden="false" customHeight="false" outlineLevel="0" collapsed="false">
      <c r="A1467" s="0" t="s">
        <v>121</v>
      </c>
      <c r="B1467" s="0" t="s">
        <v>375</v>
      </c>
      <c r="C1467" s="0" t="n">
        <v>325</v>
      </c>
      <c r="D1467" s="0" t="n">
        <v>9</v>
      </c>
      <c r="E1467" s="0" t="n">
        <v>1</v>
      </c>
      <c r="F1467" s="0" t="n">
        <v>293</v>
      </c>
      <c r="G1467" s="0" t="n">
        <v>500</v>
      </c>
      <c r="H1467" s="0" t="s">
        <v>145</v>
      </c>
      <c r="I1467" s="0" t="n">
        <v>500</v>
      </c>
      <c r="J1467" s="0" t="n">
        <f aca="false">F1467*E1467</f>
        <v>293</v>
      </c>
      <c r="K1467" s="0" t="str">
        <f aca="false">IF(G1467&lt;1000,"1-Low",IF(G1467&lt;5000,"2-Medium","3-Bulk"))</f>
        <v>1-Low</v>
      </c>
      <c r="L1467" s="0" t="str">
        <f aca="false">IF(H1467="TRUE","Out of stock","In stock")</f>
        <v>In stock</v>
      </c>
      <c r="M1467" s="0" t="str">
        <f aca="false">IF(D1467&lt;5,"1) Under 5%",IF(D1467&lt;10,"2) 5-9%",IF(D1467&lt;15,"3) 10-14%",IF(D1467&lt;25,"4) 15-24%","5) 25%+"))))</f>
        <v>2) 5-9%</v>
      </c>
      <c r="N1467" s="0" t="str">
        <f aca="false">IF(F1467&lt;50,"1) Under Rs 50",IF(F1467&lt;100,"2) Rs 50-99",IF(F1467&lt;200,"3) Rs 100-199",IF(F1467&lt;500,"4) Rs 200-499","5) Rs 500+"))))</f>
        <v>4) Rs 200-499</v>
      </c>
      <c r="O1467" s="0" t="n">
        <f aca="false">G1467*E1467/1000</f>
        <v>0.5</v>
      </c>
    </row>
    <row r="1468" customFormat="false" ht="15" hidden="false" customHeight="false" outlineLevel="0" collapsed="false">
      <c r="A1468" s="0" t="s">
        <v>121</v>
      </c>
      <c r="B1468" s="0" t="s">
        <v>749</v>
      </c>
      <c r="C1468" s="0" t="n">
        <v>99</v>
      </c>
      <c r="D1468" s="0" t="n">
        <v>5</v>
      </c>
      <c r="E1468" s="0" t="n">
        <v>6</v>
      </c>
      <c r="F1468" s="0" t="n">
        <v>94</v>
      </c>
      <c r="G1468" s="0" t="n">
        <v>200</v>
      </c>
      <c r="H1468" s="0" t="s">
        <v>145</v>
      </c>
      <c r="I1468" s="0" t="n">
        <v>200</v>
      </c>
      <c r="J1468" s="0" t="n">
        <f aca="false">F1468*E1468</f>
        <v>564</v>
      </c>
      <c r="K1468" s="0" t="str">
        <f aca="false">IF(G1468&lt;1000,"1-Low",IF(G1468&lt;5000,"2-Medium","3-Bulk"))</f>
        <v>1-Low</v>
      </c>
      <c r="L1468" s="0" t="str">
        <f aca="false">IF(H1468="TRUE","Out of stock","In stock")</f>
        <v>In stock</v>
      </c>
      <c r="M1468" s="0" t="str">
        <f aca="false">IF(D1468&lt;5,"1) Under 5%",IF(D1468&lt;10,"2) 5-9%",IF(D1468&lt;15,"3) 10-14%",IF(D1468&lt;25,"4) 15-24%","5) 25%+"))))</f>
        <v>2) 5-9%</v>
      </c>
      <c r="N1468" s="0" t="str">
        <f aca="false">IF(F1468&lt;50,"1) Under Rs 50",IF(F1468&lt;100,"2) Rs 50-99",IF(F1468&lt;200,"3) Rs 100-199",IF(F1468&lt;500,"4) Rs 200-499","5) Rs 500+"))))</f>
        <v>2) Rs 50-99</v>
      </c>
      <c r="O1468" s="0" t="n">
        <f aca="false">G1468*E1468/1000</f>
        <v>1.2</v>
      </c>
    </row>
    <row r="1469" customFormat="false" ht="15" hidden="false" customHeight="false" outlineLevel="0" collapsed="false">
      <c r="A1469" s="0" t="s">
        <v>121</v>
      </c>
      <c r="B1469" s="0" t="s">
        <v>120</v>
      </c>
      <c r="C1469" s="0" t="n">
        <v>175</v>
      </c>
      <c r="D1469" s="0" t="n">
        <v>9</v>
      </c>
      <c r="E1469" s="0" t="n">
        <v>6</v>
      </c>
      <c r="F1469" s="0" t="n">
        <v>158</v>
      </c>
      <c r="G1469" s="0" t="n">
        <v>300</v>
      </c>
      <c r="H1469" s="0" t="s">
        <v>145</v>
      </c>
      <c r="I1469" s="0" t="n">
        <v>300</v>
      </c>
      <c r="J1469" s="0" t="n">
        <f aca="false">F1469*E1469</f>
        <v>948</v>
      </c>
      <c r="K1469" s="0" t="str">
        <f aca="false">IF(G1469&lt;1000,"1-Low",IF(G1469&lt;5000,"2-Medium","3-Bulk"))</f>
        <v>1-Low</v>
      </c>
      <c r="L1469" s="0" t="str">
        <f aca="false">IF(H1469="TRUE","Out of stock","In stock")</f>
        <v>In stock</v>
      </c>
      <c r="M1469" s="0" t="str">
        <f aca="false">IF(D1469&lt;5,"1) Under 5%",IF(D1469&lt;10,"2) 5-9%",IF(D1469&lt;15,"3) 10-14%",IF(D1469&lt;25,"4) 15-24%","5) 25%+"))))</f>
        <v>2) 5-9%</v>
      </c>
      <c r="N1469" s="0" t="str">
        <f aca="false">IF(F1469&lt;50,"1) Under Rs 50",IF(F1469&lt;100,"2) Rs 50-99",IF(F1469&lt;200,"3) Rs 100-199",IF(F1469&lt;500,"4) Rs 200-499","5) Rs 500+"))))</f>
        <v>3) Rs 100-199</v>
      </c>
      <c r="O1469" s="0" t="n">
        <f aca="false">G1469*E1469/1000</f>
        <v>1.8</v>
      </c>
    </row>
    <row r="1470" customFormat="false" ht="15" hidden="false" customHeight="false" outlineLevel="0" collapsed="false">
      <c r="A1470" s="0" t="s">
        <v>121</v>
      </c>
      <c r="B1470" s="0" t="s">
        <v>870</v>
      </c>
      <c r="C1470" s="0" t="n">
        <v>60</v>
      </c>
      <c r="D1470" s="0" t="n">
        <v>20</v>
      </c>
      <c r="E1470" s="0" t="n">
        <v>6</v>
      </c>
      <c r="F1470" s="0" t="n">
        <v>48</v>
      </c>
      <c r="G1470" s="0" t="n">
        <v>40</v>
      </c>
      <c r="H1470" s="0" t="s">
        <v>145</v>
      </c>
      <c r="I1470" s="0" t="n">
        <v>40</v>
      </c>
      <c r="J1470" s="0" t="n">
        <f aca="false">F1470*E1470</f>
        <v>288</v>
      </c>
      <c r="K1470" s="0" t="str">
        <f aca="false">IF(G1470&lt;1000,"1-Low",IF(G1470&lt;5000,"2-Medium","3-Bulk"))</f>
        <v>1-Low</v>
      </c>
      <c r="L1470" s="0" t="str">
        <f aca="false">IF(H1470="TRUE","Out of stock","In stock")</f>
        <v>In stock</v>
      </c>
      <c r="M1470" s="0" t="str">
        <f aca="false">IF(D1470&lt;5,"1) Under 5%",IF(D1470&lt;10,"2) 5-9%",IF(D1470&lt;15,"3) 10-14%",IF(D1470&lt;25,"4) 15-24%","5) 25%+"))))</f>
        <v>4) 15-24%</v>
      </c>
      <c r="N1470" s="0" t="str">
        <f aca="false">IF(F1470&lt;50,"1) Under Rs 50",IF(F1470&lt;100,"2) Rs 50-99",IF(F1470&lt;200,"3) Rs 100-199",IF(F1470&lt;500,"4) Rs 200-499","5) Rs 500+"))))</f>
        <v>1) Under Rs 50</v>
      </c>
      <c r="O1470" s="0" t="n">
        <f aca="false">G1470*E1470/1000</f>
        <v>0.24</v>
      </c>
    </row>
    <row r="1471" customFormat="false" ht="15" hidden="false" customHeight="false" outlineLevel="0" collapsed="false">
      <c r="A1471" s="0" t="s">
        <v>121</v>
      </c>
      <c r="B1471" s="0" t="s">
        <v>871</v>
      </c>
      <c r="C1471" s="0" t="n">
        <v>270</v>
      </c>
      <c r="D1471" s="0" t="n">
        <v>0</v>
      </c>
      <c r="E1471" s="0" t="n">
        <v>5</v>
      </c>
      <c r="F1471" s="0" t="n">
        <v>270</v>
      </c>
      <c r="G1471" s="0" t="n">
        <v>24</v>
      </c>
      <c r="H1471" s="0" t="s">
        <v>145</v>
      </c>
      <c r="I1471" s="0" t="n">
        <v>24</v>
      </c>
      <c r="J1471" s="0" t="n">
        <f aca="false">F1471*E1471</f>
        <v>1350</v>
      </c>
      <c r="K1471" s="0" t="str">
        <f aca="false">IF(G1471&lt;1000,"1-Low",IF(G1471&lt;5000,"2-Medium","3-Bulk"))</f>
        <v>1-Low</v>
      </c>
      <c r="L1471" s="0" t="str">
        <f aca="false">IF(H1471="TRUE","Out of stock","In stock")</f>
        <v>In stock</v>
      </c>
      <c r="M1471" s="0" t="str">
        <f aca="false">IF(D1471&lt;5,"1) Under 5%",IF(D1471&lt;10,"2) 5-9%",IF(D1471&lt;15,"3) 10-14%",IF(D1471&lt;25,"4) 15-24%","5) 25%+"))))</f>
        <v>1) Under 5%</v>
      </c>
      <c r="N1471" s="0" t="str">
        <f aca="false">IF(F1471&lt;50,"1) Under Rs 50",IF(F1471&lt;100,"2) Rs 50-99",IF(F1471&lt;200,"3) Rs 100-199",IF(F1471&lt;500,"4) Rs 200-499","5) Rs 500+"))))</f>
        <v>4) Rs 200-499</v>
      </c>
      <c r="O1471" s="0" t="n">
        <f aca="false">G1471*E1471/1000</f>
        <v>0.12</v>
      </c>
    </row>
    <row r="1472" customFormat="false" ht="15" hidden="false" customHeight="false" outlineLevel="0" collapsed="false">
      <c r="A1472" s="0" t="s">
        <v>121</v>
      </c>
      <c r="B1472" s="0" t="s">
        <v>872</v>
      </c>
      <c r="C1472" s="0" t="n">
        <v>50</v>
      </c>
      <c r="D1472" s="0" t="n">
        <v>10</v>
      </c>
      <c r="E1472" s="0" t="n">
        <v>6</v>
      </c>
      <c r="F1472" s="0" t="n">
        <v>45</v>
      </c>
      <c r="G1472" s="0" t="n">
        <v>160</v>
      </c>
      <c r="H1472" s="0" t="s">
        <v>145</v>
      </c>
      <c r="I1472" s="0" t="n">
        <v>160</v>
      </c>
      <c r="J1472" s="0" t="n">
        <f aca="false">F1472*E1472</f>
        <v>270</v>
      </c>
      <c r="K1472" s="0" t="str">
        <f aca="false">IF(G1472&lt;1000,"1-Low",IF(G1472&lt;5000,"2-Medium","3-Bulk"))</f>
        <v>1-Low</v>
      </c>
      <c r="L1472" s="0" t="str">
        <f aca="false">IF(H1472="TRUE","Out of stock","In stock")</f>
        <v>In stock</v>
      </c>
      <c r="M1472" s="0" t="str">
        <f aca="false">IF(D1472&lt;5,"1) Under 5%",IF(D1472&lt;10,"2) 5-9%",IF(D1472&lt;15,"3) 10-14%",IF(D1472&lt;25,"4) 15-24%","5) 25%+"))))</f>
        <v>3) 10-14%</v>
      </c>
      <c r="N1472" s="0" t="str">
        <f aca="false">IF(F1472&lt;50,"1) Under Rs 50",IF(F1472&lt;100,"2) Rs 50-99",IF(F1472&lt;200,"3) Rs 100-199",IF(F1472&lt;500,"4) Rs 200-499","5) Rs 500+"))))</f>
        <v>1) Under Rs 50</v>
      </c>
      <c r="O1472" s="0" t="n">
        <f aca="false">G1472*E1472/1000</f>
        <v>0.96</v>
      </c>
    </row>
    <row r="1473" customFormat="false" ht="15" hidden="false" customHeight="false" outlineLevel="0" collapsed="false">
      <c r="A1473" s="0" t="s">
        <v>121</v>
      </c>
      <c r="B1473" s="0" t="s">
        <v>383</v>
      </c>
      <c r="C1473" s="0" t="n">
        <v>60</v>
      </c>
      <c r="D1473" s="0" t="n">
        <v>0</v>
      </c>
      <c r="E1473" s="0" t="n">
        <v>1</v>
      </c>
      <c r="F1473" s="0" t="n">
        <v>60</v>
      </c>
      <c r="G1473" s="0" t="n">
        <v>240</v>
      </c>
      <c r="H1473" s="0" t="s">
        <v>145</v>
      </c>
      <c r="I1473" s="0" t="n">
        <v>240</v>
      </c>
      <c r="J1473" s="0" t="n">
        <f aca="false">F1473*E1473</f>
        <v>60</v>
      </c>
      <c r="K1473" s="0" t="str">
        <f aca="false">IF(G1473&lt;1000,"1-Low",IF(G1473&lt;5000,"2-Medium","3-Bulk"))</f>
        <v>1-Low</v>
      </c>
      <c r="L1473" s="0" t="str">
        <f aca="false">IF(H1473="TRUE","Out of stock","In stock")</f>
        <v>In stock</v>
      </c>
      <c r="M1473" s="0" t="str">
        <f aca="false">IF(D1473&lt;5,"1) Under 5%",IF(D1473&lt;10,"2) 5-9%",IF(D1473&lt;15,"3) 10-14%",IF(D1473&lt;25,"4) 15-24%","5) 25%+"))))</f>
        <v>1) Under 5%</v>
      </c>
      <c r="N1473" s="0" t="str">
        <f aca="false">IF(F1473&lt;50,"1) Under Rs 50",IF(F1473&lt;100,"2) Rs 50-99",IF(F1473&lt;200,"3) Rs 100-199",IF(F1473&lt;500,"4) Rs 200-499","5) Rs 500+"))))</f>
        <v>2) Rs 50-99</v>
      </c>
      <c r="O1473" s="0" t="n">
        <f aca="false">G1473*E1473/1000</f>
        <v>0.24</v>
      </c>
    </row>
    <row r="1474" customFormat="false" ht="15" hidden="false" customHeight="false" outlineLevel="0" collapsed="false">
      <c r="A1474" s="0" t="s">
        <v>121</v>
      </c>
      <c r="B1474" s="0" t="s">
        <v>873</v>
      </c>
      <c r="C1474" s="0" t="n">
        <v>100</v>
      </c>
      <c r="D1474" s="0" t="n">
        <v>26</v>
      </c>
      <c r="E1474" s="0" t="n">
        <v>6</v>
      </c>
      <c r="F1474" s="0" t="n">
        <v>74</v>
      </c>
      <c r="G1474" s="0" t="n">
        <v>52</v>
      </c>
      <c r="H1474" s="0" t="s">
        <v>145</v>
      </c>
      <c r="I1474" s="0" t="n">
        <v>52</v>
      </c>
      <c r="J1474" s="0" t="n">
        <f aca="false">F1474*E1474</f>
        <v>444</v>
      </c>
      <c r="K1474" s="0" t="str">
        <f aca="false">IF(G1474&lt;1000,"1-Low",IF(G1474&lt;5000,"2-Medium","3-Bulk"))</f>
        <v>1-Low</v>
      </c>
      <c r="L1474" s="0" t="str">
        <f aca="false">IF(H1474="TRUE","Out of stock","In stock")</f>
        <v>In stock</v>
      </c>
      <c r="M1474" s="0" t="str">
        <f aca="false">IF(D1474&lt;5,"1) Under 5%",IF(D1474&lt;10,"2) 5-9%",IF(D1474&lt;15,"3) 10-14%",IF(D1474&lt;25,"4) 15-24%","5) 25%+"))))</f>
        <v>5) 25%+</v>
      </c>
      <c r="N1474" s="0" t="str">
        <f aca="false">IF(F1474&lt;50,"1) Under Rs 50",IF(F1474&lt;100,"2) Rs 50-99",IF(F1474&lt;200,"3) Rs 100-199",IF(F1474&lt;500,"4) Rs 200-499","5) Rs 500+"))))</f>
        <v>2) Rs 50-99</v>
      </c>
      <c r="O1474" s="0" t="n">
        <f aca="false">G1474*E1474/1000</f>
        <v>0.312</v>
      </c>
    </row>
    <row r="1475" customFormat="false" ht="15" hidden="false" customHeight="false" outlineLevel="0" collapsed="false">
      <c r="A1475" s="0" t="s">
        <v>121</v>
      </c>
      <c r="B1475" s="0" t="s">
        <v>387</v>
      </c>
      <c r="C1475" s="0" t="n">
        <v>20</v>
      </c>
      <c r="D1475" s="0" t="n">
        <v>0</v>
      </c>
      <c r="E1475" s="0" t="n">
        <v>2</v>
      </c>
      <c r="F1475" s="0" t="n">
        <v>20</v>
      </c>
      <c r="G1475" s="0" t="n">
        <v>46</v>
      </c>
      <c r="H1475" s="0" t="s">
        <v>145</v>
      </c>
      <c r="I1475" s="0" t="n">
        <v>46</v>
      </c>
      <c r="J1475" s="0" t="n">
        <f aca="false">F1475*E1475</f>
        <v>40</v>
      </c>
      <c r="K1475" s="0" t="str">
        <f aca="false">IF(G1475&lt;1000,"1-Low",IF(G1475&lt;5000,"2-Medium","3-Bulk"))</f>
        <v>1-Low</v>
      </c>
      <c r="L1475" s="0" t="str">
        <f aca="false">IF(H1475="TRUE","Out of stock","In stock")</f>
        <v>In stock</v>
      </c>
      <c r="M1475" s="0" t="str">
        <f aca="false">IF(D1475&lt;5,"1) Under 5%",IF(D1475&lt;10,"2) 5-9%",IF(D1475&lt;15,"3) 10-14%",IF(D1475&lt;25,"4) 15-24%","5) 25%+"))))</f>
        <v>1) Under 5%</v>
      </c>
      <c r="N1475" s="0" t="str">
        <f aca="false">IF(F1475&lt;50,"1) Under Rs 50",IF(F1475&lt;100,"2) Rs 50-99",IF(F1475&lt;200,"3) Rs 100-199",IF(F1475&lt;500,"4) Rs 200-499","5) Rs 500+"))))</f>
        <v>1) Under Rs 50</v>
      </c>
      <c r="O1475" s="0" t="n">
        <f aca="false">G1475*E1475/1000</f>
        <v>0.092</v>
      </c>
    </row>
    <row r="1476" customFormat="false" ht="15" hidden="false" customHeight="false" outlineLevel="0" collapsed="false">
      <c r="A1476" s="0" t="s">
        <v>121</v>
      </c>
      <c r="B1476" s="0" t="s">
        <v>874</v>
      </c>
      <c r="C1476" s="0" t="n">
        <v>74</v>
      </c>
      <c r="D1476" s="0" t="n">
        <v>6</v>
      </c>
      <c r="E1476" s="0" t="n">
        <v>2</v>
      </c>
      <c r="F1476" s="0" t="n">
        <v>69</v>
      </c>
      <c r="G1476" s="0" t="n">
        <v>300</v>
      </c>
      <c r="H1476" s="0" t="s">
        <v>145</v>
      </c>
      <c r="I1476" s="0" t="n">
        <v>300</v>
      </c>
      <c r="J1476" s="0" t="n">
        <f aca="false">F1476*E1476</f>
        <v>138</v>
      </c>
      <c r="K1476" s="0" t="str">
        <f aca="false">IF(G1476&lt;1000,"1-Low",IF(G1476&lt;5000,"2-Medium","3-Bulk"))</f>
        <v>1-Low</v>
      </c>
      <c r="L1476" s="0" t="str">
        <f aca="false">IF(H1476="TRUE","Out of stock","In stock")</f>
        <v>In stock</v>
      </c>
      <c r="M1476" s="0" t="str">
        <f aca="false">IF(D1476&lt;5,"1) Under 5%",IF(D1476&lt;10,"2) 5-9%",IF(D1476&lt;15,"3) 10-14%",IF(D1476&lt;25,"4) 15-24%","5) 25%+"))))</f>
        <v>2) 5-9%</v>
      </c>
      <c r="N1476" s="0" t="str">
        <f aca="false">IF(F1476&lt;50,"1) Under Rs 50",IF(F1476&lt;100,"2) Rs 50-99",IF(F1476&lt;200,"3) Rs 100-199",IF(F1476&lt;500,"4) Rs 200-499","5) Rs 500+"))))</f>
        <v>2) Rs 50-99</v>
      </c>
      <c r="O1476" s="0" t="n">
        <f aca="false">G1476*E1476/1000</f>
        <v>0.6</v>
      </c>
    </row>
    <row r="1477" customFormat="false" ht="15" hidden="false" customHeight="false" outlineLevel="0" collapsed="false">
      <c r="A1477" s="0" t="s">
        <v>121</v>
      </c>
      <c r="B1477" s="0" t="s">
        <v>394</v>
      </c>
      <c r="C1477" s="0" t="n">
        <v>48</v>
      </c>
      <c r="D1477" s="0" t="n">
        <v>6</v>
      </c>
      <c r="E1477" s="0" t="n">
        <v>6</v>
      </c>
      <c r="F1477" s="0" t="n">
        <v>45</v>
      </c>
      <c r="G1477" s="0" t="n">
        <v>200</v>
      </c>
      <c r="H1477" s="0" t="s">
        <v>145</v>
      </c>
      <c r="I1477" s="0" t="n">
        <v>200</v>
      </c>
      <c r="J1477" s="0" t="n">
        <f aca="false">F1477*E1477</f>
        <v>270</v>
      </c>
      <c r="K1477" s="0" t="str">
        <f aca="false">IF(G1477&lt;1000,"1-Low",IF(G1477&lt;5000,"2-Medium","3-Bulk"))</f>
        <v>1-Low</v>
      </c>
      <c r="L1477" s="0" t="str">
        <f aca="false">IF(H1477="TRUE","Out of stock","In stock")</f>
        <v>In stock</v>
      </c>
      <c r="M1477" s="0" t="str">
        <f aca="false">IF(D1477&lt;5,"1) Under 5%",IF(D1477&lt;10,"2) 5-9%",IF(D1477&lt;15,"3) 10-14%",IF(D1477&lt;25,"4) 15-24%","5) 25%+"))))</f>
        <v>2) 5-9%</v>
      </c>
      <c r="N1477" s="0" t="str">
        <f aca="false">IF(F1477&lt;50,"1) Under Rs 50",IF(F1477&lt;100,"2) Rs 50-99",IF(F1477&lt;200,"3) Rs 100-199",IF(F1477&lt;500,"4) Rs 200-499","5) Rs 500+"))))</f>
        <v>1) Under Rs 50</v>
      </c>
      <c r="O1477" s="0" t="n">
        <f aca="false">G1477*E1477/1000</f>
        <v>1.2</v>
      </c>
    </row>
    <row r="1478" customFormat="false" ht="15" hidden="false" customHeight="false" outlineLevel="0" collapsed="false">
      <c r="A1478" s="0" t="s">
        <v>121</v>
      </c>
      <c r="B1478" s="0" t="s">
        <v>875</v>
      </c>
      <c r="C1478" s="0" t="n">
        <v>325</v>
      </c>
      <c r="D1478" s="0" t="n">
        <v>4</v>
      </c>
      <c r="E1478" s="0" t="n">
        <v>6</v>
      </c>
      <c r="F1478" s="0" t="n">
        <v>309</v>
      </c>
      <c r="G1478" s="0" t="n">
        <v>400</v>
      </c>
      <c r="H1478" s="0" t="s">
        <v>145</v>
      </c>
      <c r="I1478" s="0" t="n">
        <v>400</v>
      </c>
      <c r="J1478" s="0" t="n">
        <f aca="false">F1478*E1478</f>
        <v>1854</v>
      </c>
      <c r="K1478" s="0" t="str">
        <f aca="false">IF(G1478&lt;1000,"1-Low",IF(G1478&lt;5000,"2-Medium","3-Bulk"))</f>
        <v>1-Low</v>
      </c>
      <c r="L1478" s="0" t="str">
        <f aca="false">IF(H1478="TRUE","Out of stock","In stock")</f>
        <v>In stock</v>
      </c>
      <c r="M1478" s="0" t="str">
        <f aca="false">IF(D1478&lt;5,"1) Under 5%",IF(D1478&lt;10,"2) 5-9%",IF(D1478&lt;15,"3) 10-14%",IF(D1478&lt;25,"4) 15-24%","5) 25%+"))))</f>
        <v>1) Under 5%</v>
      </c>
      <c r="N1478" s="0" t="str">
        <f aca="false">IF(F1478&lt;50,"1) Under Rs 50",IF(F1478&lt;100,"2) Rs 50-99",IF(F1478&lt;200,"3) Rs 100-199",IF(F1478&lt;500,"4) Rs 200-499","5) Rs 500+"))))</f>
        <v>4) Rs 200-499</v>
      </c>
      <c r="O1478" s="0" t="n">
        <f aca="false">G1478*E1478/1000</f>
        <v>2.4</v>
      </c>
    </row>
    <row r="1479" customFormat="false" ht="15" hidden="false" customHeight="false" outlineLevel="0" collapsed="false">
      <c r="A1479" s="0" t="s">
        <v>121</v>
      </c>
      <c r="B1479" s="0" t="s">
        <v>876</v>
      </c>
      <c r="C1479" s="0" t="n">
        <v>55</v>
      </c>
      <c r="D1479" s="0" t="n">
        <v>25</v>
      </c>
      <c r="E1479" s="0" t="n">
        <v>6</v>
      </c>
      <c r="F1479" s="0" t="n">
        <v>41</v>
      </c>
      <c r="G1479" s="0" t="n">
        <v>27</v>
      </c>
      <c r="H1479" s="0" t="s">
        <v>145</v>
      </c>
      <c r="I1479" s="0" t="n">
        <v>27</v>
      </c>
      <c r="J1479" s="0" t="n">
        <f aca="false">F1479*E1479</f>
        <v>246</v>
      </c>
      <c r="K1479" s="0" t="str">
        <f aca="false">IF(G1479&lt;1000,"1-Low",IF(G1479&lt;5000,"2-Medium","3-Bulk"))</f>
        <v>1-Low</v>
      </c>
      <c r="L1479" s="0" t="str">
        <f aca="false">IF(H1479="TRUE","Out of stock","In stock")</f>
        <v>In stock</v>
      </c>
      <c r="M1479" s="0" t="str">
        <f aca="false">IF(D1479&lt;5,"1) Under 5%",IF(D1479&lt;10,"2) 5-9%",IF(D1479&lt;15,"3) 10-14%",IF(D1479&lt;25,"4) 15-24%","5) 25%+"))))</f>
        <v>5) 25%+</v>
      </c>
      <c r="N1479" s="0" t="str">
        <f aca="false">IF(F1479&lt;50,"1) Under Rs 50",IF(F1479&lt;100,"2) Rs 50-99",IF(F1479&lt;200,"3) Rs 100-199",IF(F1479&lt;500,"4) Rs 200-499","5) Rs 500+"))))</f>
        <v>1) Under Rs 50</v>
      </c>
      <c r="O1479" s="0" t="n">
        <f aca="false">G1479*E1479/1000</f>
        <v>0.162</v>
      </c>
    </row>
    <row r="1480" customFormat="false" ht="15" hidden="false" customHeight="false" outlineLevel="0" collapsed="false">
      <c r="A1480" s="0" t="s">
        <v>121</v>
      </c>
      <c r="B1480" s="0" t="s">
        <v>877</v>
      </c>
      <c r="C1480" s="0" t="n">
        <v>170</v>
      </c>
      <c r="D1480" s="0" t="n">
        <v>4</v>
      </c>
      <c r="E1480" s="0" t="n">
        <v>3</v>
      </c>
      <c r="F1480" s="0" t="n">
        <v>162</v>
      </c>
      <c r="G1480" s="0" t="n">
        <v>280</v>
      </c>
      <c r="H1480" s="0" t="s">
        <v>145</v>
      </c>
      <c r="I1480" s="0" t="n">
        <v>280</v>
      </c>
      <c r="J1480" s="0" t="n">
        <f aca="false">F1480*E1480</f>
        <v>486</v>
      </c>
      <c r="K1480" s="0" t="str">
        <f aca="false">IF(G1480&lt;1000,"1-Low",IF(G1480&lt;5000,"2-Medium","3-Bulk"))</f>
        <v>1-Low</v>
      </c>
      <c r="L1480" s="0" t="str">
        <f aca="false">IF(H1480="TRUE","Out of stock","In stock")</f>
        <v>In stock</v>
      </c>
      <c r="M1480" s="0" t="str">
        <f aca="false">IF(D1480&lt;5,"1) Under 5%",IF(D1480&lt;10,"2) 5-9%",IF(D1480&lt;15,"3) 10-14%",IF(D1480&lt;25,"4) 15-24%","5) 25%+"))))</f>
        <v>1) Under 5%</v>
      </c>
      <c r="N1480" s="0" t="str">
        <f aca="false">IF(F1480&lt;50,"1) Under Rs 50",IF(F1480&lt;100,"2) Rs 50-99",IF(F1480&lt;200,"3) Rs 100-199",IF(F1480&lt;500,"4) Rs 200-499","5) Rs 500+"))))</f>
        <v>3) Rs 100-199</v>
      </c>
      <c r="O1480" s="0" t="n">
        <f aca="false">G1480*E1480/1000</f>
        <v>0.84</v>
      </c>
    </row>
    <row r="1481" customFormat="false" ht="15" hidden="false" customHeight="false" outlineLevel="0" collapsed="false">
      <c r="A1481" s="0" t="s">
        <v>121</v>
      </c>
      <c r="B1481" s="0" t="s">
        <v>878</v>
      </c>
      <c r="C1481" s="0" t="n">
        <v>99</v>
      </c>
      <c r="D1481" s="0" t="n">
        <v>13</v>
      </c>
      <c r="E1481" s="0" t="n">
        <v>6</v>
      </c>
      <c r="F1481" s="0" t="n">
        <v>86</v>
      </c>
      <c r="G1481" s="0" t="n">
        <v>250</v>
      </c>
      <c r="H1481" s="0" t="s">
        <v>145</v>
      </c>
      <c r="I1481" s="0" t="n">
        <v>250</v>
      </c>
      <c r="J1481" s="0" t="n">
        <f aca="false">F1481*E1481</f>
        <v>516</v>
      </c>
      <c r="K1481" s="0" t="str">
        <f aca="false">IF(G1481&lt;1000,"1-Low",IF(G1481&lt;5000,"2-Medium","3-Bulk"))</f>
        <v>1-Low</v>
      </c>
      <c r="L1481" s="0" t="str">
        <f aca="false">IF(H1481="TRUE","Out of stock","In stock")</f>
        <v>In stock</v>
      </c>
      <c r="M1481" s="0" t="str">
        <f aca="false">IF(D1481&lt;5,"1) Under 5%",IF(D1481&lt;10,"2) 5-9%",IF(D1481&lt;15,"3) 10-14%",IF(D1481&lt;25,"4) 15-24%","5) 25%+"))))</f>
        <v>3) 10-14%</v>
      </c>
      <c r="N1481" s="0" t="str">
        <f aca="false">IF(F1481&lt;50,"1) Under Rs 50",IF(F1481&lt;100,"2) Rs 50-99",IF(F1481&lt;200,"3) Rs 100-199",IF(F1481&lt;500,"4) Rs 200-499","5) Rs 500+"))))</f>
        <v>2) Rs 50-99</v>
      </c>
      <c r="O1481" s="0" t="n">
        <f aca="false">G1481*E1481/1000</f>
        <v>1.5</v>
      </c>
    </row>
    <row r="1482" customFormat="false" ht="15" hidden="false" customHeight="false" outlineLevel="0" collapsed="false">
      <c r="A1482" s="0" t="s">
        <v>121</v>
      </c>
      <c r="B1482" s="0" t="s">
        <v>399</v>
      </c>
      <c r="C1482" s="0" t="n">
        <v>50</v>
      </c>
      <c r="D1482" s="0" t="n">
        <v>10</v>
      </c>
      <c r="E1482" s="0" t="n">
        <v>2</v>
      </c>
      <c r="F1482" s="0" t="n">
        <v>45</v>
      </c>
      <c r="G1482" s="0" t="n">
        <v>70</v>
      </c>
      <c r="H1482" s="0" t="s">
        <v>145</v>
      </c>
      <c r="I1482" s="0" t="n">
        <v>70</v>
      </c>
      <c r="J1482" s="0" t="n">
        <f aca="false">F1482*E1482</f>
        <v>90</v>
      </c>
      <c r="K1482" s="0" t="str">
        <f aca="false">IF(G1482&lt;1000,"1-Low",IF(G1482&lt;5000,"2-Medium","3-Bulk"))</f>
        <v>1-Low</v>
      </c>
      <c r="L1482" s="0" t="str">
        <f aca="false">IF(H1482="TRUE","Out of stock","In stock")</f>
        <v>In stock</v>
      </c>
      <c r="M1482" s="0" t="str">
        <f aca="false">IF(D1482&lt;5,"1) Under 5%",IF(D1482&lt;10,"2) 5-9%",IF(D1482&lt;15,"3) 10-14%",IF(D1482&lt;25,"4) 15-24%","5) 25%+"))))</f>
        <v>3) 10-14%</v>
      </c>
      <c r="N1482" s="0" t="str">
        <f aca="false">IF(F1482&lt;50,"1) Under Rs 50",IF(F1482&lt;100,"2) Rs 50-99",IF(F1482&lt;200,"3) Rs 100-199",IF(F1482&lt;500,"4) Rs 200-499","5) Rs 500+"))))</f>
        <v>1) Under Rs 50</v>
      </c>
      <c r="O1482" s="0" t="n">
        <f aca="false">G1482*E1482/1000</f>
        <v>0.14</v>
      </c>
    </row>
    <row r="1483" customFormat="false" ht="15" hidden="false" customHeight="false" outlineLevel="0" collapsed="false">
      <c r="A1483" s="0" t="s">
        <v>121</v>
      </c>
      <c r="B1483" s="0" t="s">
        <v>879</v>
      </c>
      <c r="C1483" s="0" t="n">
        <v>40</v>
      </c>
      <c r="D1483" s="0" t="n">
        <v>0</v>
      </c>
      <c r="E1483" s="0" t="n">
        <v>3</v>
      </c>
      <c r="F1483" s="0" t="n">
        <v>40</v>
      </c>
      <c r="G1483" s="0" t="n">
        <v>46</v>
      </c>
      <c r="H1483" s="0" t="s">
        <v>145</v>
      </c>
      <c r="I1483" s="0" t="n">
        <v>46</v>
      </c>
      <c r="J1483" s="0" t="n">
        <f aca="false">F1483*E1483</f>
        <v>120</v>
      </c>
      <c r="K1483" s="0" t="str">
        <f aca="false">IF(G1483&lt;1000,"1-Low",IF(G1483&lt;5000,"2-Medium","3-Bulk"))</f>
        <v>1-Low</v>
      </c>
      <c r="L1483" s="0" t="str">
        <f aca="false">IF(H1483="TRUE","Out of stock","In stock")</f>
        <v>In stock</v>
      </c>
      <c r="M1483" s="0" t="str">
        <f aca="false">IF(D1483&lt;5,"1) Under 5%",IF(D1483&lt;10,"2) 5-9%",IF(D1483&lt;15,"3) 10-14%",IF(D1483&lt;25,"4) 15-24%","5) 25%+"))))</f>
        <v>1) Under 5%</v>
      </c>
      <c r="N1483" s="0" t="str">
        <f aca="false">IF(F1483&lt;50,"1) Under Rs 50",IF(F1483&lt;100,"2) Rs 50-99",IF(F1483&lt;200,"3) Rs 100-199",IF(F1483&lt;500,"4) Rs 200-499","5) Rs 500+"))))</f>
        <v>1) Under Rs 50</v>
      </c>
      <c r="O1483" s="0" t="n">
        <f aca="false">G1483*E1483/1000</f>
        <v>0.138</v>
      </c>
    </row>
    <row r="1484" customFormat="false" ht="15" hidden="false" customHeight="false" outlineLevel="0" collapsed="false">
      <c r="A1484" s="0" t="s">
        <v>121</v>
      </c>
      <c r="B1484" s="0" t="s">
        <v>406</v>
      </c>
      <c r="C1484" s="0" t="n">
        <v>28</v>
      </c>
      <c r="D1484" s="0" t="n">
        <v>10</v>
      </c>
      <c r="E1484" s="0" t="n">
        <v>1</v>
      </c>
      <c r="F1484" s="0" t="n">
        <v>25</v>
      </c>
      <c r="G1484" s="0" t="n">
        <v>65</v>
      </c>
      <c r="H1484" s="0" t="s">
        <v>145</v>
      </c>
      <c r="I1484" s="0" t="n">
        <v>65</v>
      </c>
      <c r="J1484" s="0" t="n">
        <f aca="false">F1484*E1484</f>
        <v>25</v>
      </c>
      <c r="K1484" s="0" t="str">
        <f aca="false">IF(G1484&lt;1000,"1-Low",IF(G1484&lt;5000,"2-Medium","3-Bulk"))</f>
        <v>1-Low</v>
      </c>
      <c r="L1484" s="0" t="str">
        <f aca="false">IF(H1484="TRUE","Out of stock","In stock")</f>
        <v>In stock</v>
      </c>
      <c r="M1484" s="0" t="str">
        <f aca="false">IF(D1484&lt;5,"1) Under 5%",IF(D1484&lt;10,"2) 5-9%",IF(D1484&lt;15,"3) 10-14%",IF(D1484&lt;25,"4) 15-24%","5) 25%+"))))</f>
        <v>3) 10-14%</v>
      </c>
      <c r="N1484" s="0" t="str">
        <f aca="false">IF(F1484&lt;50,"1) Under Rs 50",IF(F1484&lt;100,"2) Rs 50-99",IF(F1484&lt;200,"3) Rs 100-199",IF(F1484&lt;500,"4) Rs 200-499","5) Rs 500+"))))</f>
        <v>1) Under Rs 50</v>
      </c>
      <c r="O1484" s="0" t="n">
        <f aca="false">G1484*E1484/1000</f>
        <v>0.065</v>
      </c>
    </row>
    <row r="1485" customFormat="false" ht="15" hidden="false" customHeight="false" outlineLevel="0" collapsed="false">
      <c r="A1485" s="0" t="s">
        <v>121</v>
      </c>
      <c r="B1485" s="0" t="s">
        <v>880</v>
      </c>
      <c r="C1485" s="0" t="n">
        <v>55</v>
      </c>
      <c r="D1485" s="0" t="n">
        <v>9</v>
      </c>
      <c r="E1485" s="0" t="n">
        <v>2</v>
      </c>
      <c r="F1485" s="0" t="n">
        <v>50</v>
      </c>
      <c r="G1485" s="0" t="n">
        <v>200</v>
      </c>
      <c r="H1485" s="0" t="s">
        <v>145</v>
      </c>
      <c r="I1485" s="0" t="n">
        <v>200</v>
      </c>
      <c r="J1485" s="0" t="n">
        <f aca="false">F1485*E1485</f>
        <v>100</v>
      </c>
      <c r="K1485" s="0" t="str">
        <f aca="false">IF(G1485&lt;1000,"1-Low",IF(G1485&lt;5000,"2-Medium","3-Bulk"))</f>
        <v>1-Low</v>
      </c>
      <c r="L1485" s="0" t="str">
        <f aca="false">IF(H1485="TRUE","Out of stock","In stock")</f>
        <v>In stock</v>
      </c>
      <c r="M1485" s="0" t="str">
        <f aca="false">IF(D1485&lt;5,"1) Under 5%",IF(D1485&lt;10,"2) 5-9%",IF(D1485&lt;15,"3) 10-14%",IF(D1485&lt;25,"4) 15-24%","5) 25%+"))))</f>
        <v>2) 5-9%</v>
      </c>
      <c r="N1485" s="0" t="str">
        <f aca="false">IF(F1485&lt;50,"1) Under Rs 50",IF(F1485&lt;100,"2) Rs 50-99",IF(F1485&lt;200,"3) Rs 100-199",IF(F1485&lt;500,"4) Rs 200-499","5) Rs 500+"))))</f>
        <v>2) Rs 50-99</v>
      </c>
      <c r="O1485" s="0" t="n">
        <f aca="false">G1485*E1485/1000</f>
        <v>0.4</v>
      </c>
    </row>
    <row r="1486" customFormat="false" ht="15" hidden="false" customHeight="false" outlineLevel="0" collapsed="false">
      <c r="A1486" s="0" t="s">
        <v>121</v>
      </c>
      <c r="B1486" s="0" t="s">
        <v>881</v>
      </c>
      <c r="C1486" s="0" t="n">
        <v>169</v>
      </c>
      <c r="D1486" s="0" t="n">
        <v>8</v>
      </c>
      <c r="E1486" s="0" t="n">
        <v>4</v>
      </c>
      <c r="F1486" s="0" t="n">
        <v>155</v>
      </c>
      <c r="G1486" s="0" t="n">
        <v>300</v>
      </c>
      <c r="H1486" s="0" t="s">
        <v>145</v>
      </c>
      <c r="I1486" s="0" t="n">
        <v>300</v>
      </c>
      <c r="J1486" s="0" t="n">
        <f aca="false">F1486*E1486</f>
        <v>620</v>
      </c>
      <c r="K1486" s="0" t="str">
        <f aca="false">IF(G1486&lt;1000,"1-Low",IF(G1486&lt;5000,"2-Medium","3-Bulk"))</f>
        <v>1-Low</v>
      </c>
      <c r="L1486" s="0" t="str">
        <f aca="false">IF(H1486="TRUE","Out of stock","In stock")</f>
        <v>In stock</v>
      </c>
      <c r="M1486" s="0" t="str">
        <f aca="false">IF(D1486&lt;5,"1) Under 5%",IF(D1486&lt;10,"2) 5-9%",IF(D1486&lt;15,"3) 10-14%",IF(D1486&lt;25,"4) 15-24%","5) 25%+"))))</f>
        <v>2) 5-9%</v>
      </c>
      <c r="N1486" s="0" t="str">
        <f aca="false">IF(F1486&lt;50,"1) Under Rs 50",IF(F1486&lt;100,"2) Rs 50-99",IF(F1486&lt;200,"3) Rs 100-199",IF(F1486&lt;500,"4) Rs 200-499","5) Rs 500+"))))</f>
        <v>3) Rs 100-199</v>
      </c>
      <c r="O1486" s="0" t="n">
        <f aca="false">G1486*E1486/1000</f>
        <v>1.2</v>
      </c>
    </row>
    <row r="1487" customFormat="false" ht="15" hidden="false" customHeight="false" outlineLevel="0" collapsed="false">
      <c r="A1487" s="0" t="s">
        <v>121</v>
      </c>
      <c r="B1487" s="0" t="s">
        <v>882</v>
      </c>
      <c r="C1487" s="0" t="n">
        <v>130</v>
      </c>
      <c r="D1487" s="0" t="n">
        <v>0</v>
      </c>
      <c r="E1487" s="0" t="n">
        <v>6</v>
      </c>
      <c r="F1487" s="0" t="n">
        <v>129</v>
      </c>
      <c r="G1487" s="0" t="n">
        <v>415</v>
      </c>
      <c r="H1487" s="0" t="s">
        <v>145</v>
      </c>
      <c r="I1487" s="0" t="n">
        <v>415</v>
      </c>
      <c r="J1487" s="0" t="n">
        <f aca="false">F1487*E1487</f>
        <v>774</v>
      </c>
      <c r="K1487" s="0" t="str">
        <f aca="false">IF(G1487&lt;1000,"1-Low",IF(G1487&lt;5000,"2-Medium","3-Bulk"))</f>
        <v>1-Low</v>
      </c>
      <c r="L1487" s="0" t="str">
        <f aca="false">IF(H1487="TRUE","Out of stock","In stock")</f>
        <v>In stock</v>
      </c>
      <c r="M1487" s="0" t="str">
        <f aca="false">IF(D1487&lt;5,"1) Under 5%",IF(D1487&lt;10,"2) 5-9%",IF(D1487&lt;15,"3) 10-14%",IF(D1487&lt;25,"4) 15-24%","5) 25%+"))))</f>
        <v>1) Under 5%</v>
      </c>
      <c r="N1487" s="0" t="str">
        <f aca="false">IF(F1487&lt;50,"1) Under Rs 50",IF(F1487&lt;100,"2) Rs 50-99",IF(F1487&lt;200,"3) Rs 100-199",IF(F1487&lt;500,"4) Rs 200-499","5) Rs 500+"))))</f>
        <v>3) Rs 100-199</v>
      </c>
      <c r="O1487" s="0" t="n">
        <f aca="false">G1487*E1487/1000</f>
        <v>2.49</v>
      </c>
    </row>
    <row r="1488" customFormat="false" ht="15" hidden="false" customHeight="false" outlineLevel="0" collapsed="false">
      <c r="A1488" s="0" t="s">
        <v>121</v>
      </c>
      <c r="B1488" s="0" t="s">
        <v>883</v>
      </c>
      <c r="C1488" s="0" t="n">
        <v>60</v>
      </c>
      <c r="D1488" s="0" t="n">
        <v>26</v>
      </c>
      <c r="E1488" s="0" t="n">
        <v>6</v>
      </c>
      <c r="F1488" s="0" t="n">
        <v>44</v>
      </c>
      <c r="G1488" s="0" t="n">
        <v>40</v>
      </c>
      <c r="H1488" s="0" t="s">
        <v>145</v>
      </c>
      <c r="I1488" s="0" t="n">
        <v>40</v>
      </c>
      <c r="J1488" s="0" t="n">
        <f aca="false">F1488*E1488</f>
        <v>264</v>
      </c>
      <c r="K1488" s="0" t="str">
        <f aca="false">IF(G1488&lt;1000,"1-Low",IF(G1488&lt;5000,"2-Medium","3-Bulk"))</f>
        <v>1-Low</v>
      </c>
      <c r="L1488" s="0" t="str">
        <f aca="false">IF(H1488="TRUE","Out of stock","In stock")</f>
        <v>In stock</v>
      </c>
      <c r="M1488" s="0" t="str">
        <f aca="false">IF(D1488&lt;5,"1) Under 5%",IF(D1488&lt;10,"2) 5-9%",IF(D1488&lt;15,"3) 10-14%",IF(D1488&lt;25,"4) 15-24%","5) 25%+"))))</f>
        <v>5) 25%+</v>
      </c>
      <c r="N1488" s="0" t="str">
        <f aca="false">IF(F1488&lt;50,"1) Under Rs 50",IF(F1488&lt;100,"2) Rs 50-99",IF(F1488&lt;200,"3) Rs 100-199",IF(F1488&lt;500,"4) Rs 200-499","5) Rs 500+"))))</f>
        <v>1) Under Rs 50</v>
      </c>
      <c r="O1488" s="0" t="n">
        <f aca="false">G1488*E1488/1000</f>
        <v>0.24</v>
      </c>
    </row>
    <row r="1489" customFormat="false" ht="15" hidden="false" customHeight="false" outlineLevel="0" collapsed="false">
      <c r="A1489" s="0" t="s">
        <v>121</v>
      </c>
      <c r="B1489" s="0" t="s">
        <v>884</v>
      </c>
      <c r="C1489" s="0" t="n">
        <v>260</v>
      </c>
      <c r="D1489" s="0" t="n">
        <v>10</v>
      </c>
      <c r="E1489" s="0" t="n">
        <v>4</v>
      </c>
      <c r="F1489" s="0" t="n">
        <v>234</v>
      </c>
      <c r="G1489" s="0" t="n">
        <v>400</v>
      </c>
      <c r="H1489" s="0" t="s">
        <v>145</v>
      </c>
      <c r="I1489" s="0" t="n">
        <v>400</v>
      </c>
      <c r="J1489" s="0" t="n">
        <f aca="false">F1489*E1489</f>
        <v>936</v>
      </c>
      <c r="K1489" s="0" t="str">
        <f aca="false">IF(G1489&lt;1000,"1-Low",IF(G1489&lt;5000,"2-Medium","3-Bulk"))</f>
        <v>1-Low</v>
      </c>
      <c r="L1489" s="0" t="str">
        <f aca="false">IF(H1489="TRUE","Out of stock","In stock")</f>
        <v>In stock</v>
      </c>
      <c r="M1489" s="0" t="str">
        <f aca="false">IF(D1489&lt;5,"1) Under 5%",IF(D1489&lt;10,"2) 5-9%",IF(D1489&lt;15,"3) 10-14%",IF(D1489&lt;25,"4) 15-24%","5) 25%+"))))</f>
        <v>3) 10-14%</v>
      </c>
      <c r="N1489" s="0" t="str">
        <f aca="false">IF(F1489&lt;50,"1) Under Rs 50",IF(F1489&lt;100,"2) Rs 50-99",IF(F1489&lt;200,"3) Rs 100-199",IF(F1489&lt;500,"4) Rs 200-499","5) Rs 500+"))))</f>
        <v>4) Rs 200-499</v>
      </c>
      <c r="O1489" s="0" t="n">
        <f aca="false">G1489*E1489/1000</f>
        <v>1.6</v>
      </c>
    </row>
    <row r="1490" customFormat="false" ht="15" hidden="false" customHeight="false" outlineLevel="0" collapsed="false">
      <c r="A1490" s="0" t="s">
        <v>121</v>
      </c>
      <c r="B1490" s="0" t="s">
        <v>871</v>
      </c>
      <c r="C1490" s="0" t="n">
        <v>150</v>
      </c>
      <c r="D1490" s="0" t="n">
        <v>0</v>
      </c>
      <c r="E1490" s="0" t="n">
        <v>5</v>
      </c>
      <c r="F1490" s="0" t="n">
        <v>150</v>
      </c>
      <c r="G1490" s="0" t="n">
        <v>580</v>
      </c>
      <c r="H1490" s="0" t="s">
        <v>145</v>
      </c>
      <c r="I1490" s="0" t="n">
        <v>10</v>
      </c>
      <c r="J1490" s="0" t="n">
        <f aca="false">F1490*E1490</f>
        <v>750</v>
      </c>
      <c r="K1490" s="0" t="str">
        <f aca="false">IF(G1490&lt;1000,"1-Low",IF(G1490&lt;5000,"2-Medium","3-Bulk"))</f>
        <v>1-Low</v>
      </c>
      <c r="L1490" s="0" t="str">
        <f aca="false">IF(H1490="TRUE","Out of stock","In stock")</f>
        <v>In stock</v>
      </c>
      <c r="M1490" s="0" t="str">
        <f aca="false">IF(D1490&lt;5,"1) Under 5%",IF(D1490&lt;10,"2) 5-9%",IF(D1490&lt;15,"3) 10-14%",IF(D1490&lt;25,"4) 15-24%","5) 25%+"))))</f>
        <v>1) Under 5%</v>
      </c>
      <c r="N1490" s="0" t="str">
        <f aca="false">IF(F1490&lt;50,"1) Under Rs 50",IF(F1490&lt;100,"2) Rs 50-99",IF(F1490&lt;200,"3) Rs 100-199",IF(F1490&lt;500,"4) Rs 200-499","5) Rs 500+"))))</f>
        <v>3) Rs 100-199</v>
      </c>
      <c r="O1490" s="0" t="n">
        <f aca="false">G1490*E1490/1000</f>
        <v>2.9</v>
      </c>
    </row>
    <row r="1491" customFormat="false" ht="15" hidden="false" customHeight="false" outlineLevel="0" collapsed="false">
      <c r="A1491" s="0" t="s">
        <v>121</v>
      </c>
      <c r="B1491" s="0" t="s">
        <v>885</v>
      </c>
      <c r="C1491" s="0" t="n">
        <v>85</v>
      </c>
      <c r="D1491" s="0" t="n">
        <v>9</v>
      </c>
      <c r="E1491" s="0" t="n">
        <v>2</v>
      </c>
      <c r="F1491" s="0" t="n">
        <v>77</v>
      </c>
      <c r="G1491" s="0" t="n">
        <v>300</v>
      </c>
      <c r="H1491" s="0" t="s">
        <v>145</v>
      </c>
      <c r="I1491" s="0" t="n">
        <v>300</v>
      </c>
      <c r="J1491" s="0" t="n">
        <f aca="false">F1491*E1491</f>
        <v>154</v>
      </c>
      <c r="K1491" s="0" t="str">
        <f aca="false">IF(G1491&lt;1000,"1-Low",IF(G1491&lt;5000,"2-Medium","3-Bulk"))</f>
        <v>1-Low</v>
      </c>
      <c r="L1491" s="0" t="str">
        <f aca="false">IF(H1491="TRUE","Out of stock","In stock")</f>
        <v>In stock</v>
      </c>
      <c r="M1491" s="0" t="str">
        <f aca="false">IF(D1491&lt;5,"1) Under 5%",IF(D1491&lt;10,"2) 5-9%",IF(D1491&lt;15,"3) 10-14%",IF(D1491&lt;25,"4) 15-24%","5) 25%+"))))</f>
        <v>2) 5-9%</v>
      </c>
      <c r="N1491" s="0" t="str">
        <f aca="false">IF(F1491&lt;50,"1) Under Rs 50",IF(F1491&lt;100,"2) Rs 50-99",IF(F1491&lt;200,"3) Rs 100-199",IF(F1491&lt;500,"4) Rs 200-499","5) Rs 500+"))))</f>
        <v>2) Rs 50-99</v>
      </c>
      <c r="O1491" s="0" t="n">
        <f aca="false">G1491*E1491/1000</f>
        <v>0.6</v>
      </c>
    </row>
    <row r="1492" customFormat="false" ht="15" hidden="false" customHeight="false" outlineLevel="0" collapsed="false">
      <c r="A1492" s="0" t="s">
        <v>121</v>
      </c>
      <c r="B1492" s="0" t="s">
        <v>406</v>
      </c>
      <c r="C1492" s="0" t="n">
        <v>28</v>
      </c>
      <c r="D1492" s="0" t="n">
        <v>17</v>
      </c>
      <c r="E1492" s="0" t="n">
        <v>3</v>
      </c>
      <c r="F1492" s="0" t="n">
        <v>23</v>
      </c>
      <c r="G1492" s="0" t="n">
        <v>65</v>
      </c>
      <c r="H1492" s="0" t="s">
        <v>145</v>
      </c>
      <c r="I1492" s="0" t="n">
        <v>65</v>
      </c>
      <c r="J1492" s="0" t="n">
        <f aca="false">F1492*E1492</f>
        <v>69</v>
      </c>
      <c r="K1492" s="0" t="str">
        <f aca="false">IF(G1492&lt;1000,"1-Low",IF(G1492&lt;5000,"2-Medium","3-Bulk"))</f>
        <v>1-Low</v>
      </c>
      <c r="L1492" s="0" t="str">
        <f aca="false">IF(H1492="TRUE","Out of stock","In stock")</f>
        <v>In stock</v>
      </c>
      <c r="M1492" s="0" t="str">
        <f aca="false">IF(D1492&lt;5,"1) Under 5%",IF(D1492&lt;10,"2) 5-9%",IF(D1492&lt;15,"3) 10-14%",IF(D1492&lt;25,"4) 15-24%","5) 25%+"))))</f>
        <v>4) 15-24%</v>
      </c>
      <c r="N1492" s="0" t="str">
        <f aca="false">IF(F1492&lt;50,"1) Under Rs 50",IF(F1492&lt;100,"2) Rs 50-99",IF(F1492&lt;200,"3) Rs 100-199",IF(F1492&lt;500,"4) Rs 200-499","5) Rs 500+"))))</f>
        <v>1) Under Rs 50</v>
      </c>
      <c r="O1492" s="0" t="n">
        <f aca="false">G1492*E1492/1000</f>
        <v>0.195</v>
      </c>
    </row>
    <row r="1493" customFormat="false" ht="15" hidden="false" customHeight="false" outlineLevel="0" collapsed="false">
      <c r="A1493" s="0" t="s">
        <v>121</v>
      </c>
      <c r="B1493" s="0" t="s">
        <v>886</v>
      </c>
      <c r="C1493" s="0" t="n">
        <v>100</v>
      </c>
      <c r="D1493" s="0" t="n">
        <v>26</v>
      </c>
      <c r="E1493" s="0" t="n">
        <v>6</v>
      </c>
      <c r="F1493" s="0" t="n">
        <v>74</v>
      </c>
      <c r="G1493" s="0" t="n">
        <v>52</v>
      </c>
      <c r="H1493" s="0" t="s">
        <v>145</v>
      </c>
      <c r="I1493" s="0" t="n">
        <v>52</v>
      </c>
      <c r="J1493" s="0" t="n">
        <f aca="false">F1493*E1493</f>
        <v>444</v>
      </c>
      <c r="K1493" s="0" t="str">
        <f aca="false">IF(G1493&lt;1000,"1-Low",IF(G1493&lt;5000,"2-Medium","3-Bulk"))</f>
        <v>1-Low</v>
      </c>
      <c r="L1493" s="0" t="str">
        <f aca="false">IF(H1493="TRUE","Out of stock","In stock")</f>
        <v>In stock</v>
      </c>
      <c r="M1493" s="0" t="str">
        <f aca="false">IF(D1493&lt;5,"1) Under 5%",IF(D1493&lt;10,"2) 5-9%",IF(D1493&lt;15,"3) 10-14%",IF(D1493&lt;25,"4) 15-24%","5) 25%+"))))</f>
        <v>5) 25%+</v>
      </c>
      <c r="N1493" s="0" t="str">
        <f aca="false">IF(F1493&lt;50,"1) Under Rs 50",IF(F1493&lt;100,"2) Rs 50-99",IF(F1493&lt;200,"3) Rs 100-199",IF(F1493&lt;500,"4) Rs 200-499","5) Rs 500+"))))</f>
        <v>2) Rs 50-99</v>
      </c>
      <c r="O1493" s="0" t="n">
        <f aca="false">G1493*E1493/1000</f>
        <v>0.312</v>
      </c>
    </row>
    <row r="1494" customFormat="false" ht="15" hidden="false" customHeight="false" outlineLevel="0" collapsed="false">
      <c r="A1494" s="0" t="s">
        <v>121</v>
      </c>
      <c r="B1494" s="0" t="s">
        <v>887</v>
      </c>
      <c r="C1494" s="0" t="n">
        <v>325</v>
      </c>
      <c r="D1494" s="0" t="n">
        <v>4</v>
      </c>
      <c r="E1494" s="0" t="n">
        <v>6</v>
      </c>
      <c r="F1494" s="0" t="n">
        <v>309</v>
      </c>
      <c r="G1494" s="0" t="n">
        <v>400</v>
      </c>
      <c r="H1494" s="0" t="s">
        <v>145</v>
      </c>
      <c r="I1494" s="0" t="n">
        <v>400</v>
      </c>
      <c r="J1494" s="0" t="n">
        <f aca="false">F1494*E1494</f>
        <v>1854</v>
      </c>
      <c r="K1494" s="0" t="str">
        <f aca="false">IF(G1494&lt;1000,"1-Low",IF(G1494&lt;5000,"2-Medium","3-Bulk"))</f>
        <v>1-Low</v>
      </c>
      <c r="L1494" s="0" t="str">
        <f aca="false">IF(H1494="TRUE","Out of stock","In stock")</f>
        <v>In stock</v>
      </c>
      <c r="M1494" s="0" t="str">
        <f aca="false">IF(D1494&lt;5,"1) Under 5%",IF(D1494&lt;10,"2) 5-9%",IF(D1494&lt;15,"3) 10-14%",IF(D1494&lt;25,"4) 15-24%","5) 25%+"))))</f>
        <v>1) Under 5%</v>
      </c>
      <c r="N1494" s="0" t="str">
        <f aca="false">IF(F1494&lt;50,"1) Under Rs 50",IF(F1494&lt;100,"2) Rs 50-99",IF(F1494&lt;200,"3) Rs 100-199",IF(F1494&lt;500,"4) Rs 200-499","5) Rs 500+"))))</f>
        <v>4) Rs 200-499</v>
      </c>
      <c r="O1494" s="0" t="n">
        <f aca="false">G1494*E1494/1000</f>
        <v>2.4</v>
      </c>
    </row>
    <row r="1495" customFormat="false" ht="15" hidden="false" customHeight="false" outlineLevel="0" collapsed="false">
      <c r="A1495" s="0" t="s">
        <v>121</v>
      </c>
      <c r="B1495" s="0" t="s">
        <v>420</v>
      </c>
      <c r="C1495" s="0" t="n">
        <v>70</v>
      </c>
      <c r="D1495" s="0" t="n">
        <v>10</v>
      </c>
      <c r="E1495" s="0" t="n">
        <v>3</v>
      </c>
      <c r="F1495" s="0" t="n">
        <v>63</v>
      </c>
      <c r="G1495" s="0" t="n">
        <v>405</v>
      </c>
      <c r="H1495" s="0" t="s">
        <v>145</v>
      </c>
      <c r="I1495" s="0" t="n">
        <v>405</v>
      </c>
      <c r="J1495" s="0" t="n">
        <f aca="false">F1495*E1495</f>
        <v>189</v>
      </c>
      <c r="K1495" s="0" t="str">
        <f aca="false">IF(G1495&lt;1000,"1-Low",IF(G1495&lt;5000,"2-Medium","3-Bulk"))</f>
        <v>1-Low</v>
      </c>
      <c r="L1495" s="0" t="str">
        <f aca="false">IF(H1495="TRUE","Out of stock","In stock")</f>
        <v>In stock</v>
      </c>
      <c r="M1495" s="0" t="str">
        <f aca="false">IF(D1495&lt;5,"1) Under 5%",IF(D1495&lt;10,"2) 5-9%",IF(D1495&lt;15,"3) 10-14%",IF(D1495&lt;25,"4) 15-24%","5) 25%+"))))</f>
        <v>3) 10-14%</v>
      </c>
      <c r="N1495" s="0" t="str">
        <f aca="false">IF(F1495&lt;50,"1) Under Rs 50",IF(F1495&lt;100,"2) Rs 50-99",IF(F1495&lt;200,"3) Rs 100-199",IF(F1495&lt;500,"4) Rs 200-499","5) Rs 500+"))))</f>
        <v>2) Rs 50-99</v>
      </c>
      <c r="O1495" s="0" t="n">
        <f aca="false">G1495*E1495/1000</f>
        <v>1.215</v>
      </c>
    </row>
    <row r="1496" customFormat="false" ht="15" hidden="false" customHeight="false" outlineLevel="0" collapsed="false">
      <c r="A1496" s="0" t="s">
        <v>121</v>
      </c>
      <c r="B1496" s="0" t="s">
        <v>888</v>
      </c>
      <c r="C1496" s="0" t="n">
        <v>141</v>
      </c>
      <c r="D1496" s="0" t="n">
        <v>14</v>
      </c>
      <c r="E1496" s="0" t="n">
        <v>4</v>
      </c>
      <c r="F1496" s="0" t="n">
        <v>121</v>
      </c>
      <c r="G1496" s="0" t="n">
        <v>350</v>
      </c>
      <c r="H1496" s="0" t="s">
        <v>145</v>
      </c>
      <c r="I1496" s="0" t="n">
        <v>350</v>
      </c>
      <c r="J1496" s="0" t="n">
        <f aca="false">F1496*E1496</f>
        <v>484</v>
      </c>
      <c r="K1496" s="0" t="str">
        <f aca="false">IF(G1496&lt;1000,"1-Low",IF(G1496&lt;5000,"2-Medium","3-Bulk"))</f>
        <v>1-Low</v>
      </c>
      <c r="L1496" s="0" t="str">
        <f aca="false">IF(H1496="TRUE","Out of stock","In stock")</f>
        <v>In stock</v>
      </c>
      <c r="M1496" s="0" t="str">
        <f aca="false">IF(D1496&lt;5,"1) Under 5%",IF(D1496&lt;10,"2) 5-9%",IF(D1496&lt;15,"3) 10-14%",IF(D1496&lt;25,"4) 15-24%","5) 25%+"))))</f>
        <v>3) 10-14%</v>
      </c>
      <c r="N1496" s="0" t="str">
        <f aca="false">IF(F1496&lt;50,"1) Under Rs 50",IF(F1496&lt;100,"2) Rs 50-99",IF(F1496&lt;200,"3) Rs 100-199",IF(F1496&lt;500,"4) Rs 200-499","5) Rs 500+"))))</f>
        <v>3) Rs 100-199</v>
      </c>
      <c r="O1496" s="0" t="n">
        <f aca="false">G1496*E1496/1000</f>
        <v>1.4</v>
      </c>
    </row>
    <row r="1497" customFormat="false" ht="15" hidden="false" customHeight="false" outlineLevel="0" collapsed="false">
      <c r="A1497" s="0" t="s">
        <v>121</v>
      </c>
      <c r="B1497" s="0" t="s">
        <v>424</v>
      </c>
      <c r="C1497" s="0" t="n">
        <v>49</v>
      </c>
      <c r="D1497" s="0" t="n">
        <v>8</v>
      </c>
      <c r="E1497" s="0" t="n">
        <v>6</v>
      </c>
      <c r="F1497" s="0" t="n">
        <v>45</v>
      </c>
      <c r="G1497" s="0" t="n">
        <v>200</v>
      </c>
      <c r="H1497" s="0" t="s">
        <v>145</v>
      </c>
      <c r="I1497" s="0" t="n">
        <v>200</v>
      </c>
      <c r="J1497" s="0" t="n">
        <f aca="false">F1497*E1497</f>
        <v>270</v>
      </c>
      <c r="K1497" s="0" t="str">
        <f aca="false">IF(G1497&lt;1000,"1-Low",IF(G1497&lt;5000,"2-Medium","3-Bulk"))</f>
        <v>1-Low</v>
      </c>
      <c r="L1497" s="0" t="str">
        <f aca="false">IF(H1497="TRUE","Out of stock","In stock")</f>
        <v>In stock</v>
      </c>
      <c r="M1497" s="0" t="str">
        <f aca="false">IF(D1497&lt;5,"1) Under 5%",IF(D1497&lt;10,"2) 5-9%",IF(D1497&lt;15,"3) 10-14%",IF(D1497&lt;25,"4) 15-24%","5) 25%+"))))</f>
        <v>2) 5-9%</v>
      </c>
      <c r="N1497" s="0" t="str">
        <f aca="false">IF(F1497&lt;50,"1) Under Rs 50",IF(F1497&lt;100,"2) Rs 50-99",IF(F1497&lt;200,"3) Rs 100-199",IF(F1497&lt;500,"4) Rs 200-499","5) Rs 500+"))))</f>
        <v>1) Under Rs 50</v>
      </c>
      <c r="O1497" s="0" t="n">
        <f aca="false">G1497*E1497/1000</f>
        <v>1.2</v>
      </c>
    </row>
    <row r="1498" customFormat="false" ht="15" hidden="false" customHeight="false" outlineLevel="0" collapsed="false">
      <c r="A1498" s="0" t="s">
        <v>121</v>
      </c>
      <c r="B1498" s="0" t="s">
        <v>423</v>
      </c>
      <c r="C1498" s="0" t="n">
        <v>50</v>
      </c>
      <c r="D1498" s="0" t="n">
        <v>2</v>
      </c>
      <c r="E1498" s="0" t="n">
        <v>6</v>
      </c>
      <c r="F1498" s="0" t="n">
        <v>49</v>
      </c>
      <c r="G1498" s="0" t="n">
        <v>200</v>
      </c>
      <c r="H1498" s="0" t="s">
        <v>145</v>
      </c>
      <c r="I1498" s="0" t="n">
        <v>200</v>
      </c>
      <c r="J1498" s="0" t="n">
        <f aca="false">F1498*E1498</f>
        <v>294</v>
      </c>
      <c r="K1498" s="0" t="str">
        <f aca="false">IF(G1498&lt;1000,"1-Low",IF(G1498&lt;5000,"2-Medium","3-Bulk"))</f>
        <v>1-Low</v>
      </c>
      <c r="L1498" s="0" t="str">
        <f aca="false">IF(H1498="TRUE","Out of stock","In stock")</f>
        <v>In stock</v>
      </c>
      <c r="M1498" s="0" t="str">
        <f aca="false">IF(D1498&lt;5,"1) Under 5%",IF(D1498&lt;10,"2) 5-9%",IF(D1498&lt;15,"3) 10-14%",IF(D1498&lt;25,"4) 15-24%","5) 25%+"))))</f>
        <v>1) Under 5%</v>
      </c>
      <c r="N1498" s="0" t="str">
        <f aca="false">IF(F1498&lt;50,"1) Under Rs 50",IF(F1498&lt;100,"2) Rs 50-99",IF(F1498&lt;200,"3) Rs 100-199",IF(F1498&lt;500,"4) Rs 200-499","5) Rs 500+"))))</f>
        <v>1) Under Rs 50</v>
      </c>
      <c r="O1498" s="0" t="n">
        <f aca="false">G1498*E1498/1000</f>
        <v>1.2</v>
      </c>
    </row>
    <row r="1499" customFormat="false" ht="15" hidden="false" customHeight="false" outlineLevel="0" collapsed="false">
      <c r="A1499" s="0" t="s">
        <v>121</v>
      </c>
      <c r="B1499" s="0" t="s">
        <v>889</v>
      </c>
      <c r="C1499" s="0" t="n">
        <v>125</v>
      </c>
      <c r="D1499" s="0" t="n">
        <v>15</v>
      </c>
      <c r="E1499" s="0" t="n">
        <v>4</v>
      </c>
      <c r="F1499" s="0" t="n">
        <v>106</v>
      </c>
      <c r="G1499" s="0" t="n">
        <v>60</v>
      </c>
      <c r="H1499" s="0" t="s">
        <v>145</v>
      </c>
      <c r="I1499" s="0" t="n">
        <v>60</v>
      </c>
      <c r="J1499" s="0" t="n">
        <f aca="false">F1499*E1499</f>
        <v>424</v>
      </c>
      <c r="K1499" s="0" t="str">
        <f aca="false">IF(G1499&lt;1000,"1-Low",IF(G1499&lt;5000,"2-Medium","3-Bulk"))</f>
        <v>1-Low</v>
      </c>
      <c r="L1499" s="0" t="str">
        <f aca="false">IF(H1499="TRUE","Out of stock","In stock")</f>
        <v>In stock</v>
      </c>
      <c r="M1499" s="0" t="str">
        <f aca="false">IF(D1499&lt;5,"1) Under 5%",IF(D1499&lt;10,"2) 5-9%",IF(D1499&lt;15,"3) 10-14%",IF(D1499&lt;25,"4) 15-24%","5) 25%+"))))</f>
        <v>4) 15-24%</v>
      </c>
      <c r="N1499" s="0" t="str">
        <f aca="false">IF(F1499&lt;50,"1) Under Rs 50",IF(F1499&lt;100,"2) Rs 50-99",IF(F1499&lt;200,"3) Rs 100-199",IF(F1499&lt;500,"4) Rs 200-499","5) Rs 500+"))))</f>
        <v>3) Rs 100-199</v>
      </c>
      <c r="O1499" s="0" t="n">
        <f aca="false">G1499*E1499/1000</f>
        <v>0.24</v>
      </c>
    </row>
    <row r="1500" customFormat="false" ht="15" hidden="false" customHeight="false" outlineLevel="0" collapsed="false">
      <c r="A1500" s="0" t="s">
        <v>121</v>
      </c>
      <c r="B1500" s="0" t="s">
        <v>890</v>
      </c>
      <c r="C1500" s="0" t="n">
        <v>40</v>
      </c>
      <c r="D1500" s="0" t="n">
        <v>2</v>
      </c>
      <c r="E1500" s="0" t="n">
        <v>3</v>
      </c>
      <c r="F1500" s="0" t="n">
        <v>39</v>
      </c>
      <c r="G1500" s="0" t="n">
        <v>400</v>
      </c>
      <c r="H1500" s="0" t="s">
        <v>145</v>
      </c>
      <c r="I1500" s="0" t="n">
        <v>400</v>
      </c>
      <c r="J1500" s="0" t="n">
        <f aca="false">F1500*E1500</f>
        <v>117</v>
      </c>
      <c r="K1500" s="0" t="str">
        <f aca="false">IF(G1500&lt;1000,"1-Low",IF(G1500&lt;5000,"2-Medium","3-Bulk"))</f>
        <v>1-Low</v>
      </c>
      <c r="L1500" s="0" t="str">
        <f aca="false">IF(H1500="TRUE","Out of stock","In stock")</f>
        <v>In stock</v>
      </c>
      <c r="M1500" s="0" t="str">
        <f aca="false">IF(D1500&lt;5,"1) Under 5%",IF(D1500&lt;10,"2) 5-9%",IF(D1500&lt;15,"3) 10-14%",IF(D1500&lt;25,"4) 15-24%","5) 25%+"))))</f>
        <v>1) Under 5%</v>
      </c>
      <c r="N1500" s="0" t="str">
        <f aca="false">IF(F1500&lt;50,"1) Under Rs 50",IF(F1500&lt;100,"2) Rs 50-99",IF(F1500&lt;200,"3) Rs 100-199",IF(F1500&lt;500,"4) Rs 200-499","5) Rs 500+"))))</f>
        <v>1) Under Rs 50</v>
      </c>
      <c r="O1500" s="0" t="n">
        <f aca="false">G1500*E1500/1000</f>
        <v>1.2</v>
      </c>
    </row>
    <row r="1501" customFormat="false" ht="15" hidden="false" customHeight="false" outlineLevel="0" collapsed="false">
      <c r="A1501" s="0" t="s">
        <v>121</v>
      </c>
      <c r="B1501" s="0" t="s">
        <v>891</v>
      </c>
      <c r="C1501" s="0" t="n">
        <v>10</v>
      </c>
      <c r="D1501" s="0" t="n">
        <v>0</v>
      </c>
      <c r="E1501" s="0" t="n">
        <v>3</v>
      </c>
      <c r="F1501" s="0" t="n">
        <v>10</v>
      </c>
      <c r="G1501" s="0" t="n">
        <v>15</v>
      </c>
      <c r="H1501" s="0" t="s">
        <v>145</v>
      </c>
      <c r="I1501" s="0" t="n">
        <v>15</v>
      </c>
      <c r="J1501" s="0" t="n">
        <f aca="false">F1501*E1501</f>
        <v>30</v>
      </c>
      <c r="K1501" s="0" t="str">
        <f aca="false">IF(G1501&lt;1000,"1-Low",IF(G1501&lt;5000,"2-Medium","3-Bulk"))</f>
        <v>1-Low</v>
      </c>
      <c r="L1501" s="0" t="str">
        <f aca="false">IF(H1501="TRUE","Out of stock","In stock")</f>
        <v>In stock</v>
      </c>
      <c r="M1501" s="0" t="str">
        <f aca="false">IF(D1501&lt;5,"1) Under 5%",IF(D1501&lt;10,"2) 5-9%",IF(D1501&lt;15,"3) 10-14%",IF(D1501&lt;25,"4) 15-24%","5) 25%+"))))</f>
        <v>1) Under 5%</v>
      </c>
      <c r="N1501" s="0" t="str">
        <f aca="false">IF(F1501&lt;50,"1) Under Rs 50",IF(F1501&lt;100,"2) Rs 50-99",IF(F1501&lt;200,"3) Rs 100-199",IF(F1501&lt;500,"4) Rs 200-499","5) Rs 500+"))))</f>
        <v>1) Under Rs 50</v>
      </c>
      <c r="O1501" s="0" t="n">
        <f aca="false">G1501*E1501/1000</f>
        <v>0.045</v>
      </c>
    </row>
    <row r="1502" customFormat="false" ht="15" hidden="false" customHeight="false" outlineLevel="0" collapsed="false">
      <c r="A1502" s="0" t="s">
        <v>121</v>
      </c>
      <c r="B1502" s="0" t="s">
        <v>892</v>
      </c>
      <c r="C1502" s="0" t="n">
        <v>145</v>
      </c>
      <c r="D1502" s="0" t="n">
        <v>11</v>
      </c>
      <c r="E1502" s="0" t="n">
        <v>3</v>
      </c>
      <c r="F1502" s="0" t="n">
        <v>129</v>
      </c>
      <c r="G1502" s="0" t="n">
        <v>400</v>
      </c>
      <c r="H1502" s="0" t="s">
        <v>145</v>
      </c>
      <c r="I1502" s="0" t="n">
        <v>400</v>
      </c>
      <c r="J1502" s="0" t="n">
        <f aca="false">F1502*E1502</f>
        <v>387</v>
      </c>
      <c r="K1502" s="0" t="str">
        <f aca="false">IF(G1502&lt;1000,"1-Low",IF(G1502&lt;5000,"2-Medium","3-Bulk"))</f>
        <v>1-Low</v>
      </c>
      <c r="L1502" s="0" t="str">
        <f aca="false">IF(H1502="TRUE","Out of stock","In stock")</f>
        <v>In stock</v>
      </c>
      <c r="M1502" s="0" t="str">
        <f aca="false">IF(D1502&lt;5,"1) Under 5%",IF(D1502&lt;10,"2) 5-9%",IF(D1502&lt;15,"3) 10-14%",IF(D1502&lt;25,"4) 15-24%","5) 25%+"))))</f>
        <v>3) 10-14%</v>
      </c>
      <c r="N1502" s="0" t="str">
        <f aca="false">IF(F1502&lt;50,"1) Under Rs 50",IF(F1502&lt;100,"2) Rs 50-99",IF(F1502&lt;200,"3) Rs 100-199",IF(F1502&lt;500,"4) Rs 200-499","5) Rs 500+"))))</f>
        <v>3) Rs 100-199</v>
      </c>
      <c r="O1502" s="0" t="n">
        <f aca="false">G1502*E1502/1000</f>
        <v>1.2</v>
      </c>
    </row>
    <row r="1503" customFormat="false" ht="15" hidden="false" customHeight="false" outlineLevel="0" collapsed="false">
      <c r="A1503" s="0" t="s">
        <v>121</v>
      </c>
      <c r="B1503" s="0" t="s">
        <v>893</v>
      </c>
      <c r="C1503" s="0" t="n">
        <v>335</v>
      </c>
      <c r="D1503" s="0" t="n">
        <v>11</v>
      </c>
      <c r="E1503" s="0" t="n">
        <v>6</v>
      </c>
      <c r="F1503" s="0" t="n">
        <v>298</v>
      </c>
      <c r="G1503" s="0" t="n">
        <v>500</v>
      </c>
      <c r="H1503" s="0" t="s">
        <v>145</v>
      </c>
      <c r="I1503" s="0" t="n">
        <v>500</v>
      </c>
      <c r="J1503" s="0" t="n">
        <f aca="false">F1503*E1503</f>
        <v>1788</v>
      </c>
      <c r="K1503" s="0" t="str">
        <f aca="false">IF(G1503&lt;1000,"1-Low",IF(G1503&lt;5000,"2-Medium","3-Bulk"))</f>
        <v>1-Low</v>
      </c>
      <c r="L1503" s="0" t="str">
        <f aca="false">IF(H1503="TRUE","Out of stock","In stock")</f>
        <v>In stock</v>
      </c>
      <c r="M1503" s="0" t="str">
        <f aca="false">IF(D1503&lt;5,"1) Under 5%",IF(D1503&lt;10,"2) 5-9%",IF(D1503&lt;15,"3) 10-14%",IF(D1503&lt;25,"4) 15-24%","5) 25%+"))))</f>
        <v>3) 10-14%</v>
      </c>
      <c r="N1503" s="0" t="str">
        <f aca="false">IF(F1503&lt;50,"1) Under Rs 50",IF(F1503&lt;100,"2) Rs 50-99",IF(F1503&lt;200,"3) Rs 100-199",IF(F1503&lt;500,"4) Rs 200-499","5) Rs 500+"))))</f>
        <v>4) Rs 200-499</v>
      </c>
      <c r="O1503" s="0" t="n">
        <f aca="false">G1503*E1503/1000</f>
        <v>3</v>
      </c>
    </row>
    <row r="1504" customFormat="false" ht="15" hidden="false" customHeight="false" outlineLevel="0" collapsed="false">
      <c r="A1504" s="0" t="s">
        <v>121</v>
      </c>
      <c r="B1504" s="0" t="s">
        <v>894</v>
      </c>
      <c r="C1504" s="0" t="n">
        <v>119</v>
      </c>
      <c r="D1504" s="0" t="n">
        <v>6</v>
      </c>
      <c r="E1504" s="0" t="n">
        <v>6</v>
      </c>
      <c r="F1504" s="0" t="n">
        <v>111</v>
      </c>
      <c r="G1504" s="0" t="n">
        <v>360</v>
      </c>
      <c r="H1504" s="0" t="s">
        <v>145</v>
      </c>
      <c r="I1504" s="0" t="n">
        <v>360</v>
      </c>
      <c r="J1504" s="0" t="n">
        <f aca="false">F1504*E1504</f>
        <v>666</v>
      </c>
      <c r="K1504" s="0" t="str">
        <f aca="false">IF(G1504&lt;1000,"1-Low",IF(G1504&lt;5000,"2-Medium","3-Bulk"))</f>
        <v>1-Low</v>
      </c>
      <c r="L1504" s="0" t="str">
        <f aca="false">IF(H1504="TRUE","Out of stock","In stock")</f>
        <v>In stock</v>
      </c>
      <c r="M1504" s="0" t="str">
        <f aca="false">IF(D1504&lt;5,"1) Under 5%",IF(D1504&lt;10,"2) 5-9%",IF(D1504&lt;15,"3) 10-14%",IF(D1504&lt;25,"4) 15-24%","5) 25%+"))))</f>
        <v>2) 5-9%</v>
      </c>
      <c r="N1504" s="0" t="str">
        <f aca="false">IF(F1504&lt;50,"1) Under Rs 50",IF(F1504&lt;100,"2) Rs 50-99",IF(F1504&lt;200,"3) Rs 100-199",IF(F1504&lt;500,"4) Rs 200-499","5) Rs 500+"))))</f>
        <v>3) Rs 100-199</v>
      </c>
      <c r="O1504" s="0" t="n">
        <f aca="false">G1504*E1504/1000</f>
        <v>2.16</v>
      </c>
    </row>
    <row r="1505" customFormat="false" ht="15" hidden="false" customHeight="false" outlineLevel="0" collapsed="false">
      <c r="A1505" s="0" t="s">
        <v>121</v>
      </c>
      <c r="B1505" s="0" t="s">
        <v>895</v>
      </c>
      <c r="C1505" s="0" t="n">
        <v>149</v>
      </c>
      <c r="D1505" s="0" t="n">
        <v>8</v>
      </c>
      <c r="E1505" s="0" t="n">
        <v>6</v>
      </c>
      <c r="F1505" s="0" t="n">
        <v>137</v>
      </c>
      <c r="G1505" s="0" t="n">
        <v>300</v>
      </c>
      <c r="H1505" s="0" t="s">
        <v>145</v>
      </c>
      <c r="I1505" s="0" t="n">
        <v>300</v>
      </c>
      <c r="J1505" s="0" t="n">
        <f aca="false">F1505*E1505</f>
        <v>822</v>
      </c>
      <c r="K1505" s="0" t="str">
        <f aca="false">IF(G1505&lt;1000,"1-Low",IF(G1505&lt;5000,"2-Medium","3-Bulk"))</f>
        <v>1-Low</v>
      </c>
      <c r="L1505" s="0" t="str">
        <f aca="false">IF(H1505="TRUE","Out of stock","In stock")</f>
        <v>In stock</v>
      </c>
      <c r="M1505" s="0" t="str">
        <f aca="false">IF(D1505&lt;5,"1) Under 5%",IF(D1505&lt;10,"2) 5-9%",IF(D1505&lt;15,"3) 10-14%",IF(D1505&lt;25,"4) 15-24%","5) 25%+"))))</f>
        <v>2) 5-9%</v>
      </c>
      <c r="N1505" s="0" t="str">
        <f aca="false">IF(F1505&lt;50,"1) Under Rs 50",IF(F1505&lt;100,"2) Rs 50-99",IF(F1505&lt;200,"3) Rs 100-199",IF(F1505&lt;500,"4) Rs 200-499","5) Rs 500+"))))</f>
        <v>3) Rs 100-199</v>
      </c>
      <c r="O1505" s="0" t="n">
        <f aca="false">G1505*E1505/1000</f>
        <v>1.8</v>
      </c>
    </row>
    <row r="1506" customFormat="false" ht="15" hidden="false" customHeight="false" outlineLevel="0" collapsed="false">
      <c r="A1506" s="0" t="s">
        <v>121</v>
      </c>
      <c r="B1506" s="0" t="s">
        <v>896</v>
      </c>
      <c r="C1506" s="0" t="n">
        <v>130</v>
      </c>
      <c r="D1506" s="0" t="n">
        <v>0</v>
      </c>
      <c r="E1506" s="0" t="n">
        <v>5</v>
      </c>
      <c r="F1506" s="0" t="n">
        <v>130</v>
      </c>
      <c r="G1506" s="0" t="n">
        <v>200</v>
      </c>
      <c r="H1506" s="0" t="s">
        <v>145</v>
      </c>
      <c r="I1506" s="0" t="n">
        <v>200</v>
      </c>
      <c r="J1506" s="0" t="n">
        <f aca="false">F1506*E1506</f>
        <v>650</v>
      </c>
      <c r="K1506" s="0" t="str">
        <f aca="false">IF(G1506&lt;1000,"1-Low",IF(G1506&lt;5000,"2-Medium","3-Bulk"))</f>
        <v>1-Low</v>
      </c>
      <c r="L1506" s="0" t="str">
        <f aca="false">IF(H1506="TRUE","Out of stock","In stock")</f>
        <v>In stock</v>
      </c>
      <c r="M1506" s="0" t="str">
        <f aca="false">IF(D1506&lt;5,"1) Under 5%",IF(D1506&lt;10,"2) 5-9%",IF(D1506&lt;15,"3) 10-14%",IF(D1506&lt;25,"4) 15-24%","5) 25%+"))))</f>
        <v>1) Under 5%</v>
      </c>
      <c r="N1506" s="0" t="str">
        <f aca="false">IF(F1506&lt;50,"1) Under Rs 50",IF(F1506&lt;100,"2) Rs 50-99",IF(F1506&lt;200,"3) Rs 100-199",IF(F1506&lt;500,"4) Rs 200-499","5) Rs 500+"))))</f>
        <v>3) Rs 100-199</v>
      </c>
      <c r="O1506" s="0" t="n">
        <f aca="false">G1506*E1506/1000</f>
        <v>1</v>
      </c>
    </row>
    <row r="1507" customFormat="false" ht="15" hidden="false" customHeight="false" outlineLevel="0" collapsed="false">
      <c r="A1507" s="0" t="s">
        <v>121</v>
      </c>
      <c r="B1507" s="0" t="s">
        <v>897</v>
      </c>
      <c r="C1507" s="0" t="n">
        <v>55</v>
      </c>
      <c r="D1507" s="0" t="n">
        <v>3</v>
      </c>
      <c r="E1507" s="0" t="n">
        <v>1</v>
      </c>
      <c r="F1507" s="0" t="n">
        <v>53</v>
      </c>
      <c r="G1507" s="0" t="n">
        <v>43</v>
      </c>
      <c r="H1507" s="0" t="s">
        <v>145</v>
      </c>
      <c r="I1507" s="0" t="n">
        <v>43</v>
      </c>
      <c r="J1507" s="0" t="n">
        <f aca="false">F1507*E1507</f>
        <v>53</v>
      </c>
      <c r="K1507" s="0" t="str">
        <f aca="false">IF(G1507&lt;1000,"1-Low",IF(G1507&lt;5000,"2-Medium","3-Bulk"))</f>
        <v>1-Low</v>
      </c>
      <c r="L1507" s="0" t="str">
        <f aca="false">IF(H1507="TRUE","Out of stock","In stock")</f>
        <v>In stock</v>
      </c>
      <c r="M1507" s="0" t="str">
        <f aca="false">IF(D1507&lt;5,"1) Under 5%",IF(D1507&lt;10,"2) 5-9%",IF(D1507&lt;15,"3) 10-14%",IF(D1507&lt;25,"4) 15-24%","5) 25%+"))))</f>
        <v>1) Under 5%</v>
      </c>
      <c r="N1507" s="0" t="str">
        <f aca="false">IF(F1507&lt;50,"1) Under Rs 50",IF(F1507&lt;100,"2) Rs 50-99",IF(F1507&lt;200,"3) Rs 100-199",IF(F1507&lt;500,"4) Rs 200-499","5) Rs 500+"))))</f>
        <v>2) Rs 50-99</v>
      </c>
      <c r="O1507" s="0" t="n">
        <f aca="false">G1507*E1507/1000</f>
        <v>0.043</v>
      </c>
    </row>
    <row r="1508" customFormat="false" ht="15" hidden="false" customHeight="false" outlineLevel="0" collapsed="false">
      <c r="A1508" s="0" t="s">
        <v>121</v>
      </c>
      <c r="B1508" s="0" t="s">
        <v>755</v>
      </c>
      <c r="C1508" s="0" t="n">
        <v>99</v>
      </c>
      <c r="D1508" s="0" t="n">
        <v>5</v>
      </c>
      <c r="E1508" s="0" t="n">
        <v>6</v>
      </c>
      <c r="F1508" s="0" t="n">
        <v>94</v>
      </c>
      <c r="G1508" s="0" t="n">
        <v>200</v>
      </c>
      <c r="H1508" s="0" t="s">
        <v>145</v>
      </c>
      <c r="I1508" s="0" t="n">
        <v>200</v>
      </c>
      <c r="J1508" s="0" t="n">
        <f aca="false">F1508*E1508</f>
        <v>564</v>
      </c>
      <c r="K1508" s="0" t="str">
        <f aca="false">IF(G1508&lt;1000,"1-Low",IF(G1508&lt;5000,"2-Medium","3-Bulk"))</f>
        <v>1-Low</v>
      </c>
      <c r="L1508" s="0" t="str">
        <f aca="false">IF(H1508="TRUE","Out of stock","In stock")</f>
        <v>In stock</v>
      </c>
      <c r="M1508" s="0" t="str">
        <f aca="false">IF(D1508&lt;5,"1) Under 5%",IF(D1508&lt;10,"2) 5-9%",IF(D1508&lt;15,"3) 10-14%",IF(D1508&lt;25,"4) 15-24%","5) 25%+"))))</f>
        <v>2) 5-9%</v>
      </c>
      <c r="N1508" s="0" t="str">
        <f aca="false">IF(F1508&lt;50,"1) Under Rs 50",IF(F1508&lt;100,"2) Rs 50-99",IF(F1508&lt;200,"3) Rs 100-199",IF(F1508&lt;500,"4) Rs 200-499","5) Rs 500+"))))</f>
        <v>2) Rs 50-99</v>
      </c>
      <c r="O1508" s="0" t="n">
        <f aca="false">G1508*E1508/1000</f>
        <v>1.2</v>
      </c>
    </row>
    <row r="1509" customFormat="false" ht="15" hidden="false" customHeight="false" outlineLevel="0" collapsed="false">
      <c r="A1509" s="0" t="s">
        <v>121</v>
      </c>
      <c r="B1509" s="0" t="s">
        <v>758</v>
      </c>
      <c r="C1509" s="0" t="n">
        <v>215</v>
      </c>
      <c r="D1509" s="0" t="n">
        <v>9</v>
      </c>
      <c r="E1509" s="0" t="n">
        <v>6</v>
      </c>
      <c r="F1509" s="0" t="n">
        <v>194</v>
      </c>
      <c r="G1509" s="0" t="n">
        <v>325</v>
      </c>
      <c r="H1509" s="0" t="s">
        <v>145</v>
      </c>
      <c r="I1509" s="0" t="n">
        <v>325</v>
      </c>
      <c r="J1509" s="0" t="n">
        <f aca="false">F1509*E1509</f>
        <v>1164</v>
      </c>
      <c r="K1509" s="0" t="str">
        <f aca="false">IF(G1509&lt;1000,"1-Low",IF(G1509&lt;5000,"2-Medium","3-Bulk"))</f>
        <v>1-Low</v>
      </c>
      <c r="L1509" s="0" t="str">
        <f aca="false">IF(H1509="TRUE","Out of stock","In stock")</f>
        <v>In stock</v>
      </c>
      <c r="M1509" s="0" t="str">
        <f aca="false">IF(D1509&lt;5,"1) Under 5%",IF(D1509&lt;10,"2) 5-9%",IF(D1509&lt;15,"3) 10-14%",IF(D1509&lt;25,"4) 15-24%","5) 25%+"))))</f>
        <v>2) 5-9%</v>
      </c>
      <c r="N1509" s="0" t="str">
        <f aca="false">IF(F1509&lt;50,"1) Under Rs 50",IF(F1509&lt;100,"2) Rs 50-99",IF(F1509&lt;200,"3) Rs 100-199",IF(F1509&lt;500,"4) Rs 200-499","5) Rs 500+"))))</f>
        <v>3) Rs 100-199</v>
      </c>
      <c r="O1509" s="0" t="n">
        <f aca="false">G1509*E1509/1000</f>
        <v>1.95</v>
      </c>
    </row>
    <row r="1510" customFormat="false" ht="15" hidden="false" customHeight="false" outlineLevel="0" collapsed="false">
      <c r="A1510" s="0" t="s">
        <v>121</v>
      </c>
      <c r="B1510" s="0" t="s">
        <v>439</v>
      </c>
      <c r="C1510" s="0" t="n">
        <v>205</v>
      </c>
      <c r="D1510" s="0" t="n">
        <v>5</v>
      </c>
      <c r="E1510" s="0" t="n">
        <v>1</v>
      </c>
      <c r="F1510" s="0" t="n">
        <v>194</v>
      </c>
      <c r="G1510" s="0" t="n">
        <v>250</v>
      </c>
      <c r="H1510" s="0" t="s">
        <v>145</v>
      </c>
      <c r="I1510" s="0" t="n">
        <v>250</v>
      </c>
      <c r="J1510" s="0" t="n">
        <f aca="false">F1510*E1510</f>
        <v>194</v>
      </c>
      <c r="K1510" s="0" t="str">
        <f aca="false">IF(G1510&lt;1000,"1-Low",IF(G1510&lt;5000,"2-Medium","3-Bulk"))</f>
        <v>1-Low</v>
      </c>
      <c r="L1510" s="0" t="str">
        <f aca="false">IF(H1510="TRUE","Out of stock","In stock")</f>
        <v>In stock</v>
      </c>
      <c r="M1510" s="0" t="str">
        <f aca="false">IF(D1510&lt;5,"1) Under 5%",IF(D1510&lt;10,"2) 5-9%",IF(D1510&lt;15,"3) 10-14%",IF(D1510&lt;25,"4) 15-24%","5) 25%+"))))</f>
        <v>2) 5-9%</v>
      </c>
      <c r="N1510" s="0" t="str">
        <f aca="false">IF(F1510&lt;50,"1) Under Rs 50",IF(F1510&lt;100,"2) Rs 50-99",IF(F1510&lt;200,"3) Rs 100-199",IF(F1510&lt;500,"4) Rs 200-499","5) Rs 500+"))))</f>
        <v>3) Rs 100-199</v>
      </c>
      <c r="O1510" s="0" t="n">
        <f aca="false">G1510*E1510/1000</f>
        <v>0.25</v>
      </c>
    </row>
    <row r="1511" customFormat="false" ht="15" hidden="false" customHeight="false" outlineLevel="0" collapsed="false">
      <c r="A1511" s="0" t="s">
        <v>121</v>
      </c>
      <c r="B1511" s="0" t="s">
        <v>898</v>
      </c>
      <c r="C1511" s="0" t="n">
        <v>165</v>
      </c>
      <c r="D1511" s="0" t="n">
        <v>9</v>
      </c>
      <c r="E1511" s="0" t="n">
        <v>1</v>
      </c>
      <c r="F1511" s="0" t="n">
        <v>149</v>
      </c>
      <c r="G1511" s="0" t="n">
        <v>500</v>
      </c>
      <c r="H1511" s="0" t="s">
        <v>145</v>
      </c>
      <c r="I1511" s="0" t="n">
        <v>500</v>
      </c>
      <c r="J1511" s="0" t="n">
        <f aca="false">F1511*E1511</f>
        <v>149</v>
      </c>
      <c r="K1511" s="0" t="str">
        <f aca="false">IF(G1511&lt;1000,"1-Low",IF(G1511&lt;5000,"2-Medium","3-Bulk"))</f>
        <v>1-Low</v>
      </c>
      <c r="L1511" s="0" t="str">
        <f aca="false">IF(H1511="TRUE","Out of stock","In stock")</f>
        <v>In stock</v>
      </c>
      <c r="M1511" s="0" t="str">
        <f aca="false">IF(D1511&lt;5,"1) Under 5%",IF(D1511&lt;10,"2) 5-9%",IF(D1511&lt;15,"3) 10-14%",IF(D1511&lt;25,"4) 15-24%","5) 25%+"))))</f>
        <v>2) 5-9%</v>
      </c>
      <c r="N1511" s="0" t="str">
        <f aca="false">IF(F1511&lt;50,"1) Under Rs 50",IF(F1511&lt;100,"2) Rs 50-99",IF(F1511&lt;200,"3) Rs 100-199",IF(F1511&lt;500,"4) Rs 200-499","5) Rs 500+"))))</f>
        <v>3) Rs 100-199</v>
      </c>
      <c r="O1511" s="0" t="n">
        <f aca="false">G1511*E1511/1000</f>
        <v>0.5</v>
      </c>
    </row>
    <row r="1512" customFormat="false" ht="15" hidden="false" customHeight="false" outlineLevel="0" collapsed="false">
      <c r="A1512" s="0" t="s">
        <v>121</v>
      </c>
      <c r="B1512" s="0" t="s">
        <v>899</v>
      </c>
      <c r="C1512" s="0" t="n">
        <v>89</v>
      </c>
      <c r="D1512" s="0" t="n">
        <v>0</v>
      </c>
      <c r="E1512" s="0" t="n">
        <v>5</v>
      </c>
      <c r="F1512" s="0" t="n">
        <v>89</v>
      </c>
      <c r="G1512" s="0" t="n">
        <v>480</v>
      </c>
      <c r="H1512" s="0" t="s">
        <v>145</v>
      </c>
      <c r="I1512" s="0" t="n">
        <v>480</v>
      </c>
      <c r="J1512" s="0" t="n">
        <f aca="false">F1512*E1512</f>
        <v>445</v>
      </c>
      <c r="K1512" s="0" t="str">
        <f aca="false">IF(G1512&lt;1000,"1-Low",IF(G1512&lt;5000,"2-Medium","3-Bulk"))</f>
        <v>1-Low</v>
      </c>
      <c r="L1512" s="0" t="str">
        <f aca="false">IF(H1512="TRUE","Out of stock","In stock")</f>
        <v>In stock</v>
      </c>
      <c r="M1512" s="0" t="str">
        <f aca="false">IF(D1512&lt;5,"1) Under 5%",IF(D1512&lt;10,"2) 5-9%",IF(D1512&lt;15,"3) 10-14%",IF(D1512&lt;25,"4) 15-24%","5) 25%+"))))</f>
        <v>1) Under 5%</v>
      </c>
      <c r="N1512" s="0" t="str">
        <f aca="false">IF(F1512&lt;50,"1) Under Rs 50",IF(F1512&lt;100,"2) Rs 50-99",IF(F1512&lt;200,"3) Rs 100-199",IF(F1512&lt;500,"4) Rs 200-499","5) Rs 500+"))))</f>
        <v>2) Rs 50-99</v>
      </c>
      <c r="O1512" s="0" t="n">
        <f aca="false">G1512*E1512/1000</f>
        <v>2.4</v>
      </c>
    </row>
    <row r="1513" customFormat="false" ht="15" hidden="false" customHeight="false" outlineLevel="0" collapsed="false">
      <c r="A1513" s="0" t="s">
        <v>121</v>
      </c>
      <c r="B1513" s="0" t="s">
        <v>114</v>
      </c>
      <c r="C1513" s="0" t="n">
        <v>650</v>
      </c>
      <c r="D1513" s="0" t="n">
        <v>0</v>
      </c>
      <c r="E1513" s="0" t="n">
        <v>6</v>
      </c>
      <c r="F1513" s="0" t="n">
        <v>650</v>
      </c>
      <c r="G1513" s="0" t="n">
        <v>400</v>
      </c>
      <c r="H1513" s="0" t="s">
        <v>145</v>
      </c>
      <c r="I1513" s="0" t="n">
        <v>400</v>
      </c>
      <c r="J1513" s="0" t="n">
        <f aca="false">F1513*E1513</f>
        <v>3900</v>
      </c>
      <c r="K1513" s="0" t="str">
        <f aca="false">IF(G1513&lt;1000,"1-Low",IF(G1513&lt;5000,"2-Medium","3-Bulk"))</f>
        <v>1-Low</v>
      </c>
      <c r="L1513" s="0" t="str">
        <f aca="false">IF(H1513="TRUE","Out of stock","In stock")</f>
        <v>In stock</v>
      </c>
      <c r="M1513" s="0" t="str">
        <f aca="false">IF(D1513&lt;5,"1) Under 5%",IF(D1513&lt;10,"2) 5-9%",IF(D1513&lt;15,"3) 10-14%",IF(D1513&lt;25,"4) 15-24%","5) 25%+"))))</f>
        <v>1) Under 5%</v>
      </c>
      <c r="N1513" s="0" t="str">
        <f aca="false">IF(F1513&lt;50,"1) Under Rs 50",IF(F1513&lt;100,"2) Rs 50-99",IF(F1513&lt;200,"3) Rs 100-199",IF(F1513&lt;500,"4) Rs 200-499","5) Rs 500+"))))</f>
        <v>5) Rs 500+</v>
      </c>
      <c r="O1513" s="0" t="n">
        <f aca="false">G1513*E1513/1000</f>
        <v>2.4</v>
      </c>
    </row>
    <row r="1514" customFormat="false" ht="15" hidden="false" customHeight="false" outlineLevel="0" collapsed="false">
      <c r="A1514" s="0" t="s">
        <v>121</v>
      </c>
      <c r="B1514" s="0" t="s">
        <v>426</v>
      </c>
      <c r="C1514" s="0" t="n">
        <v>96</v>
      </c>
      <c r="D1514" s="0" t="n">
        <v>15</v>
      </c>
      <c r="E1514" s="0" t="n">
        <v>6</v>
      </c>
      <c r="F1514" s="0" t="n">
        <v>81</v>
      </c>
      <c r="G1514" s="0" t="n">
        <v>280</v>
      </c>
      <c r="H1514" s="0" t="s">
        <v>145</v>
      </c>
      <c r="I1514" s="0" t="n">
        <v>280</v>
      </c>
      <c r="J1514" s="0" t="n">
        <f aca="false">F1514*E1514</f>
        <v>486</v>
      </c>
      <c r="K1514" s="0" t="str">
        <f aca="false">IF(G1514&lt;1000,"1-Low",IF(G1514&lt;5000,"2-Medium","3-Bulk"))</f>
        <v>1-Low</v>
      </c>
      <c r="L1514" s="0" t="str">
        <f aca="false">IF(H1514="TRUE","Out of stock","In stock")</f>
        <v>In stock</v>
      </c>
      <c r="M1514" s="0" t="str">
        <f aca="false">IF(D1514&lt;5,"1) Under 5%",IF(D1514&lt;10,"2) 5-9%",IF(D1514&lt;15,"3) 10-14%",IF(D1514&lt;25,"4) 15-24%","5) 25%+"))))</f>
        <v>4) 15-24%</v>
      </c>
      <c r="N1514" s="0" t="str">
        <f aca="false">IF(F1514&lt;50,"1) Under Rs 50",IF(F1514&lt;100,"2) Rs 50-99",IF(F1514&lt;200,"3) Rs 100-199",IF(F1514&lt;500,"4) Rs 200-499","5) Rs 500+"))))</f>
        <v>2) Rs 50-99</v>
      </c>
      <c r="O1514" s="0" t="n">
        <f aca="false">G1514*E1514/1000</f>
        <v>1.68</v>
      </c>
    </row>
    <row r="1515" customFormat="false" ht="15" hidden="false" customHeight="false" outlineLevel="0" collapsed="false">
      <c r="A1515" s="0" t="s">
        <v>121</v>
      </c>
      <c r="B1515" s="0" t="s">
        <v>900</v>
      </c>
      <c r="C1515" s="0" t="n">
        <v>120</v>
      </c>
      <c r="D1515" s="0" t="n">
        <v>7</v>
      </c>
      <c r="E1515" s="0" t="n">
        <v>6</v>
      </c>
      <c r="F1515" s="0" t="n">
        <v>111</v>
      </c>
      <c r="G1515" s="0" t="n">
        <v>400</v>
      </c>
      <c r="H1515" s="0" t="s">
        <v>145</v>
      </c>
      <c r="I1515" s="0" t="n">
        <v>400</v>
      </c>
      <c r="J1515" s="0" t="n">
        <f aca="false">F1515*E1515</f>
        <v>666</v>
      </c>
      <c r="K1515" s="0" t="str">
        <f aca="false">IF(G1515&lt;1000,"1-Low",IF(G1515&lt;5000,"2-Medium","3-Bulk"))</f>
        <v>1-Low</v>
      </c>
      <c r="L1515" s="0" t="str">
        <f aca="false">IF(H1515="TRUE","Out of stock","In stock")</f>
        <v>In stock</v>
      </c>
      <c r="M1515" s="0" t="str">
        <f aca="false">IF(D1515&lt;5,"1) Under 5%",IF(D1515&lt;10,"2) 5-9%",IF(D1515&lt;15,"3) 10-14%",IF(D1515&lt;25,"4) 15-24%","5) 25%+"))))</f>
        <v>2) 5-9%</v>
      </c>
      <c r="N1515" s="0" t="str">
        <f aca="false">IF(F1515&lt;50,"1) Under Rs 50",IF(F1515&lt;100,"2) Rs 50-99",IF(F1515&lt;200,"3) Rs 100-199",IF(F1515&lt;500,"4) Rs 200-499","5) Rs 500+"))))</f>
        <v>3) Rs 100-199</v>
      </c>
      <c r="O1515" s="0" t="n">
        <f aca="false">G1515*E1515/1000</f>
        <v>2.4</v>
      </c>
    </row>
    <row r="1516" customFormat="false" ht="15" hidden="false" customHeight="false" outlineLevel="0" collapsed="false">
      <c r="A1516" s="0" t="s">
        <v>121</v>
      </c>
      <c r="B1516" s="0" t="s">
        <v>901</v>
      </c>
      <c r="C1516" s="0" t="n">
        <v>330</v>
      </c>
      <c r="D1516" s="0" t="n">
        <v>10</v>
      </c>
      <c r="E1516" s="0" t="n">
        <v>1</v>
      </c>
      <c r="F1516" s="0" t="n">
        <v>294</v>
      </c>
      <c r="G1516" s="0" t="n">
        <v>450</v>
      </c>
      <c r="H1516" s="0" t="s">
        <v>145</v>
      </c>
      <c r="I1516" s="0" t="n">
        <v>450</v>
      </c>
      <c r="J1516" s="0" t="n">
        <f aca="false">F1516*E1516</f>
        <v>294</v>
      </c>
      <c r="K1516" s="0" t="str">
        <f aca="false">IF(G1516&lt;1000,"1-Low",IF(G1516&lt;5000,"2-Medium","3-Bulk"))</f>
        <v>1-Low</v>
      </c>
      <c r="L1516" s="0" t="str">
        <f aca="false">IF(H1516="TRUE","Out of stock","In stock")</f>
        <v>In stock</v>
      </c>
      <c r="M1516" s="0" t="str">
        <f aca="false">IF(D1516&lt;5,"1) Under 5%",IF(D1516&lt;10,"2) 5-9%",IF(D1516&lt;15,"3) 10-14%",IF(D1516&lt;25,"4) 15-24%","5) 25%+"))))</f>
        <v>3) 10-14%</v>
      </c>
      <c r="N1516" s="0" t="str">
        <f aca="false">IF(F1516&lt;50,"1) Under Rs 50",IF(F1516&lt;100,"2) Rs 50-99",IF(F1516&lt;200,"3) Rs 100-199",IF(F1516&lt;500,"4) Rs 200-499","5) Rs 500+"))))</f>
        <v>4) Rs 200-499</v>
      </c>
      <c r="O1516" s="0" t="n">
        <f aca="false">G1516*E1516/1000</f>
        <v>0.45</v>
      </c>
    </row>
    <row r="1517" customFormat="false" ht="15" hidden="false" customHeight="false" outlineLevel="0" collapsed="false">
      <c r="A1517" s="0" t="s">
        <v>121</v>
      </c>
      <c r="B1517" s="0" t="s">
        <v>902</v>
      </c>
      <c r="C1517" s="0" t="n">
        <v>130</v>
      </c>
      <c r="D1517" s="0" t="n">
        <v>10</v>
      </c>
      <c r="E1517" s="0" t="n">
        <v>6</v>
      </c>
      <c r="F1517" s="0" t="n">
        <v>117</v>
      </c>
      <c r="G1517" s="0" t="n">
        <v>250</v>
      </c>
      <c r="H1517" s="0" t="s">
        <v>145</v>
      </c>
      <c r="I1517" s="0" t="n">
        <v>250</v>
      </c>
      <c r="J1517" s="0" t="n">
        <f aca="false">F1517*E1517</f>
        <v>702</v>
      </c>
      <c r="K1517" s="0" t="str">
        <f aca="false">IF(G1517&lt;1000,"1-Low",IF(G1517&lt;5000,"2-Medium","3-Bulk"))</f>
        <v>1-Low</v>
      </c>
      <c r="L1517" s="0" t="str">
        <f aca="false">IF(H1517="TRUE","Out of stock","In stock")</f>
        <v>In stock</v>
      </c>
      <c r="M1517" s="0" t="str">
        <f aca="false">IF(D1517&lt;5,"1) Under 5%",IF(D1517&lt;10,"2) 5-9%",IF(D1517&lt;15,"3) 10-14%",IF(D1517&lt;25,"4) 15-24%","5) 25%+"))))</f>
        <v>3) 10-14%</v>
      </c>
      <c r="N1517" s="0" t="str">
        <f aca="false">IF(F1517&lt;50,"1) Under Rs 50",IF(F1517&lt;100,"2) Rs 50-99",IF(F1517&lt;200,"3) Rs 100-199",IF(F1517&lt;500,"4) Rs 200-499","5) Rs 500+"))))</f>
        <v>3) Rs 100-199</v>
      </c>
      <c r="O1517" s="0" t="n">
        <f aca="false">G1517*E1517/1000</f>
        <v>1.5</v>
      </c>
    </row>
    <row r="1518" customFormat="false" ht="15" hidden="false" customHeight="false" outlineLevel="0" collapsed="false">
      <c r="A1518" s="0" t="s">
        <v>121</v>
      </c>
      <c r="B1518" s="0" t="s">
        <v>903</v>
      </c>
      <c r="C1518" s="0" t="n">
        <v>32</v>
      </c>
      <c r="D1518" s="0" t="n">
        <v>0</v>
      </c>
      <c r="E1518" s="0" t="n">
        <v>3</v>
      </c>
      <c r="F1518" s="0" t="n">
        <v>32</v>
      </c>
      <c r="G1518" s="0" t="n">
        <v>150</v>
      </c>
      <c r="H1518" s="0" t="s">
        <v>145</v>
      </c>
      <c r="I1518" s="0" t="n">
        <v>150</v>
      </c>
      <c r="J1518" s="0" t="n">
        <f aca="false">F1518*E1518</f>
        <v>96</v>
      </c>
      <c r="K1518" s="0" t="str">
        <f aca="false">IF(G1518&lt;1000,"1-Low",IF(G1518&lt;5000,"2-Medium","3-Bulk"))</f>
        <v>1-Low</v>
      </c>
      <c r="L1518" s="0" t="str">
        <f aca="false">IF(H1518="TRUE","Out of stock","In stock")</f>
        <v>In stock</v>
      </c>
      <c r="M1518" s="0" t="str">
        <f aca="false">IF(D1518&lt;5,"1) Under 5%",IF(D1518&lt;10,"2) 5-9%",IF(D1518&lt;15,"3) 10-14%",IF(D1518&lt;25,"4) 15-24%","5) 25%+"))))</f>
        <v>1) Under 5%</v>
      </c>
      <c r="N1518" s="0" t="str">
        <f aca="false">IF(F1518&lt;50,"1) Under Rs 50",IF(F1518&lt;100,"2) Rs 50-99",IF(F1518&lt;200,"3) Rs 100-199",IF(F1518&lt;500,"4) Rs 200-499","5) Rs 500+"))))</f>
        <v>1) Under Rs 50</v>
      </c>
      <c r="O1518" s="0" t="n">
        <f aca="false">G1518*E1518/1000</f>
        <v>0.45</v>
      </c>
    </row>
    <row r="1519" customFormat="false" ht="15" hidden="false" customHeight="false" outlineLevel="0" collapsed="false">
      <c r="A1519" s="0" t="s">
        <v>121</v>
      </c>
      <c r="B1519" s="0" t="s">
        <v>904</v>
      </c>
      <c r="C1519" s="0" t="n">
        <v>60</v>
      </c>
      <c r="D1519" s="0" t="n">
        <v>20</v>
      </c>
      <c r="E1519" s="0" t="n">
        <v>6</v>
      </c>
      <c r="F1519" s="0" t="n">
        <v>48</v>
      </c>
      <c r="G1519" s="0" t="n">
        <v>40</v>
      </c>
      <c r="H1519" s="0" t="s">
        <v>145</v>
      </c>
      <c r="I1519" s="0" t="n">
        <v>40</v>
      </c>
      <c r="J1519" s="0" t="n">
        <f aca="false">F1519*E1519</f>
        <v>288</v>
      </c>
      <c r="K1519" s="0" t="str">
        <f aca="false">IF(G1519&lt;1000,"1-Low",IF(G1519&lt;5000,"2-Medium","3-Bulk"))</f>
        <v>1-Low</v>
      </c>
      <c r="L1519" s="0" t="str">
        <f aca="false">IF(H1519="TRUE","Out of stock","In stock")</f>
        <v>In stock</v>
      </c>
      <c r="M1519" s="0" t="str">
        <f aca="false">IF(D1519&lt;5,"1) Under 5%",IF(D1519&lt;10,"2) 5-9%",IF(D1519&lt;15,"3) 10-14%",IF(D1519&lt;25,"4) 15-24%","5) 25%+"))))</f>
        <v>4) 15-24%</v>
      </c>
      <c r="N1519" s="0" t="str">
        <f aca="false">IF(F1519&lt;50,"1) Under Rs 50",IF(F1519&lt;100,"2) Rs 50-99",IF(F1519&lt;200,"3) Rs 100-199",IF(F1519&lt;500,"4) Rs 200-499","5) Rs 500+"))))</f>
        <v>1) Under Rs 50</v>
      </c>
      <c r="O1519" s="0" t="n">
        <f aca="false">G1519*E1519/1000</f>
        <v>0.24</v>
      </c>
    </row>
    <row r="1520" customFormat="false" ht="15" hidden="false" customHeight="false" outlineLevel="0" collapsed="false">
      <c r="A1520" s="0" t="s">
        <v>121</v>
      </c>
      <c r="B1520" s="0" t="s">
        <v>270</v>
      </c>
      <c r="C1520" s="0" t="n">
        <v>195</v>
      </c>
      <c r="D1520" s="0" t="n">
        <v>12</v>
      </c>
      <c r="E1520" s="0" t="n">
        <v>2</v>
      </c>
      <c r="F1520" s="0" t="n">
        <v>171</v>
      </c>
      <c r="G1520" s="0" t="n">
        <v>500</v>
      </c>
      <c r="H1520" s="0" t="s">
        <v>145</v>
      </c>
      <c r="I1520" s="0" t="n">
        <v>500</v>
      </c>
      <c r="J1520" s="0" t="n">
        <f aca="false">F1520*E1520</f>
        <v>342</v>
      </c>
      <c r="K1520" s="0" t="str">
        <f aca="false">IF(G1520&lt;1000,"1-Low",IF(G1520&lt;5000,"2-Medium","3-Bulk"))</f>
        <v>1-Low</v>
      </c>
      <c r="L1520" s="0" t="str">
        <f aca="false">IF(H1520="TRUE","Out of stock","In stock")</f>
        <v>In stock</v>
      </c>
      <c r="M1520" s="0" t="str">
        <f aca="false">IF(D1520&lt;5,"1) Under 5%",IF(D1520&lt;10,"2) 5-9%",IF(D1520&lt;15,"3) 10-14%",IF(D1520&lt;25,"4) 15-24%","5) 25%+"))))</f>
        <v>3) 10-14%</v>
      </c>
      <c r="N1520" s="0" t="str">
        <f aca="false">IF(F1520&lt;50,"1) Under Rs 50",IF(F1520&lt;100,"2) Rs 50-99",IF(F1520&lt;200,"3) Rs 100-199",IF(F1520&lt;500,"4) Rs 200-499","5) Rs 500+"))))</f>
        <v>3) Rs 100-199</v>
      </c>
      <c r="O1520" s="0" t="n">
        <f aca="false">G1520*E1520/1000</f>
        <v>1</v>
      </c>
    </row>
    <row r="1521" customFormat="false" ht="15" hidden="false" customHeight="false" outlineLevel="0" collapsed="false">
      <c r="A1521" s="0" t="s">
        <v>121</v>
      </c>
      <c r="B1521" s="0" t="s">
        <v>905</v>
      </c>
      <c r="C1521" s="0" t="n">
        <v>80</v>
      </c>
      <c r="D1521" s="0" t="n">
        <v>10</v>
      </c>
      <c r="E1521" s="0" t="n">
        <v>3</v>
      </c>
      <c r="F1521" s="0" t="n">
        <v>72</v>
      </c>
      <c r="G1521" s="0" t="n">
        <v>320</v>
      </c>
      <c r="H1521" s="0" t="s">
        <v>145</v>
      </c>
      <c r="I1521" s="0" t="n">
        <v>320</v>
      </c>
      <c r="J1521" s="0" t="n">
        <f aca="false">F1521*E1521</f>
        <v>216</v>
      </c>
      <c r="K1521" s="0" t="str">
        <f aca="false">IF(G1521&lt;1000,"1-Low",IF(G1521&lt;5000,"2-Medium","3-Bulk"))</f>
        <v>1-Low</v>
      </c>
      <c r="L1521" s="0" t="str">
        <f aca="false">IF(H1521="TRUE","Out of stock","In stock")</f>
        <v>In stock</v>
      </c>
      <c r="M1521" s="0" t="str">
        <f aca="false">IF(D1521&lt;5,"1) Under 5%",IF(D1521&lt;10,"2) 5-9%",IF(D1521&lt;15,"3) 10-14%",IF(D1521&lt;25,"4) 15-24%","5) 25%+"))))</f>
        <v>3) 10-14%</v>
      </c>
      <c r="N1521" s="0" t="str">
        <f aca="false">IF(F1521&lt;50,"1) Under Rs 50",IF(F1521&lt;100,"2) Rs 50-99",IF(F1521&lt;200,"3) Rs 100-199",IF(F1521&lt;500,"4) Rs 200-499","5) Rs 500+"))))</f>
        <v>2) Rs 50-99</v>
      </c>
      <c r="O1521" s="0" t="n">
        <f aca="false">G1521*E1521/1000</f>
        <v>0.96</v>
      </c>
    </row>
    <row r="1522" customFormat="false" ht="15" hidden="false" customHeight="false" outlineLevel="0" collapsed="false">
      <c r="A1522" s="0" t="s">
        <v>121</v>
      </c>
      <c r="B1522" s="0" t="s">
        <v>906</v>
      </c>
      <c r="C1522" s="0" t="n">
        <v>40</v>
      </c>
      <c r="D1522" s="0" t="n">
        <v>0</v>
      </c>
      <c r="E1522" s="0" t="n">
        <v>4</v>
      </c>
      <c r="F1522" s="0" t="n">
        <v>40</v>
      </c>
      <c r="G1522" s="0" t="n">
        <v>46</v>
      </c>
      <c r="H1522" s="0" t="s">
        <v>145</v>
      </c>
      <c r="I1522" s="0" t="n">
        <v>46</v>
      </c>
      <c r="J1522" s="0" t="n">
        <f aca="false">F1522*E1522</f>
        <v>160</v>
      </c>
      <c r="K1522" s="0" t="str">
        <f aca="false">IF(G1522&lt;1000,"1-Low",IF(G1522&lt;5000,"2-Medium","3-Bulk"))</f>
        <v>1-Low</v>
      </c>
      <c r="L1522" s="0" t="str">
        <f aca="false">IF(H1522="TRUE","Out of stock","In stock")</f>
        <v>In stock</v>
      </c>
      <c r="M1522" s="0" t="str">
        <f aca="false">IF(D1522&lt;5,"1) Under 5%",IF(D1522&lt;10,"2) 5-9%",IF(D1522&lt;15,"3) 10-14%",IF(D1522&lt;25,"4) 15-24%","5) 25%+"))))</f>
        <v>1) Under 5%</v>
      </c>
      <c r="N1522" s="0" t="str">
        <f aca="false">IF(F1522&lt;50,"1) Under Rs 50",IF(F1522&lt;100,"2) Rs 50-99",IF(F1522&lt;200,"3) Rs 100-199",IF(F1522&lt;500,"4) Rs 200-499","5) Rs 500+"))))</f>
        <v>1) Under Rs 50</v>
      </c>
      <c r="O1522" s="0" t="n">
        <f aca="false">G1522*E1522/1000</f>
        <v>0.184</v>
      </c>
    </row>
    <row r="1523" customFormat="false" ht="15" hidden="false" customHeight="false" outlineLevel="0" collapsed="false">
      <c r="A1523" s="0" t="s">
        <v>121</v>
      </c>
      <c r="B1523" s="0" t="s">
        <v>907</v>
      </c>
      <c r="C1523" s="0" t="n">
        <v>200</v>
      </c>
      <c r="D1523" s="0" t="n">
        <v>25</v>
      </c>
      <c r="E1523" s="0" t="n">
        <v>1</v>
      </c>
      <c r="F1523" s="0" t="n">
        <v>150</v>
      </c>
      <c r="G1523" s="0" t="n">
        <v>180</v>
      </c>
      <c r="H1523" s="0" t="s">
        <v>145</v>
      </c>
      <c r="I1523" s="0" t="n">
        <v>180</v>
      </c>
      <c r="J1523" s="0" t="n">
        <f aca="false">F1523*E1523</f>
        <v>150</v>
      </c>
      <c r="K1523" s="0" t="str">
        <f aca="false">IF(G1523&lt;1000,"1-Low",IF(G1523&lt;5000,"2-Medium","3-Bulk"))</f>
        <v>1-Low</v>
      </c>
      <c r="L1523" s="0" t="str">
        <f aca="false">IF(H1523="TRUE","Out of stock","In stock")</f>
        <v>In stock</v>
      </c>
      <c r="M1523" s="0" t="str">
        <f aca="false">IF(D1523&lt;5,"1) Under 5%",IF(D1523&lt;10,"2) 5-9%",IF(D1523&lt;15,"3) 10-14%",IF(D1523&lt;25,"4) 15-24%","5) 25%+"))))</f>
        <v>5) 25%+</v>
      </c>
      <c r="N1523" s="0" t="str">
        <f aca="false">IF(F1523&lt;50,"1) Under Rs 50",IF(F1523&lt;100,"2) Rs 50-99",IF(F1523&lt;200,"3) Rs 100-199",IF(F1523&lt;500,"4) Rs 200-499","5) Rs 500+"))))</f>
        <v>3) Rs 100-199</v>
      </c>
      <c r="O1523" s="0" t="n">
        <f aca="false">G1523*E1523/1000</f>
        <v>0.18</v>
      </c>
    </row>
    <row r="1524" customFormat="false" ht="15" hidden="false" customHeight="false" outlineLevel="0" collapsed="false">
      <c r="A1524" s="0" t="s">
        <v>121</v>
      </c>
      <c r="B1524" s="0" t="s">
        <v>120</v>
      </c>
      <c r="C1524" s="0" t="n">
        <v>550</v>
      </c>
      <c r="D1524" s="0" t="n">
        <v>5</v>
      </c>
      <c r="E1524" s="0" t="n">
        <v>3</v>
      </c>
      <c r="F1524" s="0" t="n">
        <v>520</v>
      </c>
      <c r="G1524" s="0" t="n">
        <v>1000</v>
      </c>
      <c r="H1524" s="0" t="s">
        <v>145</v>
      </c>
      <c r="I1524" s="0" t="n">
        <v>1</v>
      </c>
      <c r="J1524" s="0" t="n">
        <f aca="false">F1524*E1524</f>
        <v>1560</v>
      </c>
      <c r="K1524" s="0" t="str">
        <f aca="false">IF(G1524&lt;1000,"1-Low",IF(G1524&lt;5000,"2-Medium","3-Bulk"))</f>
        <v>2-Medium</v>
      </c>
      <c r="L1524" s="0" t="str">
        <f aca="false">IF(H1524="TRUE","Out of stock","In stock")</f>
        <v>In stock</v>
      </c>
      <c r="M1524" s="0" t="str">
        <f aca="false">IF(D1524&lt;5,"1) Under 5%",IF(D1524&lt;10,"2) 5-9%",IF(D1524&lt;15,"3) 10-14%",IF(D1524&lt;25,"4) 15-24%","5) 25%+"))))</f>
        <v>2) 5-9%</v>
      </c>
      <c r="N1524" s="0" t="str">
        <f aca="false">IF(F1524&lt;50,"1) Under Rs 50",IF(F1524&lt;100,"2) Rs 50-99",IF(F1524&lt;200,"3) Rs 100-199",IF(F1524&lt;500,"4) Rs 200-499","5) Rs 500+"))))</f>
        <v>5) Rs 500+</v>
      </c>
      <c r="O1524" s="0" t="n">
        <f aca="false">G1524*E1524/1000</f>
        <v>3</v>
      </c>
    </row>
    <row r="1525" customFormat="false" ht="15" hidden="false" customHeight="false" outlineLevel="0" collapsed="false">
      <c r="A1525" s="0" t="s">
        <v>121</v>
      </c>
      <c r="B1525" s="0" t="s">
        <v>908</v>
      </c>
      <c r="C1525" s="0" t="n">
        <v>330</v>
      </c>
      <c r="D1525" s="0" t="n">
        <v>10</v>
      </c>
      <c r="E1525" s="0" t="n">
        <v>3</v>
      </c>
      <c r="F1525" s="0" t="n">
        <v>294</v>
      </c>
      <c r="G1525" s="0" t="n">
        <v>450</v>
      </c>
      <c r="H1525" s="0" t="s">
        <v>145</v>
      </c>
      <c r="I1525" s="0" t="n">
        <v>450</v>
      </c>
      <c r="J1525" s="0" t="n">
        <f aca="false">F1525*E1525</f>
        <v>882</v>
      </c>
      <c r="K1525" s="0" t="str">
        <f aca="false">IF(G1525&lt;1000,"1-Low",IF(G1525&lt;5000,"2-Medium","3-Bulk"))</f>
        <v>1-Low</v>
      </c>
      <c r="L1525" s="0" t="str">
        <f aca="false">IF(H1525="TRUE","Out of stock","In stock")</f>
        <v>In stock</v>
      </c>
      <c r="M1525" s="0" t="str">
        <f aca="false">IF(D1525&lt;5,"1) Under 5%",IF(D1525&lt;10,"2) 5-9%",IF(D1525&lt;15,"3) 10-14%",IF(D1525&lt;25,"4) 15-24%","5) 25%+"))))</f>
        <v>3) 10-14%</v>
      </c>
      <c r="N1525" s="0" t="str">
        <f aca="false">IF(F1525&lt;50,"1) Under Rs 50",IF(F1525&lt;100,"2) Rs 50-99",IF(F1525&lt;200,"3) Rs 100-199",IF(F1525&lt;500,"4) Rs 200-499","5) Rs 500+"))))</f>
        <v>4) Rs 200-499</v>
      </c>
      <c r="O1525" s="0" t="n">
        <f aca="false">G1525*E1525/1000</f>
        <v>1.35</v>
      </c>
    </row>
    <row r="1526" customFormat="false" ht="15" hidden="false" customHeight="false" outlineLevel="0" collapsed="false">
      <c r="A1526" s="0" t="s">
        <v>121</v>
      </c>
      <c r="B1526" s="0" t="s">
        <v>909</v>
      </c>
      <c r="C1526" s="0" t="n">
        <v>160</v>
      </c>
      <c r="D1526" s="0" t="n">
        <v>20</v>
      </c>
      <c r="E1526" s="0" t="n">
        <v>4</v>
      </c>
      <c r="F1526" s="0" t="n">
        <v>128</v>
      </c>
      <c r="G1526" s="0" t="n">
        <v>180</v>
      </c>
      <c r="H1526" s="0" t="s">
        <v>145</v>
      </c>
      <c r="I1526" s="0" t="n">
        <v>180</v>
      </c>
      <c r="J1526" s="0" t="n">
        <f aca="false">F1526*E1526</f>
        <v>512</v>
      </c>
      <c r="K1526" s="0" t="str">
        <f aca="false">IF(G1526&lt;1000,"1-Low",IF(G1526&lt;5000,"2-Medium","3-Bulk"))</f>
        <v>1-Low</v>
      </c>
      <c r="L1526" s="0" t="str">
        <f aca="false">IF(H1526="TRUE","Out of stock","In stock")</f>
        <v>In stock</v>
      </c>
      <c r="M1526" s="0" t="str">
        <f aca="false">IF(D1526&lt;5,"1) Under 5%",IF(D1526&lt;10,"2) 5-9%",IF(D1526&lt;15,"3) 10-14%",IF(D1526&lt;25,"4) 15-24%","5) 25%+"))))</f>
        <v>4) 15-24%</v>
      </c>
      <c r="N1526" s="0" t="str">
        <f aca="false">IF(F1526&lt;50,"1) Under Rs 50",IF(F1526&lt;100,"2) Rs 50-99",IF(F1526&lt;200,"3) Rs 100-199",IF(F1526&lt;500,"4) Rs 200-499","5) Rs 500+"))))</f>
        <v>3) Rs 100-199</v>
      </c>
      <c r="O1526" s="0" t="n">
        <f aca="false">G1526*E1526/1000</f>
        <v>0.72</v>
      </c>
    </row>
    <row r="1527" customFormat="false" ht="15" hidden="false" customHeight="false" outlineLevel="0" collapsed="false">
      <c r="A1527" s="0" t="s">
        <v>121</v>
      </c>
      <c r="B1527" s="0" t="s">
        <v>910</v>
      </c>
      <c r="C1527" s="0" t="n">
        <v>15</v>
      </c>
      <c r="D1527" s="0" t="n">
        <v>0</v>
      </c>
      <c r="E1527" s="0" t="n">
        <v>3</v>
      </c>
      <c r="F1527" s="0" t="n">
        <v>15</v>
      </c>
      <c r="G1527" s="0" t="n">
        <v>60</v>
      </c>
      <c r="H1527" s="0" t="s">
        <v>145</v>
      </c>
      <c r="I1527" s="0" t="n">
        <v>60</v>
      </c>
      <c r="J1527" s="0" t="n">
        <f aca="false">F1527*E1527</f>
        <v>45</v>
      </c>
      <c r="K1527" s="0" t="str">
        <f aca="false">IF(G1527&lt;1000,"1-Low",IF(G1527&lt;5000,"2-Medium","3-Bulk"))</f>
        <v>1-Low</v>
      </c>
      <c r="L1527" s="0" t="str">
        <f aca="false">IF(H1527="TRUE","Out of stock","In stock")</f>
        <v>In stock</v>
      </c>
      <c r="M1527" s="0" t="str">
        <f aca="false">IF(D1527&lt;5,"1) Under 5%",IF(D1527&lt;10,"2) 5-9%",IF(D1527&lt;15,"3) 10-14%",IF(D1527&lt;25,"4) 15-24%","5) 25%+"))))</f>
        <v>1) Under 5%</v>
      </c>
      <c r="N1527" s="0" t="str">
        <f aca="false">IF(F1527&lt;50,"1) Under Rs 50",IF(F1527&lt;100,"2) Rs 50-99",IF(F1527&lt;200,"3) Rs 100-199",IF(F1527&lt;500,"4) Rs 200-499","5) Rs 500+"))))</f>
        <v>1) Under Rs 50</v>
      </c>
      <c r="O1527" s="0" t="n">
        <f aca="false">G1527*E1527/1000</f>
        <v>0.18</v>
      </c>
    </row>
    <row r="1528" customFormat="false" ht="15" hidden="false" customHeight="false" outlineLevel="0" collapsed="false">
      <c r="A1528" s="0" t="s">
        <v>121</v>
      </c>
      <c r="B1528" s="0" t="s">
        <v>911</v>
      </c>
      <c r="C1528" s="0" t="n">
        <v>125</v>
      </c>
      <c r="D1528" s="0" t="n">
        <v>9</v>
      </c>
      <c r="E1528" s="0" t="n">
        <v>6</v>
      </c>
      <c r="F1528" s="0" t="n">
        <v>113</v>
      </c>
      <c r="G1528" s="0" t="n">
        <v>400</v>
      </c>
      <c r="H1528" s="0" t="s">
        <v>145</v>
      </c>
      <c r="I1528" s="0" t="n">
        <v>500</v>
      </c>
      <c r="J1528" s="0" t="n">
        <f aca="false">F1528*E1528</f>
        <v>678</v>
      </c>
      <c r="K1528" s="0" t="str">
        <f aca="false">IF(G1528&lt;1000,"1-Low",IF(G1528&lt;5000,"2-Medium","3-Bulk"))</f>
        <v>1-Low</v>
      </c>
      <c r="L1528" s="0" t="str">
        <f aca="false">IF(H1528="TRUE","Out of stock","In stock")</f>
        <v>In stock</v>
      </c>
      <c r="M1528" s="0" t="str">
        <f aca="false">IF(D1528&lt;5,"1) Under 5%",IF(D1528&lt;10,"2) 5-9%",IF(D1528&lt;15,"3) 10-14%",IF(D1528&lt;25,"4) 15-24%","5) 25%+"))))</f>
        <v>2) 5-9%</v>
      </c>
      <c r="N1528" s="0" t="str">
        <f aca="false">IF(F1528&lt;50,"1) Under Rs 50",IF(F1528&lt;100,"2) Rs 50-99",IF(F1528&lt;200,"3) Rs 100-199",IF(F1528&lt;500,"4) Rs 200-499","5) Rs 500+"))))</f>
        <v>3) Rs 100-199</v>
      </c>
      <c r="O1528" s="0" t="n">
        <f aca="false">G1528*E1528/1000</f>
        <v>2.4</v>
      </c>
    </row>
    <row r="1529" customFormat="false" ht="15" hidden="false" customHeight="false" outlineLevel="0" collapsed="false">
      <c r="A1529" s="0" t="s">
        <v>121</v>
      </c>
      <c r="B1529" s="0" t="s">
        <v>450</v>
      </c>
      <c r="C1529" s="0" t="n">
        <v>160</v>
      </c>
      <c r="D1529" s="0" t="n">
        <v>10</v>
      </c>
      <c r="E1529" s="0" t="n">
        <v>3</v>
      </c>
      <c r="F1529" s="0" t="n">
        <v>144</v>
      </c>
      <c r="G1529" s="0" t="n">
        <v>250</v>
      </c>
      <c r="H1529" s="0" t="s">
        <v>145</v>
      </c>
      <c r="I1529" s="0" t="n">
        <v>250</v>
      </c>
      <c r="J1529" s="0" t="n">
        <f aca="false">F1529*E1529</f>
        <v>432</v>
      </c>
      <c r="K1529" s="0" t="str">
        <f aca="false">IF(G1529&lt;1000,"1-Low",IF(G1529&lt;5000,"2-Medium","3-Bulk"))</f>
        <v>1-Low</v>
      </c>
      <c r="L1529" s="0" t="str">
        <f aca="false">IF(H1529="TRUE","Out of stock","In stock")</f>
        <v>In stock</v>
      </c>
      <c r="M1529" s="0" t="str">
        <f aca="false">IF(D1529&lt;5,"1) Under 5%",IF(D1529&lt;10,"2) 5-9%",IF(D1529&lt;15,"3) 10-14%",IF(D1529&lt;25,"4) 15-24%","5) 25%+"))))</f>
        <v>3) 10-14%</v>
      </c>
      <c r="N1529" s="0" t="str">
        <f aca="false">IF(F1529&lt;50,"1) Under Rs 50",IF(F1529&lt;100,"2) Rs 50-99",IF(F1529&lt;200,"3) Rs 100-199",IF(F1529&lt;500,"4) Rs 200-499","5) Rs 500+"))))</f>
        <v>3) Rs 100-199</v>
      </c>
      <c r="O1529" s="0" t="n">
        <f aca="false">G1529*E1529/1000</f>
        <v>0.75</v>
      </c>
    </row>
    <row r="1530" customFormat="false" ht="15" hidden="false" customHeight="false" outlineLevel="0" collapsed="false">
      <c r="A1530" s="0" t="s">
        <v>121</v>
      </c>
      <c r="B1530" s="0" t="s">
        <v>912</v>
      </c>
      <c r="C1530" s="0" t="n">
        <v>175</v>
      </c>
      <c r="D1530" s="0" t="n">
        <v>20</v>
      </c>
      <c r="E1530" s="0" t="n">
        <v>6</v>
      </c>
      <c r="F1530" s="0" t="n">
        <v>140</v>
      </c>
      <c r="G1530" s="0" t="n">
        <v>180</v>
      </c>
      <c r="H1530" s="0" t="s">
        <v>145</v>
      </c>
      <c r="I1530" s="0" t="n">
        <v>180</v>
      </c>
      <c r="J1530" s="0" t="n">
        <f aca="false">F1530*E1530</f>
        <v>840</v>
      </c>
      <c r="K1530" s="0" t="str">
        <f aca="false">IF(G1530&lt;1000,"1-Low",IF(G1530&lt;5000,"2-Medium","3-Bulk"))</f>
        <v>1-Low</v>
      </c>
      <c r="L1530" s="0" t="str">
        <f aca="false">IF(H1530="TRUE","Out of stock","In stock")</f>
        <v>In stock</v>
      </c>
      <c r="M1530" s="0" t="str">
        <f aca="false">IF(D1530&lt;5,"1) Under 5%",IF(D1530&lt;10,"2) 5-9%",IF(D1530&lt;15,"3) 10-14%",IF(D1530&lt;25,"4) 15-24%","5) 25%+"))))</f>
        <v>4) 15-24%</v>
      </c>
      <c r="N1530" s="0" t="str">
        <f aca="false">IF(F1530&lt;50,"1) Under Rs 50",IF(F1530&lt;100,"2) Rs 50-99",IF(F1530&lt;200,"3) Rs 100-199",IF(F1530&lt;500,"4) Rs 200-499","5) Rs 500+"))))</f>
        <v>3) Rs 100-199</v>
      </c>
      <c r="O1530" s="0" t="n">
        <f aca="false">G1530*E1530/1000</f>
        <v>1.08</v>
      </c>
    </row>
    <row r="1531" customFormat="false" ht="15" hidden="false" customHeight="false" outlineLevel="0" collapsed="false">
      <c r="A1531" s="0" t="s">
        <v>121</v>
      </c>
      <c r="B1531" s="0" t="s">
        <v>913</v>
      </c>
      <c r="C1531" s="0" t="n">
        <v>170</v>
      </c>
      <c r="D1531" s="0" t="n">
        <v>10</v>
      </c>
      <c r="E1531" s="0" t="n">
        <v>1</v>
      </c>
      <c r="F1531" s="0" t="n">
        <v>153</v>
      </c>
      <c r="G1531" s="0" t="n">
        <v>1000</v>
      </c>
      <c r="H1531" s="0" t="s">
        <v>145</v>
      </c>
      <c r="I1531" s="0" t="n">
        <v>1</v>
      </c>
      <c r="J1531" s="0" t="n">
        <f aca="false">F1531*E1531</f>
        <v>153</v>
      </c>
      <c r="K1531" s="0" t="str">
        <f aca="false">IF(G1531&lt;1000,"1-Low",IF(G1531&lt;5000,"2-Medium","3-Bulk"))</f>
        <v>2-Medium</v>
      </c>
      <c r="L1531" s="0" t="str">
        <f aca="false">IF(H1531="TRUE","Out of stock","In stock")</f>
        <v>In stock</v>
      </c>
      <c r="M1531" s="0" t="str">
        <f aca="false">IF(D1531&lt;5,"1) Under 5%",IF(D1531&lt;10,"2) 5-9%",IF(D1531&lt;15,"3) 10-14%",IF(D1531&lt;25,"4) 15-24%","5) 25%+"))))</f>
        <v>3) 10-14%</v>
      </c>
      <c r="N1531" s="0" t="str">
        <f aca="false">IF(F1531&lt;50,"1) Under Rs 50",IF(F1531&lt;100,"2) Rs 50-99",IF(F1531&lt;200,"3) Rs 100-199",IF(F1531&lt;500,"4) Rs 200-499","5) Rs 500+"))))</f>
        <v>3) Rs 100-199</v>
      </c>
      <c r="O1531" s="0" t="n">
        <f aca="false">G1531*E1531/1000</f>
        <v>1</v>
      </c>
    </row>
    <row r="1532" customFormat="false" ht="15" hidden="false" customHeight="false" outlineLevel="0" collapsed="false">
      <c r="A1532" s="0" t="s">
        <v>121</v>
      </c>
      <c r="B1532" s="0" t="s">
        <v>914</v>
      </c>
      <c r="C1532" s="0" t="n">
        <v>15</v>
      </c>
      <c r="D1532" s="0" t="n">
        <v>0</v>
      </c>
      <c r="E1532" s="0" t="n">
        <v>3</v>
      </c>
      <c r="F1532" s="0" t="n">
        <v>15</v>
      </c>
      <c r="G1532" s="0" t="n">
        <v>15</v>
      </c>
      <c r="H1532" s="0" t="s">
        <v>145</v>
      </c>
      <c r="I1532" s="0" t="n">
        <v>15</v>
      </c>
      <c r="J1532" s="0" t="n">
        <f aca="false">F1532*E1532</f>
        <v>45</v>
      </c>
      <c r="K1532" s="0" t="str">
        <f aca="false">IF(G1532&lt;1000,"1-Low",IF(G1532&lt;5000,"2-Medium","3-Bulk"))</f>
        <v>1-Low</v>
      </c>
      <c r="L1532" s="0" t="str">
        <f aca="false">IF(H1532="TRUE","Out of stock","In stock")</f>
        <v>In stock</v>
      </c>
      <c r="M1532" s="0" t="str">
        <f aca="false">IF(D1532&lt;5,"1) Under 5%",IF(D1532&lt;10,"2) 5-9%",IF(D1532&lt;15,"3) 10-14%",IF(D1532&lt;25,"4) 15-24%","5) 25%+"))))</f>
        <v>1) Under 5%</v>
      </c>
      <c r="N1532" s="0" t="str">
        <f aca="false">IF(F1532&lt;50,"1) Under Rs 50",IF(F1532&lt;100,"2) Rs 50-99",IF(F1532&lt;200,"3) Rs 100-199",IF(F1532&lt;500,"4) Rs 200-499","5) Rs 500+"))))</f>
        <v>1) Under Rs 50</v>
      </c>
      <c r="O1532" s="0" t="n">
        <f aca="false">G1532*E1532/1000</f>
        <v>0.045</v>
      </c>
    </row>
    <row r="1533" customFormat="false" ht="15" hidden="false" customHeight="false" outlineLevel="0" collapsed="false">
      <c r="A1533" s="0" t="s">
        <v>121</v>
      </c>
      <c r="B1533" s="0" t="s">
        <v>129</v>
      </c>
      <c r="C1533" s="0" t="n">
        <v>499</v>
      </c>
      <c r="D1533" s="0" t="n">
        <v>11</v>
      </c>
      <c r="E1533" s="0" t="n">
        <v>6</v>
      </c>
      <c r="F1533" s="0" t="n">
        <v>444</v>
      </c>
      <c r="G1533" s="0" t="n">
        <v>1200</v>
      </c>
      <c r="H1533" s="0" t="s">
        <v>145</v>
      </c>
      <c r="I1533" s="0" t="n">
        <v>1</v>
      </c>
      <c r="J1533" s="0" t="n">
        <f aca="false">F1533*E1533</f>
        <v>2664</v>
      </c>
      <c r="K1533" s="0" t="str">
        <f aca="false">IF(G1533&lt;1000,"1-Low",IF(G1533&lt;5000,"2-Medium","3-Bulk"))</f>
        <v>2-Medium</v>
      </c>
      <c r="L1533" s="0" t="str">
        <f aca="false">IF(H1533="TRUE","Out of stock","In stock")</f>
        <v>In stock</v>
      </c>
      <c r="M1533" s="0" t="str">
        <f aca="false">IF(D1533&lt;5,"1) Under 5%",IF(D1533&lt;10,"2) 5-9%",IF(D1533&lt;15,"3) 10-14%",IF(D1533&lt;25,"4) 15-24%","5) 25%+"))))</f>
        <v>3) 10-14%</v>
      </c>
      <c r="N1533" s="0" t="str">
        <f aca="false">IF(F1533&lt;50,"1) Under Rs 50",IF(F1533&lt;100,"2) Rs 50-99",IF(F1533&lt;200,"3) Rs 100-199",IF(F1533&lt;500,"4) Rs 200-499","5) Rs 500+"))))</f>
        <v>4) Rs 200-499</v>
      </c>
      <c r="O1533" s="0" t="n">
        <f aca="false">G1533*E1533/1000</f>
        <v>7.2</v>
      </c>
    </row>
    <row r="1534" customFormat="false" ht="15" hidden="false" customHeight="false" outlineLevel="0" collapsed="false">
      <c r="A1534" s="0" t="s">
        <v>121</v>
      </c>
      <c r="B1534" s="0" t="s">
        <v>911</v>
      </c>
      <c r="C1534" s="0" t="n">
        <v>149</v>
      </c>
      <c r="D1534" s="0" t="n">
        <v>26</v>
      </c>
      <c r="E1534" s="0" t="n">
        <v>4</v>
      </c>
      <c r="F1534" s="0" t="n">
        <v>109</v>
      </c>
      <c r="G1534" s="0" t="n">
        <v>500</v>
      </c>
      <c r="H1534" s="0" t="s">
        <v>145</v>
      </c>
      <c r="I1534" s="0" t="n">
        <v>500</v>
      </c>
      <c r="J1534" s="0" t="n">
        <f aca="false">F1534*E1534</f>
        <v>436</v>
      </c>
      <c r="K1534" s="0" t="str">
        <f aca="false">IF(G1534&lt;1000,"1-Low",IF(G1534&lt;5000,"2-Medium","3-Bulk"))</f>
        <v>1-Low</v>
      </c>
      <c r="L1534" s="0" t="str">
        <f aca="false">IF(H1534="TRUE","Out of stock","In stock")</f>
        <v>In stock</v>
      </c>
      <c r="M1534" s="0" t="str">
        <f aca="false">IF(D1534&lt;5,"1) Under 5%",IF(D1534&lt;10,"2) 5-9%",IF(D1534&lt;15,"3) 10-14%",IF(D1534&lt;25,"4) 15-24%","5) 25%+"))))</f>
        <v>5) 25%+</v>
      </c>
      <c r="N1534" s="0" t="str">
        <f aca="false">IF(F1534&lt;50,"1) Under Rs 50",IF(F1534&lt;100,"2) Rs 50-99",IF(F1534&lt;200,"3) Rs 100-199",IF(F1534&lt;500,"4) Rs 200-499","5) Rs 500+"))))</f>
        <v>3) Rs 100-199</v>
      </c>
      <c r="O1534" s="0" t="n">
        <f aca="false">G1534*E1534/1000</f>
        <v>2</v>
      </c>
    </row>
    <row r="1535" customFormat="false" ht="15" hidden="false" customHeight="false" outlineLevel="0" collapsed="false">
      <c r="A1535" s="0" t="s">
        <v>121</v>
      </c>
      <c r="B1535" s="0" t="s">
        <v>915</v>
      </c>
      <c r="C1535" s="0" t="n">
        <v>60</v>
      </c>
      <c r="D1535" s="0" t="n">
        <v>0</v>
      </c>
      <c r="E1535" s="0" t="n">
        <v>6</v>
      </c>
      <c r="F1535" s="0" t="n">
        <v>60</v>
      </c>
      <c r="G1535" s="0" t="n">
        <v>240</v>
      </c>
      <c r="H1535" s="0" t="s">
        <v>145</v>
      </c>
      <c r="I1535" s="0" t="n">
        <v>240</v>
      </c>
      <c r="J1535" s="0" t="n">
        <f aca="false">F1535*E1535</f>
        <v>360</v>
      </c>
      <c r="K1535" s="0" t="str">
        <f aca="false">IF(G1535&lt;1000,"1-Low",IF(G1535&lt;5000,"2-Medium","3-Bulk"))</f>
        <v>1-Low</v>
      </c>
      <c r="L1535" s="0" t="str">
        <f aca="false">IF(H1535="TRUE","Out of stock","In stock")</f>
        <v>In stock</v>
      </c>
      <c r="M1535" s="0" t="str">
        <f aca="false">IF(D1535&lt;5,"1) Under 5%",IF(D1535&lt;10,"2) 5-9%",IF(D1535&lt;15,"3) 10-14%",IF(D1535&lt;25,"4) 15-24%","5) 25%+"))))</f>
        <v>1) Under 5%</v>
      </c>
      <c r="N1535" s="0" t="str">
        <f aca="false">IF(F1535&lt;50,"1) Under Rs 50",IF(F1535&lt;100,"2) Rs 50-99",IF(F1535&lt;200,"3) Rs 100-199",IF(F1535&lt;500,"4) Rs 200-499","5) Rs 500+"))))</f>
        <v>2) Rs 50-99</v>
      </c>
      <c r="O1535" s="0" t="n">
        <f aca="false">G1535*E1535/1000</f>
        <v>1.44</v>
      </c>
    </row>
    <row r="1536" customFormat="false" ht="15" hidden="false" customHeight="false" outlineLevel="0" collapsed="false">
      <c r="A1536" s="0" t="s">
        <v>121</v>
      </c>
      <c r="B1536" s="0" t="s">
        <v>127</v>
      </c>
      <c r="C1536" s="0" t="n">
        <v>310</v>
      </c>
      <c r="D1536" s="0" t="n">
        <v>6</v>
      </c>
      <c r="E1536" s="0" t="n">
        <v>6</v>
      </c>
      <c r="F1536" s="0" t="n">
        <v>290</v>
      </c>
      <c r="G1536" s="0" t="n">
        <v>875</v>
      </c>
      <c r="H1536" s="0" t="s">
        <v>145</v>
      </c>
      <c r="I1536" s="0" t="n">
        <v>875</v>
      </c>
      <c r="J1536" s="0" t="n">
        <f aca="false">F1536*E1536</f>
        <v>1740</v>
      </c>
      <c r="K1536" s="0" t="str">
        <f aca="false">IF(G1536&lt;1000,"1-Low",IF(G1536&lt;5000,"2-Medium","3-Bulk"))</f>
        <v>1-Low</v>
      </c>
      <c r="L1536" s="0" t="str">
        <f aca="false">IF(H1536="TRUE","Out of stock","In stock")</f>
        <v>In stock</v>
      </c>
      <c r="M1536" s="0" t="str">
        <f aca="false">IF(D1536&lt;5,"1) Under 5%",IF(D1536&lt;10,"2) 5-9%",IF(D1536&lt;15,"3) 10-14%",IF(D1536&lt;25,"4) 15-24%","5) 25%+"))))</f>
        <v>2) 5-9%</v>
      </c>
      <c r="N1536" s="0" t="str">
        <f aca="false">IF(F1536&lt;50,"1) Under Rs 50",IF(F1536&lt;100,"2) Rs 50-99",IF(F1536&lt;200,"3) Rs 100-199",IF(F1536&lt;500,"4) Rs 200-499","5) Rs 500+"))))</f>
        <v>4) Rs 200-499</v>
      </c>
      <c r="O1536" s="0" t="n">
        <f aca="false">G1536*E1536/1000</f>
        <v>5.25</v>
      </c>
    </row>
    <row r="1537" customFormat="false" ht="15" hidden="false" customHeight="false" outlineLevel="0" collapsed="false">
      <c r="A1537" s="0" t="s">
        <v>121</v>
      </c>
      <c r="B1537" s="0" t="s">
        <v>458</v>
      </c>
      <c r="C1537" s="0" t="n">
        <v>60</v>
      </c>
      <c r="D1537" s="0" t="n">
        <v>0</v>
      </c>
      <c r="E1537" s="0" t="n">
        <v>4</v>
      </c>
      <c r="F1537" s="0" t="n">
        <v>60</v>
      </c>
      <c r="G1537" s="0" t="n">
        <v>240</v>
      </c>
      <c r="H1537" s="0" t="s">
        <v>145</v>
      </c>
      <c r="I1537" s="0" t="n">
        <v>240</v>
      </c>
      <c r="J1537" s="0" t="n">
        <f aca="false">F1537*E1537</f>
        <v>240</v>
      </c>
      <c r="K1537" s="0" t="str">
        <f aca="false">IF(G1537&lt;1000,"1-Low",IF(G1537&lt;5000,"2-Medium","3-Bulk"))</f>
        <v>1-Low</v>
      </c>
      <c r="L1537" s="0" t="str">
        <f aca="false">IF(H1537="TRUE","Out of stock","In stock")</f>
        <v>In stock</v>
      </c>
      <c r="M1537" s="0" t="str">
        <f aca="false">IF(D1537&lt;5,"1) Under 5%",IF(D1537&lt;10,"2) 5-9%",IF(D1537&lt;15,"3) 10-14%",IF(D1537&lt;25,"4) 15-24%","5) 25%+"))))</f>
        <v>1) Under 5%</v>
      </c>
      <c r="N1537" s="0" t="str">
        <f aca="false">IF(F1537&lt;50,"1) Under Rs 50",IF(F1537&lt;100,"2) Rs 50-99",IF(F1537&lt;200,"3) Rs 100-199",IF(F1537&lt;500,"4) Rs 200-499","5) Rs 500+"))))</f>
        <v>2) Rs 50-99</v>
      </c>
      <c r="O1537" s="0" t="n">
        <f aca="false">G1537*E1537/1000</f>
        <v>0.96</v>
      </c>
    </row>
    <row r="1538" customFormat="false" ht="15" hidden="false" customHeight="false" outlineLevel="0" collapsed="false">
      <c r="A1538" s="0" t="s">
        <v>121</v>
      </c>
      <c r="B1538" s="0" t="s">
        <v>916</v>
      </c>
      <c r="C1538" s="0" t="n">
        <v>330</v>
      </c>
      <c r="D1538" s="0" t="n">
        <v>6</v>
      </c>
      <c r="E1538" s="0" t="n">
        <v>6</v>
      </c>
      <c r="F1538" s="0" t="n">
        <v>310</v>
      </c>
      <c r="G1538" s="0" t="n">
        <v>460</v>
      </c>
      <c r="H1538" s="0" t="s">
        <v>145</v>
      </c>
      <c r="I1538" s="0" t="n">
        <v>460</v>
      </c>
      <c r="J1538" s="0" t="n">
        <f aca="false">F1538*E1538</f>
        <v>1860</v>
      </c>
      <c r="K1538" s="0" t="str">
        <f aca="false">IF(G1538&lt;1000,"1-Low",IF(G1538&lt;5000,"2-Medium","3-Bulk"))</f>
        <v>1-Low</v>
      </c>
      <c r="L1538" s="0" t="str">
        <f aca="false">IF(H1538="TRUE","Out of stock","In stock")</f>
        <v>In stock</v>
      </c>
      <c r="M1538" s="0" t="str">
        <f aca="false">IF(D1538&lt;5,"1) Under 5%",IF(D1538&lt;10,"2) 5-9%",IF(D1538&lt;15,"3) 10-14%",IF(D1538&lt;25,"4) 15-24%","5) 25%+"))))</f>
        <v>2) 5-9%</v>
      </c>
      <c r="N1538" s="0" t="str">
        <f aca="false">IF(F1538&lt;50,"1) Under Rs 50",IF(F1538&lt;100,"2) Rs 50-99",IF(F1538&lt;200,"3) Rs 100-199",IF(F1538&lt;500,"4) Rs 200-499","5) Rs 500+"))))</f>
        <v>4) Rs 200-499</v>
      </c>
      <c r="O1538" s="0" t="n">
        <f aca="false">G1538*E1538/1000</f>
        <v>2.76</v>
      </c>
    </row>
    <row r="1539" customFormat="false" ht="15" hidden="false" customHeight="false" outlineLevel="0" collapsed="false">
      <c r="A1539" s="0" t="s">
        <v>121</v>
      </c>
      <c r="B1539" s="0" t="s">
        <v>917</v>
      </c>
      <c r="C1539" s="0" t="n">
        <v>292</v>
      </c>
      <c r="D1539" s="0" t="n">
        <v>0</v>
      </c>
      <c r="E1539" s="0" t="n">
        <v>6</v>
      </c>
      <c r="F1539" s="0" t="n">
        <v>292</v>
      </c>
      <c r="G1539" s="0" t="n">
        <v>300</v>
      </c>
      <c r="H1539" s="0" t="s">
        <v>145</v>
      </c>
      <c r="I1539" s="0" t="n">
        <v>300</v>
      </c>
      <c r="J1539" s="0" t="n">
        <f aca="false">F1539*E1539</f>
        <v>1752</v>
      </c>
      <c r="K1539" s="0" t="str">
        <f aca="false">IF(G1539&lt;1000,"1-Low",IF(G1539&lt;5000,"2-Medium","3-Bulk"))</f>
        <v>1-Low</v>
      </c>
      <c r="L1539" s="0" t="str">
        <f aca="false">IF(H1539="TRUE","Out of stock","In stock")</f>
        <v>In stock</v>
      </c>
      <c r="M1539" s="0" t="str">
        <f aca="false">IF(D1539&lt;5,"1) Under 5%",IF(D1539&lt;10,"2) 5-9%",IF(D1539&lt;15,"3) 10-14%",IF(D1539&lt;25,"4) 15-24%","5) 25%+"))))</f>
        <v>1) Under 5%</v>
      </c>
      <c r="N1539" s="0" t="str">
        <f aca="false">IF(F1539&lt;50,"1) Under Rs 50",IF(F1539&lt;100,"2) Rs 50-99",IF(F1539&lt;200,"3) Rs 100-199",IF(F1539&lt;500,"4) Rs 200-499","5) Rs 500+"))))</f>
        <v>4) Rs 200-499</v>
      </c>
      <c r="O1539" s="0" t="n">
        <f aca="false">G1539*E1539/1000</f>
        <v>1.8</v>
      </c>
    </row>
    <row r="1540" customFormat="false" ht="15" hidden="false" customHeight="false" outlineLevel="0" collapsed="false">
      <c r="A1540" s="0" t="s">
        <v>121</v>
      </c>
      <c r="B1540" s="0" t="s">
        <v>918</v>
      </c>
      <c r="C1540" s="0" t="n">
        <v>25</v>
      </c>
      <c r="D1540" s="0" t="n">
        <v>0</v>
      </c>
      <c r="E1540" s="0" t="n">
        <v>6</v>
      </c>
      <c r="F1540" s="0" t="n">
        <v>25</v>
      </c>
      <c r="G1540" s="0" t="n">
        <v>60</v>
      </c>
      <c r="H1540" s="0" t="s">
        <v>145</v>
      </c>
      <c r="I1540" s="0" t="n">
        <v>60</v>
      </c>
      <c r="J1540" s="0" t="n">
        <f aca="false">F1540*E1540</f>
        <v>150</v>
      </c>
      <c r="K1540" s="0" t="str">
        <f aca="false">IF(G1540&lt;1000,"1-Low",IF(G1540&lt;5000,"2-Medium","3-Bulk"))</f>
        <v>1-Low</v>
      </c>
      <c r="L1540" s="0" t="str">
        <f aca="false">IF(H1540="TRUE","Out of stock","In stock")</f>
        <v>In stock</v>
      </c>
      <c r="M1540" s="0" t="str">
        <f aca="false">IF(D1540&lt;5,"1) Under 5%",IF(D1540&lt;10,"2) 5-9%",IF(D1540&lt;15,"3) 10-14%",IF(D1540&lt;25,"4) 15-24%","5) 25%+"))))</f>
        <v>1) Under 5%</v>
      </c>
      <c r="N1540" s="0" t="str">
        <f aca="false">IF(F1540&lt;50,"1) Under Rs 50",IF(F1540&lt;100,"2) Rs 50-99",IF(F1540&lt;200,"3) Rs 100-199",IF(F1540&lt;500,"4) Rs 200-499","5) Rs 500+"))))</f>
        <v>1) Under Rs 50</v>
      </c>
      <c r="O1540" s="0" t="n">
        <f aca="false">G1540*E1540/1000</f>
        <v>0.36</v>
      </c>
    </row>
    <row r="1541" customFormat="false" ht="15" hidden="false" customHeight="false" outlineLevel="0" collapsed="false">
      <c r="A1541" s="0" t="s">
        <v>121</v>
      </c>
      <c r="B1541" s="0" t="s">
        <v>899</v>
      </c>
      <c r="C1541" s="0" t="n">
        <v>68</v>
      </c>
      <c r="D1541" s="0" t="n">
        <v>10</v>
      </c>
      <c r="E1541" s="0" t="n">
        <v>5</v>
      </c>
      <c r="F1541" s="0" t="n">
        <v>61</v>
      </c>
      <c r="G1541" s="0" t="n">
        <v>360</v>
      </c>
      <c r="H1541" s="0" t="s">
        <v>145</v>
      </c>
      <c r="I1541" s="0" t="n">
        <v>360</v>
      </c>
      <c r="J1541" s="0" t="n">
        <f aca="false">F1541*E1541</f>
        <v>305</v>
      </c>
      <c r="K1541" s="0" t="str">
        <f aca="false">IF(G1541&lt;1000,"1-Low",IF(G1541&lt;5000,"2-Medium","3-Bulk"))</f>
        <v>1-Low</v>
      </c>
      <c r="L1541" s="0" t="str">
        <f aca="false">IF(H1541="TRUE","Out of stock","In stock")</f>
        <v>In stock</v>
      </c>
      <c r="M1541" s="0" t="str">
        <f aca="false">IF(D1541&lt;5,"1) Under 5%",IF(D1541&lt;10,"2) 5-9%",IF(D1541&lt;15,"3) 10-14%",IF(D1541&lt;25,"4) 15-24%","5) 25%+"))))</f>
        <v>3) 10-14%</v>
      </c>
      <c r="N1541" s="0" t="str">
        <f aca="false">IF(F1541&lt;50,"1) Under Rs 50",IF(F1541&lt;100,"2) Rs 50-99",IF(F1541&lt;200,"3) Rs 100-199",IF(F1541&lt;500,"4) Rs 200-499","5) Rs 500+"))))</f>
        <v>2) Rs 50-99</v>
      </c>
      <c r="O1541" s="0" t="n">
        <f aca="false">G1541*E1541/1000</f>
        <v>1.8</v>
      </c>
    </row>
    <row r="1542" customFormat="false" ht="15" hidden="false" customHeight="false" outlineLevel="0" collapsed="false">
      <c r="A1542" s="0" t="s">
        <v>121</v>
      </c>
      <c r="B1542" s="0" t="s">
        <v>919</v>
      </c>
      <c r="C1542" s="0" t="n">
        <v>55</v>
      </c>
      <c r="D1542" s="0" t="n">
        <v>0</v>
      </c>
      <c r="E1542" s="0" t="n">
        <v>6</v>
      </c>
      <c r="F1542" s="0" t="n">
        <v>55</v>
      </c>
      <c r="G1542" s="0" t="n">
        <v>53</v>
      </c>
      <c r="H1542" s="0" t="s">
        <v>145</v>
      </c>
      <c r="I1542" s="0" t="n">
        <v>53</v>
      </c>
      <c r="J1542" s="0" t="n">
        <f aca="false">F1542*E1542</f>
        <v>330</v>
      </c>
      <c r="K1542" s="0" t="str">
        <f aca="false">IF(G1542&lt;1000,"1-Low",IF(G1542&lt;5000,"2-Medium","3-Bulk"))</f>
        <v>1-Low</v>
      </c>
      <c r="L1542" s="0" t="str">
        <f aca="false">IF(H1542="TRUE","Out of stock","In stock")</f>
        <v>In stock</v>
      </c>
      <c r="M1542" s="0" t="str">
        <f aca="false">IF(D1542&lt;5,"1) Under 5%",IF(D1542&lt;10,"2) 5-9%",IF(D1542&lt;15,"3) 10-14%",IF(D1542&lt;25,"4) 15-24%","5) 25%+"))))</f>
        <v>1) Under 5%</v>
      </c>
      <c r="N1542" s="0" t="str">
        <f aca="false">IF(F1542&lt;50,"1) Under Rs 50",IF(F1542&lt;100,"2) Rs 50-99",IF(F1542&lt;200,"3) Rs 100-199",IF(F1542&lt;500,"4) Rs 200-499","5) Rs 500+"))))</f>
        <v>2) Rs 50-99</v>
      </c>
      <c r="O1542" s="0" t="n">
        <f aca="false">G1542*E1542/1000</f>
        <v>0.318</v>
      </c>
    </row>
    <row r="1543" customFormat="false" ht="15" hidden="false" customHeight="false" outlineLevel="0" collapsed="false">
      <c r="A1543" s="0" t="s">
        <v>121</v>
      </c>
      <c r="B1543" s="0" t="s">
        <v>122</v>
      </c>
      <c r="C1543" s="0" t="n">
        <v>295</v>
      </c>
      <c r="D1543" s="0" t="n">
        <v>9</v>
      </c>
      <c r="E1543" s="0" t="n">
        <v>6</v>
      </c>
      <c r="F1543" s="0" t="n">
        <v>266</v>
      </c>
      <c r="G1543" s="0" t="n">
        <v>360</v>
      </c>
      <c r="H1543" s="0" t="s">
        <v>145</v>
      </c>
      <c r="I1543" s="0" t="n">
        <v>360</v>
      </c>
      <c r="J1543" s="0" t="n">
        <f aca="false">F1543*E1543</f>
        <v>1596</v>
      </c>
      <c r="K1543" s="0" t="str">
        <f aca="false">IF(G1543&lt;1000,"1-Low",IF(G1543&lt;5000,"2-Medium","3-Bulk"))</f>
        <v>1-Low</v>
      </c>
      <c r="L1543" s="0" t="str">
        <f aca="false">IF(H1543="TRUE","Out of stock","In stock")</f>
        <v>In stock</v>
      </c>
      <c r="M1543" s="0" t="str">
        <f aca="false">IF(D1543&lt;5,"1) Under 5%",IF(D1543&lt;10,"2) 5-9%",IF(D1543&lt;15,"3) 10-14%",IF(D1543&lt;25,"4) 15-24%","5) 25%+"))))</f>
        <v>2) 5-9%</v>
      </c>
      <c r="N1543" s="0" t="str">
        <f aca="false">IF(F1543&lt;50,"1) Under Rs 50",IF(F1543&lt;100,"2) Rs 50-99",IF(F1543&lt;200,"3) Rs 100-199",IF(F1543&lt;500,"4) Rs 200-499","5) Rs 500+"))))</f>
        <v>4) Rs 200-499</v>
      </c>
      <c r="O1543" s="0" t="n">
        <f aca="false">G1543*E1543/1000</f>
        <v>2.16</v>
      </c>
    </row>
    <row r="1544" customFormat="false" ht="15" hidden="false" customHeight="false" outlineLevel="0" collapsed="false">
      <c r="A1544" s="0" t="s">
        <v>121</v>
      </c>
      <c r="B1544" s="0" t="s">
        <v>920</v>
      </c>
      <c r="C1544" s="0" t="n">
        <v>425</v>
      </c>
      <c r="D1544" s="0" t="n">
        <v>9</v>
      </c>
      <c r="E1544" s="0" t="n">
        <v>1</v>
      </c>
      <c r="F1544" s="0" t="n">
        <v>383</v>
      </c>
      <c r="G1544" s="0" t="n">
        <v>1000</v>
      </c>
      <c r="H1544" s="0" t="s">
        <v>145</v>
      </c>
      <c r="I1544" s="0" t="n">
        <v>1</v>
      </c>
      <c r="J1544" s="0" t="n">
        <f aca="false">F1544*E1544</f>
        <v>383</v>
      </c>
      <c r="K1544" s="0" t="str">
        <f aca="false">IF(G1544&lt;1000,"1-Low",IF(G1544&lt;5000,"2-Medium","3-Bulk"))</f>
        <v>2-Medium</v>
      </c>
      <c r="L1544" s="0" t="str">
        <f aca="false">IF(H1544="TRUE","Out of stock","In stock")</f>
        <v>In stock</v>
      </c>
      <c r="M1544" s="0" t="str">
        <f aca="false">IF(D1544&lt;5,"1) Under 5%",IF(D1544&lt;10,"2) 5-9%",IF(D1544&lt;15,"3) 10-14%",IF(D1544&lt;25,"4) 15-24%","5) 25%+"))))</f>
        <v>2) 5-9%</v>
      </c>
      <c r="N1544" s="0" t="str">
        <f aca="false">IF(F1544&lt;50,"1) Under Rs 50",IF(F1544&lt;100,"2) Rs 50-99",IF(F1544&lt;200,"3) Rs 100-199",IF(F1544&lt;500,"4) Rs 200-499","5) Rs 500+"))))</f>
        <v>4) Rs 200-499</v>
      </c>
      <c r="O1544" s="0" t="n">
        <f aca="false">G1544*E1544/1000</f>
        <v>1</v>
      </c>
    </row>
    <row r="1545" customFormat="false" ht="15" hidden="false" customHeight="false" outlineLevel="0" collapsed="false">
      <c r="A1545" s="0" t="s">
        <v>121</v>
      </c>
      <c r="B1545" s="0" t="s">
        <v>921</v>
      </c>
      <c r="C1545" s="0" t="n">
        <v>170</v>
      </c>
      <c r="D1545" s="0" t="n">
        <v>5</v>
      </c>
      <c r="E1545" s="0" t="n">
        <v>4</v>
      </c>
      <c r="F1545" s="0" t="n">
        <v>160</v>
      </c>
      <c r="G1545" s="0" t="n">
        <v>385</v>
      </c>
      <c r="H1545" s="0" t="s">
        <v>145</v>
      </c>
      <c r="I1545" s="0" t="n">
        <v>385</v>
      </c>
      <c r="J1545" s="0" t="n">
        <f aca="false">F1545*E1545</f>
        <v>640</v>
      </c>
      <c r="K1545" s="0" t="str">
        <f aca="false">IF(G1545&lt;1000,"1-Low",IF(G1545&lt;5000,"2-Medium","3-Bulk"))</f>
        <v>1-Low</v>
      </c>
      <c r="L1545" s="0" t="str">
        <f aca="false">IF(H1545="TRUE","Out of stock","In stock")</f>
        <v>In stock</v>
      </c>
      <c r="M1545" s="0" t="str">
        <f aca="false">IF(D1545&lt;5,"1) Under 5%",IF(D1545&lt;10,"2) 5-9%",IF(D1545&lt;15,"3) 10-14%",IF(D1545&lt;25,"4) 15-24%","5) 25%+"))))</f>
        <v>2) 5-9%</v>
      </c>
      <c r="N1545" s="0" t="str">
        <f aca="false">IF(F1545&lt;50,"1) Under Rs 50",IF(F1545&lt;100,"2) Rs 50-99",IF(F1545&lt;200,"3) Rs 100-199",IF(F1545&lt;500,"4) Rs 200-499","5) Rs 500+"))))</f>
        <v>3) Rs 100-199</v>
      </c>
      <c r="O1545" s="0" t="n">
        <f aca="false">G1545*E1545/1000</f>
        <v>1.54</v>
      </c>
    </row>
    <row r="1546" customFormat="false" ht="15" hidden="false" customHeight="false" outlineLevel="0" collapsed="false">
      <c r="A1546" s="0" t="s">
        <v>121</v>
      </c>
      <c r="B1546" s="0" t="s">
        <v>128</v>
      </c>
      <c r="C1546" s="0" t="n">
        <v>290</v>
      </c>
      <c r="D1546" s="0" t="n">
        <v>20</v>
      </c>
      <c r="E1546" s="0" t="n">
        <v>6</v>
      </c>
      <c r="F1546" s="0" t="n">
        <v>232</v>
      </c>
      <c r="G1546" s="0" t="n">
        <v>1200</v>
      </c>
      <c r="H1546" s="0" t="s">
        <v>145</v>
      </c>
      <c r="I1546" s="0" t="n">
        <v>1200</v>
      </c>
      <c r="J1546" s="0" t="n">
        <f aca="false">F1546*E1546</f>
        <v>1392</v>
      </c>
      <c r="K1546" s="0" t="str">
        <f aca="false">IF(G1546&lt;1000,"1-Low",IF(G1546&lt;5000,"2-Medium","3-Bulk"))</f>
        <v>2-Medium</v>
      </c>
      <c r="L1546" s="0" t="str">
        <f aca="false">IF(H1546="TRUE","Out of stock","In stock")</f>
        <v>In stock</v>
      </c>
      <c r="M1546" s="0" t="str">
        <f aca="false">IF(D1546&lt;5,"1) Under 5%",IF(D1546&lt;10,"2) 5-9%",IF(D1546&lt;15,"3) 10-14%",IF(D1546&lt;25,"4) 15-24%","5) 25%+"))))</f>
        <v>4) 15-24%</v>
      </c>
      <c r="N1546" s="0" t="str">
        <f aca="false">IF(F1546&lt;50,"1) Under Rs 50",IF(F1546&lt;100,"2) Rs 50-99",IF(F1546&lt;200,"3) Rs 100-199",IF(F1546&lt;500,"4) Rs 200-499","5) Rs 500+"))))</f>
        <v>4) Rs 200-499</v>
      </c>
      <c r="O1546" s="0" t="n">
        <f aca="false">G1546*E1546/1000</f>
        <v>7.2</v>
      </c>
    </row>
    <row r="1547" customFormat="false" ht="15" hidden="false" customHeight="false" outlineLevel="0" collapsed="false">
      <c r="A1547" s="0" t="s">
        <v>121</v>
      </c>
      <c r="B1547" s="0" t="s">
        <v>922</v>
      </c>
      <c r="C1547" s="0" t="n">
        <v>15</v>
      </c>
      <c r="D1547" s="0" t="n">
        <v>0</v>
      </c>
      <c r="E1547" s="0" t="n">
        <v>5</v>
      </c>
      <c r="F1547" s="0" t="n">
        <v>15</v>
      </c>
      <c r="G1547" s="0" t="n">
        <v>15</v>
      </c>
      <c r="H1547" s="0" t="s">
        <v>145</v>
      </c>
      <c r="I1547" s="0" t="n">
        <v>15</v>
      </c>
      <c r="J1547" s="0" t="n">
        <f aca="false">F1547*E1547</f>
        <v>75</v>
      </c>
      <c r="K1547" s="0" t="str">
        <f aca="false">IF(G1547&lt;1000,"1-Low",IF(G1547&lt;5000,"2-Medium","3-Bulk"))</f>
        <v>1-Low</v>
      </c>
      <c r="L1547" s="0" t="str">
        <f aca="false">IF(H1547="TRUE","Out of stock","In stock")</f>
        <v>In stock</v>
      </c>
      <c r="M1547" s="0" t="str">
        <f aca="false">IF(D1547&lt;5,"1) Under 5%",IF(D1547&lt;10,"2) 5-9%",IF(D1547&lt;15,"3) 10-14%",IF(D1547&lt;25,"4) 15-24%","5) 25%+"))))</f>
        <v>1) Under 5%</v>
      </c>
      <c r="N1547" s="0" t="str">
        <f aca="false">IF(F1547&lt;50,"1) Under Rs 50",IF(F1547&lt;100,"2) Rs 50-99",IF(F1547&lt;200,"3) Rs 100-199",IF(F1547&lt;500,"4) Rs 200-499","5) Rs 500+"))))</f>
        <v>1) Under Rs 50</v>
      </c>
      <c r="O1547" s="0" t="n">
        <f aca="false">G1547*E1547/1000</f>
        <v>0.075</v>
      </c>
    </row>
    <row r="1548" customFormat="false" ht="15" hidden="false" customHeight="false" outlineLevel="0" collapsed="false">
      <c r="A1548" s="0" t="s">
        <v>121</v>
      </c>
      <c r="B1548" s="0" t="s">
        <v>923</v>
      </c>
      <c r="C1548" s="0" t="n">
        <v>261</v>
      </c>
      <c r="D1548" s="0" t="n">
        <v>0</v>
      </c>
      <c r="E1548" s="0" t="n">
        <v>6</v>
      </c>
      <c r="F1548" s="0" t="n">
        <v>261</v>
      </c>
      <c r="G1548" s="0" t="n">
        <v>300</v>
      </c>
      <c r="H1548" s="0" t="s">
        <v>145</v>
      </c>
      <c r="I1548" s="0" t="n">
        <v>300</v>
      </c>
      <c r="J1548" s="0" t="n">
        <f aca="false">F1548*E1548</f>
        <v>1566</v>
      </c>
      <c r="K1548" s="0" t="str">
        <f aca="false">IF(G1548&lt;1000,"1-Low",IF(G1548&lt;5000,"2-Medium","3-Bulk"))</f>
        <v>1-Low</v>
      </c>
      <c r="L1548" s="0" t="str">
        <f aca="false">IF(H1548="TRUE","Out of stock","In stock")</f>
        <v>In stock</v>
      </c>
      <c r="M1548" s="0" t="str">
        <f aca="false">IF(D1548&lt;5,"1) Under 5%",IF(D1548&lt;10,"2) 5-9%",IF(D1548&lt;15,"3) 10-14%",IF(D1548&lt;25,"4) 15-24%","5) 25%+"))))</f>
        <v>1) Under 5%</v>
      </c>
      <c r="N1548" s="0" t="str">
        <f aca="false">IF(F1548&lt;50,"1) Under Rs 50",IF(F1548&lt;100,"2) Rs 50-99",IF(F1548&lt;200,"3) Rs 100-199",IF(F1548&lt;500,"4) Rs 200-499","5) Rs 500+"))))</f>
        <v>4) Rs 200-499</v>
      </c>
      <c r="O1548" s="0" t="n">
        <f aca="false">G1548*E1548/1000</f>
        <v>1.8</v>
      </c>
    </row>
    <row r="1549" customFormat="false" ht="15" hidden="false" customHeight="false" outlineLevel="0" collapsed="false">
      <c r="A1549" s="0" t="s">
        <v>121</v>
      </c>
      <c r="B1549" s="0" t="s">
        <v>924</v>
      </c>
      <c r="C1549" s="0" t="n">
        <v>660</v>
      </c>
      <c r="D1549" s="0" t="n">
        <v>40</v>
      </c>
      <c r="E1549" s="0" t="n">
        <v>4</v>
      </c>
      <c r="F1549" s="0" t="n">
        <v>396</v>
      </c>
      <c r="G1549" s="0" t="n">
        <v>1200</v>
      </c>
      <c r="H1549" s="0" t="s">
        <v>145</v>
      </c>
      <c r="I1549" s="0" t="n">
        <v>1</v>
      </c>
      <c r="J1549" s="0" t="n">
        <f aca="false">F1549*E1549</f>
        <v>1584</v>
      </c>
      <c r="K1549" s="0" t="str">
        <f aca="false">IF(G1549&lt;1000,"1-Low",IF(G1549&lt;5000,"2-Medium","3-Bulk"))</f>
        <v>2-Medium</v>
      </c>
      <c r="L1549" s="0" t="str">
        <f aca="false">IF(H1549="TRUE","Out of stock","In stock")</f>
        <v>In stock</v>
      </c>
      <c r="M1549" s="0" t="str">
        <f aca="false">IF(D1549&lt;5,"1) Under 5%",IF(D1549&lt;10,"2) 5-9%",IF(D1549&lt;15,"3) 10-14%",IF(D1549&lt;25,"4) 15-24%","5) 25%+"))))</f>
        <v>5) 25%+</v>
      </c>
      <c r="N1549" s="0" t="str">
        <f aca="false">IF(F1549&lt;50,"1) Under Rs 50",IF(F1549&lt;100,"2) Rs 50-99",IF(F1549&lt;200,"3) Rs 100-199",IF(F1549&lt;500,"4) Rs 200-499","5) Rs 500+"))))</f>
        <v>4) Rs 200-499</v>
      </c>
      <c r="O1549" s="0" t="n">
        <f aca="false">G1549*E1549/1000</f>
        <v>4.8</v>
      </c>
    </row>
    <row r="1550" customFormat="false" ht="15" hidden="false" customHeight="false" outlineLevel="0" collapsed="false">
      <c r="A1550" s="0" t="s">
        <v>121</v>
      </c>
      <c r="B1550" s="0" t="s">
        <v>925</v>
      </c>
      <c r="C1550" s="0" t="n">
        <v>170</v>
      </c>
      <c r="D1550" s="0" t="n">
        <v>4</v>
      </c>
      <c r="E1550" s="0" t="n">
        <v>2</v>
      </c>
      <c r="F1550" s="0" t="n">
        <v>162</v>
      </c>
      <c r="G1550" s="0" t="n">
        <v>210</v>
      </c>
      <c r="H1550" s="0" t="s">
        <v>145</v>
      </c>
      <c r="I1550" s="0" t="n">
        <v>210</v>
      </c>
      <c r="J1550" s="0" t="n">
        <f aca="false">F1550*E1550</f>
        <v>324</v>
      </c>
      <c r="K1550" s="0" t="str">
        <f aca="false">IF(G1550&lt;1000,"1-Low",IF(G1550&lt;5000,"2-Medium","3-Bulk"))</f>
        <v>1-Low</v>
      </c>
      <c r="L1550" s="0" t="str">
        <f aca="false">IF(H1550="TRUE","Out of stock","In stock")</f>
        <v>In stock</v>
      </c>
      <c r="M1550" s="0" t="str">
        <f aca="false">IF(D1550&lt;5,"1) Under 5%",IF(D1550&lt;10,"2) 5-9%",IF(D1550&lt;15,"3) 10-14%",IF(D1550&lt;25,"4) 15-24%","5) 25%+"))))</f>
        <v>1) Under 5%</v>
      </c>
      <c r="N1550" s="0" t="str">
        <f aca="false">IF(F1550&lt;50,"1) Under Rs 50",IF(F1550&lt;100,"2) Rs 50-99",IF(F1550&lt;200,"3) Rs 100-199",IF(F1550&lt;500,"4) Rs 200-499","5) Rs 500+"))))</f>
        <v>3) Rs 100-199</v>
      </c>
      <c r="O1550" s="0" t="n">
        <f aca="false">G1550*E1550/1000</f>
        <v>0.42</v>
      </c>
    </row>
    <row r="1551" customFormat="false" ht="15" hidden="false" customHeight="false" outlineLevel="0" collapsed="false">
      <c r="A1551" s="0" t="s">
        <v>121</v>
      </c>
      <c r="B1551" s="0" t="s">
        <v>764</v>
      </c>
      <c r="C1551" s="0" t="n">
        <v>229</v>
      </c>
      <c r="D1551" s="0" t="n">
        <v>10</v>
      </c>
      <c r="E1551" s="0" t="n">
        <v>6</v>
      </c>
      <c r="F1551" s="0" t="n">
        <v>206</v>
      </c>
      <c r="G1551" s="0" t="n">
        <v>400</v>
      </c>
      <c r="H1551" s="0" t="s">
        <v>145</v>
      </c>
      <c r="I1551" s="0" t="n">
        <v>400</v>
      </c>
      <c r="J1551" s="0" t="n">
        <f aca="false">F1551*E1551</f>
        <v>1236</v>
      </c>
      <c r="K1551" s="0" t="str">
        <f aca="false">IF(G1551&lt;1000,"1-Low",IF(G1551&lt;5000,"2-Medium","3-Bulk"))</f>
        <v>1-Low</v>
      </c>
      <c r="L1551" s="0" t="str">
        <f aca="false">IF(H1551="TRUE","Out of stock","In stock")</f>
        <v>In stock</v>
      </c>
      <c r="M1551" s="0" t="str">
        <f aca="false">IF(D1551&lt;5,"1) Under 5%",IF(D1551&lt;10,"2) 5-9%",IF(D1551&lt;15,"3) 10-14%",IF(D1551&lt;25,"4) 15-24%","5) 25%+"))))</f>
        <v>3) 10-14%</v>
      </c>
      <c r="N1551" s="0" t="str">
        <f aca="false">IF(F1551&lt;50,"1) Under Rs 50",IF(F1551&lt;100,"2) Rs 50-99",IF(F1551&lt;200,"3) Rs 100-199",IF(F1551&lt;500,"4) Rs 200-499","5) Rs 500+"))))</f>
        <v>4) Rs 200-499</v>
      </c>
      <c r="O1551" s="0" t="n">
        <f aca="false">G1551*E1551/1000</f>
        <v>2.4</v>
      </c>
    </row>
    <row r="1552" customFormat="false" ht="15" hidden="false" customHeight="false" outlineLevel="0" collapsed="false">
      <c r="A1552" s="0" t="s">
        <v>121</v>
      </c>
      <c r="B1552" s="0" t="s">
        <v>926</v>
      </c>
      <c r="C1552" s="0" t="n">
        <v>130</v>
      </c>
      <c r="D1552" s="0" t="n">
        <v>30</v>
      </c>
      <c r="E1552" s="0" t="n">
        <v>6</v>
      </c>
      <c r="F1552" s="0" t="n">
        <v>91</v>
      </c>
      <c r="G1552" s="0" t="n">
        <v>285</v>
      </c>
      <c r="H1552" s="0" t="s">
        <v>145</v>
      </c>
      <c r="I1552" s="0" t="n">
        <v>285</v>
      </c>
      <c r="J1552" s="0" t="n">
        <f aca="false">F1552*E1552</f>
        <v>546</v>
      </c>
      <c r="K1552" s="0" t="str">
        <f aca="false">IF(G1552&lt;1000,"1-Low",IF(G1552&lt;5000,"2-Medium","3-Bulk"))</f>
        <v>1-Low</v>
      </c>
      <c r="L1552" s="0" t="str">
        <f aca="false">IF(H1552="TRUE","Out of stock","In stock")</f>
        <v>In stock</v>
      </c>
      <c r="M1552" s="0" t="str">
        <f aca="false">IF(D1552&lt;5,"1) Under 5%",IF(D1552&lt;10,"2) 5-9%",IF(D1552&lt;15,"3) 10-14%",IF(D1552&lt;25,"4) 15-24%","5) 25%+"))))</f>
        <v>5) 25%+</v>
      </c>
      <c r="N1552" s="0" t="str">
        <f aca="false">IF(F1552&lt;50,"1) Under Rs 50",IF(F1552&lt;100,"2) Rs 50-99",IF(F1552&lt;200,"3) Rs 100-199",IF(F1552&lt;500,"4) Rs 200-499","5) Rs 500+"))))</f>
        <v>2) Rs 50-99</v>
      </c>
      <c r="O1552" s="0" t="n">
        <f aca="false">G1552*E1552/1000</f>
        <v>1.71</v>
      </c>
    </row>
    <row r="1553" customFormat="false" ht="15" hidden="false" customHeight="false" outlineLevel="0" collapsed="false">
      <c r="A1553" s="0" t="s">
        <v>121</v>
      </c>
      <c r="B1553" s="0" t="s">
        <v>927</v>
      </c>
      <c r="C1553" s="0" t="n">
        <v>99</v>
      </c>
      <c r="D1553" s="0" t="n">
        <v>11</v>
      </c>
      <c r="E1553" s="0" t="n">
        <v>6</v>
      </c>
      <c r="F1553" s="0" t="n">
        <v>88</v>
      </c>
      <c r="G1553" s="0" t="n">
        <v>175</v>
      </c>
      <c r="H1553" s="0" t="s">
        <v>145</v>
      </c>
      <c r="I1553" s="0" t="n">
        <v>175</v>
      </c>
      <c r="J1553" s="0" t="n">
        <f aca="false">F1553*E1553</f>
        <v>528</v>
      </c>
      <c r="K1553" s="0" t="str">
        <f aca="false">IF(G1553&lt;1000,"1-Low",IF(G1553&lt;5000,"2-Medium","3-Bulk"))</f>
        <v>1-Low</v>
      </c>
      <c r="L1553" s="0" t="str">
        <f aca="false">IF(H1553="TRUE","Out of stock","In stock")</f>
        <v>In stock</v>
      </c>
      <c r="M1553" s="0" t="str">
        <f aca="false">IF(D1553&lt;5,"1) Under 5%",IF(D1553&lt;10,"2) 5-9%",IF(D1553&lt;15,"3) 10-14%",IF(D1553&lt;25,"4) 15-24%","5) 25%+"))))</f>
        <v>3) 10-14%</v>
      </c>
      <c r="N1553" s="0" t="str">
        <f aca="false">IF(F1553&lt;50,"1) Under Rs 50",IF(F1553&lt;100,"2) Rs 50-99",IF(F1553&lt;200,"3) Rs 100-199",IF(F1553&lt;500,"4) Rs 200-499","5) Rs 500+"))))</f>
        <v>2) Rs 50-99</v>
      </c>
      <c r="O1553" s="0" t="n">
        <f aca="false">G1553*E1553/1000</f>
        <v>1.05</v>
      </c>
    </row>
    <row r="1554" customFormat="false" ht="15" hidden="false" customHeight="false" outlineLevel="0" collapsed="false">
      <c r="A1554" s="0" t="s">
        <v>121</v>
      </c>
      <c r="B1554" s="0" t="s">
        <v>928</v>
      </c>
      <c r="C1554" s="0" t="n">
        <v>169</v>
      </c>
      <c r="D1554" s="0" t="n">
        <v>5</v>
      </c>
      <c r="E1554" s="0" t="n">
        <v>4</v>
      </c>
      <c r="F1554" s="0" t="n">
        <v>160</v>
      </c>
      <c r="G1554" s="0" t="n">
        <v>250</v>
      </c>
      <c r="H1554" s="0" t="s">
        <v>145</v>
      </c>
      <c r="I1554" s="0" t="n">
        <v>250</v>
      </c>
      <c r="J1554" s="0" t="n">
        <f aca="false">F1554*E1554</f>
        <v>640</v>
      </c>
      <c r="K1554" s="0" t="str">
        <f aca="false">IF(G1554&lt;1000,"1-Low",IF(G1554&lt;5000,"2-Medium","3-Bulk"))</f>
        <v>1-Low</v>
      </c>
      <c r="L1554" s="0" t="str">
        <f aca="false">IF(H1554="TRUE","Out of stock","In stock")</f>
        <v>In stock</v>
      </c>
      <c r="M1554" s="0" t="str">
        <f aca="false">IF(D1554&lt;5,"1) Under 5%",IF(D1554&lt;10,"2) 5-9%",IF(D1554&lt;15,"3) 10-14%",IF(D1554&lt;25,"4) 15-24%","5) 25%+"))))</f>
        <v>2) 5-9%</v>
      </c>
      <c r="N1554" s="0" t="str">
        <f aca="false">IF(F1554&lt;50,"1) Under Rs 50",IF(F1554&lt;100,"2) Rs 50-99",IF(F1554&lt;200,"3) Rs 100-199",IF(F1554&lt;500,"4) Rs 200-499","5) Rs 500+"))))</f>
        <v>3) Rs 100-199</v>
      </c>
      <c r="O1554" s="0" t="n">
        <f aca="false">G1554*E1554/1000</f>
        <v>1</v>
      </c>
    </row>
    <row r="1555" customFormat="false" ht="15" hidden="false" customHeight="false" outlineLevel="0" collapsed="false">
      <c r="A1555" s="0" t="s">
        <v>121</v>
      </c>
      <c r="B1555" s="0" t="s">
        <v>929</v>
      </c>
      <c r="C1555" s="0" t="n">
        <v>179</v>
      </c>
      <c r="D1555" s="0" t="n">
        <v>0</v>
      </c>
      <c r="E1555" s="0" t="n">
        <v>6</v>
      </c>
      <c r="F1555" s="0" t="n">
        <v>179</v>
      </c>
      <c r="G1555" s="0" t="n">
        <v>450</v>
      </c>
      <c r="H1555" s="0" t="s">
        <v>145</v>
      </c>
      <c r="I1555" s="0" t="n">
        <v>450</v>
      </c>
      <c r="J1555" s="0" t="n">
        <f aca="false">F1555*E1555</f>
        <v>1074</v>
      </c>
      <c r="K1555" s="0" t="str">
        <f aca="false">IF(G1555&lt;1000,"1-Low",IF(G1555&lt;5000,"2-Medium","3-Bulk"))</f>
        <v>1-Low</v>
      </c>
      <c r="L1555" s="0" t="str">
        <f aca="false">IF(H1555="TRUE","Out of stock","In stock")</f>
        <v>In stock</v>
      </c>
      <c r="M1555" s="0" t="str">
        <f aca="false">IF(D1555&lt;5,"1) Under 5%",IF(D1555&lt;10,"2) 5-9%",IF(D1555&lt;15,"3) 10-14%",IF(D1555&lt;25,"4) 15-24%","5) 25%+"))))</f>
        <v>1) Under 5%</v>
      </c>
      <c r="N1555" s="0" t="str">
        <f aca="false">IF(F1555&lt;50,"1) Under Rs 50",IF(F1555&lt;100,"2) Rs 50-99",IF(F1555&lt;200,"3) Rs 100-199",IF(F1555&lt;500,"4) Rs 200-499","5) Rs 500+"))))</f>
        <v>3) Rs 100-199</v>
      </c>
      <c r="O1555" s="0" t="n">
        <f aca="false">G1555*E1555/1000</f>
        <v>2.7</v>
      </c>
    </row>
    <row r="1556" customFormat="false" ht="15" hidden="false" customHeight="false" outlineLevel="0" collapsed="false">
      <c r="A1556" s="0" t="s">
        <v>121</v>
      </c>
      <c r="B1556" s="0" t="s">
        <v>930</v>
      </c>
      <c r="C1556" s="0" t="n">
        <v>149</v>
      </c>
      <c r="D1556" s="0" t="n">
        <v>8</v>
      </c>
      <c r="E1556" s="0" t="n">
        <v>6</v>
      </c>
      <c r="F1556" s="0" t="n">
        <v>137</v>
      </c>
      <c r="G1556" s="0" t="n">
        <v>330</v>
      </c>
      <c r="H1556" s="0" t="s">
        <v>145</v>
      </c>
      <c r="I1556" s="0" t="n">
        <v>330</v>
      </c>
      <c r="J1556" s="0" t="n">
        <f aca="false">F1556*E1556</f>
        <v>822</v>
      </c>
      <c r="K1556" s="0" t="str">
        <f aca="false">IF(G1556&lt;1000,"1-Low",IF(G1556&lt;5000,"2-Medium","3-Bulk"))</f>
        <v>1-Low</v>
      </c>
      <c r="L1556" s="0" t="str">
        <f aca="false">IF(H1556="TRUE","Out of stock","In stock")</f>
        <v>In stock</v>
      </c>
      <c r="M1556" s="0" t="str">
        <f aca="false">IF(D1556&lt;5,"1) Under 5%",IF(D1556&lt;10,"2) 5-9%",IF(D1556&lt;15,"3) 10-14%",IF(D1556&lt;25,"4) 15-24%","5) 25%+"))))</f>
        <v>2) 5-9%</v>
      </c>
      <c r="N1556" s="0" t="str">
        <f aca="false">IF(F1556&lt;50,"1) Under Rs 50",IF(F1556&lt;100,"2) Rs 50-99",IF(F1556&lt;200,"3) Rs 100-199",IF(F1556&lt;500,"4) Rs 200-499","5) Rs 500+"))))</f>
        <v>3) Rs 100-199</v>
      </c>
      <c r="O1556" s="0" t="n">
        <f aca="false">G1556*E1556/1000</f>
        <v>1.98</v>
      </c>
    </row>
    <row r="1557" customFormat="false" ht="15" hidden="false" customHeight="false" outlineLevel="0" collapsed="false">
      <c r="A1557" s="0" t="s">
        <v>121</v>
      </c>
      <c r="B1557" s="0" t="s">
        <v>931</v>
      </c>
      <c r="C1557" s="0" t="n">
        <v>60</v>
      </c>
      <c r="D1557" s="0" t="n">
        <v>20</v>
      </c>
      <c r="E1557" s="0" t="n">
        <v>6</v>
      </c>
      <c r="F1557" s="0" t="n">
        <v>48</v>
      </c>
      <c r="G1557" s="0" t="n">
        <v>40</v>
      </c>
      <c r="H1557" s="0" t="s">
        <v>145</v>
      </c>
      <c r="I1557" s="0" t="n">
        <v>40</v>
      </c>
      <c r="J1557" s="0" t="n">
        <f aca="false">F1557*E1557</f>
        <v>288</v>
      </c>
      <c r="K1557" s="0" t="str">
        <f aca="false">IF(G1557&lt;1000,"1-Low",IF(G1557&lt;5000,"2-Medium","3-Bulk"))</f>
        <v>1-Low</v>
      </c>
      <c r="L1557" s="0" t="str">
        <f aca="false">IF(H1557="TRUE","Out of stock","In stock")</f>
        <v>In stock</v>
      </c>
      <c r="M1557" s="0" t="str">
        <f aca="false">IF(D1557&lt;5,"1) Under 5%",IF(D1557&lt;10,"2) 5-9%",IF(D1557&lt;15,"3) 10-14%",IF(D1557&lt;25,"4) 15-24%","5) 25%+"))))</f>
        <v>4) 15-24%</v>
      </c>
      <c r="N1557" s="0" t="str">
        <f aca="false">IF(F1557&lt;50,"1) Under Rs 50",IF(F1557&lt;100,"2) Rs 50-99",IF(F1557&lt;200,"3) Rs 100-199",IF(F1557&lt;500,"4) Rs 200-499","5) Rs 500+"))))</f>
        <v>1) Under Rs 50</v>
      </c>
      <c r="O1557" s="0" t="n">
        <f aca="false">G1557*E1557/1000</f>
        <v>0.24</v>
      </c>
    </row>
    <row r="1558" customFormat="false" ht="15" hidden="false" customHeight="false" outlineLevel="0" collapsed="false">
      <c r="A1558" s="0" t="s">
        <v>121</v>
      </c>
      <c r="B1558" s="0" t="s">
        <v>932</v>
      </c>
      <c r="C1558" s="0" t="n">
        <v>325</v>
      </c>
      <c r="D1558" s="0" t="n">
        <v>20</v>
      </c>
      <c r="E1558" s="0" t="n">
        <v>6</v>
      </c>
      <c r="F1558" s="0" t="n">
        <v>260</v>
      </c>
      <c r="G1558" s="0" t="n">
        <v>350</v>
      </c>
      <c r="H1558" s="0" t="s">
        <v>145</v>
      </c>
      <c r="I1558" s="0" t="n">
        <v>350</v>
      </c>
      <c r="J1558" s="0" t="n">
        <f aca="false">F1558*E1558</f>
        <v>1560</v>
      </c>
      <c r="K1558" s="0" t="str">
        <f aca="false">IF(G1558&lt;1000,"1-Low",IF(G1558&lt;5000,"2-Medium","3-Bulk"))</f>
        <v>1-Low</v>
      </c>
      <c r="L1558" s="0" t="str">
        <f aca="false">IF(H1558="TRUE","Out of stock","In stock")</f>
        <v>In stock</v>
      </c>
      <c r="M1558" s="0" t="str">
        <f aca="false">IF(D1558&lt;5,"1) Under 5%",IF(D1558&lt;10,"2) 5-9%",IF(D1558&lt;15,"3) 10-14%",IF(D1558&lt;25,"4) 15-24%","5) 25%+"))))</f>
        <v>4) 15-24%</v>
      </c>
      <c r="N1558" s="0" t="str">
        <f aca="false">IF(F1558&lt;50,"1) Under Rs 50",IF(F1558&lt;100,"2) Rs 50-99",IF(F1558&lt;200,"3) Rs 100-199",IF(F1558&lt;500,"4) Rs 200-499","5) Rs 500+"))))</f>
        <v>4) Rs 200-499</v>
      </c>
      <c r="O1558" s="0" t="n">
        <f aca="false">G1558*E1558/1000</f>
        <v>2.1</v>
      </c>
    </row>
    <row r="1559" customFormat="false" ht="15" hidden="false" customHeight="false" outlineLevel="0" collapsed="false">
      <c r="A1559" s="0" t="s">
        <v>121</v>
      </c>
      <c r="B1559" s="0" t="s">
        <v>933</v>
      </c>
      <c r="C1559" s="0" t="n">
        <v>150</v>
      </c>
      <c r="D1559" s="0" t="n">
        <v>14</v>
      </c>
      <c r="E1559" s="0" t="n">
        <v>5</v>
      </c>
      <c r="F1559" s="0" t="n">
        <v>128</v>
      </c>
      <c r="G1559" s="0" t="n">
        <v>114</v>
      </c>
      <c r="H1559" s="0" t="s">
        <v>145</v>
      </c>
      <c r="I1559" s="0" t="n">
        <v>114</v>
      </c>
      <c r="J1559" s="0" t="n">
        <f aca="false">F1559*E1559</f>
        <v>640</v>
      </c>
      <c r="K1559" s="0" t="str">
        <f aca="false">IF(G1559&lt;1000,"1-Low",IF(G1559&lt;5000,"2-Medium","3-Bulk"))</f>
        <v>1-Low</v>
      </c>
      <c r="L1559" s="0" t="str">
        <f aca="false">IF(H1559="TRUE","Out of stock","In stock")</f>
        <v>In stock</v>
      </c>
      <c r="M1559" s="0" t="str">
        <f aca="false">IF(D1559&lt;5,"1) Under 5%",IF(D1559&lt;10,"2) 5-9%",IF(D1559&lt;15,"3) 10-14%",IF(D1559&lt;25,"4) 15-24%","5) 25%+"))))</f>
        <v>3) 10-14%</v>
      </c>
      <c r="N1559" s="0" t="str">
        <f aca="false">IF(F1559&lt;50,"1) Under Rs 50",IF(F1559&lt;100,"2) Rs 50-99",IF(F1559&lt;200,"3) Rs 100-199",IF(F1559&lt;500,"4) Rs 200-499","5) Rs 500+"))))</f>
        <v>3) Rs 100-199</v>
      </c>
      <c r="O1559" s="0" t="n">
        <f aca="false">G1559*E1559/1000</f>
        <v>0.57</v>
      </c>
    </row>
    <row r="1560" customFormat="false" ht="15" hidden="false" customHeight="false" outlineLevel="0" collapsed="false">
      <c r="A1560" s="0" t="s">
        <v>121</v>
      </c>
      <c r="B1560" s="0" t="s">
        <v>934</v>
      </c>
      <c r="C1560" s="0" t="n">
        <v>210</v>
      </c>
      <c r="D1560" s="0" t="n">
        <v>8</v>
      </c>
      <c r="E1560" s="0" t="n">
        <v>5</v>
      </c>
      <c r="F1560" s="0" t="n">
        <v>192</v>
      </c>
      <c r="G1560" s="0" t="n">
        <v>435</v>
      </c>
      <c r="H1560" s="0" t="s">
        <v>145</v>
      </c>
      <c r="I1560" s="0" t="n">
        <v>435</v>
      </c>
      <c r="J1560" s="0" t="n">
        <f aca="false">F1560*E1560</f>
        <v>960</v>
      </c>
      <c r="K1560" s="0" t="str">
        <f aca="false">IF(G1560&lt;1000,"1-Low",IF(G1560&lt;5000,"2-Medium","3-Bulk"))</f>
        <v>1-Low</v>
      </c>
      <c r="L1560" s="0" t="str">
        <f aca="false">IF(H1560="TRUE","Out of stock","In stock")</f>
        <v>In stock</v>
      </c>
      <c r="M1560" s="0" t="str">
        <f aca="false">IF(D1560&lt;5,"1) Under 5%",IF(D1560&lt;10,"2) 5-9%",IF(D1560&lt;15,"3) 10-14%",IF(D1560&lt;25,"4) 15-24%","5) 25%+"))))</f>
        <v>2) 5-9%</v>
      </c>
      <c r="N1560" s="0" t="str">
        <f aca="false">IF(F1560&lt;50,"1) Under Rs 50",IF(F1560&lt;100,"2) Rs 50-99",IF(F1560&lt;200,"3) Rs 100-199",IF(F1560&lt;500,"4) Rs 200-499","5) Rs 500+"))))</f>
        <v>3) Rs 100-199</v>
      </c>
      <c r="O1560" s="0" t="n">
        <f aca="false">G1560*E1560/1000</f>
        <v>2.175</v>
      </c>
    </row>
    <row r="1561" customFormat="false" ht="15" hidden="false" customHeight="false" outlineLevel="0" collapsed="false">
      <c r="A1561" s="0" t="s">
        <v>121</v>
      </c>
      <c r="B1561" s="0" t="s">
        <v>935</v>
      </c>
      <c r="C1561" s="0" t="n">
        <v>280</v>
      </c>
      <c r="D1561" s="0" t="n">
        <v>50</v>
      </c>
      <c r="E1561" s="0" t="n">
        <v>5</v>
      </c>
      <c r="F1561" s="0" t="n">
        <v>140</v>
      </c>
      <c r="G1561" s="0" t="n">
        <v>175</v>
      </c>
      <c r="H1561" s="0" t="s">
        <v>145</v>
      </c>
      <c r="I1561" s="0" t="n">
        <v>175</v>
      </c>
      <c r="J1561" s="0" t="n">
        <f aca="false">F1561*E1561</f>
        <v>700</v>
      </c>
      <c r="K1561" s="0" t="str">
        <f aca="false">IF(G1561&lt;1000,"1-Low",IF(G1561&lt;5000,"2-Medium","3-Bulk"))</f>
        <v>1-Low</v>
      </c>
      <c r="L1561" s="0" t="str">
        <f aca="false">IF(H1561="TRUE","Out of stock","In stock")</f>
        <v>In stock</v>
      </c>
      <c r="M1561" s="0" t="str">
        <f aca="false">IF(D1561&lt;5,"1) Under 5%",IF(D1561&lt;10,"2) 5-9%",IF(D1561&lt;15,"3) 10-14%",IF(D1561&lt;25,"4) 15-24%","5) 25%+"))))</f>
        <v>5) 25%+</v>
      </c>
      <c r="N1561" s="0" t="str">
        <f aca="false">IF(F1561&lt;50,"1) Under Rs 50",IF(F1561&lt;100,"2) Rs 50-99",IF(F1561&lt;200,"3) Rs 100-199",IF(F1561&lt;500,"4) Rs 200-499","5) Rs 500+"))))</f>
        <v>3) Rs 100-199</v>
      </c>
      <c r="O1561" s="0" t="n">
        <f aca="false">G1561*E1561/1000</f>
        <v>0.875</v>
      </c>
    </row>
    <row r="1562" customFormat="false" ht="15" hidden="false" customHeight="false" outlineLevel="0" collapsed="false">
      <c r="A1562" s="0" t="s">
        <v>121</v>
      </c>
      <c r="B1562" s="0" t="s">
        <v>936</v>
      </c>
      <c r="C1562" s="0" t="n">
        <v>50</v>
      </c>
      <c r="D1562" s="0" t="n">
        <v>10</v>
      </c>
      <c r="E1562" s="0" t="n">
        <v>6</v>
      </c>
      <c r="F1562" s="0" t="n">
        <v>45</v>
      </c>
      <c r="G1562" s="0" t="n">
        <v>100</v>
      </c>
      <c r="H1562" s="0" t="s">
        <v>145</v>
      </c>
      <c r="I1562" s="0" t="n">
        <v>100</v>
      </c>
      <c r="J1562" s="0" t="n">
        <f aca="false">F1562*E1562</f>
        <v>270</v>
      </c>
      <c r="K1562" s="0" t="str">
        <f aca="false">IF(G1562&lt;1000,"1-Low",IF(G1562&lt;5000,"2-Medium","3-Bulk"))</f>
        <v>1-Low</v>
      </c>
      <c r="L1562" s="0" t="str">
        <f aca="false">IF(H1562="TRUE","Out of stock","In stock")</f>
        <v>In stock</v>
      </c>
      <c r="M1562" s="0" t="str">
        <f aca="false">IF(D1562&lt;5,"1) Under 5%",IF(D1562&lt;10,"2) 5-9%",IF(D1562&lt;15,"3) 10-14%",IF(D1562&lt;25,"4) 15-24%","5) 25%+"))))</f>
        <v>3) 10-14%</v>
      </c>
      <c r="N1562" s="0" t="str">
        <f aca="false">IF(F1562&lt;50,"1) Under Rs 50",IF(F1562&lt;100,"2) Rs 50-99",IF(F1562&lt;200,"3) Rs 100-199",IF(F1562&lt;500,"4) Rs 200-499","5) Rs 500+"))))</f>
        <v>1) Under Rs 50</v>
      </c>
      <c r="O1562" s="0" t="n">
        <f aca="false">G1562*E1562/1000</f>
        <v>0.6</v>
      </c>
    </row>
    <row r="1563" customFormat="false" ht="15" hidden="false" customHeight="false" outlineLevel="0" collapsed="false">
      <c r="A1563" s="0" t="s">
        <v>121</v>
      </c>
      <c r="B1563" s="0" t="s">
        <v>937</v>
      </c>
      <c r="C1563" s="0" t="n">
        <v>80</v>
      </c>
      <c r="D1563" s="0" t="n">
        <v>10</v>
      </c>
      <c r="E1563" s="0" t="n">
        <v>6</v>
      </c>
      <c r="F1563" s="0" t="n">
        <v>72</v>
      </c>
      <c r="G1563" s="0" t="n">
        <v>280</v>
      </c>
      <c r="H1563" s="0" t="s">
        <v>145</v>
      </c>
      <c r="I1563" s="0" t="n">
        <v>280</v>
      </c>
      <c r="J1563" s="0" t="n">
        <f aca="false">F1563*E1563</f>
        <v>432</v>
      </c>
      <c r="K1563" s="0" t="str">
        <f aca="false">IF(G1563&lt;1000,"1-Low",IF(G1563&lt;5000,"2-Medium","3-Bulk"))</f>
        <v>1-Low</v>
      </c>
      <c r="L1563" s="0" t="str">
        <f aca="false">IF(H1563="TRUE","Out of stock","In stock")</f>
        <v>In stock</v>
      </c>
      <c r="M1563" s="0" t="str">
        <f aca="false">IF(D1563&lt;5,"1) Under 5%",IF(D1563&lt;10,"2) 5-9%",IF(D1563&lt;15,"3) 10-14%",IF(D1563&lt;25,"4) 15-24%","5) 25%+"))))</f>
        <v>3) 10-14%</v>
      </c>
      <c r="N1563" s="0" t="str">
        <f aca="false">IF(F1563&lt;50,"1) Under Rs 50",IF(F1563&lt;100,"2) Rs 50-99",IF(F1563&lt;200,"3) Rs 100-199",IF(F1563&lt;500,"4) Rs 200-499","5) Rs 500+"))))</f>
        <v>2) Rs 50-99</v>
      </c>
      <c r="O1563" s="0" t="n">
        <f aca="false">G1563*E1563/1000</f>
        <v>1.68</v>
      </c>
    </row>
    <row r="1564" customFormat="false" ht="15" hidden="false" customHeight="false" outlineLevel="0" collapsed="false">
      <c r="A1564" s="0" t="s">
        <v>121</v>
      </c>
      <c r="B1564" s="0" t="s">
        <v>474</v>
      </c>
      <c r="C1564" s="0" t="n">
        <v>195</v>
      </c>
      <c r="D1564" s="0" t="n">
        <v>12</v>
      </c>
      <c r="E1564" s="0" t="n">
        <v>6</v>
      </c>
      <c r="F1564" s="0" t="n">
        <v>171</v>
      </c>
      <c r="G1564" s="0" t="n">
        <v>500</v>
      </c>
      <c r="H1564" s="0" t="s">
        <v>145</v>
      </c>
      <c r="I1564" s="0" t="n">
        <v>500</v>
      </c>
      <c r="J1564" s="0" t="n">
        <f aca="false">F1564*E1564</f>
        <v>1026</v>
      </c>
      <c r="K1564" s="0" t="str">
        <f aca="false">IF(G1564&lt;1000,"1-Low",IF(G1564&lt;5000,"2-Medium","3-Bulk"))</f>
        <v>1-Low</v>
      </c>
      <c r="L1564" s="0" t="str">
        <f aca="false">IF(H1564="TRUE","Out of stock","In stock")</f>
        <v>In stock</v>
      </c>
      <c r="M1564" s="0" t="str">
        <f aca="false">IF(D1564&lt;5,"1) Under 5%",IF(D1564&lt;10,"2) 5-9%",IF(D1564&lt;15,"3) 10-14%",IF(D1564&lt;25,"4) 15-24%","5) 25%+"))))</f>
        <v>3) 10-14%</v>
      </c>
      <c r="N1564" s="0" t="str">
        <f aca="false">IF(F1564&lt;50,"1) Under Rs 50",IF(F1564&lt;100,"2) Rs 50-99",IF(F1564&lt;200,"3) Rs 100-199",IF(F1564&lt;500,"4) Rs 200-499","5) Rs 500+"))))</f>
        <v>3) Rs 100-199</v>
      </c>
      <c r="O1564" s="0" t="n">
        <f aca="false">G1564*E1564/1000</f>
        <v>3</v>
      </c>
    </row>
    <row r="1565" customFormat="false" ht="15" hidden="false" customHeight="false" outlineLevel="0" collapsed="false">
      <c r="A1565" s="0" t="s">
        <v>121</v>
      </c>
      <c r="B1565" s="0" t="s">
        <v>473</v>
      </c>
      <c r="C1565" s="0" t="n">
        <v>60</v>
      </c>
      <c r="D1565" s="0" t="n">
        <v>0</v>
      </c>
      <c r="E1565" s="0" t="n">
        <v>4</v>
      </c>
      <c r="F1565" s="0" t="n">
        <v>60</v>
      </c>
      <c r="G1565" s="0" t="n">
        <v>240</v>
      </c>
      <c r="H1565" s="0" t="s">
        <v>145</v>
      </c>
      <c r="I1565" s="0" t="n">
        <v>240</v>
      </c>
      <c r="J1565" s="0" t="n">
        <f aca="false">F1565*E1565</f>
        <v>240</v>
      </c>
      <c r="K1565" s="0" t="str">
        <f aca="false">IF(G1565&lt;1000,"1-Low",IF(G1565&lt;5000,"2-Medium","3-Bulk"))</f>
        <v>1-Low</v>
      </c>
      <c r="L1565" s="0" t="str">
        <f aca="false">IF(H1565="TRUE","Out of stock","In stock")</f>
        <v>In stock</v>
      </c>
      <c r="M1565" s="0" t="str">
        <f aca="false">IF(D1565&lt;5,"1) Under 5%",IF(D1565&lt;10,"2) 5-9%",IF(D1565&lt;15,"3) 10-14%",IF(D1565&lt;25,"4) 15-24%","5) 25%+"))))</f>
        <v>1) Under 5%</v>
      </c>
      <c r="N1565" s="0" t="str">
        <f aca="false">IF(F1565&lt;50,"1) Under Rs 50",IF(F1565&lt;100,"2) Rs 50-99",IF(F1565&lt;200,"3) Rs 100-199",IF(F1565&lt;500,"4) Rs 200-499","5) Rs 500+"))))</f>
        <v>2) Rs 50-99</v>
      </c>
      <c r="O1565" s="0" t="n">
        <f aca="false">G1565*E1565/1000</f>
        <v>0.96</v>
      </c>
    </row>
    <row r="1566" customFormat="false" ht="15" hidden="false" customHeight="false" outlineLevel="0" collapsed="false">
      <c r="A1566" s="0" t="s">
        <v>121</v>
      </c>
      <c r="B1566" s="0" t="s">
        <v>938</v>
      </c>
      <c r="C1566" s="0" t="n">
        <v>200</v>
      </c>
      <c r="D1566" s="0" t="n">
        <v>30</v>
      </c>
      <c r="E1566" s="0" t="n">
        <v>1</v>
      </c>
      <c r="F1566" s="0" t="n">
        <v>140</v>
      </c>
      <c r="G1566" s="0" t="n">
        <v>285</v>
      </c>
      <c r="H1566" s="0" t="s">
        <v>145</v>
      </c>
      <c r="I1566" s="0" t="n">
        <v>285</v>
      </c>
      <c r="J1566" s="0" t="n">
        <f aca="false">F1566*E1566</f>
        <v>140</v>
      </c>
      <c r="K1566" s="0" t="str">
        <f aca="false">IF(G1566&lt;1000,"1-Low",IF(G1566&lt;5000,"2-Medium","3-Bulk"))</f>
        <v>1-Low</v>
      </c>
      <c r="L1566" s="0" t="str">
        <f aca="false">IF(H1566="TRUE","Out of stock","In stock")</f>
        <v>In stock</v>
      </c>
      <c r="M1566" s="0" t="str">
        <f aca="false">IF(D1566&lt;5,"1) Under 5%",IF(D1566&lt;10,"2) 5-9%",IF(D1566&lt;15,"3) 10-14%",IF(D1566&lt;25,"4) 15-24%","5) 25%+"))))</f>
        <v>5) 25%+</v>
      </c>
      <c r="N1566" s="0" t="str">
        <f aca="false">IF(F1566&lt;50,"1) Under Rs 50",IF(F1566&lt;100,"2) Rs 50-99",IF(F1566&lt;200,"3) Rs 100-199",IF(F1566&lt;500,"4) Rs 200-499","5) Rs 500+"))))</f>
        <v>3) Rs 100-199</v>
      </c>
      <c r="O1566" s="0" t="n">
        <f aca="false">G1566*E1566/1000</f>
        <v>0.285</v>
      </c>
    </row>
    <row r="1567" customFormat="false" ht="15" hidden="false" customHeight="false" outlineLevel="0" collapsed="false">
      <c r="A1567" s="0" t="s">
        <v>121</v>
      </c>
      <c r="B1567" s="0" t="s">
        <v>939</v>
      </c>
      <c r="C1567" s="0" t="n">
        <v>190</v>
      </c>
      <c r="D1567" s="0" t="n">
        <v>0</v>
      </c>
      <c r="E1567" s="0" t="n">
        <v>6</v>
      </c>
      <c r="F1567" s="0" t="n">
        <v>190</v>
      </c>
      <c r="G1567" s="0" t="n">
        <v>300</v>
      </c>
      <c r="H1567" s="0" t="s">
        <v>145</v>
      </c>
      <c r="I1567" s="0" t="n">
        <v>300</v>
      </c>
      <c r="J1567" s="0" t="n">
        <f aca="false">F1567*E1567</f>
        <v>1140</v>
      </c>
      <c r="K1567" s="0" t="str">
        <f aca="false">IF(G1567&lt;1000,"1-Low",IF(G1567&lt;5000,"2-Medium","3-Bulk"))</f>
        <v>1-Low</v>
      </c>
      <c r="L1567" s="0" t="str">
        <f aca="false">IF(H1567="TRUE","Out of stock","In stock")</f>
        <v>In stock</v>
      </c>
      <c r="M1567" s="0" t="str">
        <f aca="false">IF(D1567&lt;5,"1) Under 5%",IF(D1567&lt;10,"2) 5-9%",IF(D1567&lt;15,"3) 10-14%",IF(D1567&lt;25,"4) 15-24%","5) 25%+"))))</f>
        <v>1) Under 5%</v>
      </c>
      <c r="N1567" s="0" t="str">
        <f aca="false">IF(F1567&lt;50,"1) Under Rs 50",IF(F1567&lt;100,"2) Rs 50-99",IF(F1567&lt;200,"3) Rs 100-199",IF(F1567&lt;500,"4) Rs 200-499","5) Rs 500+"))))</f>
        <v>3) Rs 100-199</v>
      </c>
      <c r="O1567" s="0" t="n">
        <f aca="false">G1567*E1567/1000</f>
        <v>1.8</v>
      </c>
    </row>
    <row r="1568" customFormat="false" ht="15" hidden="false" customHeight="false" outlineLevel="0" collapsed="false">
      <c r="A1568" s="0" t="s">
        <v>121</v>
      </c>
      <c r="B1568" s="0" t="s">
        <v>940</v>
      </c>
      <c r="C1568" s="0" t="n">
        <v>119</v>
      </c>
      <c r="D1568" s="0" t="n">
        <v>5</v>
      </c>
      <c r="E1568" s="0" t="n">
        <v>6</v>
      </c>
      <c r="F1568" s="0" t="n">
        <v>113</v>
      </c>
      <c r="G1568" s="0" t="n">
        <v>400</v>
      </c>
      <c r="H1568" s="0" t="s">
        <v>145</v>
      </c>
      <c r="I1568" s="0" t="n">
        <v>400</v>
      </c>
      <c r="J1568" s="0" t="n">
        <f aca="false">F1568*E1568</f>
        <v>678</v>
      </c>
      <c r="K1568" s="0" t="str">
        <f aca="false">IF(G1568&lt;1000,"1-Low",IF(G1568&lt;5000,"2-Medium","3-Bulk"))</f>
        <v>1-Low</v>
      </c>
      <c r="L1568" s="0" t="str">
        <f aca="false">IF(H1568="TRUE","Out of stock","In stock")</f>
        <v>In stock</v>
      </c>
      <c r="M1568" s="0" t="str">
        <f aca="false">IF(D1568&lt;5,"1) Under 5%",IF(D1568&lt;10,"2) 5-9%",IF(D1568&lt;15,"3) 10-14%",IF(D1568&lt;25,"4) 15-24%","5) 25%+"))))</f>
        <v>2) 5-9%</v>
      </c>
      <c r="N1568" s="0" t="str">
        <f aca="false">IF(F1568&lt;50,"1) Under Rs 50",IF(F1568&lt;100,"2) Rs 50-99",IF(F1568&lt;200,"3) Rs 100-199",IF(F1568&lt;500,"4) Rs 200-499","5) Rs 500+"))))</f>
        <v>3) Rs 100-199</v>
      </c>
      <c r="O1568" s="0" t="n">
        <f aca="false">G1568*E1568/1000</f>
        <v>2.4</v>
      </c>
    </row>
    <row r="1569" customFormat="false" ht="15" hidden="false" customHeight="false" outlineLevel="0" collapsed="false">
      <c r="A1569" s="0" t="s">
        <v>121</v>
      </c>
      <c r="B1569" s="0" t="s">
        <v>941</v>
      </c>
      <c r="C1569" s="0" t="n">
        <v>170</v>
      </c>
      <c r="D1569" s="0" t="n">
        <v>4</v>
      </c>
      <c r="E1569" s="0" t="n">
        <v>4</v>
      </c>
      <c r="F1569" s="0" t="n">
        <v>162</v>
      </c>
      <c r="G1569" s="0" t="n">
        <v>340</v>
      </c>
      <c r="H1569" s="0" t="s">
        <v>145</v>
      </c>
      <c r="I1569" s="0" t="n">
        <v>340</v>
      </c>
      <c r="J1569" s="0" t="n">
        <f aca="false">F1569*E1569</f>
        <v>648</v>
      </c>
      <c r="K1569" s="0" t="str">
        <f aca="false">IF(G1569&lt;1000,"1-Low",IF(G1569&lt;5000,"2-Medium","3-Bulk"))</f>
        <v>1-Low</v>
      </c>
      <c r="L1569" s="0" t="str">
        <f aca="false">IF(H1569="TRUE","Out of stock","In stock")</f>
        <v>In stock</v>
      </c>
      <c r="M1569" s="0" t="str">
        <f aca="false">IF(D1569&lt;5,"1) Under 5%",IF(D1569&lt;10,"2) 5-9%",IF(D1569&lt;15,"3) 10-14%",IF(D1569&lt;25,"4) 15-24%","5) 25%+"))))</f>
        <v>1) Under 5%</v>
      </c>
      <c r="N1569" s="0" t="str">
        <f aca="false">IF(F1569&lt;50,"1) Under Rs 50",IF(F1569&lt;100,"2) Rs 50-99",IF(F1569&lt;200,"3) Rs 100-199",IF(F1569&lt;500,"4) Rs 200-499","5) Rs 500+"))))</f>
        <v>3) Rs 100-199</v>
      </c>
      <c r="O1569" s="0" t="n">
        <f aca="false">G1569*E1569/1000</f>
        <v>1.36</v>
      </c>
    </row>
    <row r="1570" customFormat="false" ht="15" hidden="false" customHeight="false" outlineLevel="0" collapsed="false">
      <c r="A1570" s="0" t="s">
        <v>121</v>
      </c>
      <c r="B1570" s="0" t="s">
        <v>942</v>
      </c>
      <c r="C1570" s="0" t="n">
        <v>60</v>
      </c>
      <c r="D1570" s="0" t="n">
        <v>15</v>
      </c>
      <c r="E1570" s="0" t="n">
        <v>1</v>
      </c>
      <c r="F1570" s="0" t="n">
        <v>51</v>
      </c>
      <c r="G1570" s="0" t="n">
        <v>70</v>
      </c>
      <c r="H1570" s="0" t="s">
        <v>145</v>
      </c>
      <c r="I1570" s="0" t="n">
        <v>70</v>
      </c>
      <c r="J1570" s="0" t="n">
        <f aca="false">F1570*E1570</f>
        <v>51</v>
      </c>
      <c r="K1570" s="0" t="str">
        <f aca="false">IF(G1570&lt;1000,"1-Low",IF(G1570&lt;5000,"2-Medium","3-Bulk"))</f>
        <v>1-Low</v>
      </c>
      <c r="L1570" s="0" t="str">
        <f aca="false">IF(H1570="TRUE","Out of stock","In stock")</f>
        <v>In stock</v>
      </c>
      <c r="M1570" s="0" t="str">
        <f aca="false">IF(D1570&lt;5,"1) Under 5%",IF(D1570&lt;10,"2) 5-9%",IF(D1570&lt;15,"3) 10-14%",IF(D1570&lt;25,"4) 15-24%","5) 25%+"))))</f>
        <v>4) 15-24%</v>
      </c>
      <c r="N1570" s="0" t="str">
        <f aca="false">IF(F1570&lt;50,"1) Under Rs 50",IF(F1570&lt;100,"2) Rs 50-99",IF(F1570&lt;200,"3) Rs 100-199",IF(F1570&lt;500,"4) Rs 200-499","5) Rs 500+"))))</f>
        <v>2) Rs 50-99</v>
      </c>
      <c r="O1570" s="0" t="n">
        <f aca="false">G1570*E1570/1000</f>
        <v>0.07</v>
      </c>
    </row>
    <row r="1571" customFormat="false" ht="15" hidden="false" customHeight="false" outlineLevel="0" collapsed="false">
      <c r="A1571" s="0" t="s">
        <v>121</v>
      </c>
      <c r="B1571" s="0" t="s">
        <v>943</v>
      </c>
      <c r="C1571" s="0" t="n">
        <v>55</v>
      </c>
      <c r="D1571" s="0" t="n">
        <v>0</v>
      </c>
      <c r="E1571" s="0" t="n">
        <v>3</v>
      </c>
      <c r="F1571" s="0" t="n">
        <v>55</v>
      </c>
      <c r="G1571" s="0" t="n">
        <v>55</v>
      </c>
      <c r="H1571" s="0" t="s">
        <v>145</v>
      </c>
      <c r="I1571" s="0" t="n">
        <v>55</v>
      </c>
      <c r="J1571" s="0" t="n">
        <f aca="false">F1571*E1571</f>
        <v>165</v>
      </c>
      <c r="K1571" s="0" t="str">
        <f aca="false">IF(G1571&lt;1000,"1-Low",IF(G1571&lt;5000,"2-Medium","3-Bulk"))</f>
        <v>1-Low</v>
      </c>
      <c r="L1571" s="0" t="str">
        <f aca="false">IF(H1571="TRUE","Out of stock","In stock")</f>
        <v>In stock</v>
      </c>
      <c r="M1571" s="0" t="str">
        <f aca="false">IF(D1571&lt;5,"1) Under 5%",IF(D1571&lt;10,"2) 5-9%",IF(D1571&lt;15,"3) 10-14%",IF(D1571&lt;25,"4) 15-24%","5) 25%+"))))</f>
        <v>1) Under 5%</v>
      </c>
      <c r="N1571" s="0" t="str">
        <f aca="false">IF(F1571&lt;50,"1) Under Rs 50",IF(F1571&lt;100,"2) Rs 50-99",IF(F1571&lt;200,"3) Rs 100-199",IF(F1571&lt;500,"4) Rs 200-499","5) Rs 500+"))))</f>
        <v>2) Rs 50-99</v>
      </c>
      <c r="O1571" s="0" t="n">
        <f aca="false">G1571*E1571/1000</f>
        <v>0.165</v>
      </c>
    </row>
    <row r="1572" customFormat="false" ht="15" hidden="false" customHeight="false" outlineLevel="0" collapsed="false">
      <c r="A1572" s="0" t="s">
        <v>121</v>
      </c>
      <c r="B1572" s="0" t="s">
        <v>944</v>
      </c>
      <c r="C1572" s="0" t="n">
        <v>85</v>
      </c>
      <c r="D1572" s="0" t="n">
        <v>10</v>
      </c>
      <c r="E1572" s="0" t="n">
        <v>6</v>
      </c>
      <c r="F1572" s="0" t="n">
        <v>76</v>
      </c>
      <c r="G1572" s="0" t="n">
        <v>250</v>
      </c>
      <c r="H1572" s="0" t="s">
        <v>145</v>
      </c>
      <c r="I1572" s="0" t="n">
        <v>250</v>
      </c>
      <c r="J1572" s="0" t="n">
        <f aca="false">F1572*E1572</f>
        <v>456</v>
      </c>
      <c r="K1572" s="0" t="str">
        <f aca="false">IF(G1572&lt;1000,"1-Low",IF(G1572&lt;5000,"2-Medium","3-Bulk"))</f>
        <v>1-Low</v>
      </c>
      <c r="L1572" s="0" t="str">
        <f aca="false">IF(H1572="TRUE","Out of stock","In stock")</f>
        <v>In stock</v>
      </c>
      <c r="M1572" s="0" t="str">
        <f aca="false">IF(D1572&lt;5,"1) Under 5%",IF(D1572&lt;10,"2) 5-9%",IF(D1572&lt;15,"3) 10-14%",IF(D1572&lt;25,"4) 15-24%","5) 25%+"))))</f>
        <v>3) 10-14%</v>
      </c>
      <c r="N1572" s="0" t="str">
        <f aca="false">IF(F1572&lt;50,"1) Under Rs 50",IF(F1572&lt;100,"2) Rs 50-99",IF(F1572&lt;200,"3) Rs 100-199",IF(F1572&lt;500,"4) Rs 200-499","5) Rs 500+"))))</f>
        <v>2) Rs 50-99</v>
      </c>
      <c r="O1572" s="0" t="n">
        <f aca="false">G1572*E1572/1000</f>
        <v>1.5</v>
      </c>
    </row>
    <row r="1573" customFormat="false" ht="15" hidden="false" customHeight="false" outlineLevel="0" collapsed="false">
      <c r="A1573" s="0" t="s">
        <v>121</v>
      </c>
      <c r="B1573" s="0" t="s">
        <v>120</v>
      </c>
      <c r="C1573" s="0" t="n">
        <v>370</v>
      </c>
      <c r="D1573" s="0" t="n">
        <v>12</v>
      </c>
      <c r="E1573" s="0" t="n">
        <v>3</v>
      </c>
      <c r="F1573" s="0" t="n">
        <v>324</v>
      </c>
      <c r="G1573" s="0" t="n">
        <v>650</v>
      </c>
      <c r="H1573" s="0" t="s">
        <v>145</v>
      </c>
      <c r="I1573" s="0" t="n">
        <v>650</v>
      </c>
      <c r="J1573" s="0" t="n">
        <f aca="false">F1573*E1573</f>
        <v>972</v>
      </c>
      <c r="K1573" s="0" t="str">
        <f aca="false">IF(G1573&lt;1000,"1-Low",IF(G1573&lt;5000,"2-Medium","3-Bulk"))</f>
        <v>1-Low</v>
      </c>
      <c r="L1573" s="0" t="str">
        <f aca="false">IF(H1573="TRUE","Out of stock","In stock")</f>
        <v>In stock</v>
      </c>
      <c r="M1573" s="0" t="str">
        <f aca="false">IF(D1573&lt;5,"1) Under 5%",IF(D1573&lt;10,"2) 5-9%",IF(D1573&lt;15,"3) 10-14%",IF(D1573&lt;25,"4) 15-24%","5) 25%+"))))</f>
        <v>3) 10-14%</v>
      </c>
      <c r="N1573" s="0" t="str">
        <f aca="false">IF(F1573&lt;50,"1) Under Rs 50",IF(F1573&lt;100,"2) Rs 50-99",IF(F1573&lt;200,"3) Rs 100-199",IF(F1573&lt;500,"4) Rs 200-499","5) Rs 500+"))))</f>
        <v>4) Rs 200-499</v>
      </c>
      <c r="O1573" s="0" t="n">
        <f aca="false">G1573*E1573/1000</f>
        <v>1.95</v>
      </c>
    </row>
    <row r="1574" customFormat="false" ht="15" hidden="false" customHeight="false" outlineLevel="0" collapsed="false">
      <c r="A1574" s="0" t="s">
        <v>121</v>
      </c>
      <c r="B1574" s="0" t="s">
        <v>945</v>
      </c>
      <c r="C1574" s="0" t="n">
        <v>160</v>
      </c>
      <c r="D1574" s="0" t="n">
        <v>30</v>
      </c>
      <c r="E1574" s="0" t="n">
        <v>4</v>
      </c>
      <c r="F1574" s="0" t="n">
        <v>112</v>
      </c>
      <c r="G1574" s="0" t="n">
        <v>285</v>
      </c>
      <c r="H1574" s="0" t="s">
        <v>145</v>
      </c>
      <c r="I1574" s="0" t="n">
        <v>285</v>
      </c>
      <c r="J1574" s="0" t="n">
        <f aca="false">F1574*E1574</f>
        <v>448</v>
      </c>
      <c r="K1574" s="0" t="str">
        <f aca="false">IF(G1574&lt;1000,"1-Low",IF(G1574&lt;5000,"2-Medium","3-Bulk"))</f>
        <v>1-Low</v>
      </c>
      <c r="L1574" s="0" t="str">
        <f aca="false">IF(H1574="TRUE","Out of stock","In stock")</f>
        <v>In stock</v>
      </c>
      <c r="M1574" s="0" t="str">
        <f aca="false">IF(D1574&lt;5,"1) Under 5%",IF(D1574&lt;10,"2) 5-9%",IF(D1574&lt;15,"3) 10-14%",IF(D1574&lt;25,"4) 15-24%","5) 25%+"))))</f>
        <v>5) 25%+</v>
      </c>
      <c r="N1574" s="0" t="str">
        <f aca="false">IF(F1574&lt;50,"1) Under Rs 50",IF(F1574&lt;100,"2) Rs 50-99",IF(F1574&lt;200,"3) Rs 100-199",IF(F1574&lt;500,"4) Rs 200-499","5) Rs 500+"))))</f>
        <v>3) Rs 100-199</v>
      </c>
      <c r="O1574" s="0" t="n">
        <f aca="false">G1574*E1574/1000</f>
        <v>1.14</v>
      </c>
    </row>
    <row r="1575" customFormat="false" ht="15" hidden="false" customHeight="false" outlineLevel="0" collapsed="false">
      <c r="A1575" s="0" t="s">
        <v>121</v>
      </c>
      <c r="B1575" s="0" t="s">
        <v>946</v>
      </c>
      <c r="C1575" s="0" t="n">
        <v>30</v>
      </c>
      <c r="D1575" s="0" t="n">
        <v>0</v>
      </c>
      <c r="E1575" s="0" t="n">
        <v>5</v>
      </c>
      <c r="F1575" s="0" t="n">
        <v>30</v>
      </c>
      <c r="G1575" s="0" t="n">
        <v>150</v>
      </c>
      <c r="H1575" s="0" t="s">
        <v>145</v>
      </c>
      <c r="I1575" s="0" t="n">
        <v>150</v>
      </c>
      <c r="J1575" s="0" t="n">
        <f aca="false">F1575*E1575</f>
        <v>150</v>
      </c>
      <c r="K1575" s="0" t="str">
        <f aca="false">IF(G1575&lt;1000,"1-Low",IF(G1575&lt;5000,"2-Medium","3-Bulk"))</f>
        <v>1-Low</v>
      </c>
      <c r="L1575" s="0" t="str">
        <f aca="false">IF(H1575="TRUE","Out of stock","In stock")</f>
        <v>In stock</v>
      </c>
      <c r="M1575" s="0" t="str">
        <f aca="false">IF(D1575&lt;5,"1) Under 5%",IF(D1575&lt;10,"2) 5-9%",IF(D1575&lt;15,"3) 10-14%",IF(D1575&lt;25,"4) 15-24%","5) 25%+"))))</f>
        <v>1) Under 5%</v>
      </c>
      <c r="N1575" s="0" t="str">
        <f aca="false">IF(F1575&lt;50,"1) Under Rs 50",IF(F1575&lt;100,"2) Rs 50-99",IF(F1575&lt;200,"3) Rs 100-199",IF(F1575&lt;500,"4) Rs 200-499","5) Rs 500+"))))</f>
        <v>1) Under Rs 50</v>
      </c>
      <c r="O1575" s="0" t="n">
        <f aca="false">G1575*E1575/1000</f>
        <v>0.75</v>
      </c>
    </row>
    <row r="1576" customFormat="false" ht="15" hidden="false" customHeight="false" outlineLevel="0" collapsed="false">
      <c r="A1576" s="0" t="s">
        <v>121</v>
      </c>
      <c r="B1576" s="0" t="s">
        <v>947</v>
      </c>
      <c r="C1576" s="0" t="n">
        <v>60</v>
      </c>
      <c r="D1576" s="0" t="n">
        <v>10</v>
      </c>
      <c r="E1576" s="0" t="n">
        <v>2</v>
      </c>
      <c r="F1576" s="0" t="n">
        <v>54</v>
      </c>
      <c r="G1576" s="0" t="n">
        <v>100</v>
      </c>
      <c r="H1576" s="0" t="s">
        <v>145</v>
      </c>
      <c r="I1576" s="0" t="n">
        <v>100</v>
      </c>
      <c r="J1576" s="0" t="n">
        <f aca="false">F1576*E1576</f>
        <v>108</v>
      </c>
      <c r="K1576" s="0" t="str">
        <f aca="false">IF(G1576&lt;1000,"1-Low",IF(G1576&lt;5000,"2-Medium","3-Bulk"))</f>
        <v>1-Low</v>
      </c>
      <c r="L1576" s="0" t="str">
        <f aca="false">IF(H1576="TRUE","Out of stock","In stock")</f>
        <v>In stock</v>
      </c>
      <c r="M1576" s="0" t="str">
        <f aca="false">IF(D1576&lt;5,"1) Under 5%",IF(D1576&lt;10,"2) 5-9%",IF(D1576&lt;15,"3) 10-14%",IF(D1576&lt;25,"4) 15-24%","5) 25%+"))))</f>
        <v>3) 10-14%</v>
      </c>
      <c r="N1576" s="0" t="str">
        <f aca="false">IF(F1576&lt;50,"1) Under Rs 50",IF(F1576&lt;100,"2) Rs 50-99",IF(F1576&lt;200,"3) Rs 100-199",IF(F1576&lt;500,"4) Rs 200-499","5) Rs 500+"))))</f>
        <v>2) Rs 50-99</v>
      </c>
      <c r="O1576" s="0" t="n">
        <f aca="false">G1576*E1576/1000</f>
        <v>0.2</v>
      </c>
    </row>
    <row r="1577" customFormat="false" ht="15" hidden="false" customHeight="false" outlineLevel="0" collapsed="false">
      <c r="A1577" s="0" t="s">
        <v>121</v>
      </c>
      <c r="B1577" s="0" t="s">
        <v>766</v>
      </c>
      <c r="C1577" s="0" t="n">
        <v>235</v>
      </c>
      <c r="D1577" s="0" t="n">
        <v>20</v>
      </c>
      <c r="E1577" s="0" t="n">
        <v>5</v>
      </c>
      <c r="F1577" s="0" t="n">
        <v>188</v>
      </c>
      <c r="G1577" s="0" t="n">
        <v>325</v>
      </c>
      <c r="H1577" s="0" t="s">
        <v>145</v>
      </c>
      <c r="I1577" s="0" t="n">
        <v>325</v>
      </c>
      <c r="J1577" s="0" t="n">
        <f aca="false">F1577*E1577</f>
        <v>940</v>
      </c>
      <c r="K1577" s="0" t="str">
        <f aca="false">IF(G1577&lt;1000,"1-Low",IF(G1577&lt;5000,"2-Medium","3-Bulk"))</f>
        <v>1-Low</v>
      </c>
      <c r="L1577" s="0" t="str">
        <f aca="false">IF(H1577="TRUE","Out of stock","In stock")</f>
        <v>In stock</v>
      </c>
      <c r="M1577" s="0" t="str">
        <f aca="false">IF(D1577&lt;5,"1) Under 5%",IF(D1577&lt;10,"2) 5-9%",IF(D1577&lt;15,"3) 10-14%",IF(D1577&lt;25,"4) 15-24%","5) 25%+"))))</f>
        <v>4) 15-24%</v>
      </c>
      <c r="N1577" s="0" t="str">
        <f aca="false">IF(F1577&lt;50,"1) Under Rs 50",IF(F1577&lt;100,"2) Rs 50-99",IF(F1577&lt;200,"3) Rs 100-199",IF(F1577&lt;500,"4) Rs 200-499","5) Rs 500+"))))</f>
        <v>3) Rs 100-199</v>
      </c>
      <c r="O1577" s="0" t="n">
        <f aca="false">G1577*E1577/1000</f>
        <v>1.625</v>
      </c>
    </row>
    <row r="1578" customFormat="false" ht="15" hidden="false" customHeight="false" outlineLevel="0" collapsed="false">
      <c r="A1578" s="0" t="s">
        <v>121</v>
      </c>
      <c r="B1578" s="0" t="s">
        <v>948</v>
      </c>
      <c r="C1578" s="0" t="n">
        <v>55</v>
      </c>
      <c r="D1578" s="0" t="n">
        <v>9</v>
      </c>
      <c r="E1578" s="0" t="n">
        <v>4</v>
      </c>
      <c r="F1578" s="0" t="n">
        <v>50</v>
      </c>
      <c r="G1578" s="0" t="n">
        <v>200</v>
      </c>
      <c r="H1578" s="0" t="s">
        <v>145</v>
      </c>
      <c r="I1578" s="0" t="n">
        <v>200</v>
      </c>
      <c r="J1578" s="0" t="n">
        <f aca="false">F1578*E1578</f>
        <v>200</v>
      </c>
      <c r="K1578" s="0" t="str">
        <f aca="false">IF(G1578&lt;1000,"1-Low",IF(G1578&lt;5000,"2-Medium","3-Bulk"))</f>
        <v>1-Low</v>
      </c>
      <c r="L1578" s="0" t="str">
        <f aca="false">IF(H1578="TRUE","Out of stock","In stock")</f>
        <v>In stock</v>
      </c>
      <c r="M1578" s="0" t="str">
        <f aca="false">IF(D1578&lt;5,"1) Under 5%",IF(D1578&lt;10,"2) 5-9%",IF(D1578&lt;15,"3) 10-14%",IF(D1578&lt;25,"4) 15-24%","5) 25%+"))))</f>
        <v>2) 5-9%</v>
      </c>
      <c r="N1578" s="0" t="str">
        <f aca="false">IF(F1578&lt;50,"1) Under Rs 50",IF(F1578&lt;100,"2) Rs 50-99",IF(F1578&lt;200,"3) Rs 100-199",IF(F1578&lt;500,"4) Rs 200-499","5) Rs 500+"))))</f>
        <v>2) Rs 50-99</v>
      </c>
      <c r="O1578" s="0" t="n">
        <f aca="false">G1578*E1578/1000</f>
        <v>0.8</v>
      </c>
    </row>
    <row r="1579" customFormat="false" ht="15" hidden="false" customHeight="false" outlineLevel="0" collapsed="false">
      <c r="A1579" s="0" t="s">
        <v>121</v>
      </c>
      <c r="B1579" s="0" t="s">
        <v>949</v>
      </c>
      <c r="C1579" s="0" t="n">
        <v>330</v>
      </c>
      <c r="D1579" s="0" t="n">
        <v>10</v>
      </c>
      <c r="E1579" s="0" t="n">
        <v>6</v>
      </c>
      <c r="F1579" s="0" t="n">
        <v>294</v>
      </c>
      <c r="G1579" s="0" t="n">
        <v>680</v>
      </c>
      <c r="H1579" s="0" t="s">
        <v>145</v>
      </c>
      <c r="I1579" s="0" t="n">
        <v>680</v>
      </c>
      <c r="J1579" s="0" t="n">
        <f aca="false">F1579*E1579</f>
        <v>1764</v>
      </c>
      <c r="K1579" s="0" t="str">
        <f aca="false">IF(G1579&lt;1000,"1-Low",IF(G1579&lt;5000,"2-Medium","3-Bulk"))</f>
        <v>1-Low</v>
      </c>
      <c r="L1579" s="0" t="str">
        <f aca="false">IF(H1579="TRUE","Out of stock","In stock")</f>
        <v>In stock</v>
      </c>
      <c r="M1579" s="0" t="str">
        <f aca="false">IF(D1579&lt;5,"1) Under 5%",IF(D1579&lt;10,"2) 5-9%",IF(D1579&lt;15,"3) 10-14%",IF(D1579&lt;25,"4) 15-24%","5) 25%+"))))</f>
        <v>3) 10-14%</v>
      </c>
      <c r="N1579" s="0" t="str">
        <f aca="false">IF(F1579&lt;50,"1) Under Rs 50",IF(F1579&lt;100,"2) Rs 50-99",IF(F1579&lt;200,"3) Rs 100-199",IF(F1579&lt;500,"4) Rs 200-499","5) Rs 500+"))))</f>
        <v>4) Rs 200-499</v>
      </c>
      <c r="O1579" s="0" t="n">
        <f aca="false">G1579*E1579/1000</f>
        <v>4.08</v>
      </c>
    </row>
    <row r="1580" customFormat="false" ht="15" hidden="false" customHeight="false" outlineLevel="0" collapsed="false">
      <c r="A1580" s="0" t="s">
        <v>121</v>
      </c>
      <c r="B1580" s="0" t="s">
        <v>950</v>
      </c>
      <c r="C1580" s="0" t="n">
        <v>120</v>
      </c>
      <c r="D1580" s="0" t="n">
        <v>5</v>
      </c>
      <c r="E1580" s="0" t="n">
        <v>1</v>
      </c>
      <c r="F1580" s="0" t="n">
        <v>114</v>
      </c>
      <c r="G1580" s="0" t="n">
        <v>400</v>
      </c>
      <c r="H1580" s="0" t="s">
        <v>145</v>
      </c>
      <c r="I1580" s="0" t="n">
        <v>400</v>
      </c>
      <c r="J1580" s="0" t="n">
        <f aca="false">F1580*E1580</f>
        <v>114</v>
      </c>
      <c r="K1580" s="0" t="str">
        <f aca="false">IF(G1580&lt;1000,"1-Low",IF(G1580&lt;5000,"2-Medium","3-Bulk"))</f>
        <v>1-Low</v>
      </c>
      <c r="L1580" s="0" t="str">
        <f aca="false">IF(H1580="TRUE","Out of stock","In stock")</f>
        <v>In stock</v>
      </c>
      <c r="M1580" s="0" t="str">
        <f aca="false">IF(D1580&lt;5,"1) Under 5%",IF(D1580&lt;10,"2) 5-9%",IF(D1580&lt;15,"3) 10-14%",IF(D1580&lt;25,"4) 15-24%","5) 25%+"))))</f>
        <v>2) 5-9%</v>
      </c>
      <c r="N1580" s="0" t="str">
        <f aca="false">IF(F1580&lt;50,"1) Under Rs 50",IF(F1580&lt;100,"2) Rs 50-99",IF(F1580&lt;200,"3) Rs 100-199",IF(F1580&lt;500,"4) Rs 200-499","5) Rs 500+"))))</f>
        <v>3) Rs 100-199</v>
      </c>
      <c r="O1580" s="0" t="n">
        <f aca="false">G1580*E1580/1000</f>
        <v>0.4</v>
      </c>
    </row>
    <row r="1581" customFormat="false" ht="15" hidden="false" customHeight="false" outlineLevel="0" collapsed="false">
      <c r="A1581" s="0" t="s">
        <v>121</v>
      </c>
      <c r="B1581" s="0" t="s">
        <v>951</v>
      </c>
      <c r="C1581" s="0" t="n">
        <v>110</v>
      </c>
      <c r="D1581" s="0" t="n">
        <v>30</v>
      </c>
      <c r="E1581" s="0" t="n">
        <v>2</v>
      </c>
      <c r="F1581" s="0" t="n">
        <v>77</v>
      </c>
      <c r="G1581" s="0" t="n">
        <v>285</v>
      </c>
      <c r="H1581" s="0" t="s">
        <v>145</v>
      </c>
      <c r="I1581" s="0" t="n">
        <v>285</v>
      </c>
      <c r="J1581" s="0" t="n">
        <f aca="false">F1581*E1581</f>
        <v>154</v>
      </c>
      <c r="K1581" s="0" t="str">
        <f aca="false">IF(G1581&lt;1000,"1-Low",IF(G1581&lt;5000,"2-Medium","3-Bulk"))</f>
        <v>1-Low</v>
      </c>
      <c r="L1581" s="0" t="str">
        <f aca="false">IF(H1581="TRUE","Out of stock","In stock")</f>
        <v>In stock</v>
      </c>
      <c r="M1581" s="0" t="str">
        <f aca="false">IF(D1581&lt;5,"1) Under 5%",IF(D1581&lt;10,"2) 5-9%",IF(D1581&lt;15,"3) 10-14%",IF(D1581&lt;25,"4) 15-24%","5) 25%+"))))</f>
        <v>5) 25%+</v>
      </c>
      <c r="N1581" s="0" t="str">
        <f aca="false">IF(F1581&lt;50,"1) Under Rs 50",IF(F1581&lt;100,"2) Rs 50-99",IF(F1581&lt;200,"3) Rs 100-199",IF(F1581&lt;500,"4) Rs 200-499","5) Rs 500+"))))</f>
        <v>2) Rs 50-99</v>
      </c>
      <c r="O1581" s="0" t="n">
        <f aca="false">G1581*E1581/1000</f>
        <v>0.57</v>
      </c>
    </row>
    <row r="1582" customFormat="false" ht="15" hidden="false" customHeight="false" outlineLevel="0" collapsed="false">
      <c r="A1582" s="0" t="s">
        <v>121</v>
      </c>
      <c r="B1582" s="0" t="s">
        <v>952</v>
      </c>
      <c r="C1582" s="0" t="n">
        <v>275</v>
      </c>
      <c r="D1582" s="0" t="n">
        <v>14</v>
      </c>
      <c r="E1582" s="0" t="n">
        <v>5</v>
      </c>
      <c r="F1582" s="0" t="n">
        <v>234</v>
      </c>
      <c r="G1582" s="0" t="n">
        <v>200</v>
      </c>
      <c r="H1582" s="0" t="s">
        <v>145</v>
      </c>
      <c r="I1582" s="0" t="n">
        <v>200</v>
      </c>
      <c r="J1582" s="0" t="n">
        <f aca="false">F1582*E1582</f>
        <v>1170</v>
      </c>
      <c r="K1582" s="0" t="str">
        <f aca="false">IF(G1582&lt;1000,"1-Low",IF(G1582&lt;5000,"2-Medium","3-Bulk"))</f>
        <v>1-Low</v>
      </c>
      <c r="L1582" s="0" t="str">
        <f aca="false">IF(H1582="TRUE","Out of stock","In stock")</f>
        <v>In stock</v>
      </c>
      <c r="M1582" s="0" t="str">
        <f aca="false">IF(D1582&lt;5,"1) Under 5%",IF(D1582&lt;10,"2) 5-9%",IF(D1582&lt;15,"3) 10-14%",IF(D1582&lt;25,"4) 15-24%","5) 25%+"))))</f>
        <v>3) 10-14%</v>
      </c>
      <c r="N1582" s="0" t="str">
        <f aca="false">IF(F1582&lt;50,"1) Under Rs 50",IF(F1582&lt;100,"2) Rs 50-99",IF(F1582&lt;200,"3) Rs 100-199",IF(F1582&lt;500,"4) Rs 200-499","5) Rs 500+"))))</f>
        <v>4) Rs 200-499</v>
      </c>
      <c r="O1582" s="0" t="n">
        <f aca="false">G1582*E1582/1000</f>
        <v>1</v>
      </c>
    </row>
    <row r="1583" customFormat="false" ht="15" hidden="false" customHeight="false" outlineLevel="0" collapsed="false">
      <c r="A1583" s="0" t="s">
        <v>121</v>
      </c>
      <c r="B1583" s="0" t="s">
        <v>953</v>
      </c>
      <c r="C1583" s="0" t="n">
        <v>55</v>
      </c>
      <c r="D1583" s="0" t="n">
        <v>0</v>
      </c>
      <c r="E1583" s="0" t="n">
        <v>6</v>
      </c>
      <c r="F1583" s="0" t="n">
        <v>55</v>
      </c>
      <c r="G1583" s="0" t="n">
        <v>55</v>
      </c>
      <c r="H1583" s="0" t="s">
        <v>145</v>
      </c>
      <c r="I1583" s="0" t="n">
        <v>55</v>
      </c>
      <c r="J1583" s="0" t="n">
        <f aca="false">F1583*E1583</f>
        <v>330</v>
      </c>
      <c r="K1583" s="0" t="str">
        <f aca="false">IF(G1583&lt;1000,"1-Low",IF(G1583&lt;5000,"2-Medium","3-Bulk"))</f>
        <v>1-Low</v>
      </c>
      <c r="L1583" s="0" t="str">
        <f aca="false">IF(H1583="TRUE","Out of stock","In stock")</f>
        <v>In stock</v>
      </c>
      <c r="M1583" s="0" t="str">
        <f aca="false">IF(D1583&lt;5,"1) Under 5%",IF(D1583&lt;10,"2) 5-9%",IF(D1583&lt;15,"3) 10-14%",IF(D1583&lt;25,"4) 15-24%","5) 25%+"))))</f>
        <v>1) Under 5%</v>
      </c>
      <c r="N1583" s="0" t="str">
        <f aca="false">IF(F1583&lt;50,"1) Under Rs 50",IF(F1583&lt;100,"2) Rs 50-99",IF(F1583&lt;200,"3) Rs 100-199",IF(F1583&lt;500,"4) Rs 200-499","5) Rs 500+"))))</f>
        <v>2) Rs 50-99</v>
      </c>
      <c r="O1583" s="0" t="n">
        <f aca="false">G1583*E1583/1000</f>
        <v>0.33</v>
      </c>
    </row>
    <row r="1584" customFormat="false" ht="15" hidden="false" customHeight="false" outlineLevel="0" collapsed="false">
      <c r="A1584" s="0" t="s">
        <v>121</v>
      </c>
      <c r="B1584" s="0" t="s">
        <v>502</v>
      </c>
      <c r="C1584" s="0" t="n">
        <v>80</v>
      </c>
      <c r="D1584" s="0" t="n">
        <v>0</v>
      </c>
      <c r="E1584" s="0" t="n">
        <v>1</v>
      </c>
      <c r="F1584" s="0" t="n">
        <v>80</v>
      </c>
      <c r="G1584" s="0" t="n">
        <v>280</v>
      </c>
      <c r="H1584" s="0" t="s">
        <v>145</v>
      </c>
      <c r="I1584" s="0" t="n">
        <v>280</v>
      </c>
      <c r="J1584" s="0" t="n">
        <f aca="false">F1584*E1584</f>
        <v>80</v>
      </c>
      <c r="K1584" s="0" t="str">
        <f aca="false">IF(G1584&lt;1000,"1-Low",IF(G1584&lt;5000,"2-Medium","3-Bulk"))</f>
        <v>1-Low</v>
      </c>
      <c r="L1584" s="0" t="str">
        <f aca="false">IF(H1584="TRUE","Out of stock","In stock")</f>
        <v>In stock</v>
      </c>
      <c r="M1584" s="0" t="str">
        <f aca="false">IF(D1584&lt;5,"1) Under 5%",IF(D1584&lt;10,"2) 5-9%",IF(D1584&lt;15,"3) 10-14%",IF(D1584&lt;25,"4) 15-24%","5) 25%+"))))</f>
        <v>1) Under 5%</v>
      </c>
      <c r="N1584" s="0" t="str">
        <f aca="false">IF(F1584&lt;50,"1) Under Rs 50",IF(F1584&lt;100,"2) Rs 50-99",IF(F1584&lt;200,"3) Rs 100-199",IF(F1584&lt;500,"4) Rs 200-499","5) Rs 500+"))))</f>
        <v>2) Rs 50-99</v>
      </c>
      <c r="O1584" s="0" t="n">
        <f aca="false">G1584*E1584/1000</f>
        <v>0.28</v>
      </c>
    </row>
    <row r="1585" customFormat="false" ht="15" hidden="false" customHeight="false" outlineLevel="0" collapsed="false">
      <c r="A1585" s="0" t="s">
        <v>121</v>
      </c>
      <c r="B1585" s="0" t="s">
        <v>954</v>
      </c>
      <c r="C1585" s="0" t="n">
        <v>225</v>
      </c>
      <c r="D1585" s="0" t="n">
        <v>15</v>
      </c>
      <c r="E1585" s="0" t="n">
        <v>5</v>
      </c>
      <c r="F1585" s="0" t="n">
        <v>191</v>
      </c>
      <c r="G1585" s="0" t="n">
        <v>190</v>
      </c>
      <c r="H1585" s="0" t="s">
        <v>145</v>
      </c>
      <c r="I1585" s="0" t="n">
        <v>190</v>
      </c>
      <c r="J1585" s="0" t="n">
        <f aca="false">F1585*E1585</f>
        <v>955</v>
      </c>
      <c r="K1585" s="0" t="str">
        <f aca="false">IF(G1585&lt;1000,"1-Low",IF(G1585&lt;5000,"2-Medium","3-Bulk"))</f>
        <v>1-Low</v>
      </c>
      <c r="L1585" s="0" t="str">
        <f aca="false">IF(H1585="TRUE","Out of stock","In stock")</f>
        <v>In stock</v>
      </c>
      <c r="M1585" s="0" t="str">
        <f aca="false">IF(D1585&lt;5,"1) Under 5%",IF(D1585&lt;10,"2) 5-9%",IF(D1585&lt;15,"3) 10-14%",IF(D1585&lt;25,"4) 15-24%","5) 25%+"))))</f>
        <v>4) 15-24%</v>
      </c>
      <c r="N1585" s="0" t="str">
        <f aca="false">IF(F1585&lt;50,"1) Under Rs 50",IF(F1585&lt;100,"2) Rs 50-99",IF(F1585&lt;200,"3) Rs 100-199",IF(F1585&lt;500,"4) Rs 200-499","5) Rs 500+"))))</f>
        <v>3) Rs 100-199</v>
      </c>
      <c r="O1585" s="0" t="n">
        <f aca="false">G1585*E1585/1000</f>
        <v>0.95</v>
      </c>
    </row>
    <row r="1586" customFormat="false" ht="15" hidden="false" customHeight="false" outlineLevel="0" collapsed="false">
      <c r="A1586" s="0" t="s">
        <v>121</v>
      </c>
      <c r="B1586" s="0" t="s">
        <v>955</v>
      </c>
      <c r="C1586" s="0" t="n">
        <v>65</v>
      </c>
      <c r="D1586" s="0" t="n">
        <v>6</v>
      </c>
      <c r="E1586" s="0" t="n">
        <v>6</v>
      </c>
      <c r="F1586" s="0" t="n">
        <v>61</v>
      </c>
      <c r="G1586" s="0" t="n">
        <v>200</v>
      </c>
      <c r="H1586" s="0" t="s">
        <v>145</v>
      </c>
      <c r="I1586" s="0" t="n">
        <v>200</v>
      </c>
      <c r="J1586" s="0" t="n">
        <f aca="false">F1586*E1586</f>
        <v>366</v>
      </c>
      <c r="K1586" s="0" t="str">
        <f aca="false">IF(G1586&lt;1000,"1-Low",IF(G1586&lt;5000,"2-Medium","3-Bulk"))</f>
        <v>1-Low</v>
      </c>
      <c r="L1586" s="0" t="str">
        <f aca="false">IF(H1586="TRUE","Out of stock","In stock")</f>
        <v>In stock</v>
      </c>
      <c r="M1586" s="0" t="str">
        <f aca="false">IF(D1586&lt;5,"1) Under 5%",IF(D1586&lt;10,"2) 5-9%",IF(D1586&lt;15,"3) 10-14%",IF(D1586&lt;25,"4) 15-24%","5) 25%+"))))</f>
        <v>2) 5-9%</v>
      </c>
      <c r="N1586" s="0" t="str">
        <f aca="false">IF(F1586&lt;50,"1) Under Rs 50",IF(F1586&lt;100,"2) Rs 50-99",IF(F1586&lt;200,"3) Rs 100-199",IF(F1586&lt;500,"4) Rs 200-499","5) Rs 500+"))))</f>
        <v>2) Rs 50-99</v>
      </c>
      <c r="O1586" s="0" t="n">
        <f aca="false">G1586*E1586/1000</f>
        <v>1.2</v>
      </c>
    </row>
    <row r="1587" customFormat="false" ht="15" hidden="false" customHeight="false" outlineLevel="0" collapsed="false">
      <c r="A1587" s="0" t="s">
        <v>121</v>
      </c>
      <c r="B1587" s="0" t="s">
        <v>956</v>
      </c>
      <c r="C1587" s="0" t="n">
        <v>42</v>
      </c>
      <c r="D1587" s="0" t="n">
        <v>0</v>
      </c>
      <c r="E1587" s="0" t="n">
        <v>2</v>
      </c>
      <c r="F1587" s="0" t="n">
        <v>42</v>
      </c>
      <c r="G1587" s="0" t="n">
        <v>400</v>
      </c>
      <c r="H1587" s="0" t="s">
        <v>145</v>
      </c>
      <c r="I1587" s="0" t="n">
        <v>400</v>
      </c>
      <c r="J1587" s="0" t="n">
        <f aca="false">F1587*E1587</f>
        <v>84</v>
      </c>
      <c r="K1587" s="0" t="str">
        <f aca="false">IF(G1587&lt;1000,"1-Low",IF(G1587&lt;5000,"2-Medium","3-Bulk"))</f>
        <v>1-Low</v>
      </c>
      <c r="L1587" s="0" t="str">
        <f aca="false">IF(H1587="TRUE","Out of stock","In stock")</f>
        <v>In stock</v>
      </c>
      <c r="M1587" s="0" t="str">
        <f aca="false">IF(D1587&lt;5,"1) Under 5%",IF(D1587&lt;10,"2) 5-9%",IF(D1587&lt;15,"3) 10-14%",IF(D1587&lt;25,"4) 15-24%","5) 25%+"))))</f>
        <v>1) Under 5%</v>
      </c>
      <c r="N1587" s="0" t="str">
        <f aca="false">IF(F1587&lt;50,"1) Under Rs 50",IF(F1587&lt;100,"2) Rs 50-99",IF(F1587&lt;200,"3) Rs 100-199",IF(F1587&lt;500,"4) Rs 200-499","5) Rs 500+"))))</f>
        <v>1) Under Rs 50</v>
      </c>
      <c r="O1587" s="0" t="n">
        <f aca="false">G1587*E1587/1000</f>
        <v>0.8</v>
      </c>
    </row>
    <row r="1588" customFormat="false" ht="15" hidden="false" customHeight="false" outlineLevel="0" collapsed="false">
      <c r="A1588" s="0" t="s">
        <v>121</v>
      </c>
      <c r="B1588" s="0" t="s">
        <v>957</v>
      </c>
      <c r="C1588" s="0" t="n">
        <v>275</v>
      </c>
      <c r="D1588" s="0" t="n">
        <v>14</v>
      </c>
      <c r="E1588" s="0" t="n">
        <v>4</v>
      </c>
      <c r="F1588" s="0" t="n">
        <v>234</v>
      </c>
      <c r="G1588" s="0" t="n">
        <v>200</v>
      </c>
      <c r="H1588" s="0" t="s">
        <v>145</v>
      </c>
      <c r="I1588" s="0" t="n">
        <v>200</v>
      </c>
      <c r="J1588" s="0" t="n">
        <f aca="false">F1588*E1588</f>
        <v>936</v>
      </c>
      <c r="K1588" s="0" t="str">
        <f aca="false">IF(G1588&lt;1000,"1-Low",IF(G1588&lt;5000,"2-Medium","3-Bulk"))</f>
        <v>1-Low</v>
      </c>
      <c r="L1588" s="0" t="str">
        <f aca="false">IF(H1588="TRUE","Out of stock","In stock")</f>
        <v>In stock</v>
      </c>
      <c r="M1588" s="0" t="str">
        <f aca="false">IF(D1588&lt;5,"1) Under 5%",IF(D1588&lt;10,"2) 5-9%",IF(D1588&lt;15,"3) 10-14%",IF(D1588&lt;25,"4) 15-24%","5) 25%+"))))</f>
        <v>3) 10-14%</v>
      </c>
      <c r="N1588" s="0" t="str">
        <f aca="false">IF(F1588&lt;50,"1) Under Rs 50",IF(F1588&lt;100,"2) Rs 50-99",IF(F1588&lt;200,"3) Rs 100-199",IF(F1588&lt;500,"4) Rs 200-499","5) Rs 500+"))))</f>
        <v>4) Rs 200-499</v>
      </c>
      <c r="O1588" s="0" t="n">
        <f aca="false">G1588*E1588/1000</f>
        <v>0.8</v>
      </c>
    </row>
    <row r="1589" customFormat="false" ht="15" hidden="false" customHeight="false" outlineLevel="0" collapsed="false">
      <c r="A1589" s="0" t="s">
        <v>121</v>
      </c>
      <c r="B1589" s="0" t="s">
        <v>770</v>
      </c>
      <c r="C1589" s="0" t="n">
        <v>99</v>
      </c>
      <c r="D1589" s="0" t="n">
        <v>5</v>
      </c>
      <c r="E1589" s="0" t="n">
        <v>6</v>
      </c>
      <c r="F1589" s="0" t="n">
        <v>94</v>
      </c>
      <c r="G1589" s="0" t="n">
        <v>200</v>
      </c>
      <c r="H1589" s="0" t="s">
        <v>145</v>
      </c>
      <c r="I1589" s="0" t="n">
        <v>200</v>
      </c>
      <c r="J1589" s="0" t="n">
        <f aca="false">F1589*E1589</f>
        <v>564</v>
      </c>
      <c r="K1589" s="0" t="str">
        <f aca="false">IF(G1589&lt;1000,"1-Low",IF(G1589&lt;5000,"2-Medium","3-Bulk"))</f>
        <v>1-Low</v>
      </c>
      <c r="L1589" s="0" t="str">
        <f aca="false">IF(H1589="TRUE","Out of stock","In stock")</f>
        <v>In stock</v>
      </c>
      <c r="M1589" s="0" t="str">
        <f aca="false">IF(D1589&lt;5,"1) Under 5%",IF(D1589&lt;10,"2) 5-9%",IF(D1589&lt;15,"3) 10-14%",IF(D1589&lt;25,"4) 15-24%","5) 25%+"))))</f>
        <v>2) 5-9%</v>
      </c>
      <c r="N1589" s="0" t="str">
        <f aca="false">IF(F1589&lt;50,"1) Under Rs 50",IF(F1589&lt;100,"2) Rs 50-99",IF(F1589&lt;200,"3) Rs 100-199",IF(F1589&lt;500,"4) Rs 200-499","5) Rs 500+"))))</f>
        <v>2) Rs 50-99</v>
      </c>
      <c r="O1589" s="0" t="n">
        <f aca="false">G1589*E1589/1000</f>
        <v>1.2</v>
      </c>
    </row>
    <row r="1590" customFormat="false" ht="15" hidden="false" customHeight="false" outlineLevel="0" collapsed="false">
      <c r="A1590" s="0" t="s">
        <v>121</v>
      </c>
      <c r="B1590" s="0" t="s">
        <v>958</v>
      </c>
      <c r="C1590" s="0" t="n">
        <v>135</v>
      </c>
      <c r="D1590" s="0" t="n">
        <v>9</v>
      </c>
      <c r="E1590" s="0" t="n">
        <v>2</v>
      </c>
      <c r="F1590" s="0" t="n">
        <v>122</v>
      </c>
      <c r="G1590" s="0" t="n">
        <v>300</v>
      </c>
      <c r="H1590" s="0" t="s">
        <v>145</v>
      </c>
      <c r="I1590" s="0" t="n">
        <v>300</v>
      </c>
      <c r="J1590" s="0" t="n">
        <f aca="false">F1590*E1590</f>
        <v>244</v>
      </c>
      <c r="K1590" s="0" t="str">
        <f aca="false">IF(G1590&lt;1000,"1-Low",IF(G1590&lt;5000,"2-Medium","3-Bulk"))</f>
        <v>1-Low</v>
      </c>
      <c r="L1590" s="0" t="str">
        <f aca="false">IF(H1590="TRUE","Out of stock","In stock")</f>
        <v>In stock</v>
      </c>
      <c r="M1590" s="0" t="str">
        <f aca="false">IF(D1590&lt;5,"1) Under 5%",IF(D1590&lt;10,"2) 5-9%",IF(D1590&lt;15,"3) 10-14%",IF(D1590&lt;25,"4) 15-24%","5) 25%+"))))</f>
        <v>2) 5-9%</v>
      </c>
      <c r="N1590" s="0" t="str">
        <f aca="false">IF(F1590&lt;50,"1) Under Rs 50",IF(F1590&lt;100,"2) Rs 50-99",IF(F1590&lt;200,"3) Rs 100-199",IF(F1590&lt;500,"4) Rs 200-499","5) Rs 500+"))))</f>
        <v>3) Rs 100-199</v>
      </c>
      <c r="O1590" s="0" t="n">
        <f aca="false">G1590*E1590/1000</f>
        <v>0.6</v>
      </c>
    </row>
    <row r="1591" customFormat="false" ht="15" hidden="false" customHeight="false" outlineLevel="0" collapsed="false">
      <c r="A1591" s="0" t="s">
        <v>121</v>
      </c>
      <c r="B1591" s="0" t="s">
        <v>959</v>
      </c>
      <c r="C1591" s="0" t="n">
        <v>340</v>
      </c>
      <c r="D1591" s="0" t="n">
        <v>0</v>
      </c>
      <c r="E1591" s="0" t="n">
        <v>2</v>
      </c>
      <c r="F1591" s="0" t="n">
        <v>340</v>
      </c>
      <c r="G1591" s="0" t="n">
        <v>400</v>
      </c>
      <c r="H1591" s="0" t="s">
        <v>145</v>
      </c>
      <c r="I1591" s="0" t="n">
        <v>400</v>
      </c>
      <c r="J1591" s="0" t="n">
        <f aca="false">F1591*E1591</f>
        <v>680</v>
      </c>
      <c r="K1591" s="0" t="str">
        <f aca="false">IF(G1591&lt;1000,"1-Low",IF(G1591&lt;5000,"2-Medium","3-Bulk"))</f>
        <v>1-Low</v>
      </c>
      <c r="L1591" s="0" t="str">
        <f aca="false">IF(H1591="TRUE","Out of stock","In stock")</f>
        <v>In stock</v>
      </c>
      <c r="M1591" s="0" t="str">
        <f aca="false">IF(D1591&lt;5,"1) Under 5%",IF(D1591&lt;10,"2) 5-9%",IF(D1591&lt;15,"3) 10-14%",IF(D1591&lt;25,"4) 15-24%","5) 25%+"))))</f>
        <v>1) Under 5%</v>
      </c>
      <c r="N1591" s="0" t="str">
        <f aca="false">IF(F1591&lt;50,"1) Under Rs 50",IF(F1591&lt;100,"2) Rs 50-99",IF(F1591&lt;200,"3) Rs 100-199",IF(F1591&lt;500,"4) Rs 200-499","5) Rs 500+"))))</f>
        <v>4) Rs 200-499</v>
      </c>
      <c r="O1591" s="0" t="n">
        <f aca="false">G1591*E1591/1000</f>
        <v>0.8</v>
      </c>
    </row>
    <row r="1592" customFormat="false" ht="15" hidden="false" customHeight="false" outlineLevel="0" collapsed="false">
      <c r="A1592" s="0" t="s">
        <v>121</v>
      </c>
      <c r="B1592" s="0" t="s">
        <v>960</v>
      </c>
      <c r="C1592" s="0" t="n">
        <v>190</v>
      </c>
      <c r="D1592" s="0" t="n">
        <v>10</v>
      </c>
      <c r="E1592" s="0" t="n">
        <v>6</v>
      </c>
      <c r="F1592" s="0" t="n">
        <v>171</v>
      </c>
      <c r="G1592" s="0" t="n">
        <v>375</v>
      </c>
      <c r="H1592" s="0" t="s">
        <v>145</v>
      </c>
      <c r="I1592" s="0" t="n">
        <v>375</v>
      </c>
      <c r="J1592" s="0" t="n">
        <f aca="false">F1592*E1592</f>
        <v>1026</v>
      </c>
      <c r="K1592" s="0" t="str">
        <f aca="false">IF(G1592&lt;1000,"1-Low",IF(G1592&lt;5000,"2-Medium","3-Bulk"))</f>
        <v>1-Low</v>
      </c>
      <c r="L1592" s="0" t="str">
        <f aca="false">IF(H1592="TRUE","Out of stock","In stock")</f>
        <v>In stock</v>
      </c>
      <c r="M1592" s="0" t="str">
        <f aca="false">IF(D1592&lt;5,"1) Under 5%",IF(D1592&lt;10,"2) 5-9%",IF(D1592&lt;15,"3) 10-14%",IF(D1592&lt;25,"4) 15-24%","5) 25%+"))))</f>
        <v>3) 10-14%</v>
      </c>
      <c r="N1592" s="0" t="str">
        <f aca="false">IF(F1592&lt;50,"1) Under Rs 50",IF(F1592&lt;100,"2) Rs 50-99",IF(F1592&lt;200,"3) Rs 100-199",IF(F1592&lt;500,"4) Rs 200-499","5) Rs 500+"))))</f>
        <v>3) Rs 100-199</v>
      </c>
      <c r="O1592" s="0" t="n">
        <f aca="false">G1592*E1592/1000</f>
        <v>2.25</v>
      </c>
    </row>
    <row r="1593" customFormat="false" ht="15" hidden="false" customHeight="false" outlineLevel="0" collapsed="false">
      <c r="A1593" s="0" t="s">
        <v>121</v>
      </c>
      <c r="B1593" s="0" t="s">
        <v>961</v>
      </c>
      <c r="C1593" s="0" t="n">
        <v>104</v>
      </c>
      <c r="D1593" s="0" t="n">
        <v>20</v>
      </c>
      <c r="E1593" s="0" t="n">
        <v>3</v>
      </c>
      <c r="F1593" s="0" t="n">
        <v>83</v>
      </c>
      <c r="G1593" s="0" t="n">
        <v>500</v>
      </c>
      <c r="H1593" s="0" t="s">
        <v>145</v>
      </c>
      <c r="I1593" s="0" t="n">
        <v>500</v>
      </c>
      <c r="J1593" s="0" t="n">
        <f aca="false">F1593*E1593</f>
        <v>249</v>
      </c>
      <c r="K1593" s="0" t="str">
        <f aca="false">IF(G1593&lt;1000,"1-Low",IF(G1593&lt;5000,"2-Medium","3-Bulk"))</f>
        <v>1-Low</v>
      </c>
      <c r="L1593" s="0" t="str">
        <f aca="false">IF(H1593="TRUE","Out of stock","In stock")</f>
        <v>In stock</v>
      </c>
      <c r="M1593" s="0" t="str">
        <f aca="false">IF(D1593&lt;5,"1) Under 5%",IF(D1593&lt;10,"2) 5-9%",IF(D1593&lt;15,"3) 10-14%",IF(D1593&lt;25,"4) 15-24%","5) 25%+"))))</f>
        <v>4) 15-24%</v>
      </c>
      <c r="N1593" s="0" t="str">
        <f aca="false">IF(F1593&lt;50,"1) Under Rs 50",IF(F1593&lt;100,"2) Rs 50-99",IF(F1593&lt;200,"3) Rs 100-199",IF(F1593&lt;500,"4) Rs 200-499","5) Rs 500+"))))</f>
        <v>2) Rs 50-99</v>
      </c>
      <c r="O1593" s="0" t="n">
        <f aca="false">G1593*E1593/1000</f>
        <v>1.5</v>
      </c>
    </row>
    <row r="1594" customFormat="false" ht="15" hidden="false" customHeight="false" outlineLevel="0" collapsed="false">
      <c r="A1594" s="0" t="s">
        <v>121</v>
      </c>
      <c r="B1594" s="0" t="s">
        <v>507</v>
      </c>
      <c r="C1594" s="0" t="n">
        <v>250</v>
      </c>
      <c r="D1594" s="0" t="n">
        <v>40</v>
      </c>
      <c r="E1594" s="0" t="n">
        <v>6</v>
      </c>
      <c r="F1594" s="0" t="n">
        <v>149</v>
      </c>
      <c r="G1594" s="0" t="n">
        <v>500</v>
      </c>
      <c r="H1594" s="0" t="s">
        <v>145</v>
      </c>
      <c r="I1594" s="0" t="n">
        <v>500</v>
      </c>
      <c r="J1594" s="0" t="n">
        <f aca="false">F1594*E1594</f>
        <v>894</v>
      </c>
      <c r="K1594" s="0" t="str">
        <f aca="false">IF(G1594&lt;1000,"1-Low",IF(G1594&lt;5000,"2-Medium","3-Bulk"))</f>
        <v>1-Low</v>
      </c>
      <c r="L1594" s="0" t="str">
        <f aca="false">IF(H1594="TRUE","Out of stock","In stock")</f>
        <v>In stock</v>
      </c>
      <c r="M1594" s="0" t="str">
        <f aca="false">IF(D1594&lt;5,"1) Under 5%",IF(D1594&lt;10,"2) 5-9%",IF(D1594&lt;15,"3) 10-14%",IF(D1594&lt;25,"4) 15-24%","5) 25%+"))))</f>
        <v>5) 25%+</v>
      </c>
      <c r="N1594" s="0" t="str">
        <f aca="false">IF(F1594&lt;50,"1) Under Rs 50",IF(F1594&lt;100,"2) Rs 50-99",IF(F1594&lt;200,"3) Rs 100-199",IF(F1594&lt;500,"4) Rs 200-499","5) Rs 500+"))))</f>
        <v>3) Rs 100-199</v>
      </c>
      <c r="O1594" s="0" t="n">
        <f aca="false">G1594*E1594/1000</f>
        <v>3</v>
      </c>
    </row>
    <row r="1595" customFormat="false" ht="15" hidden="false" customHeight="false" outlineLevel="0" collapsed="false">
      <c r="A1595" s="0" t="s">
        <v>121</v>
      </c>
      <c r="B1595" s="0" t="s">
        <v>768</v>
      </c>
      <c r="C1595" s="0" t="n">
        <v>169</v>
      </c>
      <c r="D1595" s="0" t="n">
        <v>7</v>
      </c>
      <c r="E1595" s="0" t="n">
        <v>1</v>
      </c>
      <c r="F1595" s="0" t="n">
        <v>156</v>
      </c>
      <c r="G1595" s="0" t="n">
        <v>400</v>
      </c>
      <c r="H1595" s="0" t="s">
        <v>145</v>
      </c>
      <c r="I1595" s="0" t="n">
        <v>400</v>
      </c>
      <c r="J1595" s="0" t="n">
        <f aca="false">F1595*E1595</f>
        <v>156</v>
      </c>
      <c r="K1595" s="0" t="str">
        <f aca="false">IF(G1595&lt;1000,"1-Low",IF(G1595&lt;5000,"2-Medium","3-Bulk"))</f>
        <v>1-Low</v>
      </c>
      <c r="L1595" s="0" t="str">
        <f aca="false">IF(H1595="TRUE","Out of stock","In stock")</f>
        <v>In stock</v>
      </c>
      <c r="M1595" s="0" t="str">
        <f aca="false">IF(D1595&lt;5,"1) Under 5%",IF(D1595&lt;10,"2) 5-9%",IF(D1595&lt;15,"3) 10-14%",IF(D1595&lt;25,"4) 15-24%","5) 25%+"))))</f>
        <v>2) 5-9%</v>
      </c>
      <c r="N1595" s="0" t="str">
        <f aca="false">IF(F1595&lt;50,"1) Under Rs 50",IF(F1595&lt;100,"2) Rs 50-99",IF(F1595&lt;200,"3) Rs 100-199",IF(F1595&lt;500,"4) Rs 200-499","5) Rs 500+"))))</f>
        <v>3) Rs 100-199</v>
      </c>
      <c r="O1595" s="0" t="n">
        <f aca="false">G1595*E1595/1000</f>
        <v>0.4</v>
      </c>
    </row>
    <row r="1596" customFormat="false" ht="15" hidden="false" customHeight="false" outlineLevel="0" collapsed="false">
      <c r="A1596" s="0" t="s">
        <v>121</v>
      </c>
      <c r="B1596" s="0" t="s">
        <v>962</v>
      </c>
      <c r="C1596" s="0" t="n">
        <v>60</v>
      </c>
      <c r="D1596" s="0" t="n">
        <v>0</v>
      </c>
      <c r="E1596" s="0" t="n">
        <v>4</v>
      </c>
      <c r="F1596" s="0" t="n">
        <v>60</v>
      </c>
      <c r="G1596" s="0" t="n">
        <v>50</v>
      </c>
      <c r="H1596" s="0" t="s">
        <v>145</v>
      </c>
      <c r="I1596" s="0" t="n">
        <v>50</v>
      </c>
      <c r="J1596" s="0" t="n">
        <f aca="false">F1596*E1596</f>
        <v>240</v>
      </c>
      <c r="K1596" s="0" t="str">
        <f aca="false">IF(G1596&lt;1000,"1-Low",IF(G1596&lt;5000,"2-Medium","3-Bulk"))</f>
        <v>1-Low</v>
      </c>
      <c r="L1596" s="0" t="str">
        <f aca="false">IF(H1596="TRUE","Out of stock","In stock")</f>
        <v>In stock</v>
      </c>
      <c r="M1596" s="0" t="str">
        <f aca="false">IF(D1596&lt;5,"1) Under 5%",IF(D1596&lt;10,"2) 5-9%",IF(D1596&lt;15,"3) 10-14%",IF(D1596&lt;25,"4) 15-24%","5) 25%+"))))</f>
        <v>1) Under 5%</v>
      </c>
      <c r="N1596" s="0" t="str">
        <f aca="false">IF(F1596&lt;50,"1) Under Rs 50",IF(F1596&lt;100,"2) Rs 50-99",IF(F1596&lt;200,"3) Rs 100-199",IF(F1596&lt;500,"4) Rs 200-499","5) Rs 500+"))))</f>
        <v>2) Rs 50-99</v>
      </c>
      <c r="O1596" s="0" t="n">
        <f aca="false">G1596*E1596/1000</f>
        <v>0.2</v>
      </c>
    </row>
    <row r="1597" customFormat="false" ht="15" hidden="false" customHeight="false" outlineLevel="0" collapsed="false">
      <c r="A1597" s="0" t="s">
        <v>121</v>
      </c>
      <c r="B1597" s="0" t="s">
        <v>963</v>
      </c>
      <c r="C1597" s="0" t="n">
        <v>325</v>
      </c>
      <c r="D1597" s="0" t="n">
        <v>0</v>
      </c>
      <c r="E1597" s="0" t="n">
        <v>6</v>
      </c>
      <c r="F1597" s="0" t="n">
        <v>325</v>
      </c>
      <c r="G1597" s="0" t="n">
        <v>500</v>
      </c>
      <c r="H1597" s="0" t="s">
        <v>145</v>
      </c>
      <c r="I1597" s="0" t="n">
        <v>500</v>
      </c>
      <c r="J1597" s="0" t="n">
        <f aca="false">F1597*E1597</f>
        <v>1950</v>
      </c>
      <c r="K1597" s="0" t="str">
        <f aca="false">IF(G1597&lt;1000,"1-Low",IF(G1597&lt;5000,"2-Medium","3-Bulk"))</f>
        <v>1-Low</v>
      </c>
      <c r="L1597" s="0" t="str">
        <f aca="false">IF(H1597="TRUE","Out of stock","In stock")</f>
        <v>In stock</v>
      </c>
      <c r="M1597" s="0" t="str">
        <f aca="false">IF(D1597&lt;5,"1) Under 5%",IF(D1597&lt;10,"2) 5-9%",IF(D1597&lt;15,"3) 10-14%",IF(D1597&lt;25,"4) 15-24%","5) 25%+"))))</f>
        <v>1) Under 5%</v>
      </c>
      <c r="N1597" s="0" t="str">
        <f aca="false">IF(F1597&lt;50,"1) Under Rs 50",IF(F1597&lt;100,"2) Rs 50-99",IF(F1597&lt;200,"3) Rs 100-199",IF(F1597&lt;500,"4) Rs 200-499","5) Rs 500+"))))</f>
        <v>4) Rs 200-499</v>
      </c>
      <c r="O1597" s="0" t="n">
        <f aca="false">G1597*E1597/1000</f>
        <v>3</v>
      </c>
    </row>
    <row r="1598" customFormat="false" ht="15" hidden="false" customHeight="false" outlineLevel="0" collapsed="false">
      <c r="A1598" s="0" t="s">
        <v>121</v>
      </c>
      <c r="B1598" s="0" t="s">
        <v>964</v>
      </c>
      <c r="C1598" s="0" t="n">
        <v>99</v>
      </c>
      <c r="D1598" s="0" t="n">
        <v>0</v>
      </c>
      <c r="E1598" s="0" t="n">
        <v>3</v>
      </c>
      <c r="F1598" s="0" t="n">
        <v>99</v>
      </c>
      <c r="G1598" s="0" t="n">
        <v>400</v>
      </c>
      <c r="H1598" s="0" t="s">
        <v>145</v>
      </c>
      <c r="I1598" s="0" t="n">
        <v>400</v>
      </c>
      <c r="J1598" s="0" t="n">
        <f aca="false">F1598*E1598</f>
        <v>297</v>
      </c>
      <c r="K1598" s="0" t="str">
        <f aca="false">IF(G1598&lt;1000,"1-Low",IF(G1598&lt;5000,"2-Medium","3-Bulk"))</f>
        <v>1-Low</v>
      </c>
      <c r="L1598" s="0" t="str">
        <f aca="false">IF(H1598="TRUE","Out of stock","In stock")</f>
        <v>In stock</v>
      </c>
      <c r="M1598" s="0" t="str">
        <f aca="false">IF(D1598&lt;5,"1) Under 5%",IF(D1598&lt;10,"2) 5-9%",IF(D1598&lt;15,"3) 10-14%",IF(D1598&lt;25,"4) 15-24%","5) 25%+"))))</f>
        <v>1) Under 5%</v>
      </c>
      <c r="N1598" s="0" t="str">
        <f aca="false">IF(F1598&lt;50,"1) Under Rs 50",IF(F1598&lt;100,"2) Rs 50-99",IF(F1598&lt;200,"3) Rs 100-199",IF(F1598&lt;500,"4) Rs 200-499","5) Rs 500+"))))</f>
        <v>2) Rs 50-99</v>
      </c>
      <c r="O1598" s="0" t="n">
        <f aca="false">G1598*E1598/1000</f>
        <v>1.2</v>
      </c>
    </row>
    <row r="1599" customFormat="false" ht="15" hidden="false" customHeight="false" outlineLevel="0" collapsed="false">
      <c r="A1599" s="0" t="s">
        <v>121</v>
      </c>
      <c r="B1599" s="0" t="s">
        <v>965</v>
      </c>
      <c r="C1599" s="0" t="n">
        <v>225</v>
      </c>
      <c r="D1599" s="0" t="n">
        <v>15</v>
      </c>
      <c r="E1599" s="0" t="n">
        <v>6</v>
      </c>
      <c r="F1599" s="0" t="n">
        <v>191</v>
      </c>
      <c r="G1599" s="0" t="n">
        <v>200</v>
      </c>
      <c r="H1599" s="0" t="s">
        <v>145</v>
      </c>
      <c r="I1599" s="0" t="n">
        <v>200</v>
      </c>
      <c r="J1599" s="0" t="n">
        <f aca="false">F1599*E1599</f>
        <v>1146</v>
      </c>
      <c r="K1599" s="0" t="str">
        <f aca="false">IF(G1599&lt;1000,"1-Low",IF(G1599&lt;5000,"2-Medium","3-Bulk"))</f>
        <v>1-Low</v>
      </c>
      <c r="L1599" s="0" t="str">
        <f aca="false">IF(H1599="TRUE","Out of stock","In stock")</f>
        <v>In stock</v>
      </c>
      <c r="M1599" s="0" t="str">
        <f aca="false">IF(D1599&lt;5,"1) Under 5%",IF(D1599&lt;10,"2) 5-9%",IF(D1599&lt;15,"3) 10-14%",IF(D1599&lt;25,"4) 15-24%","5) 25%+"))))</f>
        <v>4) 15-24%</v>
      </c>
      <c r="N1599" s="0" t="str">
        <f aca="false">IF(F1599&lt;50,"1) Under Rs 50",IF(F1599&lt;100,"2) Rs 50-99",IF(F1599&lt;200,"3) Rs 100-199",IF(F1599&lt;500,"4) Rs 200-499","5) Rs 500+"))))</f>
        <v>3) Rs 100-199</v>
      </c>
      <c r="O1599" s="0" t="n">
        <f aca="false">G1599*E1599/1000</f>
        <v>1.2</v>
      </c>
    </row>
    <row r="1600" customFormat="false" ht="15" hidden="false" customHeight="false" outlineLevel="0" collapsed="false">
      <c r="A1600" s="0" t="s">
        <v>121</v>
      </c>
      <c r="B1600" s="0" t="s">
        <v>966</v>
      </c>
      <c r="C1600" s="0" t="n">
        <v>295</v>
      </c>
      <c r="D1600" s="0" t="n">
        <v>0</v>
      </c>
      <c r="E1600" s="0" t="n">
        <v>3</v>
      </c>
      <c r="F1600" s="0" t="n">
        <v>295</v>
      </c>
      <c r="G1600" s="0" t="n">
        <v>350</v>
      </c>
      <c r="H1600" s="0" t="s">
        <v>145</v>
      </c>
      <c r="I1600" s="0" t="n">
        <v>350</v>
      </c>
      <c r="J1600" s="0" t="n">
        <f aca="false">F1600*E1600</f>
        <v>885</v>
      </c>
      <c r="K1600" s="0" t="str">
        <f aca="false">IF(G1600&lt;1000,"1-Low",IF(G1600&lt;5000,"2-Medium","3-Bulk"))</f>
        <v>1-Low</v>
      </c>
      <c r="L1600" s="0" t="str">
        <f aca="false">IF(H1600="TRUE","Out of stock","In stock")</f>
        <v>In stock</v>
      </c>
      <c r="M1600" s="0" t="str">
        <f aca="false">IF(D1600&lt;5,"1) Under 5%",IF(D1600&lt;10,"2) 5-9%",IF(D1600&lt;15,"3) 10-14%",IF(D1600&lt;25,"4) 15-24%","5) 25%+"))))</f>
        <v>1) Under 5%</v>
      </c>
      <c r="N1600" s="0" t="str">
        <f aca="false">IF(F1600&lt;50,"1) Under Rs 50",IF(F1600&lt;100,"2) Rs 50-99",IF(F1600&lt;200,"3) Rs 100-199",IF(F1600&lt;500,"4) Rs 200-499","5) Rs 500+"))))</f>
        <v>4) Rs 200-499</v>
      </c>
      <c r="O1600" s="0" t="n">
        <f aca="false">G1600*E1600/1000</f>
        <v>1.05</v>
      </c>
    </row>
    <row r="1601" customFormat="false" ht="15" hidden="false" customHeight="false" outlineLevel="0" collapsed="false">
      <c r="A1601" s="0" t="s">
        <v>121</v>
      </c>
      <c r="B1601" s="0" t="s">
        <v>967</v>
      </c>
      <c r="C1601" s="0" t="n">
        <v>25</v>
      </c>
      <c r="D1601" s="0" t="n">
        <v>0</v>
      </c>
      <c r="E1601" s="0" t="n">
        <v>6</v>
      </c>
      <c r="F1601" s="0" t="n">
        <v>25</v>
      </c>
      <c r="G1601" s="0" t="n">
        <v>65</v>
      </c>
      <c r="H1601" s="0" t="s">
        <v>145</v>
      </c>
      <c r="I1601" s="0" t="n">
        <v>65</v>
      </c>
      <c r="J1601" s="0" t="n">
        <f aca="false">F1601*E1601</f>
        <v>150</v>
      </c>
      <c r="K1601" s="0" t="str">
        <f aca="false">IF(G1601&lt;1000,"1-Low",IF(G1601&lt;5000,"2-Medium","3-Bulk"))</f>
        <v>1-Low</v>
      </c>
      <c r="L1601" s="0" t="str">
        <f aca="false">IF(H1601="TRUE","Out of stock","In stock")</f>
        <v>In stock</v>
      </c>
      <c r="M1601" s="0" t="str">
        <f aca="false">IF(D1601&lt;5,"1) Under 5%",IF(D1601&lt;10,"2) 5-9%",IF(D1601&lt;15,"3) 10-14%",IF(D1601&lt;25,"4) 15-24%","5) 25%+"))))</f>
        <v>1) Under 5%</v>
      </c>
      <c r="N1601" s="0" t="str">
        <f aca="false">IF(F1601&lt;50,"1) Under Rs 50",IF(F1601&lt;100,"2) Rs 50-99",IF(F1601&lt;200,"3) Rs 100-199",IF(F1601&lt;500,"4) Rs 200-499","5) Rs 500+"))))</f>
        <v>1) Under Rs 50</v>
      </c>
      <c r="O1601" s="0" t="n">
        <f aca="false">G1601*E1601/1000</f>
        <v>0.39</v>
      </c>
    </row>
    <row r="1602" customFormat="false" ht="15" hidden="false" customHeight="false" outlineLevel="0" collapsed="false">
      <c r="A1602" s="0" t="s">
        <v>121</v>
      </c>
      <c r="B1602" s="0" t="s">
        <v>968</v>
      </c>
      <c r="C1602" s="0" t="n">
        <v>91</v>
      </c>
      <c r="D1602" s="0" t="n">
        <v>0</v>
      </c>
      <c r="E1602" s="0" t="n">
        <v>5</v>
      </c>
      <c r="F1602" s="0" t="n">
        <v>91</v>
      </c>
      <c r="G1602" s="0" t="n">
        <v>360</v>
      </c>
      <c r="H1602" s="0" t="s">
        <v>145</v>
      </c>
      <c r="I1602" s="0" t="n">
        <v>360</v>
      </c>
      <c r="J1602" s="0" t="n">
        <f aca="false">F1602*E1602</f>
        <v>455</v>
      </c>
      <c r="K1602" s="0" t="str">
        <f aca="false">IF(G1602&lt;1000,"1-Low",IF(G1602&lt;5000,"2-Medium","3-Bulk"))</f>
        <v>1-Low</v>
      </c>
      <c r="L1602" s="0" t="str">
        <f aca="false">IF(H1602="TRUE","Out of stock","In stock")</f>
        <v>In stock</v>
      </c>
      <c r="M1602" s="0" t="str">
        <f aca="false">IF(D1602&lt;5,"1) Under 5%",IF(D1602&lt;10,"2) 5-9%",IF(D1602&lt;15,"3) 10-14%",IF(D1602&lt;25,"4) 15-24%","5) 25%+"))))</f>
        <v>1) Under 5%</v>
      </c>
      <c r="N1602" s="0" t="str">
        <f aca="false">IF(F1602&lt;50,"1) Under Rs 50",IF(F1602&lt;100,"2) Rs 50-99",IF(F1602&lt;200,"3) Rs 100-199",IF(F1602&lt;500,"4) Rs 200-499","5) Rs 500+"))))</f>
        <v>2) Rs 50-99</v>
      </c>
      <c r="O1602" s="0" t="n">
        <f aca="false">G1602*E1602/1000</f>
        <v>1.8</v>
      </c>
    </row>
    <row r="1603" customFormat="false" ht="15" hidden="false" customHeight="false" outlineLevel="0" collapsed="false">
      <c r="A1603" s="0" t="s">
        <v>121</v>
      </c>
      <c r="B1603" s="0" t="s">
        <v>969</v>
      </c>
      <c r="C1603" s="0" t="n">
        <v>220</v>
      </c>
      <c r="D1603" s="0" t="n">
        <v>6</v>
      </c>
      <c r="E1603" s="0" t="n">
        <v>5</v>
      </c>
      <c r="F1603" s="0" t="n">
        <v>205</v>
      </c>
      <c r="G1603" s="0" t="n">
        <v>425</v>
      </c>
      <c r="H1603" s="0" t="s">
        <v>145</v>
      </c>
      <c r="I1603" s="0" t="n">
        <v>425</v>
      </c>
      <c r="J1603" s="0" t="n">
        <f aca="false">F1603*E1603</f>
        <v>1025</v>
      </c>
      <c r="K1603" s="0" t="str">
        <f aca="false">IF(G1603&lt;1000,"1-Low",IF(G1603&lt;5000,"2-Medium","3-Bulk"))</f>
        <v>1-Low</v>
      </c>
      <c r="L1603" s="0" t="str">
        <f aca="false">IF(H1603="TRUE","Out of stock","In stock")</f>
        <v>In stock</v>
      </c>
      <c r="M1603" s="0" t="str">
        <f aca="false">IF(D1603&lt;5,"1) Under 5%",IF(D1603&lt;10,"2) 5-9%",IF(D1603&lt;15,"3) 10-14%",IF(D1603&lt;25,"4) 15-24%","5) 25%+"))))</f>
        <v>2) 5-9%</v>
      </c>
      <c r="N1603" s="0" t="str">
        <f aca="false">IF(F1603&lt;50,"1) Under Rs 50",IF(F1603&lt;100,"2) Rs 50-99",IF(F1603&lt;200,"3) Rs 100-199",IF(F1603&lt;500,"4) Rs 200-499","5) Rs 500+"))))</f>
        <v>4) Rs 200-499</v>
      </c>
      <c r="O1603" s="0" t="n">
        <f aca="false">G1603*E1603/1000</f>
        <v>2.125</v>
      </c>
    </row>
    <row r="1604" customFormat="false" ht="15" hidden="false" customHeight="false" outlineLevel="0" collapsed="false">
      <c r="A1604" s="0" t="s">
        <v>121</v>
      </c>
      <c r="B1604" s="0" t="s">
        <v>970</v>
      </c>
      <c r="C1604" s="0" t="n">
        <v>150</v>
      </c>
      <c r="D1604" s="0" t="n">
        <v>0</v>
      </c>
      <c r="E1604" s="0" t="n">
        <v>3</v>
      </c>
      <c r="F1604" s="0" t="n">
        <v>150</v>
      </c>
      <c r="G1604" s="0" t="n">
        <v>250</v>
      </c>
      <c r="H1604" s="0" t="s">
        <v>145</v>
      </c>
      <c r="I1604" s="0" t="n">
        <v>250</v>
      </c>
      <c r="J1604" s="0" t="n">
        <f aca="false">F1604*E1604</f>
        <v>450</v>
      </c>
      <c r="K1604" s="0" t="str">
        <f aca="false">IF(G1604&lt;1000,"1-Low",IF(G1604&lt;5000,"2-Medium","3-Bulk"))</f>
        <v>1-Low</v>
      </c>
      <c r="L1604" s="0" t="str">
        <f aca="false">IF(H1604="TRUE","Out of stock","In stock")</f>
        <v>In stock</v>
      </c>
      <c r="M1604" s="0" t="str">
        <f aca="false">IF(D1604&lt;5,"1) Under 5%",IF(D1604&lt;10,"2) 5-9%",IF(D1604&lt;15,"3) 10-14%",IF(D1604&lt;25,"4) 15-24%","5) 25%+"))))</f>
        <v>1) Under 5%</v>
      </c>
      <c r="N1604" s="0" t="str">
        <f aca="false">IF(F1604&lt;50,"1) Under Rs 50",IF(F1604&lt;100,"2) Rs 50-99",IF(F1604&lt;200,"3) Rs 100-199",IF(F1604&lt;500,"4) Rs 200-499","5) Rs 500+"))))</f>
        <v>3) Rs 100-199</v>
      </c>
      <c r="O1604" s="0" t="n">
        <f aca="false">G1604*E1604/1000</f>
        <v>0.75</v>
      </c>
    </row>
    <row r="1605" customFormat="false" ht="15" hidden="false" customHeight="false" outlineLevel="0" collapsed="false">
      <c r="A1605" s="0" t="s">
        <v>121</v>
      </c>
      <c r="B1605" s="0" t="s">
        <v>962</v>
      </c>
      <c r="C1605" s="0" t="n">
        <v>150</v>
      </c>
      <c r="D1605" s="0" t="n">
        <v>14</v>
      </c>
      <c r="E1605" s="0" t="n">
        <v>3</v>
      </c>
      <c r="F1605" s="0" t="n">
        <v>128</v>
      </c>
      <c r="G1605" s="0" t="n">
        <v>114</v>
      </c>
      <c r="H1605" s="0" t="s">
        <v>145</v>
      </c>
      <c r="I1605" s="0" t="n">
        <v>114</v>
      </c>
      <c r="J1605" s="0" t="n">
        <f aca="false">F1605*E1605</f>
        <v>384</v>
      </c>
      <c r="K1605" s="0" t="str">
        <f aca="false">IF(G1605&lt;1000,"1-Low",IF(G1605&lt;5000,"2-Medium","3-Bulk"))</f>
        <v>1-Low</v>
      </c>
      <c r="L1605" s="0" t="str">
        <f aca="false">IF(H1605="TRUE","Out of stock","In stock")</f>
        <v>In stock</v>
      </c>
      <c r="M1605" s="0" t="str">
        <f aca="false">IF(D1605&lt;5,"1) Under 5%",IF(D1605&lt;10,"2) 5-9%",IF(D1605&lt;15,"3) 10-14%",IF(D1605&lt;25,"4) 15-24%","5) 25%+"))))</f>
        <v>3) 10-14%</v>
      </c>
      <c r="N1605" s="0" t="str">
        <f aca="false">IF(F1605&lt;50,"1) Under Rs 50",IF(F1605&lt;100,"2) Rs 50-99",IF(F1605&lt;200,"3) Rs 100-199",IF(F1605&lt;500,"4) Rs 200-499","5) Rs 500+"))))</f>
        <v>3) Rs 100-199</v>
      </c>
      <c r="O1605" s="0" t="n">
        <f aca="false">G1605*E1605/1000</f>
        <v>0.342</v>
      </c>
    </row>
    <row r="1606" customFormat="false" ht="15" hidden="false" customHeight="false" outlineLevel="0" collapsed="false">
      <c r="A1606" s="0" t="s">
        <v>121</v>
      </c>
      <c r="B1606" s="0" t="s">
        <v>971</v>
      </c>
      <c r="C1606" s="0" t="n">
        <v>330</v>
      </c>
      <c r="D1606" s="0" t="n">
        <v>10</v>
      </c>
      <c r="E1606" s="0" t="n">
        <v>6</v>
      </c>
      <c r="F1606" s="0" t="n">
        <v>297</v>
      </c>
      <c r="G1606" s="0" t="n">
        <v>400</v>
      </c>
      <c r="H1606" s="0" t="s">
        <v>145</v>
      </c>
      <c r="I1606" s="0" t="n">
        <v>400</v>
      </c>
      <c r="J1606" s="0" t="n">
        <f aca="false">F1606*E1606</f>
        <v>1782</v>
      </c>
      <c r="K1606" s="0" t="str">
        <f aca="false">IF(G1606&lt;1000,"1-Low",IF(G1606&lt;5000,"2-Medium","3-Bulk"))</f>
        <v>1-Low</v>
      </c>
      <c r="L1606" s="0" t="str">
        <f aca="false">IF(H1606="TRUE","Out of stock","In stock")</f>
        <v>In stock</v>
      </c>
      <c r="M1606" s="0" t="str">
        <f aca="false">IF(D1606&lt;5,"1) Under 5%",IF(D1606&lt;10,"2) 5-9%",IF(D1606&lt;15,"3) 10-14%",IF(D1606&lt;25,"4) 15-24%","5) 25%+"))))</f>
        <v>3) 10-14%</v>
      </c>
      <c r="N1606" s="0" t="str">
        <f aca="false">IF(F1606&lt;50,"1) Under Rs 50",IF(F1606&lt;100,"2) Rs 50-99",IF(F1606&lt;200,"3) Rs 100-199",IF(F1606&lt;500,"4) Rs 200-499","5) Rs 500+"))))</f>
        <v>4) Rs 200-499</v>
      </c>
      <c r="O1606" s="0" t="n">
        <f aca="false">G1606*E1606/1000</f>
        <v>2.4</v>
      </c>
    </row>
    <row r="1607" customFormat="false" ht="15" hidden="false" customHeight="false" outlineLevel="0" collapsed="false">
      <c r="A1607" s="0" t="s">
        <v>121</v>
      </c>
      <c r="B1607" s="0" t="s">
        <v>536</v>
      </c>
      <c r="C1607" s="0" t="n">
        <v>276</v>
      </c>
      <c r="D1607" s="0" t="n">
        <v>10</v>
      </c>
      <c r="E1607" s="0" t="n">
        <v>6</v>
      </c>
      <c r="F1607" s="0" t="n">
        <v>248</v>
      </c>
      <c r="G1607" s="0" t="n">
        <v>1500</v>
      </c>
      <c r="H1607" s="0" t="s">
        <v>145</v>
      </c>
      <c r="I1607" s="0" t="n">
        <v>1</v>
      </c>
      <c r="J1607" s="0" t="n">
        <f aca="false">F1607*E1607</f>
        <v>1488</v>
      </c>
      <c r="K1607" s="0" t="str">
        <f aca="false">IF(G1607&lt;1000,"1-Low",IF(G1607&lt;5000,"2-Medium","3-Bulk"))</f>
        <v>2-Medium</v>
      </c>
      <c r="L1607" s="0" t="str">
        <f aca="false">IF(H1607="TRUE","Out of stock","In stock")</f>
        <v>In stock</v>
      </c>
      <c r="M1607" s="0" t="str">
        <f aca="false">IF(D1607&lt;5,"1) Under 5%",IF(D1607&lt;10,"2) 5-9%",IF(D1607&lt;15,"3) 10-14%",IF(D1607&lt;25,"4) 15-24%","5) 25%+"))))</f>
        <v>3) 10-14%</v>
      </c>
      <c r="N1607" s="0" t="str">
        <f aca="false">IF(F1607&lt;50,"1) Under Rs 50",IF(F1607&lt;100,"2) Rs 50-99",IF(F1607&lt;200,"3) Rs 100-199",IF(F1607&lt;500,"4) Rs 200-499","5) Rs 500+"))))</f>
        <v>4) Rs 200-499</v>
      </c>
      <c r="O1607" s="0" t="n">
        <f aca="false">G1607*E1607/1000</f>
        <v>9</v>
      </c>
    </row>
    <row r="1608" customFormat="false" ht="15" hidden="false" customHeight="false" outlineLevel="0" collapsed="false">
      <c r="A1608" s="0" t="s">
        <v>121</v>
      </c>
      <c r="B1608" s="0" t="s">
        <v>972</v>
      </c>
      <c r="C1608" s="0" t="n">
        <v>295</v>
      </c>
      <c r="D1608" s="0" t="n">
        <v>0</v>
      </c>
      <c r="E1608" s="0" t="n">
        <v>6</v>
      </c>
      <c r="F1608" s="0" t="n">
        <v>295</v>
      </c>
      <c r="G1608" s="0" t="n">
        <v>24</v>
      </c>
      <c r="H1608" s="0" t="s">
        <v>145</v>
      </c>
      <c r="I1608" s="0" t="n">
        <v>24</v>
      </c>
      <c r="J1608" s="0" t="n">
        <f aca="false">F1608*E1608</f>
        <v>1770</v>
      </c>
      <c r="K1608" s="0" t="str">
        <f aca="false">IF(G1608&lt;1000,"1-Low",IF(G1608&lt;5000,"2-Medium","3-Bulk"))</f>
        <v>1-Low</v>
      </c>
      <c r="L1608" s="0" t="str">
        <f aca="false">IF(H1608="TRUE","Out of stock","In stock")</f>
        <v>In stock</v>
      </c>
      <c r="M1608" s="0" t="str">
        <f aca="false">IF(D1608&lt;5,"1) Under 5%",IF(D1608&lt;10,"2) 5-9%",IF(D1608&lt;15,"3) 10-14%",IF(D1608&lt;25,"4) 15-24%","5) 25%+"))))</f>
        <v>1) Under 5%</v>
      </c>
      <c r="N1608" s="0" t="str">
        <f aca="false">IF(F1608&lt;50,"1) Under Rs 50",IF(F1608&lt;100,"2) Rs 50-99",IF(F1608&lt;200,"3) Rs 100-199",IF(F1608&lt;500,"4) Rs 200-499","5) Rs 500+"))))</f>
        <v>4) Rs 200-499</v>
      </c>
      <c r="O1608" s="0" t="n">
        <f aca="false">G1608*E1608/1000</f>
        <v>0.144</v>
      </c>
    </row>
    <row r="1609" customFormat="false" ht="15" hidden="false" customHeight="false" outlineLevel="0" collapsed="false">
      <c r="A1609" s="0" t="s">
        <v>121</v>
      </c>
      <c r="B1609" s="0" t="s">
        <v>973</v>
      </c>
      <c r="C1609" s="0" t="n">
        <v>149</v>
      </c>
      <c r="D1609" s="0" t="n">
        <v>8</v>
      </c>
      <c r="E1609" s="0" t="n">
        <v>5</v>
      </c>
      <c r="F1609" s="0" t="n">
        <v>137</v>
      </c>
      <c r="G1609" s="0" t="n">
        <v>320</v>
      </c>
      <c r="H1609" s="0" t="s">
        <v>145</v>
      </c>
      <c r="I1609" s="0" t="n">
        <v>320</v>
      </c>
      <c r="J1609" s="0" t="n">
        <f aca="false">F1609*E1609</f>
        <v>685</v>
      </c>
      <c r="K1609" s="0" t="str">
        <f aca="false">IF(G1609&lt;1000,"1-Low",IF(G1609&lt;5000,"2-Medium","3-Bulk"))</f>
        <v>1-Low</v>
      </c>
      <c r="L1609" s="0" t="str">
        <f aca="false">IF(H1609="TRUE","Out of stock","In stock")</f>
        <v>In stock</v>
      </c>
      <c r="M1609" s="0" t="str">
        <f aca="false">IF(D1609&lt;5,"1) Under 5%",IF(D1609&lt;10,"2) 5-9%",IF(D1609&lt;15,"3) 10-14%",IF(D1609&lt;25,"4) 15-24%","5) 25%+"))))</f>
        <v>2) 5-9%</v>
      </c>
      <c r="N1609" s="0" t="str">
        <f aca="false">IF(F1609&lt;50,"1) Under Rs 50",IF(F1609&lt;100,"2) Rs 50-99",IF(F1609&lt;200,"3) Rs 100-199",IF(F1609&lt;500,"4) Rs 200-499","5) Rs 500+"))))</f>
        <v>3) Rs 100-199</v>
      </c>
      <c r="O1609" s="0" t="n">
        <f aca="false">G1609*E1609/1000</f>
        <v>1.6</v>
      </c>
    </row>
    <row r="1610" customFormat="false" ht="15" hidden="false" customHeight="false" outlineLevel="0" collapsed="false">
      <c r="A1610" s="0" t="s">
        <v>121</v>
      </c>
      <c r="B1610" s="0" t="s">
        <v>946</v>
      </c>
      <c r="C1610" s="0" t="n">
        <v>115</v>
      </c>
      <c r="D1610" s="0" t="n">
        <v>0</v>
      </c>
      <c r="E1610" s="0" t="n">
        <v>6</v>
      </c>
      <c r="F1610" s="0" t="n">
        <v>115</v>
      </c>
      <c r="G1610" s="0" t="n">
        <v>600</v>
      </c>
      <c r="H1610" s="0" t="s">
        <v>145</v>
      </c>
      <c r="I1610" s="0" t="n">
        <v>600</v>
      </c>
      <c r="J1610" s="0" t="n">
        <f aca="false">F1610*E1610</f>
        <v>690</v>
      </c>
      <c r="K1610" s="0" t="str">
        <f aca="false">IF(G1610&lt;1000,"1-Low",IF(G1610&lt;5000,"2-Medium","3-Bulk"))</f>
        <v>1-Low</v>
      </c>
      <c r="L1610" s="0" t="str">
        <f aca="false">IF(H1610="TRUE","Out of stock","In stock")</f>
        <v>In stock</v>
      </c>
      <c r="M1610" s="0" t="str">
        <f aca="false">IF(D1610&lt;5,"1) Under 5%",IF(D1610&lt;10,"2) 5-9%",IF(D1610&lt;15,"3) 10-14%",IF(D1610&lt;25,"4) 15-24%","5) 25%+"))))</f>
        <v>1) Under 5%</v>
      </c>
      <c r="N1610" s="0" t="str">
        <f aca="false">IF(F1610&lt;50,"1) Under Rs 50",IF(F1610&lt;100,"2) Rs 50-99",IF(F1610&lt;200,"3) Rs 100-199",IF(F1610&lt;500,"4) Rs 200-499","5) Rs 500+"))))</f>
        <v>3) Rs 100-199</v>
      </c>
      <c r="O1610" s="0" t="n">
        <f aca="false">G1610*E1610/1000</f>
        <v>3.6</v>
      </c>
    </row>
    <row r="1611" customFormat="false" ht="15" hidden="false" customHeight="false" outlineLevel="0" collapsed="false">
      <c r="A1611" s="0" t="s">
        <v>121</v>
      </c>
      <c r="B1611" s="0" t="s">
        <v>974</v>
      </c>
      <c r="C1611" s="0" t="n">
        <v>280</v>
      </c>
      <c r="D1611" s="0" t="n">
        <v>50</v>
      </c>
      <c r="E1611" s="0" t="n">
        <v>5</v>
      </c>
      <c r="F1611" s="0" t="n">
        <v>140</v>
      </c>
      <c r="G1611" s="0" t="n">
        <v>175</v>
      </c>
      <c r="H1611" s="0" t="s">
        <v>145</v>
      </c>
      <c r="I1611" s="0" t="n">
        <v>175</v>
      </c>
      <c r="J1611" s="0" t="n">
        <f aca="false">F1611*E1611</f>
        <v>700</v>
      </c>
      <c r="K1611" s="0" t="str">
        <f aca="false">IF(G1611&lt;1000,"1-Low",IF(G1611&lt;5000,"2-Medium","3-Bulk"))</f>
        <v>1-Low</v>
      </c>
      <c r="L1611" s="0" t="str">
        <f aca="false">IF(H1611="TRUE","Out of stock","In stock")</f>
        <v>In stock</v>
      </c>
      <c r="M1611" s="0" t="str">
        <f aca="false">IF(D1611&lt;5,"1) Under 5%",IF(D1611&lt;10,"2) 5-9%",IF(D1611&lt;15,"3) 10-14%",IF(D1611&lt;25,"4) 15-24%","5) 25%+"))))</f>
        <v>5) 25%+</v>
      </c>
      <c r="N1611" s="0" t="str">
        <f aca="false">IF(F1611&lt;50,"1) Under Rs 50",IF(F1611&lt;100,"2) Rs 50-99",IF(F1611&lt;200,"3) Rs 100-199",IF(F1611&lt;500,"4) Rs 200-499","5) Rs 500+"))))</f>
        <v>3) Rs 100-199</v>
      </c>
      <c r="O1611" s="0" t="n">
        <f aca="false">G1611*E1611/1000</f>
        <v>0.875</v>
      </c>
    </row>
    <row r="1612" customFormat="false" ht="15" hidden="false" customHeight="false" outlineLevel="0" collapsed="false">
      <c r="A1612" s="0" t="s">
        <v>121</v>
      </c>
      <c r="B1612" s="0" t="s">
        <v>975</v>
      </c>
      <c r="C1612" s="0" t="n">
        <v>179</v>
      </c>
      <c r="D1612" s="0" t="n">
        <v>0</v>
      </c>
      <c r="E1612" s="0" t="n">
        <v>6</v>
      </c>
      <c r="F1612" s="0" t="n">
        <v>179</v>
      </c>
      <c r="G1612" s="0" t="n">
        <v>450</v>
      </c>
      <c r="H1612" s="0" t="s">
        <v>145</v>
      </c>
      <c r="I1612" s="0" t="n">
        <v>450</v>
      </c>
      <c r="J1612" s="0" t="n">
        <f aca="false">F1612*E1612</f>
        <v>1074</v>
      </c>
      <c r="K1612" s="0" t="str">
        <f aca="false">IF(G1612&lt;1000,"1-Low",IF(G1612&lt;5000,"2-Medium","3-Bulk"))</f>
        <v>1-Low</v>
      </c>
      <c r="L1612" s="0" t="str">
        <f aca="false">IF(H1612="TRUE","Out of stock","In stock")</f>
        <v>In stock</v>
      </c>
      <c r="M1612" s="0" t="str">
        <f aca="false">IF(D1612&lt;5,"1) Under 5%",IF(D1612&lt;10,"2) 5-9%",IF(D1612&lt;15,"3) 10-14%",IF(D1612&lt;25,"4) 15-24%","5) 25%+"))))</f>
        <v>1) Under 5%</v>
      </c>
      <c r="N1612" s="0" t="str">
        <f aca="false">IF(F1612&lt;50,"1) Under Rs 50",IF(F1612&lt;100,"2) Rs 50-99",IF(F1612&lt;200,"3) Rs 100-199",IF(F1612&lt;500,"4) Rs 200-499","5) Rs 500+"))))</f>
        <v>3) Rs 100-199</v>
      </c>
      <c r="O1612" s="0" t="n">
        <f aca="false">G1612*E1612/1000</f>
        <v>2.7</v>
      </c>
    </row>
    <row r="1613" customFormat="false" ht="15" hidden="false" customHeight="false" outlineLevel="0" collapsed="false">
      <c r="A1613" s="0" t="s">
        <v>121</v>
      </c>
      <c r="B1613" s="0" t="s">
        <v>976</v>
      </c>
      <c r="C1613" s="0" t="n">
        <v>140</v>
      </c>
      <c r="D1613" s="0" t="n">
        <v>10</v>
      </c>
      <c r="E1613" s="0" t="n">
        <v>3</v>
      </c>
      <c r="F1613" s="0" t="n">
        <v>126</v>
      </c>
      <c r="G1613" s="0" t="n">
        <v>500</v>
      </c>
      <c r="H1613" s="0" t="s">
        <v>145</v>
      </c>
      <c r="I1613" s="0" t="n">
        <v>500</v>
      </c>
      <c r="J1613" s="0" t="n">
        <f aca="false">F1613*E1613</f>
        <v>378</v>
      </c>
      <c r="K1613" s="0" t="str">
        <f aca="false">IF(G1613&lt;1000,"1-Low",IF(G1613&lt;5000,"2-Medium","3-Bulk"))</f>
        <v>1-Low</v>
      </c>
      <c r="L1613" s="0" t="str">
        <f aca="false">IF(H1613="TRUE","Out of stock","In stock")</f>
        <v>In stock</v>
      </c>
      <c r="M1613" s="0" t="str">
        <f aca="false">IF(D1613&lt;5,"1) Under 5%",IF(D1613&lt;10,"2) 5-9%",IF(D1613&lt;15,"3) 10-14%",IF(D1613&lt;25,"4) 15-24%","5) 25%+"))))</f>
        <v>3) 10-14%</v>
      </c>
      <c r="N1613" s="0" t="str">
        <f aca="false">IF(F1613&lt;50,"1) Under Rs 50",IF(F1613&lt;100,"2) Rs 50-99",IF(F1613&lt;200,"3) Rs 100-199",IF(F1613&lt;500,"4) Rs 200-499","5) Rs 500+"))))</f>
        <v>3) Rs 100-199</v>
      </c>
      <c r="O1613" s="0" t="n">
        <f aca="false">G1613*E1613/1000</f>
        <v>1.5</v>
      </c>
    </row>
    <row r="1614" customFormat="false" ht="15" hidden="false" customHeight="false" outlineLevel="0" collapsed="false">
      <c r="A1614" s="0" t="s">
        <v>121</v>
      </c>
      <c r="B1614" s="0" t="s">
        <v>977</v>
      </c>
      <c r="C1614" s="0" t="n">
        <v>320</v>
      </c>
      <c r="D1614" s="0" t="n">
        <v>0</v>
      </c>
      <c r="E1614" s="0" t="n">
        <v>6</v>
      </c>
      <c r="F1614" s="0" t="n">
        <v>320</v>
      </c>
      <c r="G1614" s="0" t="n">
        <v>500</v>
      </c>
      <c r="H1614" s="0" t="s">
        <v>145</v>
      </c>
      <c r="I1614" s="0" t="n">
        <v>500</v>
      </c>
      <c r="J1614" s="0" t="n">
        <f aca="false">F1614*E1614</f>
        <v>1920</v>
      </c>
      <c r="K1614" s="0" t="str">
        <f aca="false">IF(G1614&lt;1000,"1-Low",IF(G1614&lt;5000,"2-Medium","3-Bulk"))</f>
        <v>1-Low</v>
      </c>
      <c r="L1614" s="0" t="str">
        <f aca="false">IF(H1614="TRUE","Out of stock","In stock")</f>
        <v>In stock</v>
      </c>
      <c r="M1614" s="0" t="str">
        <f aca="false">IF(D1614&lt;5,"1) Under 5%",IF(D1614&lt;10,"2) 5-9%",IF(D1614&lt;15,"3) 10-14%",IF(D1614&lt;25,"4) 15-24%","5) 25%+"))))</f>
        <v>1) Under 5%</v>
      </c>
      <c r="N1614" s="0" t="str">
        <f aca="false">IF(F1614&lt;50,"1) Under Rs 50",IF(F1614&lt;100,"2) Rs 50-99",IF(F1614&lt;200,"3) Rs 100-199",IF(F1614&lt;500,"4) Rs 200-499","5) Rs 500+"))))</f>
        <v>4) Rs 200-499</v>
      </c>
      <c r="O1614" s="0" t="n">
        <f aca="false">G1614*E1614/1000</f>
        <v>3</v>
      </c>
    </row>
    <row r="1615" customFormat="false" ht="15" hidden="false" customHeight="false" outlineLevel="0" collapsed="false">
      <c r="A1615" s="0" t="s">
        <v>121</v>
      </c>
      <c r="B1615" s="0" t="s">
        <v>525</v>
      </c>
      <c r="C1615" s="0" t="n">
        <v>250</v>
      </c>
      <c r="D1615" s="0" t="n">
        <v>0</v>
      </c>
      <c r="E1615" s="0" t="n">
        <v>5</v>
      </c>
      <c r="F1615" s="0" t="n">
        <v>250</v>
      </c>
      <c r="G1615" s="0" t="n">
        <v>500</v>
      </c>
      <c r="H1615" s="0" t="s">
        <v>145</v>
      </c>
      <c r="I1615" s="0" t="n">
        <v>500</v>
      </c>
      <c r="J1615" s="0" t="n">
        <f aca="false">F1615*E1615</f>
        <v>1250</v>
      </c>
      <c r="K1615" s="0" t="str">
        <f aca="false">IF(G1615&lt;1000,"1-Low",IF(G1615&lt;5000,"2-Medium","3-Bulk"))</f>
        <v>1-Low</v>
      </c>
      <c r="L1615" s="0" t="str">
        <f aca="false">IF(H1615="TRUE","Out of stock","In stock")</f>
        <v>In stock</v>
      </c>
      <c r="M1615" s="0" t="str">
        <f aca="false">IF(D1615&lt;5,"1) Under 5%",IF(D1615&lt;10,"2) 5-9%",IF(D1615&lt;15,"3) 10-14%",IF(D1615&lt;25,"4) 15-24%","5) 25%+"))))</f>
        <v>1) Under 5%</v>
      </c>
      <c r="N1615" s="0" t="str">
        <f aca="false">IF(F1615&lt;50,"1) Under Rs 50",IF(F1615&lt;100,"2) Rs 50-99",IF(F1615&lt;200,"3) Rs 100-199",IF(F1615&lt;500,"4) Rs 200-499","5) Rs 500+"))))</f>
        <v>4) Rs 200-499</v>
      </c>
      <c r="O1615" s="0" t="n">
        <f aca="false">G1615*E1615/1000</f>
        <v>2.5</v>
      </c>
    </row>
    <row r="1616" customFormat="false" ht="15" hidden="false" customHeight="false" outlineLevel="0" collapsed="false">
      <c r="A1616" s="0" t="s">
        <v>121</v>
      </c>
      <c r="B1616" s="0" t="s">
        <v>902</v>
      </c>
      <c r="C1616" s="0" t="n">
        <v>299</v>
      </c>
      <c r="D1616" s="0" t="n">
        <v>10</v>
      </c>
      <c r="E1616" s="0" t="n">
        <v>4</v>
      </c>
      <c r="F1616" s="0" t="n">
        <v>269</v>
      </c>
      <c r="G1616" s="0" t="n">
        <v>700</v>
      </c>
      <c r="H1616" s="0" t="s">
        <v>145</v>
      </c>
      <c r="I1616" s="0" t="n">
        <v>700</v>
      </c>
      <c r="J1616" s="0" t="n">
        <f aca="false">F1616*E1616</f>
        <v>1076</v>
      </c>
      <c r="K1616" s="0" t="str">
        <f aca="false">IF(G1616&lt;1000,"1-Low",IF(G1616&lt;5000,"2-Medium","3-Bulk"))</f>
        <v>1-Low</v>
      </c>
      <c r="L1616" s="0" t="str">
        <f aca="false">IF(H1616="TRUE","Out of stock","In stock")</f>
        <v>In stock</v>
      </c>
      <c r="M1616" s="0" t="str">
        <f aca="false">IF(D1616&lt;5,"1) Under 5%",IF(D1616&lt;10,"2) 5-9%",IF(D1616&lt;15,"3) 10-14%",IF(D1616&lt;25,"4) 15-24%","5) 25%+"))))</f>
        <v>3) 10-14%</v>
      </c>
      <c r="N1616" s="0" t="str">
        <f aca="false">IF(F1616&lt;50,"1) Under Rs 50",IF(F1616&lt;100,"2) Rs 50-99",IF(F1616&lt;200,"3) Rs 100-199",IF(F1616&lt;500,"4) Rs 200-499","5) Rs 500+"))))</f>
        <v>4) Rs 200-499</v>
      </c>
      <c r="O1616" s="0" t="n">
        <f aca="false">G1616*E1616/1000</f>
        <v>2.8</v>
      </c>
    </row>
    <row r="1617" customFormat="false" ht="15" hidden="false" customHeight="false" outlineLevel="0" collapsed="false">
      <c r="A1617" s="0" t="s">
        <v>121</v>
      </c>
      <c r="B1617" s="0" t="s">
        <v>978</v>
      </c>
      <c r="C1617" s="0" t="n">
        <v>620</v>
      </c>
      <c r="D1617" s="0" t="n">
        <v>0</v>
      </c>
      <c r="E1617" s="0" t="n">
        <v>1</v>
      </c>
      <c r="F1617" s="0" t="n">
        <v>620</v>
      </c>
      <c r="G1617" s="0" t="n">
        <v>400</v>
      </c>
      <c r="H1617" s="0" t="s">
        <v>145</v>
      </c>
      <c r="I1617" s="0" t="n">
        <v>400</v>
      </c>
      <c r="J1617" s="0" t="n">
        <f aca="false">F1617*E1617</f>
        <v>620</v>
      </c>
      <c r="K1617" s="0" t="str">
        <f aca="false">IF(G1617&lt;1000,"1-Low",IF(G1617&lt;5000,"2-Medium","3-Bulk"))</f>
        <v>1-Low</v>
      </c>
      <c r="L1617" s="0" t="str">
        <f aca="false">IF(H1617="TRUE","Out of stock","In stock")</f>
        <v>In stock</v>
      </c>
      <c r="M1617" s="0" t="str">
        <f aca="false">IF(D1617&lt;5,"1) Under 5%",IF(D1617&lt;10,"2) 5-9%",IF(D1617&lt;15,"3) 10-14%",IF(D1617&lt;25,"4) 15-24%","5) 25%+"))))</f>
        <v>1) Under 5%</v>
      </c>
      <c r="N1617" s="0" t="str">
        <f aca="false">IF(F1617&lt;50,"1) Under Rs 50",IF(F1617&lt;100,"2) Rs 50-99",IF(F1617&lt;200,"3) Rs 100-199",IF(F1617&lt;500,"4) Rs 200-499","5) Rs 500+"))))</f>
        <v>5) Rs 500+</v>
      </c>
      <c r="O1617" s="0" t="n">
        <f aca="false">G1617*E1617/1000</f>
        <v>0.4</v>
      </c>
    </row>
    <row r="1618" customFormat="false" ht="15" hidden="false" customHeight="false" outlineLevel="0" collapsed="false">
      <c r="A1618" s="0" t="s">
        <v>121</v>
      </c>
      <c r="B1618" s="0" t="s">
        <v>979</v>
      </c>
      <c r="C1618" s="0" t="n">
        <v>99</v>
      </c>
      <c r="D1618" s="0" t="n">
        <v>20</v>
      </c>
      <c r="E1618" s="0" t="n">
        <v>6</v>
      </c>
      <c r="F1618" s="0" t="n">
        <v>79</v>
      </c>
      <c r="G1618" s="0" t="n">
        <v>500</v>
      </c>
      <c r="H1618" s="0" t="s">
        <v>145</v>
      </c>
      <c r="I1618" s="0" t="n">
        <v>500</v>
      </c>
      <c r="J1618" s="0" t="n">
        <f aca="false">F1618*E1618</f>
        <v>474</v>
      </c>
      <c r="K1618" s="0" t="str">
        <f aca="false">IF(G1618&lt;1000,"1-Low",IF(G1618&lt;5000,"2-Medium","3-Bulk"))</f>
        <v>1-Low</v>
      </c>
      <c r="L1618" s="0" t="str">
        <f aca="false">IF(H1618="TRUE","Out of stock","In stock")</f>
        <v>In stock</v>
      </c>
      <c r="M1618" s="0" t="str">
        <f aca="false">IF(D1618&lt;5,"1) Under 5%",IF(D1618&lt;10,"2) 5-9%",IF(D1618&lt;15,"3) 10-14%",IF(D1618&lt;25,"4) 15-24%","5) 25%+"))))</f>
        <v>4) 15-24%</v>
      </c>
      <c r="N1618" s="0" t="str">
        <f aca="false">IF(F1618&lt;50,"1) Under Rs 50",IF(F1618&lt;100,"2) Rs 50-99",IF(F1618&lt;200,"3) Rs 100-199",IF(F1618&lt;500,"4) Rs 200-499","5) Rs 500+"))))</f>
        <v>2) Rs 50-99</v>
      </c>
      <c r="O1618" s="0" t="n">
        <f aca="false">G1618*E1618/1000</f>
        <v>3</v>
      </c>
    </row>
    <row r="1619" customFormat="false" ht="15" hidden="false" customHeight="false" outlineLevel="0" collapsed="false">
      <c r="A1619" s="0" t="s">
        <v>121</v>
      </c>
      <c r="B1619" s="0" t="s">
        <v>980</v>
      </c>
      <c r="C1619" s="0" t="n">
        <v>85</v>
      </c>
      <c r="D1619" s="0" t="n">
        <v>4</v>
      </c>
      <c r="E1619" s="0" t="n">
        <v>1</v>
      </c>
      <c r="F1619" s="0" t="n">
        <v>81</v>
      </c>
      <c r="G1619" s="0" t="n">
        <v>680</v>
      </c>
      <c r="H1619" s="0" t="s">
        <v>145</v>
      </c>
      <c r="I1619" s="0" t="n">
        <v>680</v>
      </c>
      <c r="J1619" s="0" t="n">
        <f aca="false">F1619*E1619</f>
        <v>81</v>
      </c>
      <c r="K1619" s="0" t="str">
        <f aca="false">IF(G1619&lt;1000,"1-Low",IF(G1619&lt;5000,"2-Medium","3-Bulk"))</f>
        <v>1-Low</v>
      </c>
      <c r="L1619" s="0" t="str">
        <f aca="false">IF(H1619="TRUE","Out of stock","In stock")</f>
        <v>In stock</v>
      </c>
      <c r="M1619" s="0" t="str">
        <f aca="false">IF(D1619&lt;5,"1) Under 5%",IF(D1619&lt;10,"2) 5-9%",IF(D1619&lt;15,"3) 10-14%",IF(D1619&lt;25,"4) 15-24%","5) 25%+"))))</f>
        <v>1) Under 5%</v>
      </c>
      <c r="N1619" s="0" t="str">
        <f aca="false">IF(F1619&lt;50,"1) Under Rs 50",IF(F1619&lt;100,"2) Rs 50-99",IF(F1619&lt;200,"3) Rs 100-199",IF(F1619&lt;500,"4) Rs 200-499","5) Rs 500+"))))</f>
        <v>2) Rs 50-99</v>
      </c>
      <c r="O1619" s="0" t="n">
        <f aca="false">G1619*E1619/1000</f>
        <v>0.68</v>
      </c>
    </row>
    <row r="1620" customFormat="false" ht="15" hidden="false" customHeight="false" outlineLevel="0" collapsed="false">
      <c r="A1620" s="0" t="s">
        <v>121</v>
      </c>
      <c r="B1620" s="0" t="s">
        <v>981</v>
      </c>
      <c r="C1620" s="0" t="n">
        <v>55</v>
      </c>
      <c r="D1620" s="0" t="n">
        <v>0</v>
      </c>
      <c r="E1620" s="0" t="n">
        <v>1</v>
      </c>
      <c r="F1620" s="0" t="n">
        <v>55</v>
      </c>
      <c r="G1620" s="0" t="n">
        <v>400</v>
      </c>
      <c r="H1620" s="0" t="s">
        <v>145</v>
      </c>
      <c r="I1620" s="0" t="n">
        <v>400</v>
      </c>
      <c r="J1620" s="0" t="n">
        <f aca="false">F1620*E1620</f>
        <v>55</v>
      </c>
      <c r="K1620" s="0" t="str">
        <f aca="false">IF(G1620&lt;1000,"1-Low",IF(G1620&lt;5000,"2-Medium","3-Bulk"))</f>
        <v>1-Low</v>
      </c>
      <c r="L1620" s="0" t="str">
        <f aca="false">IF(H1620="TRUE","Out of stock","In stock")</f>
        <v>In stock</v>
      </c>
      <c r="M1620" s="0" t="str">
        <f aca="false">IF(D1620&lt;5,"1) Under 5%",IF(D1620&lt;10,"2) 5-9%",IF(D1620&lt;15,"3) 10-14%",IF(D1620&lt;25,"4) 15-24%","5) 25%+"))))</f>
        <v>1) Under 5%</v>
      </c>
      <c r="N1620" s="0" t="str">
        <f aca="false">IF(F1620&lt;50,"1) Under Rs 50",IF(F1620&lt;100,"2) Rs 50-99",IF(F1620&lt;200,"3) Rs 100-199",IF(F1620&lt;500,"4) Rs 200-499","5) Rs 500+"))))</f>
        <v>2) Rs 50-99</v>
      </c>
      <c r="O1620" s="0" t="n">
        <f aca="false">G1620*E1620/1000</f>
        <v>0.4</v>
      </c>
    </row>
    <row r="1621" customFormat="false" ht="15" hidden="false" customHeight="false" outlineLevel="0" collapsed="false">
      <c r="A1621" s="0" t="s">
        <v>121</v>
      </c>
      <c r="B1621" s="0" t="s">
        <v>982</v>
      </c>
      <c r="C1621" s="0" t="n">
        <v>120</v>
      </c>
      <c r="D1621" s="0" t="n">
        <v>10</v>
      </c>
      <c r="E1621" s="0" t="n">
        <v>4</v>
      </c>
      <c r="F1621" s="0" t="n">
        <v>108</v>
      </c>
      <c r="G1621" s="0" t="n">
        <v>400</v>
      </c>
      <c r="H1621" s="0" t="s">
        <v>145</v>
      </c>
      <c r="I1621" s="0" t="n">
        <v>400</v>
      </c>
      <c r="J1621" s="0" t="n">
        <f aca="false">F1621*E1621</f>
        <v>432</v>
      </c>
      <c r="K1621" s="0" t="str">
        <f aca="false">IF(G1621&lt;1000,"1-Low",IF(G1621&lt;5000,"2-Medium","3-Bulk"))</f>
        <v>1-Low</v>
      </c>
      <c r="L1621" s="0" t="str">
        <f aca="false">IF(H1621="TRUE","Out of stock","In stock")</f>
        <v>In stock</v>
      </c>
      <c r="M1621" s="0" t="str">
        <f aca="false">IF(D1621&lt;5,"1) Under 5%",IF(D1621&lt;10,"2) 5-9%",IF(D1621&lt;15,"3) 10-14%",IF(D1621&lt;25,"4) 15-24%","5) 25%+"))))</f>
        <v>3) 10-14%</v>
      </c>
      <c r="N1621" s="0" t="str">
        <f aca="false">IF(F1621&lt;50,"1) Under Rs 50",IF(F1621&lt;100,"2) Rs 50-99",IF(F1621&lt;200,"3) Rs 100-199",IF(F1621&lt;500,"4) Rs 200-499","5) Rs 500+"))))</f>
        <v>3) Rs 100-199</v>
      </c>
      <c r="O1621" s="0" t="n">
        <f aca="false">G1621*E1621/1000</f>
        <v>1.6</v>
      </c>
    </row>
    <row r="1622" customFormat="false" ht="15" hidden="false" customHeight="false" outlineLevel="0" collapsed="false">
      <c r="A1622" s="0" t="s">
        <v>121</v>
      </c>
      <c r="B1622" s="0" t="s">
        <v>983</v>
      </c>
      <c r="C1622" s="0" t="n">
        <v>114</v>
      </c>
      <c r="D1622" s="0" t="n">
        <v>0</v>
      </c>
      <c r="E1622" s="0" t="n">
        <v>6</v>
      </c>
      <c r="F1622" s="0" t="n">
        <v>114</v>
      </c>
      <c r="G1622" s="0" t="n">
        <v>480</v>
      </c>
      <c r="H1622" s="0" t="s">
        <v>145</v>
      </c>
      <c r="I1622" s="0" t="n">
        <v>480</v>
      </c>
      <c r="J1622" s="0" t="n">
        <f aca="false">F1622*E1622</f>
        <v>684</v>
      </c>
      <c r="K1622" s="0" t="str">
        <f aca="false">IF(G1622&lt;1000,"1-Low",IF(G1622&lt;5000,"2-Medium","3-Bulk"))</f>
        <v>1-Low</v>
      </c>
      <c r="L1622" s="0" t="str">
        <f aca="false">IF(H1622="TRUE","Out of stock","In stock")</f>
        <v>In stock</v>
      </c>
      <c r="M1622" s="0" t="str">
        <f aca="false">IF(D1622&lt;5,"1) Under 5%",IF(D1622&lt;10,"2) 5-9%",IF(D1622&lt;15,"3) 10-14%",IF(D1622&lt;25,"4) 15-24%","5) 25%+"))))</f>
        <v>1) Under 5%</v>
      </c>
      <c r="N1622" s="0" t="str">
        <f aca="false">IF(F1622&lt;50,"1) Under Rs 50",IF(F1622&lt;100,"2) Rs 50-99",IF(F1622&lt;200,"3) Rs 100-199",IF(F1622&lt;500,"4) Rs 200-499","5) Rs 500+"))))</f>
        <v>3) Rs 100-199</v>
      </c>
      <c r="O1622" s="0" t="n">
        <f aca="false">G1622*E1622/1000</f>
        <v>2.88</v>
      </c>
    </row>
    <row r="1623" customFormat="false" ht="15" hidden="false" customHeight="false" outlineLevel="0" collapsed="false">
      <c r="A1623" s="0" t="s">
        <v>121</v>
      </c>
      <c r="B1623" s="0" t="s">
        <v>984</v>
      </c>
      <c r="C1623" s="0" t="n">
        <v>290</v>
      </c>
      <c r="D1623" s="0" t="n">
        <v>7</v>
      </c>
      <c r="E1623" s="0" t="n">
        <v>5</v>
      </c>
      <c r="F1623" s="0" t="n">
        <v>267</v>
      </c>
      <c r="G1623" s="0" t="n">
        <v>630</v>
      </c>
      <c r="H1623" s="0" t="s">
        <v>145</v>
      </c>
      <c r="I1623" s="0" t="n">
        <v>630</v>
      </c>
      <c r="J1623" s="0" t="n">
        <f aca="false">F1623*E1623</f>
        <v>1335</v>
      </c>
      <c r="K1623" s="0" t="str">
        <f aca="false">IF(G1623&lt;1000,"1-Low",IF(G1623&lt;5000,"2-Medium","3-Bulk"))</f>
        <v>1-Low</v>
      </c>
      <c r="L1623" s="0" t="str">
        <f aca="false">IF(H1623="TRUE","Out of stock","In stock")</f>
        <v>In stock</v>
      </c>
      <c r="M1623" s="0" t="str">
        <f aca="false">IF(D1623&lt;5,"1) Under 5%",IF(D1623&lt;10,"2) 5-9%",IF(D1623&lt;15,"3) 10-14%",IF(D1623&lt;25,"4) 15-24%","5) 25%+"))))</f>
        <v>2) 5-9%</v>
      </c>
      <c r="N1623" s="0" t="str">
        <f aca="false">IF(F1623&lt;50,"1) Under Rs 50",IF(F1623&lt;100,"2) Rs 50-99",IF(F1623&lt;200,"3) Rs 100-199",IF(F1623&lt;500,"4) Rs 200-499","5) Rs 500+"))))</f>
        <v>4) Rs 200-499</v>
      </c>
      <c r="O1623" s="0" t="n">
        <f aca="false">G1623*E1623/1000</f>
        <v>3.15</v>
      </c>
    </row>
    <row r="1624" customFormat="false" ht="15" hidden="false" customHeight="false" outlineLevel="0" collapsed="false">
      <c r="A1624" s="0" t="s">
        <v>121</v>
      </c>
      <c r="B1624" s="0" t="s">
        <v>985</v>
      </c>
      <c r="C1624" s="0" t="n">
        <v>130</v>
      </c>
      <c r="D1624" s="0" t="n">
        <v>4</v>
      </c>
      <c r="E1624" s="0" t="n">
        <v>4</v>
      </c>
      <c r="F1624" s="0" t="n">
        <v>124</v>
      </c>
      <c r="G1624" s="0" t="n">
        <v>230</v>
      </c>
      <c r="H1624" s="0" t="s">
        <v>145</v>
      </c>
      <c r="I1624" s="0" t="n">
        <v>230</v>
      </c>
      <c r="J1624" s="0" t="n">
        <f aca="false">F1624*E1624</f>
        <v>496</v>
      </c>
      <c r="K1624" s="0" t="str">
        <f aca="false">IF(G1624&lt;1000,"1-Low",IF(G1624&lt;5000,"2-Medium","3-Bulk"))</f>
        <v>1-Low</v>
      </c>
      <c r="L1624" s="0" t="str">
        <f aca="false">IF(H1624="TRUE","Out of stock","In stock")</f>
        <v>In stock</v>
      </c>
      <c r="M1624" s="0" t="str">
        <f aca="false">IF(D1624&lt;5,"1) Under 5%",IF(D1624&lt;10,"2) 5-9%",IF(D1624&lt;15,"3) 10-14%",IF(D1624&lt;25,"4) 15-24%","5) 25%+"))))</f>
        <v>1) Under 5%</v>
      </c>
      <c r="N1624" s="0" t="str">
        <f aca="false">IF(F1624&lt;50,"1) Under Rs 50",IF(F1624&lt;100,"2) Rs 50-99",IF(F1624&lt;200,"3) Rs 100-199",IF(F1624&lt;500,"4) Rs 200-499","5) Rs 500+"))))</f>
        <v>3) Rs 100-199</v>
      </c>
      <c r="O1624" s="0" t="n">
        <f aca="false">G1624*E1624/1000</f>
        <v>0.92</v>
      </c>
    </row>
    <row r="1625" customFormat="false" ht="15" hidden="false" customHeight="false" outlineLevel="0" collapsed="false">
      <c r="A1625" s="0" t="s">
        <v>121</v>
      </c>
      <c r="B1625" s="0" t="s">
        <v>986</v>
      </c>
      <c r="C1625" s="0" t="n">
        <v>185</v>
      </c>
      <c r="D1625" s="0" t="n">
        <v>10</v>
      </c>
      <c r="E1625" s="0" t="n">
        <v>5</v>
      </c>
      <c r="F1625" s="0" t="n">
        <v>165</v>
      </c>
      <c r="G1625" s="0" t="n">
        <v>250</v>
      </c>
      <c r="H1625" s="0" t="s">
        <v>145</v>
      </c>
      <c r="I1625" s="0" t="n">
        <v>250</v>
      </c>
      <c r="J1625" s="0" t="n">
        <f aca="false">F1625*E1625</f>
        <v>825</v>
      </c>
      <c r="K1625" s="0" t="str">
        <f aca="false">IF(G1625&lt;1000,"1-Low",IF(G1625&lt;5000,"2-Medium","3-Bulk"))</f>
        <v>1-Low</v>
      </c>
      <c r="L1625" s="0" t="str">
        <f aca="false">IF(H1625="TRUE","Out of stock","In stock")</f>
        <v>In stock</v>
      </c>
      <c r="M1625" s="0" t="str">
        <f aca="false">IF(D1625&lt;5,"1) Under 5%",IF(D1625&lt;10,"2) 5-9%",IF(D1625&lt;15,"3) 10-14%",IF(D1625&lt;25,"4) 15-24%","5) 25%+"))))</f>
        <v>3) 10-14%</v>
      </c>
      <c r="N1625" s="0" t="str">
        <f aca="false">IF(F1625&lt;50,"1) Under Rs 50",IF(F1625&lt;100,"2) Rs 50-99",IF(F1625&lt;200,"3) Rs 100-199",IF(F1625&lt;500,"4) Rs 200-499","5) Rs 500+"))))</f>
        <v>3) Rs 100-199</v>
      </c>
      <c r="O1625" s="0" t="n">
        <f aca="false">G1625*E1625/1000</f>
        <v>1.25</v>
      </c>
    </row>
    <row r="1626" customFormat="false" ht="15" hidden="false" customHeight="false" outlineLevel="0" collapsed="false">
      <c r="A1626" s="0" t="s">
        <v>121</v>
      </c>
      <c r="B1626" s="0" t="s">
        <v>987</v>
      </c>
      <c r="C1626" s="0" t="n">
        <v>595</v>
      </c>
      <c r="D1626" s="0" t="n">
        <v>9</v>
      </c>
      <c r="E1626" s="0" t="n">
        <v>2</v>
      </c>
      <c r="F1626" s="0" t="n">
        <v>536</v>
      </c>
      <c r="G1626" s="0" t="n">
        <v>500</v>
      </c>
      <c r="H1626" s="0" t="s">
        <v>145</v>
      </c>
      <c r="I1626" s="0" t="n">
        <v>500</v>
      </c>
      <c r="J1626" s="0" t="n">
        <f aca="false">F1626*E1626</f>
        <v>1072</v>
      </c>
      <c r="K1626" s="0" t="str">
        <f aca="false">IF(G1626&lt;1000,"1-Low",IF(G1626&lt;5000,"2-Medium","3-Bulk"))</f>
        <v>1-Low</v>
      </c>
      <c r="L1626" s="0" t="str">
        <f aca="false">IF(H1626="TRUE","Out of stock","In stock")</f>
        <v>In stock</v>
      </c>
      <c r="M1626" s="0" t="str">
        <f aca="false">IF(D1626&lt;5,"1) Under 5%",IF(D1626&lt;10,"2) 5-9%",IF(D1626&lt;15,"3) 10-14%",IF(D1626&lt;25,"4) 15-24%","5) 25%+"))))</f>
        <v>2) 5-9%</v>
      </c>
      <c r="N1626" s="0" t="str">
        <f aca="false">IF(F1626&lt;50,"1) Under Rs 50",IF(F1626&lt;100,"2) Rs 50-99",IF(F1626&lt;200,"3) Rs 100-199",IF(F1626&lt;500,"4) Rs 200-499","5) Rs 500+"))))</f>
        <v>5) Rs 500+</v>
      </c>
      <c r="O1626" s="0" t="n">
        <f aca="false">G1626*E1626/1000</f>
        <v>1</v>
      </c>
    </row>
    <row r="1627" customFormat="false" ht="15" hidden="false" customHeight="false" outlineLevel="0" collapsed="false">
      <c r="A1627" s="0" t="s">
        <v>121</v>
      </c>
      <c r="B1627" s="0" t="s">
        <v>562</v>
      </c>
      <c r="C1627" s="0" t="n">
        <v>195</v>
      </c>
      <c r="D1627" s="0" t="n">
        <v>9</v>
      </c>
      <c r="E1627" s="0" t="n">
        <v>5</v>
      </c>
      <c r="F1627" s="0" t="n">
        <v>176</v>
      </c>
      <c r="G1627" s="0" t="n">
        <v>500</v>
      </c>
      <c r="H1627" s="0" t="s">
        <v>145</v>
      </c>
      <c r="I1627" s="0" t="n">
        <v>500</v>
      </c>
      <c r="J1627" s="0" t="n">
        <f aca="false">F1627*E1627</f>
        <v>880</v>
      </c>
      <c r="K1627" s="0" t="str">
        <f aca="false">IF(G1627&lt;1000,"1-Low",IF(G1627&lt;5000,"2-Medium","3-Bulk"))</f>
        <v>1-Low</v>
      </c>
      <c r="L1627" s="0" t="str">
        <f aca="false">IF(H1627="TRUE","Out of stock","In stock")</f>
        <v>In stock</v>
      </c>
      <c r="M1627" s="0" t="str">
        <f aca="false">IF(D1627&lt;5,"1) Under 5%",IF(D1627&lt;10,"2) 5-9%",IF(D1627&lt;15,"3) 10-14%",IF(D1627&lt;25,"4) 15-24%","5) 25%+"))))</f>
        <v>2) 5-9%</v>
      </c>
      <c r="N1627" s="0" t="str">
        <f aca="false">IF(F1627&lt;50,"1) Under Rs 50",IF(F1627&lt;100,"2) Rs 50-99",IF(F1627&lt;200,"3) Rs 100-199",IF(F1627&lt;500,"4) Rs 200-499","5) Rs 500+"))))</f>
        <v>3) Rs 100-199</v>
      </c>
      <c r="O1627" s="0" t="n">
        <f aca="false">G1627*E1627/1000</f>
        <v>2.5</v>
      </c>
    </row>
    <row r="1628" customFormat="false" ht="15" hidden="false" customHeight="false" outlineLevel="0" collapsed="false">
      <c r="A1628" s="0" t="s">
        <v>121</v>
      </c>
      <c r="B1628" s="0" t="s">
        <v>988</v>
      </c>
      <c r="C1628" s="0" t="n">
        <v>200</v>
      </c>
      <c r="D1628" s="0" t="n">
        <v>0</v>
      </c>
      <c r="E1628" s="0" t="n">
        <v>5</v>
      </c>
      <c r="F1628" s="0" t="n">
        <v>200</v>
      </c>
      <c r="G1628" s="0" t="n">
        <v>130</v>
      </c>
      <c r="H1628" s="0" t="s">
        <v>145</v>
      </c>
      <c r="I1628" s="0" t="n">
        <v>130</v>
      </c>
      <c r="J1628" s="0" t="n">
        <f aca="false">F1628*E1628</f>
        <v>1000</v>
      </c>
      <c r="K1628" s="0" t="str">
        <f aca="false">IF(G1628&lt;1000,"1-Low",IF(G1628&lt;5000,"2-Medium","3-Bulk"))</f>
        <v>1-Low</v>
      </c>
      <c r="L1628" s="0" t="str">
        <f aca="false">IF(H1628="TRUE","Out of stock","In stock")</f>
        <v>In stock</v>
      </c>
      <c r="M1628" s="0" t="str">
        <f aca="false">IF(D1628&lt;5,"1) Under 5%",IF(D1628&lt;10,"2) 5-9%",IF(D1628&lt;15,"3) 10-14%",IF(D1628&lt;25,"4) 15-24%","5) 25%+"))))</f>
        <v>1) Under 5%</v>
      </c>
      <c r="N1628" s="0" t="str">
        <f aca="false">IF(F1628&lt;50,"1) Under Rs 50",IF(F1628&lt;100,"2) Rs 50-99",IF(F1628&lt;200,"3) Rs 100-199",IF(F1628&lt;500,"4) Rs 200-499","5) Rs 500+"))))</f>
        <v>4) Rs 200-499</v>
      </c>
      <c r="O1628" s="0" t="n">
        <f aca="false">G1628*E1628/1000</f>
        <v>0.65</v>
      </c>
    </row>
    <row r="1629" customFormat="false" ht="15" hidden="false" customHeight="false" outlineLevel="0" collapsed="false">
      <c r="A1629" s="0" t="s">
        <v>121</v>
      </c>
      <c r="B1629" s="0" t="s">
        <v>989</v>
      </c>
      <c r="C1629" s="0" t="n">
        <v>499</v>
      </c>
      <c r="D1629" s="0" t="n">
        <v>0</v>
      </c>
      <c r="E1629" s="0" t="n">
        <v>5</v>
      </c>
      <c r="F1629" s="0" t="n">
        <v>499</v>
      </c>
      <c r="G1629" s="0" t="n">
        <v>750</v>
      </c>
      <c r="H1629" s="0" t="s">
        <v>145</v>
      </c>
      <c r="I1629" s="0" t="n">
        <v>750</v>
      </c>
      <c r="J1629" s="0" t="n">
        <f aca="false">F1629*E1629</f>
        <v>2495</v>
      </c>
      <c r="K1629" s="0" t="str">
        <f aca="false">IF(G1629&lt;1000,"1-Low",IF(G1629&lt;5000,"2-Medium","3-Bulk"))</f>
        <v>1-Low</v>
      </c>
      <c r="L1629" s="0" t="str">
        <f aca="false">IF(H1629="TRUE","Out of stock","In stock")</f>
        <v>In stock</v>
      </c>
      <c r="M1629" s="0" t="str">
        <f aca="false">IF(D1629&lt;5,"1) Under 5%",IF(D1629&lt;10,"2) 5-9%",IF(D1629&lt;15,"3) 10-14%",IF(D1629&lt;25,"4) 15-24%","5) 25%+"))))</f>
        <v>1) Under 5%</v>
      </c>
      <c r="N1629" s="0" t="str">
        <f aca="false">IF(F1629&lt;50,"1) Under Rs 50",IF(F1629&lt;100,"2) Rs 50-99",IF(F1629&lt;200,"3) Rs 100-199",IF(F1629&lt;500,"4) Rs 200-499","5) Rs 500+"))))</f>
        <v>4) Rs 200-499</v>
      </c>
      <c r="O1629" s="0" t="n">
        <f aca="false">G1629*E1629/1000</f>
        <v>3.75</v>
      </c>
    </row>
    <row r="1630" customFormat="false" ht="15" hidden="false" customHeight="false" outlineLevel="0" collapsed="false">
      <c r="A1630" s="0" t="s">
        <v>121</v>
      </c>
      <c r="B1630" s="0" t="s">
        <v>990</v>
      </c>
      <c r="C1630" s="0" t="n">
        <v>110</v>
      </c>
      <c r="D1630" s="0" t="n">
        <v>30</v>
      </c>
      <c r="E1630" s="0" t="n">
        <v>6</v>
      </c>
      <c r="F1630" s="0" t="n">
        <v>77</v>
      </c>
      <c r="G1630" s="0" t="n">
        <v>285</v>
      </c>
      <c r="H1630" s="0" t="s">
        <v>145</v>
      </c>
      <c r="I1630" s="0" t="n">
        <v>285</v>
      </c>
      <c r="J1630" s="0" t="n">
        <f aca="false">F1630*E1630</f>
        <v>462</v>
      </c>
      <c r="K1630" s="0" t="str">
        <f aca="false">IF(G1630&lt;1000,"1-Low",IF(G1630&lt;5000,"2-Medium","3-Bulk"))</f>
        <v>1-Low</v>
      </c>
      <c r="L1630" s="0" t="str">
        <f aca="false">IF(H1630="TRUE","Out of stock","In stock")</f>
        <v>In stock</v>
      </c>
      <c r="M1630" s="0" t="str">
        <f aca="false">IF(D1630&lt;5,"1) Under 5%",IF(D1630&lt;10,"2) 5-9%",IF(D1630&lt;15,"3) 10-14%",IF(D1630&lt;25,"4) 15-24%","5) 25%+"))))</f>
        <v>5) 25%+</v>
      </c>
      <c r="N1630" s="0" t="str">
        <f aca="false">IF(F1630&lt;50,"1) Under Rs 50",IF(F1630&lt;100,"2) Rs 50-99",IF(F1630&lt;200,"3) Rs 100-199",IF(F1630&lt;500,"4) Rs 200-499","5) Rs 500+"))))</f>
        <v>2) Rs 50-99</v>
      </c>
      <c r="O1630" s="0" t="n">
        <f aca="false">G1630*E1630/1000</f>
        <v>1.71</v>
      </c>
    </row>
    <row r="1631" customFormat="false" ht="15" hidden="false" customHeight="false" outlineLevel="0" collapsed="false">
      <c r="A1631" s="0" t="s">
        <v>121</v>
      </c>
      <c r="B1631" s="0" t="s">
        <v>991</v>
      </c>
      <c r="C1631" s="0" t="n">
        <v>169</v>
      </c>
      <c r="D1631" s="0" t="n">
        <v>5</v>
      </c>
      <c r="E1631" s="0" t="n">
        <v>6</v>
      </c>
      <c r="F1631" s="0" t="n">
        <v>160</v>
      </c>
      <c r="G1631" s="0" t="n">
        <v>250</v>
      </c>
      <c r="H1631" s="0" t="s">
        <v>145</v>
      </c>
      <c r="I1631" s="0" t="n">
        <v>250</v>
      </c>
      <c r="J1631" s="0" t="n">
        <f aca="false">F1631*E1631</f>
        <v>960</v>
      </c>
      <c r="K1631" s="0" t="str">
        <f aca="false">IF(G1631&lt;1000,"1-Low",IF(G1631&lt;5000,"2-Medium","3-Bulk"))</f>
        <v>1-Low</v>
      </c>
      <c r="L1631" s="0" t="str">
        <f aca="false">IF(H1631="TRUE","Out of stock","In stock")</f>
        <v>In stock</v>
      </c>
      <c r="M1631" s="0" t="str">
        <f aca="false">IF(D1631&lt;5,"1) Under 5%",IF(D1631&lt;10,"2) 5-9%",IF(D1631&lt;15,"3) 10-14%",IF(D1631&lt;25,"4) 15-24%","5) 25%+"))))</f>
        <v>2) 5-9%</v>
      </c>
      <c r="N1631" s="0" t="str">
        <f aca="false">IF(F1631&lt;50,"1) Under Rs 50",IF(F1631&lt;100,"2) Rs 50-99",IF(F1631&lt;200,"3) Rs 100-199",IF(F1631&lt;500,"4) Rs 200-499","5) Rs 500+"))))</f>
        <v>3) Rs 100-199</v>
      </c>
      <c r="O1631" s="0" t="n">
        <f aca="false">G1631*E1631/1000</f>
        <v>1.5</v>
      </c>
    </row>
    <row r="1632" customFormat="false" ht="15" hidden="false" customHeight="false" outlineLevel="0" collapsed="false">
      <c r="A1632" s="0" t="s">
        <v>121</v>
      </c>
      <c r="B1632" s="0" t="s">
        <v>992</v>
      </c>
      <c r="C1632" s="0" t="n">
        <v>325</v>
      </c>
      <c r="D1632" s="0" t="n">
        <v>15</v>
      </c>
      <c r="E1632" s="0" t="n">
        <v>6</v>
      </c>
      <c r="F1632" s="0" t="n">
        <v>276</v>
      </c>
      <c r="G1632" s="0" t="n">
        <v>200</v>
      </c>
      <c r="H1632" s="0" t="s">
        <v>145</v>
      </c>
      <c r="I1632" s="0" t="n">
        <v>200</v>
      </c>
      <c r="J1632" s="0" t="n">
        <f aca="false">F1632*E1632</f>
        <v>1656</v>
      </c>
      <c r="K1632" s="0" t="str">
        <f aca="false">IF(G1632&lt;1000,"1-Low",IF(G1632&lt;5000,"2-Medium","3-Bulk"))</f>
        <v>1-Low</v>
      </c>
      <c r="L1632" s="0" t="str">
        <f aca="false">IF(H1632="TRUE","Out of stock","In stock")</f>
        <v>In stock</v>
      </c>
      <c r="M1632" s="0" t="str">
        <f aca="false">IF(D1632&lt;5,"1) Under 5%",IF(D1632&lt;10,"2) 5-9%",IF(D1632&lt;15,"3) 10-14%",IF(D1632&lt;25,"4) 15-24%","5) 25%+"))))</f>
        <v>4) 15-24%</v>
      </c>
      <c r="N1632" s="0" t="str">
        <f aca="false">IF(F1632&lt;50,"1) Under Rs 50",IF(F1632&lt;100,"2) Rs 50-99",IF(F1632&lt;200,"3) Rs 100-199",IF(F1632&lt;500,"4) Rs 200-499","5) Rs 500+"))))</f>
        <v>4) Rs 200-499</v>
      </c>
      <c r="O1632" s="0" t="n">
        <f aca="false">G1632*E1632/1000</f>
        <v>1.2</v>
      </c>
    </row>
    <row r="1633" customFormat="false" ht="15" hidden="false" customHeight="false" outlineLevel="0" collapsed="false">
      <c r="A1633" s="0" t="s">
        <v>121</v>
      </c>
      <c r="B1633" s="0" t="s">
        <v>993</v>
      </c>
      <c r="C1633" s="0" t="n">
        <v>410</v>
      </c>
      <c r="D1633" s="0" t="n">
        <v>0</v>
      </c>
      <c r="E1633" s="0" t="n">
        <v>1</v>
      </c>
      <c r="F1633" s="0" t="n">
        <v>410</v>
      </c>
      <c r="G1633" s="0" t="n">
        <v>1200</v>
      </c>
      <c r="H1633" s="0" t="s">
        <v>145</v>
      </c>
      <c r="I1633" s="0" t="n">
        <v>1</v>
      </c>
      <c r="J1633" s="0" t="n">
        <f aca="false">F1633*E1633</f>
        <v>410</v>
      </c>
      <c r="K1633" s="0" t="str">
        <f aca="false">IF(G1633&lt;1000,"1-Low",IF(G1633&lt;5000,"2-Medium","3-Bulk"))</f>
        <v>2-Medium</v>
      </c>
      <c r="L1633" s="0" t="str">
        <f aca="false">IF(H1633="TRUE","Out of stock","In stock")</f>
        <v>In stock</v>
      </c>
      <c r="M1633" s="0" t="str">
        <f aca="false">IF(D1633&lt;5,"1) Under 5%",IF(D1633&lt;10,"2) 5-9%",IF(D1633&lt;15,"3) 10-14%",IF(D1633&lt;25,"4) 15-24%","5) 25%+"))))</f>
        <v>1) Under 5%</v>
      </c>
      <c r="N1633" s="0" t="str">
        <f aca="false">IF(F1633&lt;50,"1) Under Rs 50",IF(F1633&lt;100,"2) Rs 50-99",IF(F1633&lt;200,"3) Rs 100-199",IF(F1633&lt;500,"4) Rs 200-499","5) Rs 500+"))))</f>
        <v>4) Rs 200-499</v>
      </c>
      <c r="O1633" s="0" t="n">
        <f aca="false">G1633*E1633/1000</f>
        <v>1.2</v>
      </c>
    </row>
    <row r="1634" customFormat="false" ht="15" hidden="false" customHeight="false" outlineLevel="0" collapsed="false">
      <c r="A1634" s="0" t="s">
        <v>121</v>
      </c>
      <c r="B1634" s="0" t="s">
        <v>994</v>
      </c>
      <c r="C1634" s="0" t="n">
        <v>200</v>
      </c>
      <c r="D1634" s="0" t="n">
        <v>30</v>
      </c>
      <c r="E1634" s="0" t="n">
        <v>4</v>
      </c>
      <c r="F1634" s="0" t="n">
        <v>140</v>
      </c>
      <c r="G1634" s="0" t="n">
        <v>285</v>
      </c>
      <c r="H1634" s="0" t="s">
        <v>145</v>
      </c>
      <c r="I1634" s="0" t="n">
        <v>285</v>
      </c>
      <c r="J1634" s="0" t="n">
        <f aca="false">F1634*E1634</f>
        <v>560</v>
      </c>
      <c r="K1634" s="0" t="str">
        <f aca="false">IF(G1634&lt;1000,"1-Low",IF(G1634&lt;5000,"2-Medium","3-Bulk"))</f>
        <v>1-Low</v>
      </c>
      <c r="L1634" s="0" t="str">
        <f aca="false">IF(H1634="TRUE","Out of stock","In stock")</f>
        <v>In stock</v>
      </c>
      <c r="M1634" s="0" t="str">
        <f aca="false">IF(D1634&lt;5,"1) Under 5%",IF(D1634&lt;10,"2) 5-9%",IF(D1634&lt;15,"3) 10-14%",IF(D1634&lt;25,"4) 15-24%","5) 25%+"))))</f>
        <v>5) 25%+</v>
      </c>
      <c r="N1634" s="0" t="str">
        <f aca="false">IF(F1634&lt;50,"1) Under Rs 50",IF(F1634&lt;100,"2) Rs 50-99",IF(F1634&lt;200,"3) Rs 100-199",IF(F1634&lt;500,"4) Rs 200-499","5) Rs 500+"))))</f>
        <v>3) Rs 100-199</v>
      </c>
      <c r="O1634" s="0" t="n">
        <f aca="false">G1634*E1634/1000</f>
        <v>1.14</v>
      </c>
    </row>
    <row r="1635" customFormat="false" ht="15" hidden="false" customHeight="false" outlineLevel="0" collapsed="false">
      <c r="A1635" s="0" t="s">
        <v>121</v>
      </c>
      <c r="B1635" s="0" t="s">
        <v>995</v>
      </c>
      <c r="C1635" s="0" t="n">
        <v>299</v>
      </c>
      <c r="D1635" s="0" t="n">
        <v>10</v>
      </c>
      <c r="E1635" s="0" t="n">
        <v>6</v>
      </c>
      <c r="F1635" s="0" t="n">
        <v>269</v>
      </c>
      <c r="G1635" s="0" t="n">
        <v>400</v>
      </c>
      <c r="H1635" s="0" t="s">
        <v>145</v>
      </c>
      <c r="I1635" s="0" t="n">
        <v>400</v>
      </c>
      <c r="J1635" s="0" t="n">
        <f aca="false">F1635*E1635</f>
        <v>1614</v>
      </c>
      <c r="K1635" s="0" t="str">
        <f aca="false">IF(G1635&lt;1000,"1-Low",IF(G1635&lt;5000,"2-Medium","3-Bulk"))</f>
        <v>1-Low</v>
      </c>
      <c r="L1635" s="0" t="str">
        <f aca="false">IF(H1635="TRUE","Out of stock","In stock")</f>
        <v>In stock</v>
      </c>
      <c r="M1635" s="0" t="str">
        <f aca="false">IF(D1635&lt;5,"1) Under 5%",IF(D1635&lt;10,"2) 5-9%",IF(D1635&lt;15,"3) 10-14%",IF(D1635&lt;25,"4) 15-24%","5) 25%+"))))</f>
        <v>3) 10-14%</v>
      </c>
      <c r="N1635" s="0" t="str">
        <f aca="false">IF(F1635&lt;50,"1) Under Rs 50",IF(F1635&lt;100,"2) Rs 50-99",IF(F1635&lt;200,"3) Rs 100-199",IF(F1635&lt;500,"4) Rs 200-499","5) Rs 500+"))))</f>
        <v>4) Rs 200-499</v>
      </c>
      <c r="O1635" s="0" t="n">
        <f aca="false">G1635*E1635/1000</f>
        <v>2.4</v>
      </c>
    </row>
    <row r="1636" customFormat="false" ht="15" hidden="false" customHeight="false" outlineLevel="0" collapsed="false">
      <c r="A1636" s="0" t="s">
        <v>121</v>
      </c>
      <c r="B1636" s="0" t="s">
        <v>996</v>
      </c>
      <c r="C1636" s="0" t="n">
        <v>40</v>
      </c>
      <c r="D1636" s="0" t="n">
        <v>0</v>
      </c>
      <c r="E1636" s="0" t="n">
        <v>6</v>
      </c>
      <c r="F1636" s="0" t="n">
        <v>40</v>
      </c>
      <c r="G1636" s="0" t="n">
        <v>46</v>
      </c>
      <c r="H1636" s="0" t="s">
        <v>145</v>
      </c>
      <c r="I1636" s="0" t="n">
        <v>46</v>
      </c>
      <c r="J1636" s="0" t="n">
        <f aca="false">F1636*E1636</f>
        <v>240</v>
      </c>
      <c r="K1636" s="0" t="str">
        <f aca="false">IF(G1636&lt;1000,"1-Low",IF(G1636&lt;5000,"2-Medium","3-Bulk"))</f>
        <v>1-Low</v>
      </c>
      <c r="L1636" s="0" t="str">
        <f aca="false">IF(H1636="TRUE","Out of stock","In stock")</f>
        <v>In stock</v>
      </c>
      <c r="M1636" s="0" t="str">
        <f aca="false">IF(D1636&lt;5,"1) Under 5%",IF(D1636&lt;10,"2) 5-9%",IF(D1636&lt;15,"3) 10-14%",IF(D1636&lt;25,"4) 15-24%","5) 25%+"))))</f>
        <v>1) Under 5%</v>
      </c>
      <c r="N1636" s="0" t="str">
        <f aca="false">IF(F1636&lt;50,"1) Under Rs 50",IF(F1636&lt;100,"2) Rs 50-99",IF(F1636&lt;200,"3) Rs 100-199",IF(F1636&lt;500,"4) Rs 200-499","5) Rs 500+"))))</f>
        <v>1) Under Rs 50</v>
      </c>
      <c r="O1636" s="0" t="n">
        <f aca="false">G1636*E1636/1000</f>
        <v>0.276</v>
      </c>
    </row>
    <row r="1637" customFormat="false" ht="15" hidden="false" customHeight="false" outlineLevel="0" collapsed="false">
      <c r="A1637" s="0" t="s">
        <v>121</v>
      </c>
      <c r="B1637" s="0" t="s">
        <v>997</v>
      </c>
      <c r="C1637" s="0" t="n">
        <v>425</v>
      </c>
      <c r="D1637" s="0" t="n">
        <v>9</v>
      </c>
      <c r="E1637" s="0" t="n">
        <v>3</v>
      </c>
      <c r="F1637" s="0" t="n">
        <v>383</v>
      </c>
      <c r="G1637" s="0" t="n">
        <v>750</v>
      </c>
      <c r="H1637" s="0" t="s">
        <v>145</v>
      </c>
      <c r="I1637" s="0" t="n">
        <v>750</v>
      </c>
      <c r="J1637" s="0" t="n">
        <f aca="false">F1637*E1637</f>
        <v>1149</v>
      </c>
      <c r="K1637" s="0" t="str">
        <f aca="false">IF(G1637&lt;1000,"1-Low",IF(G1637&lt;5000,"2-Medium","3-Bulk"))</f>
        <v>1-Low</v>
      </c>
      <c r="L1637" s="0" t="str">
        <f aca="false">IF(H1637="TRUE","Out of stock","In stock")</f>
        <v>In stock</v>
      </c>
      <c r="M1637" s="0" t="str">
        <f aca="false">IF(D1637&lt;5,"1) Under 5%",IF(D1637&lt;10,"2) 5-9%",IF(D1637&lt;15,"3) 10-14%",IF(D1637&lt;25,"4) 15-24%","5) 25%+"))))</f>
        <v>2) 5-9%</v>
      </c>
      <c r="N1637" s="0" t="str">
        <f aca="false">IF(F1637&lt;50,"1) Under Rs 50",IF(F1637&lt;100,"2) Rs 50-99",IF(F1637&lt;200,"3) Rs 100-199",IF(F1637&lt;500,"4) Rs 200-499","5) Rs 500+"))))</f>
        <v>4) Rs 200-499</v>
      </c>
      <c r="O1637" s="0" t="n">
        <f aca="false">G1637*E1637/1000</f>
        <v>2.25</v>
      </c>
    </row>
    <row r="1638" customFormat="false" ht="15" hidden="false" customHeight="false" outlineLevel="0" collapsed="false">
      <c r="A1638" s="0" t="s">
        <v>121</v>
      </c>
      <c r="B1638" s="0" t="s">
        <v>564</v>
      </c>
      <c r="C1638" s="0" t="n">
        <v>110</v>
      </c>
      <c r="D1638" s="0" t="n">
        <v>30</v>
      </c>
      <c r="E1638" s="0" t="n">
        <v>6</v>
      </c>
      <c r="F1638" s="0" t="n">
        <v>77</v>
      </c>
      <c r="G1638" s="0" t="n">
        <v>285</v>
      </c>
      <c r="H1638" s="0" t="s">
        <v>145</v>
      </c>
      <c r="I1638" s="0" t="n">
        <v>285</v>
      </c>
      <c r="J1638" s="0" t="n">
        <f aca="false">F1638*E1638</f>
        <v>462</v>
      </c>
      <c r="K1638" s="0" t="str">
        <f aca="false">IF(G1638&lt;1000,"1-Low",IF(G1638&lt;5000,"2-Medium","3-Bulk"))</f>
        <v>1-Low</v>
      </c>
      <c r="L1638" s="0" t="str">
        <f aca="false">IF(H1638="TRUE","Out of stock","In stock")</f>
        <v>In stock</v>
      </c>
      <c r="M1638" s="0" t="str">
        <f aca="false">IF(D1638&lt;5,"1) Under 5%",IF(D1638&lt;10,"2) 5-9%",IF(D1638&lt;15,"3) 10-14%",IF(D1638&lt;25,"4) 15-24%","5) 25%+"))))</f>
        <v>5) 25%+</v>
      </c>
      <c r="N1638" s="0" t="str">
        <f aca="false">IF(F1638&lt;50,"1) Under Rs 50",IF(F1638&lt;100,"2) Rs 50-99",IF(F1638&lt;200,"3) Rs 100-199",IF(F1638&lt;500,"4) Rs 200-499","5) Rs 500+"))))</f>
        <v>2) Rs 50-99</v>
      </c>
      <c r="O1638" s="0" t="n">
        <f aca="false">G1638*E1638/1000</f>
        <v>1.71</v>
      </c>
    </row>
    <row r="1639" customFormat="false" ht="15" hidden="false" customHeight="false" outlineLevel="0" collapsed="false">
      <c r="A1639" s="0" t="s">
        <v>121</v>
      </c>
      <c r="B1639" s="0" t="s">
        <v>772</v>
      </c>
      <c r="C1639" s="0" t="n">
        <v>215</v>
      </c>
      <c r="D1639" s="0" t="n">
        <v>20</v>
      </c>
      <c r="E1639" s="0" t="n">
        <v>6</v>
      </c>
      <c r="F1639" s="0" t="n">
        <v>172</v>
      </c>
      <c r="G1639" s="0" t="n">
        <v>325</v>
      </c>
      <c r="H1639" s="0" t="s">
        <v>145</v>
      </c>
      <c r="I1639" s="0" t="n">
        <v>325</v>
      </c>
      <c r="J1639" s="0" t="n">
        <f aca="false">F1639*E1639</f>
        <v>1032</v>
      </c>
      <c r="K1639" s="0" t="str">
        <f aca="false">IF(G1639&lt;1000,"1-Low",IF(G1639&lt;5000,"2-Medium","3-Bulk"))</f>
        <v>1-Low</v>
      </c>
      <c r="L1639" s="0" t="str">
        <f aca="false">IF(H1639="TRUE","Out of stock","In stock")</f>
        <v>In stock</v>
      </c>
      <c r="M1639" s="0" t="str">
        <f aca="false">IF(D1639&lt;5,"1) Under 5%",IF(D1639&lt;10,"2) 5-9%",IF(D1639&lt;15,"3) 10-14%",IF(D1639&lt;25,"4) 15-24%","5) 25%+"))))</f>
        <v>4) 15-24%</v>
      </c>
      <c r="N1639" s="0" t="str">
        <f aca="false">IF(F1639&lt;50,"1) Under Rs 50",IF(F1639&lt;100,"2) Rs 50-99",IF(F1639&lt;200,"3) Rs 100-199",IF(F1639&lt;500,"4) Rs 200-499","5) Rs 500+"))))</f>
        <v>3) Rs 100-199</v>
      </c>
      <c r="O1639" s="0" t="n">
        <f aca="false">G1639*E1639/1000</f>
        <v>1.95</v>
      </c>
    </row>
    <row r="1640" customFormat="false" ht="15" hidden="false" customHeight="false" outlineLevel="0" collapsed="false">
      <c r="A1640" s="0" t="s">
        <v>121</v>
      </c>
      <c r="B1640" s="0" t="s">
        <v>998</v>
      </c>
      <c r="C1640" s="0" t="n">
        <v>230</v>
      </c>
      <c r="D1640" s="0" t="n">
        <v>0</v>
      </c>
      <c r="E1640" s="0" t="n">
        <v>6</v>
      </c>
      <c r="F1640" s="0" t="n">
        <v>230</v>
      </c>
      <c r="G1640" s="0" t="n">
        <v>241</v>
      </c>
      <c r="H1640" s="0" t="s">
        <v>145</v>
      </c>
      <c r="I1640" s="0" t="n">
        <v>241</v>
      </c>
      <c r="J1640" s="0" t="n">
        <f aca="false">F1640*E1640</f>
        <v>1380</v>
      </c>
      <c r="K1640" s="0" t="str">
        <f aca="false">IF(G1640&lt;1000,"1-Low",IF(G1640&lt;5000,"2-Medium","3-Bulk"))</f>
        <v>1-Low</v>
      </c>
      <c r="L1640" s="0" t="str">
        <f aca="false">IF(H1640="TRUE","Out of stock","In stock")</f>
        <v>In stock</v>
      </c>
      <c r="M1640" s="0" t="str">
        <f aca="false">IF(D1640&lt;5,"1) Under 5%",IF(D1640&lt;10,"2) 5-9%",IF(D1640&lt;15,"3) 10-14%",IF(D1640&lt;25,"4) 15-24%","5) 25%+"))))</f>
        <v>1) Under 5%</v>
      </c>
      <c r="N1640" s="0" t="str">
        <f aca="false">IF(F1640&lt;50,"1) Under Rs 50",IF(F1640&lt;100,"2) Rs 50-99",IF(F1640&lt;200,"3) Rs 100-199",IF(F1640&lt;500,"4) Rs 200-499","5) Rs 500+"))))</f>
        <v>4) Rs 200-499</v>
      </c>
      <c r="O1640" s="0" t="n">
        <f aca="false">G1640*E1640/1000</f>
        <v>1.446</v>
      </c>
    </row>
    <row r="1641" customFormat="false" ht="15" hidden="false" customHeight="false" outlineLevel="0" collapsed="false">
      <c r="A1641" s="0" t="s">
        <v>121</v>
      </c>
      <c r="B1641" s="0" t="s">
        <v>980</v>
      </c>
      <c r="C1641" s="0" t="n">
        <v>105</v>
      </c>
      <c r="D1641" s="0" t="n">
        <v>0</v>
      </c>
      <c r="E1641" s="0" t="n">
        <v>6</v>
      </c>
      <c r="F1641" s="0" t="n">
        <v>105</v>
      </c>
      <c r="G1641" s="0" t="n">
        <v>425</v>
      </c>
      <c r="H1641" s="0" t="s">
        <v>145</v>
      </c>
      <c r="I1641" s="0" t="n">
        <v>425</v>
      </c>
      <c r="J1641" s="0" t="n">
        <f aca="false">F1641*E1641</f>
        <v>630</v>
      </c>
      <c r="K1641" s="0" t="str">
        <f aca="false">IF(G1641&lt;1000,"1-Low",IF(G1641&lt;5000,"2-Medium","3-Bulk"))</f>
        <v>1-Low</v>
      </c>
      <c r="L1641" s="0" t="str">
        <f aca="false">IF(H1641="TRUE","Out of stock","In stock")</f>
        <v>In stock</v>
      </c>
      <c r="M1641" s="0" t="str">
        <f aca="false">IF(D1641&lt;5,"1) Under 5%",IF(D1641&lt;10,"2) 5-9%",IF(D1641&lt;15,"3) 10-14%",IF(D1641&lt;25,"4) 15-24%","5) 25%+"))))</f>
        <v>1) Under 5%</v>
      </c>
      <c r="N1641" s="0" t="str">
        <f aca="false">IF(F1641&lt;50,"1) Under Rs 50",IF(F1641&lt;100,"2) Rs 50-99",IF(F1641&lt;200,"3) Rs 100-199",IF(F1641&lt;500,"4) Rs 200-499","5) Rs 500+"))))</f>
        <v>3) Rs 100-199</v>
      </c>
      <c r="O1641" s="0" t="n">
        <f aca="false">G1641*E1641/1000</f>
        <v>2.55</v>
      </c>
    </row>
    <row r="1642" customFormat="false" ht="15" hidden="false" customHeight="false" outlineLevel="0" collapsed="false">
      <c r="A1642" s="0" t="s">
        <v>121</v>
      </c>
      <c r="B1642" s="0" t="s">
        <v>999</v>
      </c>
      <c r="C1642" s="0" t="n">
        <v>595</v>
      </c>
      <c r="D1642" s="0" t="n">
        <v>0</v>
      </c>
      <c r="E1642" s="0" t="n">
        <v>1</v>
      </c>
      <c r="F1642" s="0" t="n">
        <v>595</v>
      </c>
      <c r="G1642" s="0" t="n">
        <v>1000</v>
      </c>
      <c r="H1642" s="0" t="s">
        <v>145</v>
      </c>
      <c r="I1642" s="0" t="n">
        <v>1</v>
      </c>
      <c r="J1642" s="0" t="n">
        <f aca="false">F1642*E1642</f>
        <v>595</v>
      </c>
      <c r="K1642" s="0" t="str">
        <f aca="false">IF(G1642&lt;1000,"1-Low",IF(G1642&lt;5000,"2-Medium","3-Bulk"))</f>
        <v>2-Medium</v>
      </c>
      <c r="L1642" s="0" t="str">
        <f aca="false">IF(H1642="TRUE","Out of stock","In stock")</f>
        <v>In stock</v>
      </c>
      <c r="M1642" s="0" t="str">
        <f aca="false">IF(D1642&lt;5,"1) Under 5%",IF(D1642&lt;10,"2) 5-9%",IF(D1642&lt;15,"3) 10-14%",IF(D1642&lt;25,"4) 15-24%","5) 25%+"))))</f>
        <v>1) Under 5%</v>
      </c>
      <c r="N1642" s="0" t="str">
        <f aca="false">IF(F1642&lt;50,"1) Under Rs 50",IF(F1642&lt;100,"2) Rs 50-99",IF(F1642&lt;200,"3) Rs 100-199",IF(F1642&lt;500,"4) Rs 200-499","5) Rs 500+"))))</f>
        <v>5) Rs 500+</v>
      </c>
      <c r="O1642" s="0" t="n">
        <f aca="false">G1642*E1642/1000</f>
        <v>1</v>
      </c>
    </row>
    <row r="1643" customFormat="false" ht="15" hidden="false" customHeight="false" outlineLevel="0" collapsed="false">
      <c r="A1643" s="0" t="s">
        <v>121</v>
      </c>
      <c r="B1643" s="0" t="s">
        <v>1000</v>
      </c>
      <c r="C1643" s="0" t="n">
        <v>15</v>
      </c>
      <c r="D1643" s="0" t="n">
        <v>0</v>
      </c>
      <c r="E1643" s="0" t="n">
        <v>3</v>
      </c>
      <c r="F1643" s="0" t="n">
        <v>15</v>
      </c>
      <c r="G1643" s="0" t="n">
        <v>20</v>
      </c>
      <c r="H1643" s="0" t="s">
        <v>145</v>
      </c>
      <c r="I1643" s="0" t="n">
        <v>20</v>
      </c>
      <c r="J1643" s="0" t="n">
        <f aca="false">F1643*E1643</f>
        <v>45</v>
      </c>
      <c r="K1643" s="0" t="str">
        <f aca="false">IF(G1643&lt;1000,"1-Low",IF(G1643&lt;5000,"2-Medium","3-Bulk"))</f>
        <v>1-Low</v>
      </c>
      <c r="L1643" s="0" t="str">
        <f aca="false">IF(H1643="TRUE","Out of stock","In stock")</f>
        <v>In stock</v>
      </c>
      <c r="M1643" s="0" t="str">
        <f aca="false">IF(D1643&lt;5,"1) Under 5%",IF(D1643&lt;10,"2) 5-9%",IF(D1643&lt;15,"3) 10-14%",IF(D1643&lt;25,"4) 15-24%","5) 25%+"))))</f>
        <v>1) Under 5%</v>
      </c>
      <c r="N1643" s="0" t="str">
        <f aca="false">IF(F1643&lt;50,"1) Under Rs 50",IF(F1643&lt;100,"2) Rs 50-99",IF(F1643&lt;200,"3) Rs 100-199",IF(F1643&lt;500,"4) Rs 200-499","5) Rs 500+"))))</f>
        <v>1) Under Rs 50</v>
      </c>
      <c r="O1643" s="0" t="n">
        <f aca="false">G1643*E1643/1000</f>
        <v>0.06</v>
      </c>
    </row>
    <row r="1644" customFormat="false" ht="15" hidden="false" customHeight="false" outlineLevel="0" collapsed="false">
      <c r="A1644" s="0" t="s">
        <v>121</v>
      </c>
      <c r="B1644" s="0" t="s">
        <v>1001</v>
      </c>
      <c r="C1644" s="0" t="n">
        <v>140</v>
      </c>
      <c r="D1644" s="0" t="n">
        <v>5</v>
      </c>
      <c r="E1644" s="0" t="n">
        <v>1</v>
      </c>
      <c r="F1644" s="0" t="n">
        <v>133</v>
      </c>
      <c r="G1644" s="0" t="n">
        <v>290</v>
      </c>
      <c r="H1644" s="0" t="s">
        <v>145</v>
      </c>
      <c r="I1644" s="0" t="n">
        <v>290</v>
      </c>
      <c r="J1644" s="0" t="n">
        <f aca="false">F1644*E1644</f>
        <v>133</v>
      </c>
      <c r="K1644" s="0" t="str">
        <f aca="false">IF(G1644&lt;1000,"1-Low",IF(G1644&lt;5000,"2-Medium","3-Bulk"))</f>
        <v>1-Low</v>
      </c>
      <c r="L1644" s="0" t="str">
        <f aca="false">IF(H1644="TRUE","Out of stock","In stock")</f>
        <v>In stock</v>
      </c>
      <c r="M1644" s="0" t="str">
        <f aca="false">IF(D1644&lt;5,"1) Under 5%",IF(D1644&lt;10,"2) 5-9%",IF(D1644&lt;15,"3) 10-14%",IF(D1644&lt;25,"4) 15-24%","5) 25%+"))))</f>
        <v>2) 5-9%</v>
      </c>
      <c r="N1644" s="0" t="str">
        <f aca="false">IF(F1644&lt;50,"1) Under Rs 50",IF(F1644&lt;100,"2) Rs 50-99",IF(F1644&lt;200,"3) Rs 100-199",IF(F1644&lt;500,"4) Rs 200-499","5) Rs 500+"))))</f>
        <v>3) Rs 100-199</v>
      </c>
      <c r="O1644" s="0" t="n">
        <f aca="false">G1644*E1644/1000</f>
        <v>0.29</v>
      </c>
    </row>
    <row r="1645" customFormat="false" ht="15" hidden="false" customHeight="false" outlineLevel="0" collapsed="false">
      <c r="A1645" s="0" t="s">
        <v>121</v>
      </c>
      <c r="B1645" s="0" t="s">
        <v>1002</v>
      </c>
      <c r="C1645" s="0" t="n">
        <v>280</v>
      </c>
      <c r="D1645" s="0" t="n">
        <v>50</v>
      </c>
      <c r="E1645" s="0" t="n">
        <v>5</v>
      </c>
      <c r="F1645" s="0" t="n">
        <v>140</v>
      </c>
      <c r="G1645" s="0" t="n">
        <v>175</v>
      </c>
      <c r="H1645" s="0" t="s">
        <v>145</v>
      </c>
      <c r="I1645" s="0" t="n">
        <v>175</v>
      </c>
      <c r="J1645" s="0" t="n">
        <f aca="false">F1645*E1645</f>
        <v>700</v>
      </c>
      <c r="K1645" s="0" t="str">
        <f aca="false">IF(G1645&lt;1000,"1-Low",IF(G1645&lt;5000,"2-Medium","3-Bulk"))</f>
        <v>1-Low</v>
      </c>
      <c r="L1645" s="0" t="str">
        <f aca="false">IF(H1645="TRUE","Out of stock","In stock")</f>
        <v>In stock</v>
      </c>
      <c r="M1645" s="0" t="str">
        <f aca="false">IF(D1645&lt;5,"1) Under 5%",IF(D1645&lt;10,"2) 5-9%",IF(D1645&lt;15,"3) 10-14%",IF(D1645&lt;25,"4) 15-24%","5) 25%+"))))</f>
        <v>5) 25%+</v>
      </c>
      <c r="N1645" s="0" t="str">
        <f aca="false">IF(F1645&lt;50,"1) Under Rs 50",IF(F1645&lt;100,"2) Rs 50-99",IF(F1645&lt;200,"3) Rs 100-199",IF(F1645&lt;500,"4) Rs 200-499","5) Rs 500+"))))</f>
        <v>3) Rs 100-199</v>
      </c>
      <c r="O1645" s="0" t="n">
        <f aca="false">G1645*E1645/1000</f>
        <v>0.875</v>
      </c>
    </row>
    <row r="1646" customFormat="false" ht="15" hidden="false" customHeight="false" outlineLevel="0" collapsed="false">
      <c r="A1646" s="0" t="s">
        <v>121</v>
      </c>
      <c r="B1646" s="0" t="s">
        <v>1003</v>
      </c>
      <c r="C1646" s="0" t="n">
        <v>175</v>
      </c>
      <c r="D1646" s="0" t="n">
        <v>4</v>
      </c>
      <c r="E1646" s="0" t="n">
        <v>6</v>
      </c>
      <c r="F1646" s="0" t="n">
        <v>167</v>
      </c>
      <c r="G1646" s="0" t="n">
        <v>150</v>
      </c>
      <c r="H1646" s="0" t="s">
        <v>145</v>
      </c>
      <c r="I1646" s="0" t="n">
        <v>150</v>
      </c>
      <c r="J1646" s="0" t="n">
        <f aca="false">F1646*E1646</f>
        <v>1002</v>
      </c>
      <c r="K1646" s="0" t="str">
        <f aca="false">IF(G1646&lt;1000,"1-Low",IF(G1646&lt;5000,"2-Medium","3-Bulk"))</f>
        <v>1-Low</v>
      </c>
      <c r="L1646" s="0" t="str">
        <f aca="false">IF(H1646="TRUE","Out of stock","In stock")</f>
        <v>In stock</v>
      </c>
      <c r="M1646" s="0" t="str">
        <f aca="false">IF(D1646&lt;5,"1) Under 5%",IF(D1646&lt;10,"2) 5-9%",IF(D1646&lt;15,"3) 10-14%",IF(D1646&lt;25,"4) 15-24%","5) 25%+"))))</f>
        <v>1) Under 5%</v>
      </c>
      <c r="N1646" s="0" t="str">
        <f aca="false">IF(F1646&lt;50,"1) Under Rs 50",IF(F1646&lt;100,"2) Rs 50-99",IF(F1646&lt;200,"3) Rs 100-199",IF(F1646&lt;500,"4) Rs 200-499","5) Rs 500+"))))</f>
        <v>3) Rs 100-199</v>
      </c>
      <c r="O1646" s="0" t="n">
        <f aca="false">G1646*E1646/1000</f>
        <v>0.9</v>
      </c>
    </row>
    <row r="1647" customFormat="false" ht="15" hidden="false" customHeight="false" outlineLevel="0" collapsed="false">
      <c r="A1647" s="0" t="s">
        <v>121</v>
      </c>
      <c r="B1647" s="0" t="s">
        <v>1004</v>
      </c>
      <c r="C1647" s="0" t="n">
        <v>105</v>
      </c>
      <c r="D1647" s="0" t="n">
        <v>0</v>
      </c>
      <c r="E1647" s="0" t="n">
        <v>4</v>
      </c>
      <c r="F1647" s="0" t="n">
        <v>105</v>
      </c>
      <c r="G1647" s="0" t="n">
        <v>440</v>
      </c>
      <c r="H1647" s="0" t="s">
        <v>145</v>
      </c>
      <c r="I1647" s="0" t="n">
        <v>440</v>
      </c>
      <c r="J1647" s="0" t="n">
        <f aca="false">F1647*E1647</f>
        <v>420</v>
      </c>
      <c r="K1647" s="0" t="str">
        <f aca="false">IF(G1647&lt;1000,"1-Low",IF(G1647&lt;5000,"2-Medium","3-Bulk"))</f>
        <v>1-Low</v>
      </c>
      <c r="L1647" s="0" t="str">
        <f aca="false">IF(H1647="TRUE","Out of stock","In stock")</f>
        <v>In stock</v>
      </c>
      <c r="M1647" s="0" t="str">
        <f aca="false">IF(D1647&lt;5,"1) Under 5%",IF(D1647&lt;10,"2) 5-9%",IF(D1647&lt;15,"3) 10-14%",IF(D1647&lt;25,"4) 15-24%","5) 25%+"))))</f>
        <v>1) Under 5%</v>
      </c>
      <c r="N1647" s="0" t="str">
        <f aca="false">IF(F1647&lt;50,"1) Under Rs 50",IF(F1647&lt;100,"2) Rs 50-99",IF(F1647&lt;200,"3) Rs 100-199",IF(F1647&lt;500,"4) Rs 200-499","5) Rs 500+"))))</f>
        <v>3) Rs 100-199</v>
      </c>
      <c r="O1647" s="0" t="n">
        <f aca="false">G1647*E1647/1000</f>
        <v>1.76</v>
      </c>
    </row>
    <row r="1648" customFormat="false" ht="15" hidden="false" customHeight="false" outlineLevel="0" collapsed="false">
      <c r="A1648" s="0" t="s">
        <v>121</v>
      </c>
      <c r="B1648" s="0" t="s">
        <v>1005</v>
      </c>
      <c r="C1648" s="0" t="n">
        <v>55</v>
      </c>
      <c r="D1648" s="0" t="n">
        <v>0</v>
      </c>
      <c r="E1648" s="0" t="n">
        <v>5</v>
      </c>
      <c r="F1648" s="0" t="n">
        <v>55</v>
      </c>
      <c r="G1648" s="0" t="n">
        <v>55</v>
      </c>
      <c r="H1648" s="0" t="s">
        <v>145</v>
      </c>
      <c r="I1648" s="0" t="n">
        <v>55</v>
      </c>
      <c r="J1648" s="0" t="n">
        <f aca="false">F1648*E1648</f>
        <v>275</v>
      </c>
      <c r="K1648" s="0" t="str">
        <f aca="false">IF(G1648&lt;1000,"1-Low",IF(G1648&lt;5000,"2-Medium","3-Bulk"))</f>
        <v>1-Low</v>
      </c>
      <c r="L1648" s="0" t="str">
        <f aca="false">IF(H1648="TRUE","Out of stock","In stock")</f>
        <v>In stock</v>
      </c>
      <c r="M1648" s="0" t="str">
        <f aca="false">IF(D1648&lt;5,"1) Under 5%",IF(D1648&lt;10,"2) 5-9%",IF(D1648&lt;15,"3) 10-14%",IF(D1648&lt;25,"4) 15-24%","5) 25%+"))))</f>
        <v>1) Under 5%</v>
      </c>
      <c r="N1648" s="0" t="str">
        <f aca="false">IF(F1648&lt;50,"1) Under Rs 50",IF(F1648&lt;100,"2) Rs 50-99",IF(F1648&lt;200,"3) Rs 100-199",IF(F1648&lt;500,"4) Rs 200-499","5) Rs 500+"))))</f>
        <v>2) Rs 50-99</v>
      </c>
      <c r="O1648" s="0" t="n">
        <f aca="false">G1648*E1648/1000</f>
        <v>0.275</v>
      </c>
    </row>
    <row r="1649" customFormat="false" ht="15" hidden="false" customHeight="false" outlineLevel="0" collapsed="false">
      <c r="A1649" s="0" t="s">
        <v>121</v>
      </c>
      <c r="B1649" s="0" t="s">
        <v>1006</v>
      </c>
      <c r="C1649" s="0" t="n">
        <v>200</v>
      </c>
      <c r="D1649" s="0" t="n">
        <v>0</v>
      </c>
      <c r="E1649" s="0" t="n">
        <v>6</v>
      </c>
      <c r="F1649" s="0" t="n">
        <v>200</v>
      </c>
      <c r="G1649" s="0" t="n">
        <v>130</v>
      </c>
      <c r="H1649" s="0" t="s">
        <v>145</v>
      </c>
      <c r="I1649" s="0" t="n">
        <v>130</v>
      </c>
      <c r="J1649" s="0" t="n">
        <f aca="false">F1649*E1649</f>
        <v>1200</v>
      </c>
      <c r="K1649" s="0" t="str">
        <f aca="false">IF(G1649&lt;1000,"1-Low",IF(G1649&lt;5000,"2-Medium","3-Bulk"))</f>
        <v>1-Low</v>
      </c>
      <c r="L1649" s="0" t="str">
        <f aca="false">IF(H1649="TRUE","Out of stock","In stock")</f>
        <v>In stock</v>
      </c>
      <c r="M1649" s="0" t="str">
        <f aca="false">IF(D1649&lt;5,"1) Under 5%",IF(D1649&lt;10,"2) 5-9%",IF(D1649&lt;15,"3) 10-14%",IF(D1649&lt;25,"4) 15-24%","5) 25%+"))))</f>
        <v>1) Under 5%</v>
      </c>
      <c r="N1649" s="0" t="str">
        <f aca="false">IF(F1649&lt;50,"1) Under Rs 50",IF(F1649&lt;100,"2) Rs 50-99",IF(F1649&lt;200,"3) Rs 100-199",IF(F1649&lt;500,"4) Rs 200-499","5) Rs 500+"))))</f>
        <v>4) Rs 200-499</v>
      </c>
      <c r="O1649" s="0" t="n">
        <f aca="false">G1649*E1649/1000</f>
        <v>0.78</v>
      </c>
    </row>
    <row r="1650" customFormat="false" ht="15" hidden="false" customHeight="false" outlineLevel="0" collapsed="false">
      <c r="A1650" s="0" t="s">
        <v>121</v>
      </c>
      <c r="B1650" s="0" t="s">
        <v>1007</v>
      </c>
      <c r="C1650" s="0" t="n">
        <v>55</v>
      </c>
      <c r="D1650" s="0" t="n">
        <v>30</v>
      </c>
      <c r="E1650" s="0" t="n">
        <v>5</v>
      </c>
      <c r="F1650" s="0" t="n">
        <v>38</v>
      </c>
      <c r="G1650" s="0" t="n">
        <v>80</v>
      </c>
      <c r="H1650" s="0" t="s">
        <v>145</v>
      </c>
      <c r="I1650" s="0" t="n">
        <v>80</v>
      </c>
      <c r="J1650" s="0" t="n">
        <f aca="false">F1650*E1650</f>
        <v>190</v>
      </c>
      <c r="K1650" s="0" t="str">
        <f aca="false">IF(G1650&lt;1000,"1-Low",IF(G1650&lt;5000,"2-Medium","3-Bulk"))</f>
        <v>1-Low</v>
      </c>
      <c r="L1650" s="0" t="str">
        <f aca="false">IF(H1650="TRUE","Out of stock","In stock")</f>
        <v>In stock</v>
      </c>
      <c r="M1650" s="0" t="str">
        <f aca="false">IF(D1650&lt;5,"1) Under 5%",IF(D1650&lt;10,"2) 5-9%",IF(D1650&lt;15,"3) 10-14%",IF(D1650&lt;25,"4) 15-24%","5) 25%+"))))</f>
        <v>5) 25%+</v>
      </c>
      <c r="N1650" s="0" t="str">
        <f aca="false">IF(F1650&lt;50,"1) Under Rs 50",IF(F1650&lt;100,"2) Rs 50-99",IF(F1650&lt;200,"3) Rs 100-199",IF(F1650&lt;500,"4) Rs 200-499","5) Rs 500+"))))</f>
        <v>1) Under Rs 50</v>
      </c>
      <c r="O1650" s="0" t="n">
        <f aca="false">G1650*E1650/1000</f>
        <v>0.4</v>
      </c>
    </row>
    <row r="1651" customFormat="false" ht="15" hidden="false" customHeight="false" outlineLevel="0" collapsed="false">
      <c r="A1651" s="0" t="s">
        <v>121</v>
      </c>
      <c r="B1651" s="0" t="s">
        <v>1008</v>
      </c>
      <c r="C1651" s="0" t="n">
        <v>250</v>
      </c>
      <c r="D1651" s="0" t="n">
        <v>0</v>
      </c>
      <c r="E1651" s="0" t="n">
        <v>1</v>
      </c>
      <c r="F1651" s="0" t="n">
        <v>250</v>
      </c>
      <c r="G1651" s="0" t="n">
        <v>450</v>
      </c>
      <c r="H1651" s="0" t="s">
        <v>145</v>
      </c>
      <c r="I1651" s="0" t="n">
        <v>450</v>
      </c>
      <c r="J1651" s="0" t="n">
        <f aca="false">F1651*E1651</f>
        <v>250</v>
      </c>
      <c r="K1651" s="0" t="str">
        <f aca="false">IF(G1651&lt;1000,"1-Low",IF(G1651&lt;5000,"2-Medium","3-Bulk"))</f>
        <v>1-Low</v>
      </c>
      <c r="L1651" s="0" t="str">
        <f aca="false">IF(H1651="TRUE","Out of stock","In stock")</f>
        <v>In stock</v>
      </c>
      <c r="M1651" s="0" t="str">
        <f aca="false">IF(D1651&lt;5,"1) Under 5%",IF(D1651&lt;10,"2) 5-9%",IF(D1651&lt;15,"3) 10-14%",IF(D1651&lt;25,"4) 15-24%","5) 25%+"))))</f>
        <v>1) Under 5%</v>
      </c>
      <c r="N1651" s="0" t="str">
        <f aca="false">IF(F1651&lt;50,"1) Under Rs 50",IF(F1651&lt;100,"2) Rs 50-99",IF(F1651&lt;200,"3) Rs 100-199",IF(F1651&lt;500,"4) Rs 200-499","5) Rs 500+"))))</f>
        <v>4) Rs 200-499</v>
      </c>
      <c r="O1651" s="0" t="n">
        <f aca="false">G1651*E1651/1000</f>
        <v>0.45</v>
      </c>
    </row>
    <row r="1652" customFormat="false" ht="15" hidden="false" customHeight="false" outlineLevel="0" collapsed="false">
      <c r="A1652" s="0" t="s">
        <v>121</v>
      </c>
      <c r="B1652" s="0" t="s">
        <v>1009</v>
      </c>
      <c r="C1652" s="0" t="n">
        <v>220</v>
      </c>
      <c r="D1652" s="0" t="n">
        <v>30</v>
      </c>
      <c r="E1652" s="0" t="n">
        <v>5</v>
      </c>
      <c r="F1652" s="0" t="n">
        <v>154</v>
      </c>
      <c r="G1652" s="0" t="n">
        <v>285</v>
      </c>
      <c r="H1652" s="0" t="s">
        <v>145</v>
      </c>
      <c r="I1652" s="0" t="n">
        <v>285</v>
      </c>
      <c r="J1652" s="0" t="n">
        <f aca="false">F1652*E1652</f>
        <v>770</v>
      </c>
      <c r="K1652" s="0" t="str">
        <f aca="false">IF(G1652&lt;1000,"1-Low",IF(G1652&lt;5000,"2-Medium","3-Bulk"))</f>
        <v>1-Low</v>
      </c>
      <c r="L1652" s="0" t="str">
        <f aca="false">IF(H1652="TRUE","Out of stock","In stock")</f>
        <v>In stock</v>
      </c>
      <c r="M1652" s="0" t="str">
        <f aca="false">IF(D1652&lt;5,"1) Under 5%",IF(D1652&lt;10,"2) 5-9%",IF(D1652&lt;15,"3) 10-14%",IF(D1652&lt;25,"4) 15-24%","5) 25%+"))))</f>
        <v>5) 25%+</v>
      </c>
      <c r="N1652" s="0" t="str">
        <f aca="false">IF(F1652&lt;50,"1) Under Rs 50",IF(F1652&lt;100,"2) Rs 50-99",IF(F1652&lt;200,"3) Rs 100-199",IF(F1652&lt;500,"4) Rs 200-499","5) Rs 500+"))))</f>
        <v>3) Rs 100-199</v>
      </c>
      <c r="O1652" s="0" t="n">
        <f aca="false">G1652*E1652/1000</f>
        <v>1.425</v>
      </c>
    </row>
    <row r="1653" customFormat="false" ht="15" hidden="false" customHeight="false" outlineLevel="0" collapsed="false">
      <c r="A1653" s="0" t="s">
        <v>121</v>
      </c>
      <c r="B1653" s="0" t="s">
        <v>1010</v>
      </c>
      <c r="C1653" s="0" t="n">
        <v>288</v>
      </c>
      <c r="D1653" s="0" t="n">
        <v>0</v>
      </c>
      <c r="E1653" s="0" t="n">
        <v>6</v>
      </c>
      <c r="F1653" s="0" t="n">
        <v>288</v>
      </c>
      <c r="G1653" s="0" t="n">
        <v>300</v>
      </c>
      <c r="H1653" s="0" t="s">
        <v>145</v>
      </c>
      <c r="I1653" s="0" t="n">
        <v>300</v>
      </c>
      <c r="J1653" s="0" t="n">
        <f aca="false">F1653*E1653</f>
        <v>1728</v>
      </c>
      <c r="K1653" s="0" t="str">
        <f aca="false">IF(G1653&lt;1000,"1-Low",IF(G1653&lt;5000,"2-Medium","3-Bulk"))</f>
        <v>1-Low</v>
      </c>
      <c r="L1653" s="0" t="str">
        <f aca="false">IF(H1653="TRUE","Out of stock","In stock")</f>
        <v>In stock</v>
      </c>
      <c r="M1653" s="0" t="str">
        <f aca="false">IF(D1653&lt;5,"1) Under 5%",IF(D1653&lt;10,"2) 5-9%",IF(D1653&lt;15,"3) 10-14%",IF(D1653&lt;25,"4) 15-24%","5) 25%+"))))</f>
        <v>1) Under 5%</v>
      </c>
      <c r="N1653" s="0" t="str">
        <f aca="false">IF(F1653&lt;50,"1) Under Rs 50",IF(F1653&lt;100,"2) Rs 50-99",IF(F1653&lt;200,"3) Rs 100-199",IF(F1653&lt;500,"4) Rs 200-499","5) Rs 500+"))))</f>
        <v>4) Rs 200-499</v>
      </c>
      <c r="O1653" s="0" t="n">
        <f aca="false">G1653*E1653/1000</f>
        <v>1.8</v>
      </c>
    </row>
    <row r="1654" customFormat="false" ht="15" hidden="false" customHeight="false" outlineLevel="0" collapsed="false">
      <c r="A1654" s="0" t="s">
        <v>121</v>
      </c>
      <c r="B1654" s="0" t="s">
        <v>1011</v>
      </c>
      <c r="C1654" s="0" t="n">
        <v>325</v>
      </c>
      <c r="D1654" s="0" t="n">
        <v>20</v>
      </c>
      <c r="E1654" s="0" t="n">
        <v>6</v>
      </c>
      <c r="F1654" s="0" t="n">
        <v>260</v>
      </c>
      <c r="G1654" s="0" t="n">
        <v>350</v>
      </c>
      <c r="H1654" s="0" t="s">
        <v>145</v>
      </c>
      <c r="I1654" s="0" t="n">
        <v>350</v>
      </c>
      <c r="J1654" s="0" t="n">
        <f aca="false">F1654*E1654</f>
        <v>1560</v>
      </c>
      <c r="K1654" s="0" t="str">
        <f aca="false">IF(G1654&lt;1000,"1-Low",IF(G1654&lt;5000,"2-Medium","3-Bulk"))</f>
        <v>1-Low</v>
      </c>
      <c r="L1654" s="0" t="str">
        <f aca="false">IF(H1654="TRUE","Out of stock","In stock")</f>
        <v>In stock</v>
      </c>
      <c r="M1654" s="0" t="str">
        <f aca="false">IF(D1654&lt;5,"1) Under 5%",IF(D1654&lt;10,"2) 5-9%",IF(D1654&lt;15,"3) 10-14%",IF(D1654&lt;25,"4) 15-24%","5) 25%+"))))</f>
        <v>4) 15-24%</v>
      </c>
      <c r="N1654" s="0" t="str">
        <f aca="false">IF(F1654&lt;50,"1) Under Rs 50",IF(F1654&lt;100,"2) Rs 50-99",IF(F1654&lt;200,"3) Rs 100-199",IF(F1654&lt;500,"4) Rs 200-499","5) Rs 500+"))))</f>
        <v>4) Rs 200-499</v>
      </c>
      <c r="O1654" s="0" t="n">
        <f aca="false">G1654*E1654/1000</f>
        <v>2.1</v>
      </c>
    </row>
    <row r="1655" customFormat="false" ht="15" hidden="false" customHeight="false" outlineLevel="0" collapsed="false">
      <c r="A1655" s="0" t="s">
        <v>121</v>
      </c>
      <c r="B1655" s="0" t="s">
        <v>1012</v>
      </c>
      <c r="C1655" s="0" t="n">
        <v>200</v>
      </c>
      <c r="D1655" s="0" t="n">
        <v>0</v>
      </c>
      <c r="E1655" s="0" t="n">
        <v>6</v>
      </c>
      <c r="F1655" s="0" t="n">
        <v>200</v>
      </c>
      <c r="G1655" s="0" t="n">
        <v>130</v>
      </c>
      <c r="H1655" s="0" t="s">
        <v>145</v>
      </c>
      <c r="I1655" s="0" t="n">
        <v>130</v>
      </c>
      <c r="J1655" s="0" t="n">
        <f aca="false">F1655*E1655</f>
        <v>1200</v>
      </c>
      <c r="K1655" s="0" t="str">
        <f aca="false">IF(G1655&lt;1000,"1-Low",IF(G1655&lt;5000,"2-Medium","3-Bulk"))</f>
        <v>1-Low</v>
      </c>
      <c r="L1655" s="0" t="str">
        <f aca="false">IF(H1655="TRUE","Out of stock","In stock")</f>
        <v>In stock</v>
      </c>
      <c r="M1655" s="0" t="str">
        <f aca="false">IF(D1655&lt;5,"1) Under 5%",IF(D1655&lt;10,"2) 5-9%",IF(D1655&lt;15,"3) 10-14%",IF(D1655&lt;25,"4) 15-24%","5) 25%+"))))</f>
        <v>1) Under 5%</v>
      </c>
      <c r="N1655" s="0" t="str">
        <f aca="false">IF(F1655&lt;50,"1) Under Rs 50",IF(F1655&lt;100,"2) Rs 50-99",IF(F1655&lt;200,"3) Rs 100-199",IF(F1655&lt;500,"4) Rs 200-499","5) Rs 500+"))))</f>
        <v>4) Rs 200-499</v>
      </c>
      <c r="O1655" s="0" t="n">
        <f aca="false">G1655*E1655/1000</f>
        <v>0.78</v>
      </c>
    </row>
    <row r="1656" customFormat="false" ht="15" hidden="false" customHeight="false" outlineLevel="0" collapsed="false">
      <c r="A1656" s="0" t="s">
        <v>121</v>
      </c>
      <c r="B1656" s="0" t="s">
        <v>1013</v>
      </c>
      <c r="C1656" s="0" t="n">
        <v>75</v>
      </c>
      <c r="D1656" s="0" t="n">
        <v>0</v>
      </c>
      <c r="E1656" s="0" t="n">
        <v>6</v>
      </c>
      <c r="F1656" s="0" t="n">
        <v>75</v>
      </c>
      <c r="G1656" s="0" t="n">
        <v>70</v>
      </c>
      <c r="H1656" s="0" t="s">
        <v>145</v>
      </c>
      <c r="I1656" s="0" t="n">
        <v>70</v>
      </c>
      <c r="J1656" s="0" t="n">
        <f aca="false">F1656*E1656</f>
        <v>450</v>
      </c>
      <c r="K1656" s="0" t="str">
        <f aca="false">IF(G1656&lt;1000,"1-Low",IF(G1656&lt;5000,"2-Medium","3-Bulk"))</f>
        <v>1-Low</v>
      </c>
      <c r="L1656" s="0" t="str">
        <f aca="false">IF(H1656="TRUE","Out of stock","In stock")</f>
        <v>In stock</v>
      </c>
      <c r="M1656" s="0" t="str">
        <f aca="false">IF(D1656&lt;5,"1) Under 5%",IF(D1656&lt;10,"2) 5-9%",IF(D1656&lt;15,"3) 10-14%",IF(D1656&lt;25,"4) 15-24%","5) 25%+"))))</f>
        <v>1) Under 5%</v>
      </c>
      <c r="N1656" s="0" t="str">
        <f aca="false">IF(F1656&lt;50,"1) Under Rs 50",IF(F1656&lt;100,"2) Rs 50-99",IF(F1656&lt;200,"3) Rs 100-199",IF(F1656&lt;500,"4) Rs 200-499","5) Rs 500+"))))</f>
        <v>2) Rs 50-99</v>
      </c>
      <c r="O1656" s="0" t="n">
        <f aca="false">G1656*E1656/1000</f>
        <v>0.42</v>
      </c>
    </row>
    <row r="1657" customFormat="false" ht="15" hidden="false" customHeight="false" outlineLevel="0" collapsed="false">
      <c r="A1657" s="0" t="s">
        <v>121</v>
      </c>
      <c r="B1657" s="0" t="s">
        <v>1014</v>
      </c>
      <c r="C1657" s="0" t="n">
        <v>120</v>
      </c>
      <c r="D1657" s="0" t="n">
        <v>0</v>
      </c>
      <c r="E1657" s="0" t="n">
        <v>1</v>
      </c>
      <c r="F1657" s="0" t="n">
        <v>120</v>
      </c>
      <c r="G1657" s="0" t="n">
        <v>400</v>
      </c>
      <c r="H1657" s="0" t="s">
        <v>145</v>
      </c>
      <c r="I1657" s="0" t="n">
        <v>400</v>
      </c>
      <c r="J1657" s="0" t="n">
        <f aca="false">F1657*E1657</f>
        <v>120</v>
      </c>
      <c r="K1657" s="0" t="str">
        <f aca="false">IF(G1657&lt;1000,"1-Low",IF(G1657&lt;5000,"2-Medium","3-Bulk"))</f>
        <v>1-Low</v>
      </c>
      <c r="L1657" s="0" t="str">
        <f aca="false">IF(H1657="TRUE","Out of stock","In stock")</f>
        <v>In stock</v>
      </c>
      <c r="M1657" s="0" t="str">
        <f aca="false">IF(D1657&lt;5,"1) Under 5%",IF(D1657&lt;10,"2) 5-9%",IF(D1657&lt;15,"3) 10-14%",IF(D1657&lt;25,"4) 15-24%","5) 25%+"))))</f>
        <v>1) Under 5%</v>
      </c>
      <c r="N1657" s="0" t="str">
        <f aca="false">IF(F1657&lt;50,"1) Under Rs 50",IF(F1657&lt;100,"2) Rs 50-99",IF(F1657&lt;200,"3) Rs 100-199",IF(F1657&lt;500,"4) Rs 200-499","5) Rs 500+"))))</f>
        <v>3) Rs 100-199</v>
      </c>
      <c r="O1657" s="0" t="n">
        <f aca="false">G1657*E1657/1000</f>
        <v>0.4</v>
      </c>
    </row>
    <row r="1658" customFormat="false" ht="15" hidden="false" customHeight="false" outlineLevel="0" collapsed="false">
      <c r="A1658" s="0" t="s">
        <v>121</v>
      </c>
      <c r="B1658" s="0" t="s">
        <v>1015</v>
      </c>
      <c r="C1658" s="0" t="n">
        <v>200</v>
      </c>
      <c r="D1658" s="0" t="n">
        <v>0</v>
      </c>
      <c r="E1658" s="0" t="n">
        <v>6</v>
      </c>
      <c r="F1658" s="0" t="n">
        <v>200</v>
      </c>
      <c r="G1658" s="0" t="n">
        <v>130</v>
      </c>
      <c r="H1658" s="0" t="s">
        <v>145</v>
      </c>
      <c r="I1658" s="0" t="n">
        <v>130</v>
      </c>
      <c r="J1658" s="0" t="n">
        <f aca="false">F1658*E1658</f>
        <v>1200</v>
      </c>
      <c r="K1658" s="0" t="str">
        <f aca="false">IF(G1658&lt;1000,"1-Low",IF(G1658&lt;5000,"2-Medium","3-Bulk"))</f>
        <v>1-Low</v>
      </c>
      <c r="L1658" s="0" t="str">
        <f aca="false">IF(H1658="TRUE","Out of stock","In stock")</f>
        <v>In stock</v>
      </c>
      <c r="M1658" s="0" t="str">
        <f aca="false">IF(D1658&lt;5,"1) Under 5%",IF(D1658&lt;10,"2) 5-9%",IF(D1658&lt;15,"3) 10-14%",IF(D1658&lt;25,"4) 15-24%","5) 25%+"))))</f>
        <v>1) Under 5%</v>
      </c>
      <c r="N1658" s="0" t="str">
        <f aca="false">IF(F1658&lt;50,"1) Under Rs 50",IF(F1658&lt;100,"2) Rs 50-99",IF(F1658&lt;200,"3) Rs 100-199",IF(F1658&lt;500,"4) Rs 200-499","5) Rs 500+"))))</f>
        <v>4) Rs 200-499</v>
      </c>
      <c r="O1658" s="0" t="n">
        <f aca="false">G1658*E1658/1000</f>
        <v>0.78</v>
      </c>
    </row>
    <row r="1659" customFormat="false" ht="15" hidden="false" customHeight="false" outlineLevel="0" collapsed="false">
      <c r="A1659" s="0" t="s">
        <v>121</v>
      </c>
      <c r="B1659" s="0" t="s">
        <v>1001</v>
      </c>
      <c r="C1659" s="0" t="n">
        <v>399</v>
      </c>
      <c r="D1659" s="0" t="n">
        <v>11</v>
      </c>
      <c r="E1659" s="0" t="n">
        <v>6</v>
      </c>
      <c r="F1659" s="0" t="n">
        <v>355</v>
      </c>
      <c r="G1659" s="0" t="n">
        <v>900</v>
      </c>
      <c r="H1659" s="0" t="s">
        <v>145</v>
      </c>
      <c r="I1659" s="0" t="n">
        <v>900</v>
      </c>
      <c r="J1659" s="0" t="n">
        <f aca="false">F1659*E1659</f>
        <v>2130</v>
      </c>
      <c r="K1659" s="0" t="str">
        <f aca="false">IF(G1659&lt;1000,"1-Low",IF(G1659&lt;5000,"2-Medium","3-Bulk"))</f>
        <v>1-Low</v>
      </c>
      <c r="L1659" s="0" t="str">
        <f aca="false">IF(H1659="TRUE","Out of stock","In stock")</f>
        <v>In stock</v>
      </c>
      <c r="M1659" s="0" t="str">
        <f aca="false">IF(D1659&lt;5,"1) Under 5%",IF(D1659&lt;10,"2) 5-9%",IF(D1659&lt;15,"3) 10-14%",IF(D1659&lt;25,"4) 15-24%","5) 25%+"))))</f>
        <v>3) 10-14%</v>
      </c>
      <c r="N1659" s="0" t="str">
        <f aca="false">IF(F1659&lt;50,"1) Under Rs 50",IF(F1659&lt;100,"2) Rs 50-99",IF(F1659&lt;200,"3) Rs 100-199",IF(F1659&lt;500,"4) Rs 200-499","5) Rs 500+"))))</f>
        <v>4) Rs 200-499</v>
      </c>
      <c r="O1659" s="0" t="n">
        <f aca="false">G1659*E1659/1000</f>
        <v>5.4</v>
      </c>
    </row>
    <row r="1660" customFormat="false" ht="15" hidden="false" customHeight="false" outlineLevel="0" collapsed="false">
      <c r="A1660" s="0" t="s">
        <v>121</v>
      </c>
      <c r="B1660" s="0" t="s">
        <v>1016</v>
      </c>
      <c r="C1660" s="0" t="n">
        <v>55</v>
      </c>
      <c r="D1660" s="0" t="n">
        <v>0</v>
      </c>
      <c r="E1660" s="0" t="n">
        <v>2</v>
      </c>
      <c r="F1660" s="0" t="n">
        <v>55</v>
      </c>
      <c r="G1660" s="0" t="n">
        <v>42</v>
      </c>
      <c r="H1660" s="0" t="s">
        <v>145</v>
      </c>
      <c r="I1660" s="0" t="n">
        <v>42</v>
      </c>
      <c r="J1660" s="0" t="n">
        <f aca="false">F1660*E1660</f>
        <v>110</v>
      </c>
      <c r="K1660" s="0" t="str">
        <f aca="false">IF(G1660&lt;1000,"1-Low",IF(G1660&lt;5000,"2-Medium","3-Bulk"))</f>
        <v>1-Low</v>
      </c>
      <c r="L1660" s="0" t="str">
        <f aca="false">IF(H1660="TRUE","Out of stock","In stock")</f>
        <v>In stock</v>
      </c>
      <c r="M1660" s="0" t="str">
        <f aca="false">IF(D1660&lt;5,"1) Under 5%",IF(D1660&lt;10,"2) 5-9%",IF(D1660&lt;15,"3) 10-14%",IF(D1660&lt;25,"4) 15-24%","5) 25%+"))))</f>
        <v>1) Under 5%</v>
      </c>
      <c r="N1660" s="0" t="str">
        <f aca="false">IF(F1660&lt;50,"1) Under Rs 50",IF(F1660&lt;100,"2) Rs 50-99",IF(F1660&lt;200,"3) Rs 100-199",IF(F1660&lt;500,"4) Rs 200-499","5) Rs 500+"))))</f>
        <v>2) Rs 50-99</v>
      </c>
      <c r="O1660" s="0" t="n">
        <f aca="false">G1660*E1660/1000</f>
        <v>0.084</v>
      </c>
    </row>
    <row r="1661" customFormat="false" ht="15" hidden="false" customHeight="false" outlineLevel="0" collapsed="false">
      <c r="A1661" s="0" t="s">
        <v>121</v>
      </c>
      <c r="B1661" s="0" t="s">
        <v>1017</v>
      </c>
      <c r="C1661" s="0" t="n">
        <v>55</v>
      </c>
      <c r="D1661" s="0" t="n">
        <v>0</v>
      </c>
      <c r="E1661" s="0" t="n">
        <v>6</v>
      </c>
      <c r="F1661" s="0" t="n">
        <v>55</v>
      </c>
      <c r="G1661" s="0" t="n">
        <v>55</v>
      </c>
      <c r="H1661" s="0" t="s">
        <v>145</v>
      </c>
      <c r="I1661" s="0" t="n">
        <v>55</v>
      </c>
      <c r="J1661" s="0" t="n">
        <f aca="false">F1661*E1661</f>
        <v>330</v>
      </c>
      <c r="K1661" s="0" t="str">
        <f aca="false">IF(G1661&lt;1000,"1-Low",IF(G1661&lt;5000,"2-Medium","3-Bulk"))</f>
        <v>1-Low</v>
      </c>
      <c r="L1661" s="0" t="str">
        <f aca="false">IF(H1661="TRUE","Out of stock","In stock")</f>
        <v>In stock</v>
      </c>
      <c r="M1661" s="0" t="str">
        <f aca="false">IF(D1661&lt;5,"1) Under 5%",IF(D1661&lt;10,"2) 5-9%",IF(D1661&lt;15,"3) 10-14%",IF(D1661&lt;25,"4) 15-24%","5) 25%+"))))</f>
        <v>1) Under 5%</v>
      </c>
      <c r="N1661" s="0" t="str">
        <f aca="false">IF(F1661&lt;50,"1) Under Rs 50",IF(F1661&lt;100,"2) Rs 50-99",IF(F1661&lt;200,"3) Rs 100-199",IF(F1661&lt;500,"4) Rs 200-499","5) Rs 500+"))))</f>
        <v>2) Rs 50-99</v>
      </c>
      <c r="O1661" s="0" t="n">
        <f aca="false">G1661*E1661/1000</f>
        <v>0.33</v>
      </c>
    </row>
    <row r="1662" customFormat="false" ht="15" hidden="false" customHeight="false" outlineLevel="0" collapsed="false">
      <c r="A1662" s="0" t="s">
        <v>121</v>
      </c>
      <c r="B1662" s="0" t="s">
        <v>778</v>
      </c>
      <c r="C1662" s="0" t="n">
        <v>169</v>
      </c>
      <c r="D1662" s="0" t="n">
        <v>0</v>
      </c>
      <c r="E1662" s="0" t="n">
        <v>1</v>
      </c>
      <c r="F1662" s="0" t="n">
        <v>169</v>
      </c>
      <c r="G1662" s="0" t="n">
        <v>400</v>
      </c>
      <c r="H1662" s="0" t="s">
        <v>145</v>
      </c>
      <c r="I1662" s="0" t="n">
        <v>400</v>
      </c>
      <c r="J1662" s="0" t="n">
        <f aca="false">F1662*E1662</f>
        <v>169</v>
      </c>
      <c r="K1662" s="0" t="str">
        <f aca="false">IF(G1662&lt;1000,"1-Low",IF(G1662&lt;5000,"2-Medium","3-Bulk"))</f>
        <v>1-Low</v>
      </c>
      <c r="L1662" s="0" t="str">
        <f aca="false">IF(H1662="TRUE","Out of stock","In stock")</f>
        <v>In stock</v>
      </c>
      <c r="M1662" s="0" t="str">
        <f aca="false">IF(D1662&lt;5,"1) Under 5%",IF(D1662&lt;10,"2) 5-9%",IF(D1662&lt;15,"3) 10-14%",IF(D1662&lt;25,"4) 15-24%","5) 25%+"))))</f>
        <v>1) Under 5%</v>
      </c>
      <c r="N1662" s="0" t="str">
        <f aca="false">IF(F1662&lt;50,"1) Under Rs 50",IF(F1662&lt;100,"2) Rs 50-99",IF(F1662&lt;200,"3) Rs 100-199",IF(F1662&lt;500,"4) Rs 200-499","5) Rs 500+"))))</f>
        <v>3) Rs 100-199</v>
      </c>
      <c r="O1662" s="0" t="n">
        <f aca="false">G1662*E1662/1000</f>
        <v>0.4</v>
      </c>
    </row>
    <row r="1663" customFormat="false" ht="15" hidden="false" customHeight="false" outlineLevel="0" collapsed="false">
      <c r="A1663" s="0" t="s">
        <v>121</v>
      </c>
      <c r="B1663" s="0" t="s">
        <v>130</v>
      </c>
      <c r="C1663" s="0" t="n">
        <v>295</v>
      </c>
      <c r="D1663" s="0" t="n">
        <v>9</v>
      </c>
      <c r="E1663" s="0" t="n">
        <v>6</v>
      </c>
      <c r="F1663" s="0" t="n">
        <v>266</v>
      </c>
      <c r="G1663" s="0" t="n">
        <v>250</v>
      </c>
      <c r="H1663" s="0" t="s">
        <v>145</v>
      </c>
      <c r="I1663" s="0" t="n">
        <v>250</v>
      </c>
      <c r="J1663" s="0" t="n">
        <f aca="false">F1663*E1663</f>
        <v>1596</v>
      </c>
      <c r="K1663" s="0" t="str">
        <f aca="false">IF(G1663&lt;1000,"1-Low",IF(G1663&lt;5000,"2-Medium","3-Bulk"))</f>
        <v>1-Low</v>
      </c>
      <c r="L1663" s="0" t="str">
        <f aca="false">IF(H1663="TRUE","Out of stock","In stock")</f>
        <v>In stock</v>
      </c>
      <c r="M1663" s="0" t="str">
        <f aca="false">IF(D1663&lt;5,"1) Under 5%",IF(D1663&lt;10,"2) 5-9%",IF(D1663&lt;15,"3) 10-14%",IF(D1663&lt;25,"4) 15-24%","5) 25%+"))))</f>
        <v>2) 5-9%</v>
      </c>
      <c r="N1663" s="0" t="str">
        <f aca="false">IF(F1663&lt;50,"1) Under Rs 50",IF(F1663&lt;100,"2) Rs 50-99",IF(F1663&lt;200,"3) Rs 100-199",IF(F1663&lt;500,"4) Rs 200-499","5) Rs 500+"))))</f>
        <v>4) Rs 200-499</v>
      </c>
      <c r="O1663" s="0" t="n">
        <f aca="false">G1663*E1663/1000</f>
        <v>1.5</v>
      </c>
    </row>
    <row r="1664" customFormat="false" ht="15" hidden="false" customHeight="false" outlineLevel="0" collapsed="false">
      <c r="A1664" s="0" t="s">
        <v>121</v>
      </c>
      <c r="B1664" s="0" t="s">
        <v>1018</v>
      </c>
      <c r="C1664" s="0" t="n">
        <v>320</v>
      </c>
      <c r="D1664" s="0" t="n">
        <v>10</v>
      </c>
      <c r="E1664" s="0" t="n">
        <v>5</v>
      </c>
      <c r="F1664" s="0" t="n">
        <v>288</v>
      </c>
      <c r="G1664" s="0" t="n">
        <v>500</v>
      </c>
      <c r="H1664" s="0" t="s">
        <v>145</v>
      </c>
      <c r="I1664" s="0" t="n">
        <v>500</v>
      </c>
      <c r="J1664" s="0" t="n">
        <f aca="false">F1664*E1664</f>
        <v>1440</v>
      </c>
      <c r="K1664" s="0" t="str">
        <f aca="false">IF(G1664&lt;1000,"1-Low",IF(G1664&lt;5000,"2-Medium","3-Bulk"))</f>
        <v>1-Low</v>
      </c>
      <c r="L1664" s="0" t="str">
        <f aca="false">IF(H1664="TRUE","Out of stock","In stock")</f>
        <v>In stock</v>
      </c>
      <c r="M1664" s="0" t="str">
        <f aca="false">IF(D1664&lt;5,"1) Under 5%",IF(D1664&lt;10,"2) 5-9%",IF(D1664&lt;15,"3) 10-14%",IF(D1664&lt;25,"4) 15-24%","5) 25%+"))))</f>
        <v>3) 10-14%</v>
      </c>
      <c r="N1664" s="0" t="str">
        <f aca="false">IF(F1664&lt;50,"1) Under Rs 50",IF(F1664&lt;100,"2) Rs 50-99",IF(F1664&lt;200,"3) Rs 100-199",IF(F1664&lt;500,"4) Rs 200-499","5) Rs 500+"))))</f>
        <v>4) Rs 200-499</v>
      </c>
      <c r="O1664" s="0" t="n">
        <f aca="false">G1664*E1664/1000</f>
        <v>2.5</v>
      </c>
    </row>
    <row r="1665" customFormat="false" ht="15" hidden="false" customHeight="false" outlineLevel="0" collapsed="false">
      <c r="A1665" s="0" t="s">
        <v>121</v>
      </c>
      <c r="B1665" s="0" t="s">
        <v>1019</v>
      </c>
      <c r="C1665" s="0" t="n">
        <v>65</v>
      </c>
      <c r="D1665" s="0" t="n">
        <v>6</v>
      </c>
      <c r="E1665" s="0" t="n">
        <v>6</v>
      </c>
      <c r="F1665" s="0" t="n">
        <v>61</v>
      </c>
      <c r="G1665" s="0" t="n">
        <v>200</v>
      </c>
      <c r="H1665" s="0" t="s">
        <v>145</v>
      </c>
      <c r="I1665" s="0" t="n">
        <v>200</v>
      </c>
      <c r="J1665" s="0" t="n">
        <f aca="false">F1665*E1665</f>
        <v>366</v>
      </c>
      <c r="K1665" s="0" t="str">
        <f aca="false">IF(G1665&lt;1000,"1-Low",IF(G1665&lt;5000,"2-Medium","3-Bulk"))</f>
        <v>1-Low</v>
      </c>
      <c r="L1665" s="0" t="str">
        <f aca="false">IF(H1665="TRUE","Out of stock","In stock")</f>
        <v>In stock</v>
      </c>
      <c r="M1665" s="0" t="str">
        <f aca="false">IF(D1665&lt;5,"1) Under 5%",IF(D1665&lt;10,"2) 5-9%",IF(D1665&lt;15,"3) 10-14%",IF(D1665&lt;25,"4) 15-24%","5) 25%+"))))</f>
        <v>2) 5-9%</v>
      </c>
      <c r="N1665" s="0" t="str">
        <f aca="false">IF(F1665&lt;50,"1) Under Rs 50",IF(F1665&lt;100,"2) Rs 50-99",IF(F1665&lt;200,"3) Rs 100-199",IF(F1665&lt;500,"4) Rs 200-499","5) Rs 500+"))))</f>
        <v>2) Rs 50-99</v>
      </c>
      <c r="O1665" s="0" t="n">
        <f aca="false">G1665*E1665/1000</f>
        <v>1.2</v>
      </c>
    </row>
    <row r="1666" customFormat="false" ht="15" hidden="false" customHeight="false" outlineLevel="0" collapsed="false">
      <c r="A1666" s="0" t="s">
        <v>121</v>
      </c>
      <c r="B1666" s="0" t="s">
        <v>1020</v>
      </c>
      <c r="C1666" s="0" t="n">
        <v>110</v>
      </c>
      <c r="D1666" s="0" t="n">
        <v>30</v>
      </c>
      <c r="E1666" s="0" t="n">
        <v>1</v>
      </c>
      <c r="F1666" s="0" t="n">
        <v>77</v>
      </c>
      <c r="G1666" s="0" t="n">
        <v>285</v>
      </c>
      <c r="H1666" s="0" t="s">
        <v>145</v>
      </c>
      <c r="I1666" s="0" t="n">
        <v>285</v>
      </c>
      <c r="J1666" s="0" t="n">
        <f aca="false">F1666*E1666</f>
        <v>77</v>
      </c>
      <c r="K1666" s="0" t="str">
        <f aca="false">IF(G1666&lt;1000,"1-Low",IF(G1666&lt;5000,"2-Medium","3-Bulk"))</f>
        <v>1-Low</v>
      </c>
      <c r="L1666" s="0" t="str">
        <f aca="false">IF(H1666="TRUE","Out of stock","In stock")</f>
        <v>In stock</v>
      </c>
      <c r="M1666" s="0" t="str">
        <f aca="false">IF(D1666&lt;5,"1) Under 5%",IF(D1666&lt;10,"2) 5-9%",IF(D1666&lt;15,"3) 10-14%",IF(D1666&lt;25,"4) 15-24%","5) 25%+"))))</f>
        <v>5) 25%+</v>
      </c>
      <c r="N1666" s="0" t="str">
        <f aca="false">IF(F1666&lt;50,"1) Under Rs 50",IF(F1666&lt;100,"2) Rs 50-99",IF(F1666&lt;200,"3) Rs 100-199",IF(F1666&lt;500,"4) Rs 200-499","5) Rs 500+"))))</f>
        <v>2) Rs 50-99</v>
      </c>
      <c r="O1666" s="0" t="n">
        <f aca="false">G1666*E1666/1000</f>
        <v>0.285</v>
      </c>
    </row>
    <row r="1667" customFormat="false" ht="15" hidden="false" customHeight="false" outlineLevel="0" collapsed="false">
      <c r="A1667" s="0" t="s">
        <v>121</v>
      </c>
      <c r="B1667" s="0" t="s">
        <v>1013</v>
      </c>
      <c r="C1667" s="0" t="n">
        <v>55</v>
      </c>
      <c r="D1667" s="0" t="n">
        <v>30</v>
      </c>
      <c r="E1667" s="0" t="n">
        <v>6</v>
      </c>
      <c r="F1667" s="0" t="n">
        <v>38</v>
      </c>
      <c r="G1667" s="0" t="n">
        <v>80</v>
      </c>
      <c r="H1667" s="0" t="s">
        <v>145</v>
      </c>
      <c r="I1667" s="0" t="n">
        <v>80</v>
      </c>
      <c r="J1667" s="0" t="n">
        <f aca="false">F1667*E1667</f>
        <v>228</v>
      </c>
      <c r="K1667" s="0" t="str">
        <f aca="false">IF(G1667&lt;1000,"1-Low",IF(G1667&lt;5000,"2-Medium","3-Bulk"))</f>
        <v>1-Low</v>
      </c>
      <c r="L1667" s="0" t="str">
        <f aca="false">IF(H1667="TRUE","Out of stock","In stock")</f>
        <v>In stock</v>
      </c>
      <c r="M1667" s="0" t="str">
        <f aca="false">IF(D1667&lt;5,"1) Under 5%",IF(D1667&lt;10,"2) 5-9%",IF(D1667&lt;15,"3) 10-14%",IF(D1667&lt;25,"4) 15-24%","5) 25%+"))))</f>
        <v>5) 25%+</v>
      </c>
      <c r="N1667" s="0" t="str">
        <f aca="false">IF(F1667&lt;50,"1) Under Rs 50",IF(F1667&lt;100,"2) Rs 50-99",IF(F1667&lt;200,"3) Rs 100-199",IF(F1667&lt;500,"4) Rs 200-499","5) Rs 500+"))))</f>
        <v>1) Under Rs 50</v>
      </c>
      <c r="O1667" s="0" t="n">
        <f aca="false">G1667*E1667/1000</f>
        <v>0.48</v>
      </c>
    </row>
    <row r="1668" customFormat="false" ht="15" hidden="false" customHeight="false" outlineLevel="0" collapsed="false">
      <c r="A1668" s="0" t="s">
        <v>121</v>
      </c>
      <c r="B1668" s="0" t="s">
        <v>1021</v>
      </c>
      <c r="C1668" s="0" t="n">
        <v>55</v>
      </c>
      <c r="D1668" s="0" t="n">
        <v>0</v>
      </c>
      <c r="E1668" s="0" t="n">
        <v>3</v>
      </c>
      <c r="F1668" s="0" t="n">
        <v>55</v>
      </c>
      <c r="G1668" s="0" t="n">
        <v>190</v>
      </c>
      <c r="H1668" s="0" t="s">
        <v>145</v>
      </c>
      <c r="I1668" s="0" t="n">
        <v>190</v>
      </c>
      <c r="J1668" s="0" t="n">
        <f aca="false">F1668*E1668</f>
        <v>165</v>
      </c>
      <c r="K1668" s="0" t="str">
        <f aca="false">IF(G1668&lt;1000,"1-Low",IF(G1668&lt;5000,"2-Medium","3-Bulk"))</f>
        <v>1-Low</v>
      </c>
      <c r="L1668" s="0" t="str">
        <f aca="false">IF(H1668="TRUE","Out of stock","In stock")</f>
        <v>In stock</v>
      </c>
      <c r="M1668" s="0" t="str">
        <f aca="false">IF(D1668&lt;5,"1) Under 5%",IF(D1668&lt;10,"2) 5-9%",IF(D1668&lt;15,"3) 10-14%",IF(D1668&lt;25,"4) 15-24%","5) 25%+"))))</f>
        <v>1) Under 5%</v>
      </c>
      <c r="N1668" s="0" t="str">
        <f aca="false">IF(F1668&lt;50,"1) Under Rs 50",IF(F1668&lt;100,"2) Rs 50-99",IF(F1668&lt;200,"3) Rs 100-199",IF(F1668&lt;500,"4) Rs 200-499","5) Rs 500+"))))</f>
        <v>2) Rs 50-99</v>
      </c>
      <c r="O1668" s="0" t="n">
        <f aca="false">G1668*E1668/1000</f>
        <v>0.57</v>
      </c>
    </row>
    <row r="1669" customFormat="false" ht="15" hidden="false" customHeight="false" outlineLevel="0" collapsed="false">
      <c r="A1669" s="0" t="s">
        <v>121</v>
      </c>
      <c r="B1669" s="0" t="s">
        <v>1022</v>
      </c>
      <c r="C1669" s="0" t="n">
        <v>660</v>
      </c>
      <c r="D1669" s="0" t="n">
        <v>10</v>
      </c>
      <c r="E1669" s="0" t="n">
        <v>1</v>
      </c>
      <c r="F1669" s="0" t="n">
        <v>594</v>
      </c>
      <c r="G1669" s="0" t="n">
        <v>3000</v>
      </c>
      <c r="H1669" s="0" t="s">
        <v>145</v>
      </c>
      <c r="I1669" s="0" t="n">
        <v>3</v>
      </c>
      <c r="J1669" s="0" t="n">
        <f aca="false">F1669*E1669</f>
        <v>594</v>
      </c>
      <c r="K1669" s="0" t="str">
        <f aca="false">IF(G1669&lt;1000,"1-Low",IF(G1669&lt;5000,"2-Medium","3-Bulk"))</f>
        <v>2-Medium</v>
      </c>
      <c r="L1669" s="0" t="str">
        <f aca="false">IF(H1669="TRUE","Out of stock","In stock")</f>
        <v>In stock</v>
      </c>
      <c r="M1669" s="0" t="str">
        <f aca="false">IF(D1669&lt;5,"1) Under 5%",IF(D1669&lt;10,"2) 5-9%",IF(D1669&lt;15,"3) 10-14%",IF(D1669&lt;25,"4) 15-24%","5) 25%+"))))</f>
        <v>3) 10-14%</v>
      </c>
      <c r="N1669" s="0" t="str">
        <f aca="false">IF(F1669&lt;50,"1) Under Rs 50",IF(F1669&lt;100,"2) Rs 50-99",IF(F1669&lt;200,"3) Rs 100-199",IF(F1669&lt;500,"4) Rs 200-499","5) Rs 500+"))))</f>
        <v>5) Rs 500+</v>
      </c>
      <c r="O1669" s="0" t="n">
        <f aca="false">G1669*E1669/1000</f>
        <v>3</v>
      </c>
    </row>
    <row r="1670" customFormat="false" ht="15" hidden="false" customHeight="false" outlineLevel="0" collapsed="false">
      <c r="A1670" s="0" t="s">
        <v>121</v>
      </c>
      <c r="B1670" s="0" t="s">
        <v>127</v>
      </c>
      <c r="C1670" s="0" t="n">
        <v>185</v>
      </c>
      <c r="D1670" s="0" t="n">
        <v>5</v>
      </c>
      <c r="E1670" s="0" t="n">
        <v>6</v>
      </c>
      <c r="F1670" s="0" t="n">
        <v>175</v>
      </c>
      <c r="G1670" s="0" t="n">
        <v>475</v>
      </c>
      <c r="H1670" s="0" t="s">
        <v>145</v>
      </c>
      <c r="I1670" s="0" t="n">
        <v>475</v>
      </c>
      <c r="J1670" s="0" t="n">
        <f aca="false">F1670*E1670</f>
        <v>1050</v>
      </c>
      <c r="K1670" s="0" t="str">
        <f aca="false">IF(G1670&lt;1000,"1-Low",IF(G1670&lt;5000,"2-Medium","3-Bulk"))</f>
        <v>1-Low</v>
      </c>
      <c r="L1670" s="0" t="str">
        <f aca="false">IF(H1670="TRUE","Out of stock","In stock")</f>
        <v>In stock</v>
      </c>
      <c r="M1670" s="0" t="str">
        <f aca="false">IF(D1670&lt;5,"1) Under 5%",IF(D1670&lt;10,"2) 5-9%",IF(D1670&lt;15,"3) 10-14%",IF(D1670&lt;25,"4) 15-24%","5) 25%+"))))</f>
        <v>2) 5-9%</v>
      </c>
      <c r="N1670" s="0" t="str">
        <f aca="false">IF(F1670&lt;50,"1) Under Rs 50",IF(F1670&lt;100,"2) Rs 50-99",IF(F1670&lt;200,"3) Rs 100-199",IF(F1670&lt;500,"4) Rs 200-499","5) Rs 500+"))))</f>
        <v>3) Rs 100-199</v>
      </c>
      <c r="O1670" s="0" t="n">
        <f aca="false">G1670*E1670/1000</f>
        <v>2.85</v>
      </c>
    </row>
    <row r="1671" customFormat="false" ht="15" hidden="false" customHeight="false" outlineLevel="0" collapsed="false">
      <c r="A1671" s="0" t="s">
        <v>121</v>
      </c>
      <c r="B1671" s="0" t="s">
        <v>128</v>
      </c>
      <c r="C1671" s="0" t="n">
        <v>690</v>
      </c>
      <c r="D1671" s="0" t="n">
        <v>6</v>
      </c>
      <c r="E1671" s="0" t="n">
        <v>2</v>
      </c>
      <c r="F1671" s="0" t="n">
        <v>648</v>
      </c>
      <c r="G1671" s="0" t="n">
        <v>3000</v>
      </c>
      <c r="H1671" s="0" t="s">
        <v>145</v>
      </c>
      <c r="I1671" s="0" t="n">
        <v>3</v>
      </c>
      <c r="J1671" s="0" t="n">
        <f aca="false">F1671*E1671</f>
        <v>1296</v>
      </c>
      <c r="K1671" s="0" t="str">
        <f aca="false">IF(G1671&lt;1000,"1-Low",IF(G1671&lt;5000,"2-Medium","3-Bulk"))</f>
        <v>2-Medium</v>
      </c>
      <c r="L1671" s="0" t="str">
        <f aca="false">IF(H1671="TRUE","Out of stock","In stock")</f>
        <v>In stock</v>
      </c>
      <c r="M1671" s="0" t="str">
        <f aca="false">IF(D1671&lt;5,"1) Under 5%",IF(D1671&lt;10,"2) 5-9%",IF(D1671&lt;15,"3) 10-14%",IF(D1671&lt;25,"4) 15-24%","5) 25%+"))))</f>
        <v>2) 5-9%</v>
      </c>
      <c r="N1671" s="0" t="str">
        <f aca="false">IF(F1671&lt;50,"1) Under Rs 50",IF(F1671&lt;100,"2) Rs 50-99",IF(F1671&lt;200,"3) Rs 100-199",IF(F1671&lt;500,"4) Rs 200-499","5) Rs 500+"))))</f>
        <v>5) Rs 500+</v>
      </c>
      <c r="O1671" s="0" t="n">
        <f aca="false">G1671*E1671/1000</f>
        <v>6</v>
      </c>
    </row>
    <row r="1672" customFormat="false" ht="15" hidden="false" customHeight="false" outlineLevel="0" collapsed="false">
      <c r="A1672" s="0" t="s">
        <v>121</v>
      </c>
      <c r="B1672" s="0" t="s">
        <v>1023</v>
      </c>
      <c r="C1672" s="0" t="n">
        <v>110</v>
      </c>
      <c r="D1672" s="0" t="n">
        <v>30</v>
      </c>
      <c r="E1672" s="0" t="n">
        <v>5</v>
      </c>
      <c r="F1672" s="0" t="n">
        <v>77</v>
      </c>
      <c r="G1672" s="0" t="n">
        <v>285</v>
      </c>
      <c r="H1672" s="0" t="s">
        <v>145</v>
      </c>
      <c r="I1672" s="0" t="n">
        <v>285</v>
      </c>
      <c r="J1672" s="0" t="n">
        <f aca="false">F1672*E1672</f>
        <v>385</v>
      </c>
      <c r="K1672" s="0" t="str">
        <f aca="false">IF(G1672&lt;1000,"1-Low",IF(G1672&lt;5000,"2-Medium","3-Bulk"))</f>
        <v>1-Low</v>
      </c>
      <c r="L1672" s="0" t="str">
        <f aca="false">IF(H1672="TRUE","Out of stock","In stock")</f>
        <v>In stock</v>
      </c>
      <c r="M1672" s="0" t="str">
        <f aca="false">IF(D1672&lt;5,"1) Under 5%",IF(D1672&lt;10,"2) 5-9%",IF(D1672&lt;15,"3) 10-14%",IF(D1672&lt;25,"4) 15-24%","5) 25%+"))))</f>
        <v>5) 25%+</v>
      </c>
      <c r="N1672" s="0" t="str">
        <f aca="false">IF(F1672&lt;50,"1) Under Rs 50",IF(F1672&lt;100,"2) Rs 50-99",IF(F1672&lt;200,"3) Rs 100-199",IF(F1672&lt;500,"4) Rs 200-499","5) Rs 500+"))))</f>
        <v>2) Rs 50-99</v>
      </c>
      <c r="O1672" s="0" t="n">
        <f aca="false">G1672*E1672/1000</f>
        <v>1.425</v>
      </c>
    </row>
    <row r="1673" customFormat="false" ht="15" hidden="false" customHeight="false" outlineLevel="0" collapsed="false">
      <c r="A1673" s="0" t="s">
        <v>121</v>
      </c>
      <c r="B1673" s="0" t="s">
        <v>1024</v>
      </c>
      <c r="C1673" s="0" t="n">
        <v>110</v>
      </c>
      <c r="D1673" s="0" t="n">
        <v>30</v>
      </c>
      <c r="E1673" s="0" t="n">
        <v>2</v>
      </c>
      <c r="F1673" s="0" t="n">
        <v>77</v>
      </c>
      <c r="G1673" s="0" t="n">
        <v>285</v>
      </c>
      <c r="H1673" s="0" t="s">
        <v>145</v>
      </c>
      <c r="I1673" s="0" t="n">
        <v>285</v>
      </c>
      <c r="J1673" s="0" t="n">
        <f aca="false">F1673*E1673</f>
        <v>154</v>
      </c>
      <c r="K1673" s="0" t="str">
        <f aca="false">IF(G1673&lt;1000,"1-Low",IF(G1673&lt;5000,"2-Medium","3-Bulk"))</f>
        <v>1-Low</v>
      </c>
      <c r="L1673" s="0" t="str">
        <f aca="false">IF(H1673="TRUE","Out of stock","In stock")</f>
        <v>In stock</v>
      </c>
      <c r="M1673" s="0" t="str">
        <f aca="false">IF(D1673&lt;5,"1) Under 5%",IF(D1673&lt;10,"2) 5-9%",IF(D1673&lt;15,"3) 10-14%",IF(D1673&lt;25,"4) 15-24%","5) 25%+"))))</f>
        <v>5) 25%+</v>
      </c>
      <c r="N1673" s="0" t="str">
        <f aca="false">IF(F1673&lt;50,"1) Under Rs 50",IF(F1673&lt;100,"2) Rs 50-99",IF(F1673&lt;200,"3) Rs 100-199",IF(F1673&lt;500,"4) Rs 200-499","5) Rs 500+"))))</f>
        <v>2) Rs 50-99</v>
      </c>
      <c r="O1673" s="0" t="n">
        <f aca="false">G1673*E1673/1000</f>
        <v>0.57</v>
      </c>
    </row>
    <row r="1674" customFormat="false" ht="15" hidden="false" customHeight="false" outlineLevel="0" collapsed="false">
      <c r="A1674" s="0" t="s">
        <v>121</v>
      </c>
      <c r="B1674" s="0" t="s">
        <v>1025</v>
      </c>
      <c r="C1674" s="0" t="n">
        <v>179</v>
      </c>
      <c r="D1674" s="0" t="n">
        <v>0</v>
      </c>
      <c r="E1674" s="0" t="n">
        <v>6</v>
      </c>
      <c r="F1674" s="0" t="n">
        <v>179</v>
      </c>
      <c r="G1674" s="0" t="n">
        <v>450</v>
      </c>
      <c r="H1674" s="0" t="s">
        <v>145</v>
      </c>
      <c r="I1674" s="0" t="n">
        <v>450</v>
      </c>
      <c r="J1674" s="0" t="n">
        <f aca="false">F1674*E1674</f>
        <v>1074</v>
      </c>
      <c r="K1674" s="0" t="str">
        <f aca="false">IF(G1674&lt;1000,"1-Low",IF(G1674&lt;5000,"2-Medium","3-Bulk"))</f>
        <v>1-Low</v>
      </c>
      <c r="L1674" s="0" t="str">
        <f aca="false">IF(H1674="TRUE","Out of stock","In stock")</f>
        <v>In stock</v>
      </c>
      <c r="M1674" s="0" t="str">
        <f aca="false">IF(D1674&lt;5,"1) Under 5%",IF(D1674&lt;10,"2) 5-9%",IF(D1674&lt;15,"3) 10-14%",IF(D1674&lt;25,"4) 15-24%","5) 25%+"))))</f>
        <v>1) Under 5%</v>
      </c>
      <c r="N1674" s="0" t="str">
        <f aca="false">IF(F1674&lt;50,"1) Under Rs 50",IF(F1674&lt;100,"2) Rs 50-99",IF(F1674&lt;200,"3) Rs 100-199",IF(F1674&lt;500,"4) Rs 200-499","5) Rs 500+"))))</f>
        <v>3) Rs 100-199</v>
      </c>
      <c r="O1674" s="0" t="n">
        <f aca="false">G1674*E1674/1000</f>
        <v>2.7</v>
      </c>
    </row>
    <row r="1675" customFormat="false" ht="15" hidden="false" customHeight="false" outlineLevel="0" collapsed="false">
      <c r="A1675" s="0" t="s">
        <v>121</v>
      </c>
      <c r="B1675" s="0" t="s">
        <v>1026</v>
      </c>
      <c r="C1675" s="0" t="n">
        <v>140</v>
      </c>
      <c r="D1675" s="0" t="n">
        <v>15</v>
      </c>
      <c r="E1675" s="0" t="n">
        <v>6</v>
      </c>
      <c r="F1675" s="0" t="n">
        <v>119</v>
      </c>
      <c r="G1675" s="0" t="n">
        <v>60</v>
      </c>
      <c r="H1675" s="0" t="s">
        <v>145</v>
      </c>
      <c r="I1675" s="0" t="n">
        <v>60</v>
      </c>
      <c r="J1675" s="0" t="n">
        <f aca="false">F1675*E1675</f>
        <v>714</v>
      </c>
      <c r="K1675" s="0" t="str">
        <f aca="false">IF(G1675&lt;1000,"1-Low",IF(G1675&lt;5000,"2-Medium","3-Bulk"))</f>
        <v>1-Low</v>
      </c>
      <c r="L1675" s="0" t="str">
        <f aca="false">IF(H1675="TRUE","Out of stock","In stock")</f>
        <v>In stock</v>
      </c>
      <c r="M1675" s="0" t="str">
        <f aca="false">IF(D1675&lt;5,"1) Under 5%",IF(D1675&lt;10,"2) 5-9%",IF(D1675&lt;15,"3) 10-14%",IF(D1675&lt;25,"4) 15-24%","5) 25%+"))))</f>
        <v>4) 15-24%</v>
      </c>
      <c r="N1675" s="0" t="str">
        <f aca="false">IF(F1675&lt;50,"1) Under Rs 50",IF(F1675&lt;100,"2) Rs 50-99",IF(F1675&lt;200,"3) Rs 100-199",IF(F1675&lt;500,"4) Rs 200-499","5) Rs 500+"))))</f>
        <v>3) Rs 100-199</v>
      </c>
      <c r="O1675" s="0" t="n">
        <f aca="false">G1675*E1675/1000</f>
        <v>0.36</v>
      </c>
    </row>
    <row r="1676" customFormat="false" ht="15" hidden="false" customHeight="false" outlineLevel="0" collapsed="false">
      <c r="A1676" s="0" t="s">
        <v>121</v>
      </c>
      <c r="B1676" s="0" t="s">
        <v>1027</v>
      </c>
      <c r="C1676" s="0" t="n">
        <v>149</v>
      </c>
      <c r="D1676" s="0" t="n">
        <v>26</v>
      </c>
      <c r="E1676" s="0" t="n">
        <v>6</v>
      </c>
      <c r="F1676" s="0" t="n">
        <v>109</v>
      </c>
      <c r="G1676" s="0" t="n">
        <v>500</v>
      </c>
      <c r="H1676" s="0" t="s">
        <v>145</v>
      </c>
      <c r="I1676" s="0" t="n">
        <v>500</v>
      </c>
      <c r="J1676" s="0" t="n">
        <f aca="false">F1676*E1676</f>
        <v>654</v>
      </c>
      <c r="K1676" s="0" t="str">
        <f aca="false">IF(G1676&lt;1000,"1-Low",IF(G1676&lt;5000,"2-Medium","3-Bulk"))</f>
        <v>1-Low</v>
      </c>
      <c r="L1676" s="0" t="str">
        <f aca="false">IF(H1676="TRUE","Out of stock","In stock")</f>
        <v>In stock</v>
      </c>
      <c r="M1676" s="0" t="str">
        <f aca="false">IF(D1676&lt;5,"1) Under 5%",IF(D1676&lt;10,"2) 5-9%",IF(D1676&lt;15,"3) 10-14%",IF(D1676&lt;25,"4) 15-24%","5) 25%+"))))</f>
        <v>5) 25%+</v>
      </c>
      <c r="N1676" s="0" t="str">
        <f aca="false">IF(F1676&lt;50,"1) Under Rs 50",IF(F1676&lt;100,"2) Rs 50-99",IF(F1676&lt;200,"3) Rs 100-199",IF(F1676&lt;500,"4) Rs 200-499","5) Rs 500+"))))</f>
        <v>3) Rs 100-199</v>
      </c>
      <c r="O1676" s="0" t="n">
        <f aca="false">G1676*E1676/1000</f>
        <v>3</v>
      </c>
    </row>
    <row r="1677" customFormat="false" ht="15" hidden="false" customHeight="false" outlineLevel="0" collapsed="false">
      <c r="A1677" s="0" t="s">
        <v>121</v>
      </c>
      <c r="B1677" s="0" t="s">
        <v>1028</v>
      </c>
      <c r="C1677" s="0" t="n">
        <v>279</v>
      </c>
      <c r="D1677" s="0" t="n">
        <v>0</v>
      </c>
      <c r="E1677" s="0" t="n">
        <v>5</v>
      </c>
      <c r="F1677" s="0" t="n">
        <v>279</v>
      </c>
      <c r="G1677" s="0" t="n">
        <v>300</v>
      </c>
      <c r="H1677" s="0" t="s">
        <v>145</v>
      </c>
      <c r="I1677" s="0" t="n">
        <v>300</v>
      </c>
      <c r="J1677" s="0" t="n">
        <f aca="false">F1677*E1677</f>
        <v>1395</v>
      </c>
      <c r="K1677" s="0" t="str">
        <f aca="false">IF(G1677&lt;1000,"1-Low",IF(G1677&lt;5000,"2-Medium","3-Bulk"))</f>
        <v>1-Low</v>
      </c>
      <c r="L1677" s="0" t="str">
        <f aca="false">IF(H1677="TRUE","Out of stock","In stock")</f>
        <v>In stock</v>
      </c>
      <c r="M1677" s="0" t="str">
        <f aca="false">IF(D1677&lt;5,"1) Under 5%",IF(D1677&lt;10,"2) 5-9%",IF(D1677&lt;15,"3) 10-14%",IF(D1677&lt;25,"4) 15-24%","5) 25%+"))))</f>
        <v>1) Under 5%</v>
      </c>
      <c r="N1677" s="0" t="str">
        <f aca="false">IF(F1677&lt;50,"1) Under Rs 50",IF(F1677&lt;100,"2) Rs 50-99",IF(F1677&lt;200,"3) Rs 100-199",IF(F1677&lt;500,"4) Rs 200-499","5) Rs 500+"))))</f>
        <v>4) Rs 200-499</v>
      </c>
      <c r="O1677" s="0" t="n">
        <f aca="false">G1677*E1677/1000</f>
        <v>1.5</v>
      </c>
    </row>
    <row r="1678" customFormat="false" ht="15" hidden="false" customHeight="false" outlineLevel="0" collapsed="false">
      <c r="A1678" s="0" t="s">
        <v>121</v>
      </c>
      <c r="B1678" s="0" t="s">
        <v>423</v>
      </c>
      <c r="C1678" s="0" t="n">
        <v>50</v>
      </c>
      <c r="D1678" s="0" t="n">
        <v>2</v>
      </c>
      <c r="E1678" s="0" t="n">
        <v>2</v>
      </c>
      <c r="F1678" s="0" t="n">
        <v>49</v>
      </c>
      <c r="G1678" s="0" t="n">
        <v>200</v>
      </c>
      <c r="H1678" s="0" t="s">
        <v>145</v>
      </c>
      <c r="I1678" s="0" t="n">
        <v>200</v>
      </c>
      <c r="J1678" s="0" t="n">
        <f aca="false">F1678*E1678</f>
        <v>98</v>
      </c>
      <c r="K1678" s="0" t="str">
        <f aca="false">IF(G1678&lt;1000,"1-Low",IF(G1678&lt;5000,"2-Medium","3-Bulk"))</f>
        <v>1-Low</v>
      </c>
      <c r="L1678" s="0" t="str">
        <f aca="false">IF(H1678="TRUE","Out of stock","In stock")</f>
        <v>In stock</v>
      </c>
      <c r="M1678" s="0" t="str">
        <f aca="false">IF(D1678&lt;5,"1) Under 5%",IF(D1678&lt;10,"2) 5-9%",IF(D1678&lt;15,"3) 10-14%",IF(D1678&lt;25,"4) 15-24%","5) 25%+"))))</f>
        <v>1) Under 5%</v>
      </c>
      <c r="N1678" s="0" t="str">
        <f aca="false">IF(F1678&lt;50,"1) Under Rs 50",IF(F1678&lt;100,"2) Rs 50-99",IF(F1678&lt;200,"3) Rs 100-199",IF(F1678&lt;500,"4) Rs 200-499","5) Rs 500+"))))</f>
        <v>1) Under Rs 50</v>
      </c>
      <c r="O1678" s="0" t="n">
        <f aca="false">G1678*E1678/1000</f>
        <v>0.4</v>
      </c>
    </row>
    <row r="1679" customFormat="false" ht="15" hidden="false" customHeight="false" outlineLevel="0" collapsed="false">
      <c r="A1679" s="0" t="s">
        <v>121</v>
      </c>
      <c r="B1679" s="0" t="s">
        <v>1029</v>
      </c>
      <c r="C1679" s="0" t="n">
        <v>140</v>
      </c>
      <c r="D1679" s="0" t="n">
        <v>20</v>
      </c>
      <c r="E1679" s="0" t="n">
        <v>6</v>
      </c>
      <c r="F1679" s="0" t="n">
        <v>112</v>
      </c>
      <c r="G1679" s="0" t="n">
        <v>80</v>
      </c>
      <c r="H1679" s="0" t="s">
        <v>145</v>
      </c>
      <c r="I1679" s="0" t="n">
        <v>80</v>
      </c>
      <c r="J1679" s="0" t="n">
        <f aca="false">F1679*E1679</f>
        <v>672</v>
      </c>
      <c r="K1679" s="0" t="str">
        <f aca="false">IF(G1679&lt;1000,"1-Low",IF(G1679&lt;5000,"2-Medium","3-Bulk"))</f>
        <v>1-Low</v>
      </c>
      <c r="L1679" s="0" t="str">
        <f aca="false">IF(H1679="TRUE","Out of stock","In stock")</f>
        <v>In stock</v>
      </c>
      <c r="M1679" s="0" t="str">
        <f aca="false">IF(D1679&lt;5,"1) Under 5%",IF(D1679&lt;10,"2) 5-9%",IF(D1679&lt;15,"3) 10-14%",IF(D1679&lt;25,"4) 15-24%","5) 25%+"))))</f>
        <v>4) 15-24%</v>
      </c>
      <c r="N1679" s="0" t="str">
        <f aca="false">IF(F1679&lt;50,"1) Under Rs 50",IF(F1679&lt;100,"2) Rs 50-99",IF(F1679&lt;200,"3) Rs 100-199",IF(F1679&lt;500,"4) Rs 200-499","5) Rs 500+"))))</f>
        <v>3) Rs 100-199</v>
      </c>
      <c r="O1679" s="0" t="n">
        <f aca="false">G1679*E1679/1000</f>
        <v>0.48</v>
      </c>
    </row>
    <row r="1680" customFormat="false" ht="15" hidden="false" customHeight="false" outlineLevel="0" collapsed="false">
      <c r="A1680" s="0" t="s">
        <v>121</v>
      </c>
      <c r="B1680" s="0" t="s">
        <v>1030</v>
      </c>
      <c r="C1680" s="0" t="n">
        <v>161</v>
      </c>
      <c r="D1680" s="0" t="n">
        <v>0</v>
      </c>
      <c r="E1680" s="0" t="n">
        <v>6</v>
      </c>
      <c r="F1680" s="0" t="n">
        <v>161</v>
      </c>
      <c r="G1680" s="0" t="n">
        <v>300</v>
      </c>
      <c r="H1680" s="0" t="s">
        <v>145</v>
      </c>
      <c r="I1680" s="0" t="n">
        <v>300</v>
      </c>
      <c r="J1680" s="0" t="n">
        <f aca="false">F1680*E1680</f>
        <v>966</v>
      </c>
      <c r="K1680" s="0" t="str">
        <f aca="false">IF(G1680&lt;1000,"1-Low",IF(G1680&lt;5000,"2-Medium","3-Bulk"))</f>
        <v>1-Low</v>
      </c>
      <c r="L1680" s="0" t="str">
        <f aca="false">IF(H1680="TRUE","Out of stock","In stock")</f>
        <v>In stock</v>
      </c>
      <c r="M1680" s="0" t="str">
        <f aca="false">IF(D1680&lt;5,"1) Under 5%",IF(D1680&lt;10,"2) 5-9%",IF(D1680&lt;15,"3) 10-14%",IF(D1680&lt;25,"4) 15-24%","5) 25%+"))))</f>
        <v>1) Under 5%</v>
      </c>
      <c r="N1680" s="0" t="str">
        <f aca="false">IF(F1680&lt;50,"1) Under Rs 50",IF(F1680&lt;100,"2) Rs 50-99",IF(F1680&lt;200,"3) Rs 100-199",IF(F1680&lt;500,"4) Rs 200-499","5) Rs 500+"))))</f>
        <v>3) Rs 100-199</v>
      </c>
      <c r="O1680" s="0" t="n">
        <f aca="false">G1680*E1680/1000</f>
        <v>1.8</v>
      </c>
    </row>
    <row r="1681" customFormat="false" ht="15" hidden="false" customHeight="false" outlineLevel="0" collapsed="false">
      <c r="A1681" s="0" t="s">
        <v>121</v>
      </c>
      <c r="B1681" s="0" t="s">
        <v>1031</v>
      </c>
      <c r="C1681" s="0" t="n">
        <v>225</v>
      </c>
      <c r="D1681" s="0" t="n">
        <v>15</v>
      </c>
      <c r="E1681" s="0" t="n">
        <v>6</v>
      </c>
      <c r="F1681" s="0" t="n">
        <v>191</v>
      </c>
      <c r="G1681" s="0" t="n">
        <v>200</v>
      </c>
      <c r="H1681" s="0" t="s">
        <v>145</v>
      </c>
      <c r="I1681" s="0" t="n">
        <v>200</v>
      </c>
      <c r="J1681" s="0" t="n">
        <f aca="false">F1681*E1681</f>
        <v>1146</v>
      </c>
      <c r="K1681" s="0" t="str">
        <f aca="false">IF(G1681&lt;1000,"1-Low",IF(G1681&lt;5000,"2-Medium","3-Bulk"))</f>
        <v>1-Low</v>
      </c>
      <c r="L1681" s="0" t="str">
        <f aca="false">IF(H1681="TRUE","Out of stock","In stock")</f>
        <v>In stock</v>
      </c>
      <c r="M1681" s="0" t="str">
        <f aca="false">IF(D1681&lt;5,"1) Under 5%",IF(D1681&lt;10,"2) 5-9%",IF(D1681&lt;15,"3) 10-14%",IF(D1681&lt;25,"4) 15-24%","5) 25%+"))))</f>
        <v>4) 15-24%</v>
      </c>
      <c r="N1681" s="0" t="str">
        <f aca="false">IF(F1681&lt;50,"1) Under Rs 50",IF(F1681&lt;100,"2) Rs 50-99",IF(F1681&lt;200,"3) Rs 100-199",IF(F1681&lt;500,"4) Rs 200-499","5) Rs 500+"))))</f>
        <v>3) Rs 100-199</v>
      </c>
      <c r="O1681" s="0" t="n">
        <f aca="false">G1681*E1681/1000</f>
        <v>1.2</v>
      </c>
    </row>
    <row r="1682" customFormat="false" ht="15" hidden="false" customHeight="false" outlineLevel="0" collapsed="false">
      <c r="A1682" s="0" t="s">
        <v>121</v>
      </c>
      <c r="B1682" s="0" t="s">
        <v>636</v>
      </c>
      <c r="C1682" s="0" t="n">
        <v>190</v>
      </c>
      <c r="D1682" s="0" t="n">
        <v>11</v>
      </c>
      <c r="E1682" s="0" t="n">
        <v>6</v>
      </c>
      <c r="F1682" s="0" t="n">
        <v>169</v>
      </c>
      <c r="G1682" s="0" t="n">
        <v>500</v>
      </c>
      <c r="H1682" s="0" t="s">
        <v>145</v>
      </c>
      <c r="I1682" s="0" t="n">
        <v>500</v>
      </c>
      <c r="J1682" s="0" t="n">
        <f aca="false">F1682*E1682</f>
        <v>1014</v>
      </c>
      <c r="K1682" s="0" t="str">
        <f aca="false">IF(G1682&lt;1000,"1-Low",IF(G1682&lt;5000,"2-Medium","3-Bulk"))</f>
        <v>1-Low</v>
      </c>
      <c r="L1682" s="0" t="str">
        <f aca="false">IF(H1682="TRUE","Out of stock","In stock")</f>
        <v>In stock</v>
      </c>
      <c r="M1682" s="0" t="str">
        <f aca="false">IF(D1682&lt;5,"1) Under 5%",IF(D1682&lt;10,"2) 5-9%",IF(D1682&lt;15,"3) 10-14%",IF(D1682&lt;25,"4) 15-24%","5) 25%+"))))</f>
        <v>3) 10-14%</v>
      </c>
      <c r="N1682" s="0" t="str">
        <f aca="false">IF(F1682&lt;50,"1) Under Rs 50",IF(F1682&lt;100,"2) Rs 50-99",IF(F1682&lt;200,"3) Rs 100-199",IF(F1682&lt;500,"4) Rs 200-499","5) Rs 500+"))))</f>
        <v>3) Rs 100-199</v>
      </c>
      <c r="O1682" s="0" t="n">
        <f aca="false">G1682*E1682/1000</f>
        <v>3</v>
      </c>
    </row>
    <row r="1683" customFormat="false" ht="15" hidden="false" customHeight="false" outlineLevel="0" collapsed="false">
      <c r="A1683" s="0" t="s">
        <v>121</v>
      </c>
      <c r="B1683" s="0" t="s">
        <v>1032</v>
      </c>
      <c r="C1683" s="0" t="n">
        <v>123</v>
      </c>
      <c r="D1683" s="0" t="n">
        <v>0</v>
      </c>
      <c r="E1683" s="0" t="n">
        <v>6</v>
      </c>
      <c r="F1683" s="0" t="n">
        <v>123</v>
      </c>
      <c r="G1683" s="0" t="n">
        <v>600</v>
      </c>
      <c r="H1683" s="0" t="s">
        <v>145</v>
      </c>
      <c r="I1683" s="0" t="n">
        <v>600</v>
      </c>
      <c r="J1683" s="0" t="n">
        <f aca="false">F1683*E1683</f>
        <v>738</v>
      </c>
      <c r="K1683" s="0" t="str">
        <f aca="false">IF(G1683&lt;1000,"1-Low",IF(G1683&lt;5000,"2-Medium","3-Bulk"))</f>
        <v>1-Low</v>
      </c>
      <c r="L1683" s="0" t="str">
        <f aca="false">IF(H1683="TRUE","Out of stock","In stock")</f>
        <v>In stock</v>
      </c>
      <c r="M1683" s="0" t="str">
        <f aca="false">IF(D1683&lt;5,"1) Under 5%",IF(D1683&lt;10,"2) 5-9%",IF(D1683&lt;15,"3) 10-14%",IF(D1683&lt;25,"4) 15-24%","5) 25%+"))))</f>
        <v>1) Under 5%</v>
      </c>
      <c r="N1683" s="0" t="str">
        <f aca="false">IF(F1683&lt;50,"1) Under Rs 50",IF(F1683&lt;100,"2) Rs 50-99",IF(F1683&lt;200,"3) Rs 100-199",IF(F1683&lt;500,"4) Rs 200-499","5) Rs 500+"))))</f>
        <v>3) Rs 100-199</v>
      </c>
      <c r="O1683" s="0" t="n">
        <f aca="false">G1683*E1683/1000</f>
        <v>3.6</v>
      </c>
    </row>
    <row r="1684" customFormat="false" ht="15" hidden="false" customHeight="false" outlineLevel="0" collapsed="false">
      <c r="A1684" s="0" t="s">
        <v>121</v>
      </c>
      <c r="B1684" s="0" t="s">
        <v>1033</v>
      </c>
      <c r="C1684" s="0" t="n">
        <v>275</v>
      </c>
      <c r="D1684" s="0" t="n">
        <v>10</v>
      </c>
      <c r="E1684" s="0" t="n">
        <v>6</v>
      </c>
      <c r="F1684" s="0" t="n">
        <v>245</v>
      </c>
      <c r="G1684" s="0" t="n">
        <v>200</v>
      </c>
      <c r="H1684" s="0" t="s">
        <v>145</v>
      </c>
      <c r="I1684" s="0" t="n">
        <v>200</v>
      </c>
      <c r="J1684" s="0" t="n">
        <f aca="false">F1684*E1684</f>
        <v>1470</v>
      </c>
      <c r="K1684" s="0" t="str">
        <f aca="false">IF(G1684&lt;1000,"1-Low",IF(G1684&lt;5000,"2-Medium","3-Bulk"))</f>
        <v>1-Low</v>
      </c>
      <c r="L1684" s="0" t="str">
        <f aca="false">IF(H1684="TRUE","Out of stock","In stock")</f>
        <v>In stock</v>
      </c>
      <c r="M1684" s="0" t="str">
        <f aca="false">IF(D1684&lt;5,"1) Under 5%",IF(D1684&lt;10,"2) 5-9%",IF(D1684&lt;15,"3) 10-14%",IF(D1684&lt;25,"4) 15-24%","5) 25%+"))))</f>
        <v>3) 10-14%</v>
      </c>
      <c r="N1684" s="0" t="str">
        <f aca="false">IF(F1684&lt;50,"1) Under Rs 50",IF(F1684&lt;100,"2) Rs 50-99",IF(F1684&lt;200,"3) Rs 100-199",IF(F1684&lt;500,"4) Rs 200-499","5) Rs 500+"))))</f>
        <v>4) Rs 200-499</v>
      </c>
      <c r="O1684" s="0" t="n">
        <f aca="false">G1684*E1684/1000</f>
        <v>1.2</v>
      </c>
    </row>
    <row r="1685" customFormat="false" ht="15" hidden="false" customHeight="false" outlineLevel="0" collapsed="false">
      <c r="A1685" s="0" t="s">
        <v>121</v>
      </c>
      <c r="B1685" s="0" t="s">
        <v>1034</v>
      </c>
      <c r="C1685" s="0" t="n">
        <v>75</v>
      </c>
      <c r="D1685" s="0" t="n">
        <v>0</v>
      </c>
      <c r="E1685" s="0" t="n">
        <v>6</v>
      </c>
      <c r="F1685" s="0" t="n">
        <v>75</v>
      </c>
      <c r="G1685" s="0" t="n">
        <v>180</v>
      </c>
      <c r="H1685" s="0" t="s">
        <v>145</v>
      </c>
      <c r="I1685" s="0" t="n">
        <v>180</v>
      </c>
      <c r="J1685" s="0" t="n">
        <f aca="false">F1685*E1685</f>
        <v>450</v>
      </c>
      <c r="K1685" s="0" t="str">
        <f aca="false">IF(G1685&lt;1000,"1-Low",IF(G1685&lt;5000,"2-Medium","3-Bulk"))</f>
        <v>1-Low</v>
      </c>
      <c r="L1685" s="0" t="str">
        <f aca="false">IF(H1685="TRUE","Out of stock","In stock")</f>
        <v>In stock</v>
      </c>
      <c r="M1685" s="0" t="str">
        <f aca="false">IF(D1685&lt;5,"1) Under 5%",IF(D1685&lt;10,"2) 5-9%",IF(D1685&lt;15,"3) 10-14%",IF(D1685&lt;25,"4) 15-24%","5) 25%+"))))</f>
        <v>1) Under 5%</v>
      </c>
      <c r="N1685" s="0" t="str">
        <f aca="false">IF(F1685&lt;50,"1) Under Rs 50",IF(F1685&lt;100,"2) Rs 50-99",IF(F1685&lt;200,"3) Rs 100-199",IF(F1685&lt;500,"4) Rs 200-499","5) Rs 500+"))))</f>
        <v>2) Rs 50-99</v>
      </c>
      <c r="O1685" s="0" t="n">
        <f aca="false">G1685*E1685/1000</f>
        <v>1.08</v>
      </c>
    </row>
    <row r="1686" customFormat="false" ht="15" hidden="false" customHeight="false" outlineLevel="0" collapsed="false">
      <c r="A1686" s="0" t="s">
        <v>121</v>
      </c>
      <c r="B1686" s="0" t="s">
        <v>1035</v>
      </c>
      <c r="C1686" s="0" t="n">
        <v>350</v>
      </c>
      <c r="D1686" s="0" t="n">
        <v>0</v>
      </c>
      <c r="E1686" s="0" t="n">
        <v>6</v>
      </c>
      <c r="F1686" s="0" t="n">
        <v>350</v>
      </c>
      <c r="G1686" s="0" t="n">
        <v>880</v>
      </c>
      <c r="H1686" s="0" t="s">
        <v>145</v>
      </c>
      <c r="I1686" s="0" t="n">
        <v>800</v>
      </c>
      <c r="J1686" s="0" t="n">
        <f aca="false">F1686*E1686</f>
        <v>2100</v>
      </c>
      <c r="K1686" s="0" t="str">
        <f aca="false">IF(G1686&lt;1000,"1-Low",IF(G1686&lt;5000,"2-Medium","3-Bulk"))</f>
        <v>1-Low</v>
      </c>
      <c r="L1686" s="0" t="str">
        <f aca="false">IF(H1686="TRUE","Out of stock","In stock")</f>
        <v>In stock</v>
      </c>
      <c r="M1686" s="0" t="str">
        <f aca="false">IF(D1686&lt;5,"1) Under 5%",IF(D1686&lt;10,"2) 5-9%",IF(D1686&lt;15,"3) 10-14%",IF(D1686&lt;25,"4) 15-24%","5) 25%+"))))</f>
        <v>1) Under 5%</v>
      </c>
      <c r="N1686" s="0" t="str">
        <f aca="false">IF(F1686&lt;50,"1) Under Rs 50",IF(F1686&lt;100,"2) Rs 50-99",IF(F1686&lt;200,"3) Rs 100-199",IF(F1686&lt;500,"4) Rs 200-499","5) Rs 500+"))))</f>
        <v>4) Rs 200-499</v>
      </c>
      <c r="O1686" s="0" t="n">
        <f aca="false">G1686*E1686/1000</f>
        <v>5.28</v>
      </c>
    </row>
    <row r="1687" customFormat="false" ht="15" hidden="false" customHeight="false" outlineLevel="0" collapsed="false">
      <c r="A1687" s="0" t="s">
        <v>121</v>
      </c>
      <c r="B1687" s="0" t="s">
        <v>1036</v>
      </c>
      <c r="C1687" s="0" t="n">
        <v>135</v>
      </c>
      <c r="D1687" s="0" t="n">
        <v>11</v>
      </c>
      <c r="E1687" s="0" t="n">
        <v>6</v>
      </c>
      <c r="F1687" s="0" t="n">
        <v>120</v>
      </c>
      <c r="G1687" s="0" t="n">
        <v>300</v>
      </c>
      <c r="H1687" s="0" t="s">
        <v>145</v>
      </c>
      <c r="I1687" s="0" t="n">
        <v>300</v>
      </c>
      <c r="J1687" s="0" t="n">
        <f aca="false">F1687*E1687</f>
        <v>720</v>
      </c>
      <c r="K1687" s="0" t="str">
        <f aca="false">IF(G1687&lt;1000,"1-Low",IF(G1687&lt;5000,"2-Medium","3-Bulk"))</f>
        <v>1-Low</v>
      </c>
      <c r="L1687" s="0" t="str">
        <f aca="false">IF(H1687="TRUE","Out of stock","In stock")</f>
        <v>In stock</v>
      </c>
      <c r="M1687" s="0" t="str">
        <f aca="false">IF(D1687&lt;5,"1) Under 5%",IF(D1687&lt;10,"2) 5-9%",IF(D1687&lt;15,"3) 10-14%",IF(D1687&lt;25,"4) 15-24%","5) 25%+"))))</f>
        <v>3) 10-14%</v>
      </c>
      <c r="N1687" s="0" t="str">
        <f aca="false">IF(F1687&lt;50,"1) Under Rs 50",IF(F1687&lt;100,"2) Rs 50-99",IF(F1687&lt;200,"3) Rs 100-199",IF(F1687&lt;500,"4) Rs 200-499","5) Rs 500+"))))</f>
        <v>3) Rs 100-199</v>
      </c>
      <c r="O1687" s="0" t="n">
        <f aca="false">G1687*E1687/1000</f>
        <v>1.8</v>
      </c>
    </row>
    <row r="1688" customFormat="false" ht="15" hidden="false" customHeight="false" outlineLevel="0" collapsed="false">
      <c r="A1688" s="0" t="s">
        <v>121</v>
      </c>
      <c r="B1688" s="0" t="s">
        <v>1037</v>
      </c>
      <c r="C1688" s="0" t="n">
        <v>55</v>
      </c>
      <c r="D1688" s="0" t="n">
        <v>0</v>
      </c>
      <c r="E1688" s="0" t="n">
        <v>5</v>
      </c>
      <c r="F1688" s="0" t="n">
        <v>55</v>
      </c>
      <c r="G1688" s="0" t="n">
        <v>190</v>
      </c>
      <c r="H1688" s="0" t="s">
        <v>145</v>
      </c>
      <c r="I1688" s="0" t="n">
        <v>190</v>
      </c>
      <c r="J1688" s="0" t="n">
        <f aca="false">F1688*E1688</f>
        <v>275</v>
      </c>
      <c r="K1688" s="0" t="str">
        <f aca="false">IF(G1688&lt;1000,"1-Low",IF(G1688&lt;5000,"2-Medium","3-Bulk"))</f>
        <v>1-Low</v>
      </c>
      <c r="L1688" s="0" t="str">
        <f aca="false">IF(H1688="TRUE","Out of stock","In stock")</f>
        <v>In stock</v>
      </c>
      <c r="M1688" s="0" t="str">
        <f aca="false">IF(D1688&lt;5,"1) Under 5%",IF(D1688&lt;10,"2) 5-9%",IF(D1688&lt;15,"3) 10-14%",IF(D1688&lt;25,"4) 15-24%","5) 25%+"))))</f>
        <v>1) Under 5%</v>
      </c>
      <c r="N1688" s="0" t="str">
        <f aca="false">IF(F1688&lt;50,"1) Under Rs 50",IF(F1688&lt;100,"2) Rs 50-99",IF(F1688&lt;200,"3) Rs 100-199",IF(F1688&lt;500,"4) Rs 200-499","5) Rs 500+"))))</f>
        <v>2) Rs 50-99</v>
      </c>
      <c r="O1688" s="0" t="n">
        <f aca="false">G1688*E1688/1000</f>
        <v>0.95</v>
      </c>
    </row>
    <row r="1689" customFormat="false" ht="15" hidden="false" customHeight="false" outlineLevel="0" collapsed="false">
      <c r="A1689" s="0" t="s">
        <v>121</v>
      </c>
      <c r="B1689" s="0" t="s">
        <v>627</v>
      </c>
      <c r="C1689" s="0" t="n">
        <v>120</v>
      </c>
      <c r="D1689" s="0" t="n">
        <v>30</v>
      </c>
      <c r="E1689" s="0" t="n">
        <v>4</v>
      </c>
      <c r="F1689" s="0" t="n">
        <v>84</v>
      </c>
      <c r="G1689" s="0" t="n">
        <v>285</v>
      </c>
      <c r="H1689" s="0" t="s">
        <v>145</v>
      </c>
      <c r="I1689" s="0" t="n">
        <v>285</v>
      </c>
      <c r="J1689" s="0" t="n">
        <f aca="false">F1689*E1689</f>
        <v>336</v>
      </c>
      <c r="K1689" s="0" t="str">
        <f aca="false">IF(G1689&lt;1000,"1-Low",IF(G1689&lt;5000,"2-Medium","3-Bulk"))</f>
        <v>1-Low</v>
      </c>
      <c r="L1689" s="0" t="str">
        <f aca="false">IF(H1689="TRUE","Out of stock","In stock")</f>
        <v>In stock</v>
      </c>
      <c r="M1689" s="0" t="str">
        <f aca="false">IF(D1689&lt;5,"1) Under 5%",IF(D1689&lt;10,"2) 5-9%",IF(D1689&lt;15,"3) 10-14%",IF(D1689&lt;25,"4) 15-24%","5) 25%+"))))</f>
        <v>5) 25%+</v>
      </c>
      <c r="N1689" s="0" t="str">
        <f aca="false">IF(F1689&lt;50,"1) Under Rs 50",IF(F1689&lt;100,"2) Rs 50-99",IF(F1689&lt;200,"3) Rs 100-199",IF(F1689&lt;500,"4) Rs 200-499","5) Rs 500+"))))</f>
        <v>2) Rs 50-99</v>
      </c>
      <c r="O1689" s="0" t="n">
        <f aca="false">G1689*E1689/1000</f>
        <v>1.14</v>
      </c>
    </row>
    <row r="1690" customFormat="false" ht="15" hidden="false" customHeight="false" outlineLevel="0" collapsed="false">
      <c r="A1690" s="0" t="s">
        <v>121</v>
      </c>
      <c r="B1690" s="0" t="s">
        <v>933</v>
      </c>
      <c r="C1690" s="0" t="n">
        <v>60</v>
      </c>
      <c r="D1690" s="0" t="n">
        <v>6</v>
      </c>
      <c r="E1690" s="0" t="n">
        <v>6</v>
      </c>
      <c r="F1690" s="0" t="n">
        <v>56</v>
      </c>
      <c r="G1690" s="0" t="n">
        <v>50</v>
      </c>
      <c r="H1690" s="0" t="s">
        <v>145</v>
      </c>
      <c r="I1690" s="0" t="n">
        <v>50</v>
      </c>
      <c r="J1690" s="0" t="n">
        <f aca="false">F1690*E1690</f>
        <v>336</v>
      </c>
      <c r="K1690" s="0" t="str">
        <f aca="false">IF(G1690&lt;1000,"1-Low",IF(G1690&lt;5000,"2-Medium","3-Bulk"))</f>
        <v>1-Low</v>
      </c>
      <c r="L1690" s="0" t="str">
        <f aca="false">IF(H1690="TRUE","Out of stock","In stock")</f>
        <v>In stock</v>
      </c>
      <c r="M1690" s="0" t="str">
        <f aca="false">IF(D1690&lt;5,"1) Under 5%",IF(D1690&lt;10,"2) 5-9%",IF(D1690&lt;15,"3) 10-14%",IF(D1690&lt;25,"4) 15-24%","5) 25%+"))))</f>
        <v>2) 5-9%</v>
      </c>
      <c r="N1690" s="0" t="str">
        <f aca="false">IF(F1690&lt;50,"1) Under Rs 50",IF(F1690&lt;100,"2) Rs 50-99",IF(F1690&lt;200,"3) Rs 100-199",IF(F1690&lt;500,"4) Rs 200-499","5) Rs 500+"))))</f>
        <v>2) Rs 50-99</v>
      </c>
      <c r="O1690" s="0" t="n">
        <f aca="false">G1690*E1690/1000</f>
        <v>0.3</v>
      </c>
    </row>
    <row r="1691" customFormat="false" ht="15" hidden="false" customHeight="false" outlineLevel="0" collapsed="false">
      <c r="A1691" s="0" t="s">
        <v>121</v>
      </c>
      <c r="B1691" s="0" t="s">
        <v>783</v>
      </c>
      <c r="C1691" s="0" t="n">
        <v>110</v>
      </c>
      <c r="D1691" s="0" t="n">
        <v>0</v>
      </c>
      <c r="E1691" s="0" t="n">
        <v>6</v>
      </c>
      <c r="F1691" s="0" t="n">
        <v>110</v>
      </c>
      <c r="G1691" s="0" t="n">
        <v>180</v>
      </c>
      <c r="H1691" s="0" t="s">
        <v>145</v>
      </c>
      <c r="I1691" s="0" t="n">
        <v>180</v>
      </c>
      <c r="J1691" s="0" t="n">
        <f aca="false">F1691*E1691</f>
        <v>660</v>
      </c>
      <c r="K1691" s="0" t="str">
        <f aca="false">IF(G1691&lt;1000,"1-Low",IF(G1691&lt;5000,"2-Medium","3-Bulk"))</f>
        <v>1-Low</v>
      </c>
      <c r="L1691" s="0" t="str">
        <f aca="false">IF(H1691="TRUE","Out of stock","In stock")</f>
        <v>In stock</v>
      </c>
      <c r="M1691" s="0" t="str">
        <f aca="false">IF(D1691&lt;5,"1) Under 5%",IF(D1691&lt;10,"2) 5-9%",IF(D1691&lt;15,"3) 10-14%",IF(D1691&lt;25,"4) 15-24%","5) 25%+"))))</f>
        <v>1) Under 5%</v>
      </c>
      <c r="N1691" s="0" t="str">
        <f aca="false">IF(F1691&lt;50,"1) Under Rs 50",IF(F1691&lt;100,"2) Rs 50-99",IF(F1691&lt;200,"3) Rs 100-199",IF(F1691&lt;500,"4) Rs 200-499","5) Rs 500+"))))</f>
        <v>3) Rs 100-199</v>
      </c>
      <c r="O1691" s="0" t="n">
        <f aca="false">G1691*E1691/1000</f>
        <v>1.08</v>
      </c>
    </row>
    <row r="1692" customFormat="false" ht="15" hidden="false" customHeight="false" outlineLevel="0" collapsed="false">
      <c r="A1692" s="0" t="s">
        <v>121</v>
      </c>
      <c r="B1692" s="0" t="s">
        <v>1038</v>
      </c>
      <c r="C1692" s="0" t="n">
        <v>110</v>
      </c>
      <c r="D1692" s="0" t="n">
        <v>0</v>
      </c>
      <c r="E1692" s="0" t="n">
        <v>5</v>
      </c>
      <c r="F1692" s="0" t="n">
        <v>110</v>
      </c>
      <c r="G1692" s="0" t="n">
        <v>300</v>
      </c>
      <c r="H1692" s="0" t="s">
        <v>145</v>
      </c>
      <c r="I1692" s="0" t="n">
        <v>300</v>
      </c>
      <c r="J1692" s="0" t="n">
        <f aca="false">F1692*E1692</f>
        <v>550</v>
      </c>
      <c r="K1692" s="0" t="str">
        <f aca="false">IF(G1692&lt;1000,"1-Low",IF(G1692&lt;5000,"2-Medium","3-Bulk"))</f>
        <v>1-Low</v>
      </c>
      <c r="L1692" s="0" t="str">
        <f aca="false">IF(H1692="TRUE","Out of stock","In stock")</f>
        <v>In stock</v>
      </c>
      <c r="M1692" s="0" t="str">
        <f aca="false">IF(D1692&lt;5,"1) Under 5%",IF(D1692&lt;10,"2) 5-9%",IF(D1692&lt;15,"3) 10-14%",IF(D1692&lt;25,"4) 15-24%","5) 25%+"))))</f>
        <v>1) Under 5%</v>
      </c>
      <c r="N1692" s="0" t="str">
        <f aca="false">IF(F1692&lt;50,"1) Under Rs 50",IF(F1692&lt;100,"2) Rs 50-99",IF(F1692&lt;200,"3) Rs 100-199",IF(F1692&lt;500,"4) Rs 200-499","5) Rs 500+"))))</f>
        <v>3) Rs 100-199</v>
      </c>
      <c r="O1692" s="0" t="n">
        <f aca="false">G1692*E1692/1000</f>
        <v>1.5</v>
      </c>
    </row>
    <row r="1693" customFormat="false" ht="15" hidden="false" customHeight="false" outlineLevel="0" collapsed="false">
      <c r="A1693" s="0" t="s">
        <v>121</v>
      </c>
      <c r="B1693" s="0" t="s">
        <v>1039</v>
      </c>
      <c r="C1693" s="0" t="n">
        <v>275</v>
      </c>
      <c r="D1693" s="0" t="n">
        <v>14</v>
      </c>
      <c r="E1693" s="0" t="n">
        <v>6</v>
      </c>
      <c r="F1693" s="0" t="n">
        <v>234</v>
      </c>
      <c r="G1693" s="0" t="n">
        <v>200</v>
      </c>
      <c r="H1693" s="0" t="s">
        <v>145</v>
      </c>
      <c r="I1693" s="0" t="n">
        <v>200</v>
      </c>
      <c r="J1693" s="0" t="n">
        <f aca="false">F1693*E1693</f>
        <v>1404</v>
      </c>
      <c r="K1693" s="0" t="str">
        <f aca="false">IF(G1693&lt;1000,"1-Low",IF(G1693&lt;5000,"2-Medium","3-Bulk"))</f>
        <v>1-Low</v>
      </c>
      <c r="L1693" s="0" t="str">
        <f aca="false">IF(H1693="TRUE","Out of stock","In stock")</f>
        <v>In stock</v>
      </c>
      <c r="M1693" s="0" t="str">
        <f aca="false">IF(D1693&lt;5,"1) Under 5%",IF(D1693&lt;10,"2) 5-9%",IF(D1693&lt;15,"3) 10-14%",IF(D1693&lt;25,"4) 15-24%","5) 25%+"))))</f>
        <v>3) 10-14%</v>
      </c>
      <c r="N1693" s="0" t="str">
        <f aca="false">IF(F1693&lt;50,"1) Under Rs 50",IF(F1693&lt;100,"2) Rs 50-99",IF(F1693&lt;200,"3) Rs 100-199",IF(F1693&lt;500,"4) Rs 200-499","5) Rs 500+"))))</f>
        <v>4) Rs 200-499</v>
      </c>
      <c r="O1693" s="0" t="n">
        <f aca="false">G1693*E1693/1000</f>
        <v>1.2</v>
      </c>
    </row>
    <row r="1694" customFormat="false" ht="15" hidden="false" customHeight="false" outlineLevel="0" collapsed="false">
      <c r="A1694" s="0" t="s">
        <v>121</v>
      </c>
      <c r="B1694" s="0" t="s">
        <v>608</v>
      </c>
      <c r="C1694" s="0" t="n">
        <v>250</v>
      </c>
      <c r="D1694" s="0" t="n">
        <v>14</v>
      </c>
      <c r="E1694" s="0" t="n">
        <v>6</v>
      </c>
      <c r="F1694" s="0" t="n">
        <v>213</v>
      </c>
      <c r="G1694" s="0" t="n">
        <v>410</v>
      </c>
      <c r="H1694" s="0" t="s">
        <v>145</v>
      </c>
      <c r="I1694" s="0" t="n">
        <v>410</v>
      </c>
      <c r="J1694" s="0" t="n">
        <f aca="false">F1694*E1694</f>
        <v>1278</v>
      </c>
      <c r="K1694" s="0" t="str">
        <f aca="false">IF(G1694&lt;1000,"1-Low",IF(G1694&lt;5000,"2-Medium","3-Bulk"))</f>
        <v>1-Low</v>
      </c>
      <c r="L1694" s="0" t="str">
        <f aca="false">IF(H1694="TRUE","Out of stock","In stock")</f>
        <v>In stock</v>
      </c>
      <c r="M1694" s="0" t="str">
        <f aca="false">IF(D1694&lt;5,"1) Under 5%",IF(D1694&lt;10,"2) 5-9%",IF(D1694&lt;15,"3) 10-14%",IF(D1694&lt;25,"4) 15-24%","5) 25%+"))))</f>
        <v>3) 10-14%</v>
      </c>
      <c r="N1694" s="0" t="str">
        <f aca="false">IF(F1694&lt;50,"1) Under Rs 50",IF(F1694&lt;100,"2) Rs 50-99",IF(F1694&lt;200,"3) Rs 100-199",IF(F1694&lt;500,"4) Rs 200-499","5) Rs 500+"))))</f>
        <v>4) Rs 200-499</v>
      </c>
      <c r="O1694" s="0" t="n">
        <f aca="false">G1694*E1694/1000</f>
        <v>2.46</v>
      </c>
    </row>
    <row r="1695" customFormat="false" ht="15" hidden="false" customHeight="false" outlineLevel="0" collapsed="false">
      <c r="A1695" s="0" t="s">
        <v>121</v>
      </c>
      <c r="B1695" s="0" t="s">
        <v>1040</v>
      </c>
      <c r="C1695" s="0" t="n">
        <v>114</v>
      </c>
      <c r="D1695" s="0" t="n">
        <v>0</v>
      </c>
      <c r="E1695" s="0" t="n">
        <v>6</v>
      </c>
      <c r="F1695" s="0" t="n">
        <v>114</v>
      </c>
      <c r="G1695" s="0" t="n">
        <v>480</v>
      </c>
      <c r="H1695" s="0" t="s">
        <v>145</v>
      </c>
      <c r="I1695" s="0" t="n">
        <v>480</v>
      </c>
      <c r="J1695" s="0" t="n">
        <f aca="false">F1695*E1695</f>
        <v>684</v>
      </c>
      <c r="K1695" s="0" t="str">
        <f aca="false">IF(G1695&lt;1000,"1-Low",IF(G1695&lt;5000,"2-Medium","3-Bulk"))</f>
        <v>1-Low</v>
      </c>
      <c r="L1695" s="0" t="str">
        <f aca="false">IF(H1695="TRUE","Out of stock","In stock")</f>
        <v>In stock</v>
      </c>
      <c r="M1695" s="0" t="str">
        <f aca="false">IF(D1695&lt;5,"1) Under 5%",IF(D1695&lt;10,"2) 5-9%",IF(D1695&lt;15,"3) 10-14%",IF(D1695&lt;25,"4) 15-24%","5) 25%+"))))</f>
        <v>1) Under 5%</v>
      </c>
      <c r="N1695" s="0" t="str">
        <f aca="false">IF(F1695&lt;50,"1) Under Rs 50",IF(F1695&lt;100,"2) Rs 50-99",IF(F1695&lt;200,"3) Rs 100-199",IF(F1695&lt;500,"4) Rs 200-499","5) Rs 500+"))))</f>
        <v>3) Rs 100-199</v>
      </c>
      <c r="O1695" s="0" t="n">
        <f aca="false">G1695*E1695/1000</f>
        <v>2.88</v>
      </c>
    </row>
    <row r="1696" customFormat="false" ht="15" hidden="false" customHeight="false" outlineLevel="0" collapsed="false">
      <c r="A1696" s="0" t="s">
        <v>121</v>
      </c>
      <c r="B1696" s="0" t="s">
        <v>1041</v>
      </c>
      <c r="C1696" s="0" t="n">
        <v>230</v>
      </c>
      <c r="D1696" s="0" t="n">
        <v>0</v>
      </c>
      <c r="E1696" s="0" t="n">
        <v>6</v>
      </c>
      <c r="F1696" s="0" t="n">
        <v>230</v>
      </c>
      <c r="G1696" s="0" t="n">
        <v>250</v>
      </c>
      <c r="H1696" s="0" t="s">
        <v>145</v>
      </c>
      <c r="I1696" s="0" t="n">
        <v>250</v>
      </c>
      <c r="J1696" s="0" t="n">
        <f aca="false">F1696*E1696</f>
        <v>1380</v>
      </c>
      <c r="K1696" s="0" t="str">
        <f aca="false">IF(G1696&lt;1000,"1-Low",IF(G1696&lt;5000,"2-Medium","3-Bulk"))</f>
        <v>1-Low</v>
      </c>
      <c r="L1696" s="0" t="str">
        <f aca="false">IF(H1696="TRUE","Out of stock","In stock")</f>
        <v>In stock</v>
      </c>
      <c r="M1696" s="0" t="str">
        <f aca="false">IF(D1696&lt;5,"1) Under 5%",IF(D1696&lt;10,"2) 5-9%",IF(D1696&lt;15,"3) 10-14%",IF(D1696&lt;25,"4) 15-24%","5) 25%+"))))</f>
        <v>1) Under 5%</v>
      </c>
      <c r="N1696" s="0" t="str">
        <f aca="false">IF(F1696&lt;50,"1) Under Rs 50",IF(F1696&lt;100,"2) Rs 50-99",IF(F1696&lt;200,"3) Rs 100-199",IF(F1696&lt;500,"4) Rs 200-499","5) Rs 500+"))))</f>
        <v>4) Rs 200-499</v>
      </c>
      <c r="O1696" s="0" t="n">
        <f aca="false">G1696*E1696/1000</f>
        <v>1.5</v>
      </c>
    </row>
    <row r="1697" customFormat="false" ht="15" hidden="false" customHeight="false" outlineLevel="0" collapsed="false">
      <c r="A1697" s="0" t="s">
        <v>121</v>
      </c>
      <c r="B1697" s="0" t="s">
        <v>1042</v>
      </c>
      <c r="C1697" s="0" t="n">
        <v>230</v>
      </c>
      <c r="D1697" s="0" t="n">
        <v>0</v>
      </c>
      <c r="E1697" s="0" t="n">
        <v>4</v>
      </c>
      <c r="F1697" s="0" t="n">
        <v>230</v>
      </c>
      <c r="G1697" s="0" t="n">
        <v>400</v>
      </c>
      <c r="H1697" s="0" t="s">
        <v>145</v>
      </c>
      <c r="I1697" s="0" t="n">
        <v>400</v>
      </c>
      <c r="J1697" s="0" t="n">
        <f aca="false">F1697*E1697</f>
        <v>920</v>
      </c>
      <c r="K1697" s="0" t="str">
        <f aca="false">IF(G1697&lt;1000,"1-Low",IF(G1697&lt;5000,"2-Medium","3-Bulk"))</f>
        <v>1-Low</v>
      </c>
      <c r="L1697" s="0" t="str">
        <f aca="false">IF(H1697="TRUE","Out of stock","In stock")</f>
        <v>In stock</v>
      </c>
      <c r="M1697" s="0" t="str">
        <f aca="false">IF(D1697&lt;5,"1) Under 5%",IF(D1697&lt;10,"2) 5-9%",IF(D1697&lt;15,"3) 10-14%",IF(D1697&lt;25,"4) 15-24%","5) 25%+"))))</f>
        <v>1) Under 5%</v>
      </c>
      <c r="N1697" s="0" t="str">
        <f aca="false">IF(F1697&lt;50,"1) Under Rs 50",IF(F1697&lt;100,"2) Rs 50-99",IF(F1697&lt;200,"3) Rs 100-199",IF(F1697&lt;500,"4) Rs 200-499","5) Rs 500+"))))</f>
        <v>4) Rs 200-499</v>
      </c>
      <c r="O1697" s="0" t="n">
        <f aca="false">G1697*E1697/1000</f>
        <v>1.6</v>
      </c>
    </row>
    <row r="1698" customFormat="false" ht="15" hidden="false" customHeight="false" outlineLevel="0" collapsed="false">
      <c r="A1698" s="0" t="s">
        <v>121</v>
      </c>
      <c r="B1698" s="0" t="s">
        <v>1043</v>
      </c>
      <c r="C1698" s="0" t="n">
        <v>110</v>
      </c>
      <c r="D1698" s="0" t="n">
        <v>0</v>
      </c>
      <c r="E1698" s="0" t="n">
        <v>4</v>
      </c>
      <c r="F1698" s="0" t="n">
        <v>110</v>
      </c>
      <c r="G1698" s="0" t="n">
        <v>300</v>
      </c>
      <c r="H1698" s="0" t="s">
        <v>145</v>
      </c>
      <c r="I1698" s="0" t="n">
        <v>300</v>
      </c>
      <c r="J1698" s="0" t="n">
        <f aca="false">F1698*E1698</f>
        <v>440</v>
      </c>
      <c r="K1698" s="0" t="str">
        <f aca="false">IF(G1698&lt;1000,"1-Low",IF(G1698&lt;5000,"2-Medium","3-Bulk"))</f>
        <v>1-Low</v>
      </c>
      <c r="L1698" s="0" t="str">
        <f aca="false">IF(H1698="TRUE","Out of stock","In stock")</f>
        <v>In stock</v>
      </c>
      <c r="M1698" s="0" t="str">
        <f aca="false">IF(D1698&lt;5,"1) Under 5%",IF(D1698&lt;10,"2) 5-9%",IF(D1698&lt;15,"3) 10-14%",IF(D1698&lt;25,"4) 15-24%","5) 25%+"))))</f>
        <v>1) Under 5%</v>
      </c>
      <c r="N1698" s="0" t="str">
        <f aca="false">IF(F1698&lt;50,"1) Under Rs 50",IF(F1698&lt;100,"2) Rs 50-99",IF(F1698&lt;200,"3) Rs 100-199",IF(F1698&lt;500,"4) Rs 200-499","5) Rs 500+"))))</f>
        <v>3) Rs 100-199</v>
      </c>
      <c r="O1698" s="0" t="n">
        <f aca="false">G1698*E1698/1000</f>
        <v>1.2</v>
      </c>
    </row>
    <row r="1699" customFormat="false" ht="15" hidden="false" customHeight="false" outlineLevel="0" collapsed="false">
      <c r="A1699" s="0" t="s">
        <v>121</v>
      </c>
      <c r="B1699" s="0" t="s">
        <v>1044</v>
      </c>
      <c r="C1699" s="0" t="n">
        <v>110</v>
      </c>
      <c r="D1699" s="0" t="n">
        <v>0</v>
      </c>
      <c r="E1699" s="0" t="n">
        <v>6</v>
      </c>
      <c r="F1699" s="0" t="n">
        <v>110</v>
      </c>
      <c r="G1699" s="0" t="n">
        <v>300</v>
      </c>
      <c r="H1699" s="0" t="s">
        <v>145</v>
      </c>
      <c r="I1699" s="0" t="n">
        <v>300</v>
      </c>
      <c r="J1699" s="0" t="n">
        <f aca="false">F1699*E1699</f>
        <v>660</v>
      </c>
      <c r="K1699" s="0" t="str">
        <f aca="false">IF(G1699&lt;1000,"1-Low",IF(G1699&lt;5000,"2-Medium","3-Bulk"))</f>
        <v>1-Low</v>
      </c>
      <c r="L1699" s="0" t="str">
        <f aca="false">IF(H1699="TRUE","Out of stock","In stock")</f>
        <v>In stock</v>
      </c>
      <c r="M1699" s="0" t="str">
        <f aca="false">IF(D1699&lt;5,"1) Under 5%",IF(D1699&lt;10,"2) 5-9%",IF(D1699&lt;15,"3) 10-14%",IF(D1699&lt;25,"4) 15-24%","5) 25%+"))))</f>
        <v>1) Under 5%</v>
      </c>
      <c r="N1699" s="0" t="str">
        <f aca="false">IF(F1699&lt;50,"1) Under Rs 50",IF(F1699&lt;100,"2) Rs 50-99",IF(F1699&lt;200,"3) Rs 100-199",IF(F1699&lt;500,"4) Rs 200-499","5) Rs 500+"))))</f>
        <v>3) Rs 100-199</v>
      </c>
      <c r="O1699" s="0" t="n">
        <f aca="false">G1699*E1699/1000</f>
        <v>1.8</v>
      </c>
    </row>
    <row r="1700" customFormat="false" ht="15" hidden="false" customHeight="false" outlineLevel="0" collapsed="false">
      <c r="A1700" s="0" t="s">
        <v>121</v>
      </c>
      <c r="B1700" s="0" t="s">
        <v>602</v>
      </c>
      <c r="C1700" s="0" t="n">
        <v>25</v>
      </c>
      <c r="D1700" s="0" t="n">
        <v>0</v>
      </c>
      <c r="E1700" s="0" t="n">
        <v>1</v>
      </c>
      <c r="F1700" s="0" t="n">
        <v>25</v>
      </c>
      <c r="G1700" s="0" t="n">
        <v>77</v>
      </c>
      <c r="H1700" s="0" t="s">
        <v>145</v>
      </c>
      <c r="I1700" s="0" t="n">
        <v>77</v>
      </c>
      <c r="J1700" s="0" t="n">
        <f aca="false">F1700*E1700</f>
        <v>25</v>
      </c>
      <c r="K1700" s="0" t="str">
        <f aca="false">IF(G1700&lt;1000,"1-Low",IF(G1700&lt;5000,"2-Medium","3-Bulk"))</f>
        <v>1-Low</v>
      </c>
      <c r="L1700" s="0" t="str">
        <f aca="false">IF(H1700="TRUE","Out of stock","In stock")</f>
        <v>In stock</v>
      </c>
      <c r="M1700" s="0" t="str">
        <f aca="false">IF(D1700&lt;5,"1) Under 5%",IF(D1700&lt;10,"2) 5-9%",IF(D1700&lt;15,"3) 10-14%",IF(D1700&lt;25,"4) 15-24%","5) 25%+"))))</f>
        <v>1) Under 5%</v>
      </c>
      <c r="N1700" s="0" t="str">
        <f aca="false">IF(F1700&lt;50,"1) Under Rs 50",IF(F1700&lt;100,"2) Rs 50-99",IF(F1700&lt;200,"3) Rs 100-199",IF(F1700&lt;500,"4) Rs 200-499","5) Rs 500+"))))</f>
        <v>1) Under Rs 50</v>
      </c>
      <c r="O1700" s="0" t="n">
        <f aca="false">G1700*E1700/1000</f>
        <v>0.077</v>
      </c>
    </row>
    <row r="1701" customFormat="false" ht="15" hidden="false" customHeight="false" outlineLevel="0" collapsed="false">
      <c r="A1701" s="0" t="s">
        <v>121</v>
      </c>
      <c r="B1701" s="0" t="s">
        <v>1045</v>
      </c>
      <c r="C1701" s="0" t="n">
        <v>272</v>
      </c>
      <c r="D1701" s="0" t="n">
        <v>0</v>
      </c>
      <c r="E1701" s="0" t="n">
        <v>1</v>
      </c>
      <c r="F1701" s="0" t="n">
        <v>272</v>
      </c>
      <c r="G1701" s="0" t="n">
        <v>300</v>
      </c>
      <c r="H1701" s="0" t="s">
        <v>145</v>
      </c>
      <c r="I1701" s="0" t="n">
        <v>300</v>
      </c>
      <c r="J1701" s="0" t="n">
        <f aca="false">F1701*E1701</f>
        <v>272</v>
      </c>
      <c r="K1701" s="0" t="str">
        <f aca="false">IF(G1701&lt;1000,"1-Low",IF(G1701&lt;5000,"2-Medium","3-Bulk"))</f>
        <v>1-Low</v>
      </c>
      <c r="L1701" s="0" t="str">
        <f aca="false">IF(H1701="TRUE","Out of stock","In stock")</f>
        <v>In stock</v>
      </c>
      <c r="M1701" s="0" t="str">
        <f aca="false">IF(D1701&lt;5,"1) Under 5%",IF(D1701&lt;10,"2) 5-9%",IF(D1701&lt;15,"3) 10-14%",IF(D1701&lt;25,"4) 15-24%","5) 25%+"))))</f>
        <v>1) Under 5%</v>
      </c>
      <c r="N1701" s="0" t="str">
        <f aca="false">IF(F1701&lt;50,"1) Under Rs 50",IF(F1701&lt;100,"2) Rs 50-99",IF(F1701&lt;200,"3) Rs 100-199",IF(F1701&lt;500,"4) Rs 200-499","5) Rs 500+"))))</f>
        <v>4) Rs 200-499</v>
      </c>
      <c r="O1701" s="0" t="n">
        <f aca="false">G1701*E1701/1000</f>
        <v>0.3</v>
      </c>
    </row>
    <row r="1702" customFormat="false" ht="15" hidden="false" customHeight="false" outlineLevel="0" collapsed="false">
      <c r="A1702" s="0" t="s">
        <v>121</v>
      </c>
      <c r="B1702" s="0" t="s">
        <v>1046</v>
      </c>
      <c r="C1702" s="0" t="n">
        <v>250</v>
      </c>
      <c r="D1702" s="0" t="n">
        <v>0</v>
      </c>
      <c r="E1702" s="0" t="n">
        <v>6</v>
      </c>
      <c r="F1702" s="0" t="n">
        <v>250</v>
      </c>
      <c r="G1702" s="0" t="n">
        <v>250</v>
      </c>
      <c r="H1702" s="0" t="s">
        <v>145</v>
      </c>
      <c r="I1702" s="0" t="n">
        <v>250</v>
      </c>
      <c r="J1702" s="0" t="n">
        <f aca="false">F1702*E1702</f>
        <v>1500</v>
      </c>
      <c r="K1702" s="0" t="str">
        <f aca="false">IF(G1702&lt;1000,"1-Low",IF(G1702&lt;5000,"2-Medium","3-Bulk"))</f>
        <v>1-Low</v>
      </c>
      <c r="L1702" s="0" t="str">
        <f aca="false">IF(H1702="TRUE","Out of stock","In stock")</f>
        <v>In stock</v>
      </c>
      <c r="M1702" s="0" t="str">
        <f aca="false">IF(D1702&lt;5,"1) Under 5%",IF(D1702&lt;10,"2) 5-9%",IF(D1702&lt;15,"3) 10-14%",IF(D1702&lt;25,"4) 15-24%","5) 25%+"))))</f>
        <v>1) Under 5%</v>
      </c>
      <c r="N1702" s="0" t="str">
        <f aca="false">IF(F1702&lt;50,"1) Under Rs 50",IF(F1702&lt;100,"2) Rs 50-99",IF(F1702&lt;200,"3) Rs 100-199",IF(F1702&lt;500,"4) Rs 200-499","5) Rs 500+"))))</f>
        <v>4) Rs 200-499</v>
      </c>
      <c r="O1702" s="0" t="n">
        <f aca="false">G1702*E1702/1000</f>
        <v>1.5</v>
      </c>
    </row>
    <row r="1703" customFormat="false" ht="15" hidden="false" customHeight="false" outlineLevel="0" collapsed="false">
      <c r="A1703" s="0" t="s">
        <v>121</v>
      </c>
      <c r="B1703" s="0" t="s">
        <v>1047</v>
      </c>
      <c r="C1703" s="0" t="n">
        <v>330</v>
      </c>
      <c r="D1703" s="0" t="n">
        <v>0</v>
      </c>
      <c r="E1703" s="0" t="n">
        <v>6</v>
      </c>
      <c r="F1703" s="0" t="n">
        <v>330</v>
      </c>
      <c r="G1703" s="0" t="n">
        <v>500</v>
      </c>
      <c r="H1703" s="0" t="s">
        <v>145</v>
      </c>
      <c r="I1703" s="0" t="n">
        <v>500</v>
      </c>
      <c r="J1703" s="0" t="n">
        <f aca="false">F1703*E1703</f>
        <v>1980</v>
      </c>
      <c r="K1703" s="0" t="str">
        <f aca="false">IF(G1703&lt;1000,"1-Low",IF(G1703&lt;5000,"2-Medium","3-Bulk"))</f>
        <v>1-Low</v>
      </c>
      <c r="L1703" s="0" t="str">
        <f aca="false">IF(H1703="TRUE","Out of stock","In stock")</f>
        <v>In stock</v>
      </c>
      <c r="M1703" s="0" t="str">
        <f aca="false">IF(D1703&lt;5,"1) Under 5%",IF(D1703&lt;10,"2) 5-9%",IF(D1703&lt;15,"3) 10-14%",IF(D1703&lt;25,"4) 15-24%","5) 25%+"))))</f>
        <v>1) Under 5%</v>
      </c>
      <c r="N1703" s="0" t="str">
        <f aca="false">IF(F1703&lt;50,"1) Under Rs 50",IF(F1703&lt;100,"2) Rs 50-99",IF(F1703&lt;200,"3) Rs 100-199",IF(F1703&lt;500,"4) Rs 200-499","5) Rs 500+"))))</f>
        <v>4) Rs 200-499</v>
      </c>
      <c r="O1703" s="0" t="n">
        <f aca="false">G1703*E1703/1000</f>
        <v>3</v>
      </c>
    </row>
    <row r="1704" customFormat="false" ht="15" hidden="false" customHeight="false" outlineLevel="0" collapsed="false">
      <c r="A1704" s="0" t="s">
        <v>121</v>
      </c>
      <c r="B1704" s="0" t="s">
        <v>1048</v>
      </c>
      <c r="C1704" s="0" t="n">
        <v>175</v>
      </c>
      <c r="D1704" s="0" t="n">
        <v>9</v>
      </c>
      <c r="E1704" s="0" t="n">
        <v>4</v>
      </c>
      <c r="F1704" s="0" t="n">
        <v>158</v>
      </c>
      <c r="G1704" s="0" t="n">
        <v>375</v>
      </c>
      <c r="H1704" s="0" t="s">
        <v>145</v>
      </c>
      <c r="I1704" s="0" t="n">
        <v>375</v>
      </c>
      <c r="J1704" s="0" t="n">
        <f aca="false">F1704*E1704</f>
        <v>632</v>
      </c>
      <c r="K1704" s="0" t="str">
        <f aca="false">IF(G1704&lt;1000,"1-Low",IF(G1704&lt;5000,"2-Medium","3-Bulk"))</f>
        <v>1-Low</v>
      </c>
      <c r="L1704" s="0" t="str">
        <f aca="false">IF(H1704="TRUE","Out of stock","In stock")</f>
        <v>In stock</v>
      </c>
      <c r="M1704" s="0" t="str">
        <f aca="false">IF(D1704&lt;5,"1) Under 5%",IF(D1704&lt;10,"2) 5-9%",IF(D1704&lt;15,"3) 10-14%",IF(D1704&lt;25,"4) 15-24%","5) 25%+"))))</f>
        <v>2) 5-9%</v>
      </c>
      <c r="N1704" s="0" t="str">
        <f aca="false">IF(F1704&lt;50,"1) Under Rs 50",IF(F1704&lt;100,"2) Rs 50-99",IF(F1704&lt;200,"3) Rs 100-199",IF(F1704&lt;500,"4) Rs 200-499","5) Rs 500+"))))</f>
        <v>3) Rs 100-199</v>
      </c>
      <c r="O1704" s="0" t="n">
        <f aca="false">G1704*E1704/1000</f>
        <v>1.5</v>
      </c>
    </row>
    <row r="1705" customFormat="false" ht="15" hidden="false" customHeight="false" outlineLevel="0" collapsed="false">
      <c r="A1705" s="0" t="s">
        <v>121</v>
      </c>
      <c r="B1705" s="0" t="s">
        <v>1049</v>
      </c>
      <c r="C1705" s="0" t="n">
        <v>120</v>
      </c>
      <c r="D1705" s="0" t="n">
        <v>0</v>
      </c>
      <c r="E1705" s="0" t="n">
        <v>6</v>
      </c>
      <c r="F1705" s="0" t="n">
        <v>120</v>
      </c>
      <c r="G1705" s="0" t="n">
        <v>160</v>
      </c>
      <c r="H1705" s="0" t="s">
        <v>145</v>
      </c>
      <c r="I1705" s="0" t="n">
        <v>160</v>
      </c>
      <c r="J1705" s="0" t="n">
        <f aca="false">F1705*E1705</f>
        <v>720</v>
      </c>
      <c r="K1705" s="0" t="str">
        <f aca="false">IF(G1705&lt;1000,"1-Low",IF(G1705&lt;5000,"2-Medium","3-Bulk"))</f>
        <v>1-Low</v>
      </c>
      <c r="L1705" s="0" t="str">
        <f aca="false">IF(H1705="TRUE","Out of stock","In stock")</f>
        <v>In stock</v>
      </c>
      <c r="M1705" s="0" t="str">
        <f aca="false">IF(D1705&lt;5,"1) Under 5%",IF(D1705&lt;10,"2) 5-9%",IF(D1705&lt;15,"3) 10-14%",IF(D1705&lt;25,"4) 15-24%","5) 25%+"))))</f>
        <v>1) Under 5%</v>
      </c>
      <c r="N1705" s="0" t="str">
        <f aca="false">IF(F1705&lt;50,"1) Under Rs 50",IF(F1705&lt;100,"2) Rs 50-99",IF(F1705&lt;200,"3) Rs 100-199",IF(F1705&lt;500,"4) Rs 200-499","5) Rs 500+"))))</f>
        <v>3) Rs 100-199</v>
      </c>
      <c r="O1705" s="0" t="n">
        <f aca="false">G1705*E1705/1000</f>
        <v>0.96</v>
      </c>
    </row>
    <row r="1706" customFormat="false" ht="15" hidden="false" customHeight="false" outlineLevel="0" collapsed="false">
      <c r="A1706" s="0" t="s">
        <v>121</v>
      </c>
      <c r="B1706" s="0" t="s">
        <v>1050</v>
      </c>
      <c r="C1706" s="0" t="n">
        <v>280</v>
      </c>
      <c r="D1706" s="0" t="n">
        <v>50</v>
      </c>
      <c r="E1706" s="0" t="n">
        <v>6</v>
      </c>
      <c r="F1706" s="0" t="n">
        <v>140</v>
      </c>
      <c r="G1706" s="0" t="n">
        <v>175</v>
      </c>
      <c r="H1706" s="0" t="s">
        <v>145</v>
      </c>
      <c r="I1706" s="0" t="n">
        <v>175</v>
      </c>
      <c r="J1706" s="0" t="n">
        <f aca="false">F1706*E1706</f>
        <v>840</v>
      </c>
      <c r="K1706" s="0" t="str">
        <f aca="false">IF(G1706&lt;1000,"1-Low",IF(G1706&lt;5000,"2-Medium","3-Bulk"))</f>
        <v>1-Low</v>
      </c>
      <c r="L1706" s="0" t="str">
        <f aca="false">IF(H1706="TRUE","Out of stock","In stock")</f>
        <v>In stock</v>
      </c>
      <c r="M1706" s="0" t="str">
        <f aca="false">IF(D1706&lt;5,"1) Under 5%",IF(D1706&lt;10,"2) 5-9%",IF(D1706&lt;15,"3) 10-14%",IF(D1706&lt;25,"4) 15-24%","5) 25%+"))))</f>
        <v>5) 25%+</v>
      </c>
      <c r="N1706" s="0" t="str">
        <f aca="false">IF(F1706&lt;50,"1) Under Rs 50",IF(F1706&lt;100,"2) Rs 50-99",IF(F1706&lt;200,"3) Rs 100-199",IF(F1706&lt;500,"4) Rs 200-499","5) Rs 500+"))))</f>
        <v>3) Rs 100-199</v>
      </c>
      <c r="O1706" s="0" t="n">
        <f aca="false">G1706*E1706/1000</f>
        <v>1.05</v>
      </c>
    </row>
    <row r="1707" customFormat="false" ht="15" hidden="false" customHeight="false" outlineLevel="0" collapsed="false">
      <c r="A1707" s="0" t="s">
        <v>121</v>
      </c>
      <c r="B1707" s="0" t="s">
        <v>1051</v>
      </c>
      <c r="C1707" s="0" t="n">
        <v>660</v>
      </c>
      <c r="D1707" s="0" t="n">
        <v>7</v>
      </c>
      <c r="E1707" s="0" t="n">
        <v>2</v>
      </c>
      <c r="F1707" s="0" t="n">
        <v>608</v>
      </c>
      <c r="G1707" s="0" t="n">
        <v>3000</v>
      </c>
      <c r="H1707" s="0" t="s">
        <v>145</v>
      </c>
      <c r="I1707" s="0" t="n">
        <v>3</v>
      </c>
      <c r="J1707" s="0" t="n">
        <f aca="false">F1707*E1707</f>
        <v>1216</v>
      </c>
      <c r="K1707" s="0" t="str">
        <f aca="false">IF(G1707&lt;1000,"1-Low",IF(G1707&lt;5000,"2-Medium","3-Bulk"))</f>
        <v>2-Medium</v>
      </c>
      <c r="L1707" s="0" t="str">
        <f aca="false">IF(H1707="TRUE","Out of stock","In stock")</f>
        <v>In stock</v>
      </c>
      <c r="M1707" s="0" t="str">
        <f aca="false">IF(D1707&lt;5,"1) Under 5%",IF(D1707&lt;10,"2) 5-9%",IF(D1707&lt;15,"3) 10-14%",IF(D1707&lt;25,"4) 15-24%","5) 25%+"))))</f>
        <v>2) 5-9%</v>
      </c>
      <c r="N1707" s="0" t="str">
        <f aca="false">IF(F1707&lt;50,"1) Under Rs 50",IF(F1707&lt;100,"2) Rs 50-99",IF(F1707&lt;200,"3) Rs 100-199",IF(F1707&lt;500,"4) Rs 200-499","5) Rs 500+"))))</f>
        <v>5) Rs 500+</v>
      </c>
      <c r="O1707" s="0" t="n">
        <f aca="false">G1707*E1707/1000</f>
        <v>6</v>
      </c>
    </row>
    <row r="1708" customFormat="false" ht="15" hidden="false" customHeight="false" outlineLevel="0" collapsed="false">
      <c r="A1708" s="0" t="s">
        <v>121</v>
      </c>
      <c r="B1708" s="0" t="s">
        <v>1052</v>
      </c>
      <c r="C1708" s="0" t="n">
        <v>225</v>
      </c>
      <c r="D1708" s="0" t="n">
        <v>15</v>
      </c>
      <c r="E1708" s="0" t="n">
        <v>6</v>
      </c>
      <c r="F1708" s="0" t="n">
        <v>191</v>
      </c>
      <c r="G1708" s="0" t="n">
        <v>200</v>
      </c>
      <c r="H1708" s="0" t="s">
        <v>145</v>
      </c>
      <c r="I1708" s="0" t="n">
        <v>200</v>
      </c>
      <c r="J1708" s="0" t="n">
        <f aca="false">F1708*E1708</f>
        <v>1146</v>
      </c>
      <c r="K1708" s="0" t="str">
        <f aca="false">IF(G1708&lt;1000,"1-Low",IF(G1708&lt;5000,"2-Medium","3-Bulk"))</f>
        <v>1-Low</v>
      </c>
      <c r="L1708" s="0" t="str">
        <f aca="false">IF(H1708="TRUE","Out of stock","In stock")</f>
        <v>In stock</v>
      </c>
      <c r="M1708" s="0" t="str">
        <f aca="false">IF(D1708&lt;5,"1) Under 5%",IF(D1708&lt;10,"2) 5-9%",IF(D1708&lt;15,"3) 10-14%",IF(D1708&lt;25,"4) 15-24%","5) 25%+"))))</f>
        <v>4) 15-24%</v>
      </c>
      <c r="N1708" s="0" t="str">
        <f aca="false">IF(F1708&lt;50,"1) Under Rs 50",IF(F1708&lt;100,"2) Rs 50-99",IF(F1708&lt;200,"3) Rs 100-199",IF(F1708&lt;500,"4) Rs 200-499","5) Rs 500+"))))</f>
        <v>3) Rs 100-199</v>
      </c>
      <c r="O1708" s="0" t="n">
        <f aca="false">G1708*E1708/1000</f>
        <v>1.2</v>
      </c>
    </row>
    <row r="1709" customFormat="false" ht="15" hidden="false" customHeight="false" outlineLevel="0" collapsed="false">
      <c r="A1709" s="0" t="s">
        <v>121</v>
      </c>
      <c r="B1709" s="0" t="s">
        <v>1053</v>
      </c>
      <c r="C1709" s="0" t="n">
        <v>275</v>
      </c>
      <c r="D1709" s="0" t="n">
        <v>14</v>
      </c>
      <c r="E1709" s="0" t="n">
        <v>6</v>
      </c>
      <c r="F1709" s="0" t="n">
        <v>234</v>
      </c>
      <c r="G1709" s="0" t="n">
        <v>200</v>
      </c>
      <c r="H1709" s="0" t="s">
        <v>145</v>
      </c>
      <c r="I1709" s="0" t="n">
        <v>200</v>
      </c>
      <c r="J1709" s="0" t="n">
        <f aca="false">F1709*E1709</f>
        <v>1404</v>
      </c>
      <c r="K1709" s="0" t="str">
        <f aca="false">IF(G1709&lt;1000,"1-Low",IF(G1709&lt;5000,"2-Medium","3-Bulk"))</f>
        <v>1-Low</v>
      </c>
      <c r="L1709" s="0" t="str">
        <f aca="false">IF(H1709="TRUE","Out of stock","In stock")</f>
        <v>In stock</v>
      </c>
      <c r="M1709" s="0" t="str">
        <f aca="false">IF(D1709&lt;5,"1) Under 5%",IF(D1709&lt;10,"2) 5-9%",IF(D1709&lt;15,"3) 10-14%",IF(D1709&lt;25,"4) 15-24%","5) 25%+"))))</f>
        <v>3) 10-14%</v>
      </c>
      <c r="N1709" s="0" t="str">
        <f aca="false">IF(F1709&lt;50,"1) Under Rs 50",IF(F1709&lt;100,"2) Rs 50-99",IF(F1709&lt;200,"3) Rs 100-199",IF(F1709&lt;500,"4) Rs 200-499","5) Rs 500+"))))</f>
        <v>4) Rs 200-499</v>
      </c>
      <c r="O1709" s="0" t="n">
        <f aca="false">G1709*E1709/1000</f>
        <v>1.2</v>
      </c>
    </row>
    <row r="1710" customFormat="false" ht="15" hidden="false" customHeight="false" outlineLevel="0" collapsed="false">
      <c r="A1710" s="0" t="s">
        <v>121</v>
      </c>
      <c r="B1710" s="0" t="s">
        <v>1054</v>
      </c>
      <c r="C1710" s="0" t="n">
        <v>275</v>
      </c>
      <c r="D1710" s="0" t="n">
        <v>14</v>
      </c>
      <c r="E1710" s="0" t="n">
        <v>6</v>
      </c>
      <c r="F1710" s="0" t="n">
        <v>234</v>
      </c>
      <c r="G1710" s="0" t="n">
        <v>200</v>
      </c>
      <c r="H1710" s="0" t="s">
        <v>145</v>
      </c>
      <c r="I1710" s="0" t="n">
        <v>200</v>
      </c>
      <c r="J1710" s="0" t="n">
        <f aca="false">F1710*E1710</f>
        <v>1404</v>
      </c>
      <c r="K1710" s="0" t="str">
        <f aca="false">IF(G1710&lt;1000,"1-Low",IF(G1710&lt;5000,"2-Medium","3-Bulk"))</f>
        <v>1-Low</v>
      </c>
      <c r="L1710" s="0" t="str">
        <f aca="false">IF(H1710="TRUE","Out of stock","In stock")</f>
        <v>In stock</v>
      </c>
      <c r="M1710" s="0" t="str">
        <f aca="false">IF(D1710&lt;5,"1) Under 5%",IF(D1710&lt;10,"2) 5-9%",IF(D1710&lt;15,"3) 10-14%",IF(D1710&lt;25,"4) 15-24%","5) 25%+"))))</f>
        <v>3) 10-14%</v>
      </c>
      <c r="N1710" s="0" t="str">
        <f aca="false">IF(F1710&lt;50,"1) Under Rs 50",IF(F1710&lt;100,"2) Rs 50-99",IF(F1710&lt;200,"3) Rs 100-199",IF(F1710&lt;500,"4) Rs 200-499","5) Rs 500+"))))</f>
        <v>4) Rs 200-499</v>
      </c>
      <c r="O1710" s="0" t="n">
        <f aca="false">G1710*E1710/1000</f>
        <v>1.2</v>
      </c>
    </row>
    <row r="1711" customFormat="false" ht="15" hidden="false" customHeight="false" outlineLevel="0" collapsed="false">
      <c r="A1711" s="0" t="s">
        <v>121</v>
      </c>
      <c r="B1711" s="0" t="s">
        <v>782</v>
      </c>
      <c r="C1711" s="0" t="n">
        <v>249</v>
      </c>
      <c r="D1711" s="0" t="n">
        <v>0</v>
      </c>
      <c r="E1711" s="0" t="n">
        <v>4</v>
      </c>
      <c r="F1711" s="0" t="n">
        <v>249</v>
      </c>
      <c r="G1711" s="0" t="n">
        <v>400</v>
      </c>
      <c r="H1711" s="0" t="s">
        <v>145</v>
      </c>
      <c r="I1711" s="0" t="n">
        <v>400</v>
      </c>
      <c r="J1711" s="0" t="n">
        <f aca="false">F1711*E1711</f>
        <v>996</v>
      </c>
      <c r="K1711" s="0" t="str">
        <f aca="false">IF(G1711&lt;1000,"1-Low",IF(G1711&lt;5000,"2-Medium","3-Bulk"))</f>
        <v>1-Low</v>
      </c>
      <c r="L1711" s="0" t="str">
        <f aca="false">IF(H1711="TRUE","Out of stock","In stock")</f>
        <v>In stock</v>
      </c>
      <c r="M1711" s="0" t="str">
        <f aca="false">IF(D1711&lt;5,"1) Under 5%",IF(D1711&lt;10,"2) 5-9%",IF(D1711&lt;15,"3) 10-14%",IF(D1711&lt;25,"4) 15-24%","5) 25%+"))))</f>
        <v>1) Under 5%</v>
      </c>
      <c r="N1711" s="0" t="str">
        <f aca="false">IF(F1711&lt;50,"1) Under Rs 50",IF(F1711&lt;100,"2) Rs 50-99",IF(F1711&lt;200,"3) Rs 100-199",IF(F1711&lt;500,"4) Rs 200-499","5) Rs 500+"))))</f>
        <v>4) Rs 200-499</v>
      </c>
      <c r="O1711" s="0" t="n">
        <f aca="false">G1711*E1711/1000</f>
        <v>1.6</v>
      </c>
    </row>
    <row r="1712" customFormat="false" ht="15" hidden="false" customHeight="false" outlineLevel="0" collapsed="false">
      <c r="A1712" s="0" t="s">
        <v>121</v>
      </c>
      <c r="B1712" s="0" t="s">
        <v>1055</v>
      </c>
      <c r="C1712" s="0" t="n">
        <v>140</v>
      </c>
      <c r="D1712" s="0" t="n">
        <v>15</v>
      </c>
      <c r="E1712" s="0" t="n">
        <v>6</v>
      </c>
      <c r="F1712" s="0" t="n">
        <v>119</v>
      </c>
      <c r="G1712" s="0" t="n">
        <v>60</v>
      </c>
      <c r="H1712" s="0" t="s">
        <v>145</v>
      </c>
      <c r="I1712" s="0" t="n">
        <v>60</v>
      </c>
      <c r="J1712" s="0" t="n">
        <f aca="false">F1712*E1712</f>
        <v>714</v>
      </c>
      <c r="K1712" s="0" t="str">
        <f aca="false">IF(G1712&lt;1000,"1-Low",IF(G1712&lt;5000,"2-Medium","3-Bulk"))</f>
        <v>1-Low</v>
      </c>
      <c r="L1712" s="0" t="str">
        <f aca="false">IF(H1712="TRUE","Out of stock","In stock")</f>
        <v>In stock</v>
      </c>
      <c r="M1712" s="0" t="str">
        <f aca="false">IF(D1712&lt;5,"1) Under 5%",IF(D1712&lt;10,"2) 5-9%",IF(D1712&lt;15,"3) 10-14%",IF(D1712&lt;25,"4) 15-24%","5) 25%+"))))</f>
        <v>4) 15-24%</v>
      </c>
      <c r="N1712" s="0" t="str">
        <f aca="false">IF(F1712&lt;50,"1) Under Rs 50",IF(F1712&lt;100,"2) Rs 50-99",IF(F1712&lt;200,"3) Rs 100-199",IF(F1712&lt;500,"4) Rs 200-499","5) Rs 500+"))))</f>
        <v>3) Rs 100-199</v>
      </c>
      <c r="O1712" s="0" t="n">
        <f aca="false">G1712*E1712/1000</f>
        <v>0.36</v>
      </c>
    </row>
    <row r="1713" customFormat="false" ht="15" hidden="false" customHeight="false" outlineLevel="0" collapsed="false">
      <c r="A1713" s="0" t="s">
        <v>121</v>
      </c>
      <c r="B1713" s="0" t="s">
        <v>1056</v>
      </c>
      <c r="C1713" s="0" t="n">
        <v>325</v>
      </c>
      <c r="D1713" s="0" t="n">
        <v>9</v>
      </c>
      <c r="E1713" s="0" t="n">
        <v>5</v>
      </c>
      <c r="F1713" s="0" t="n">
        <v>293</v>
      </c>
      <c r="G1713" s="0" t="n">
        <v>200</v>
      </c>
      <c r="H1713" s="0" t="s">
        <v>145</v>
      </c>
      <c r="I1713" s="0" t="n">
        <v>200</v>
      </c>
      <c r="J1713" s="0" t="n">
        <f aca="false">F1713*E1713</f>
        <v>1465</v>
      </c>
      <c r="K1713" s="0" t="str">
        <f aca="false">IF(G1713&lt;1000,"1-Low",IF(G1713&lt;5000,"2-Medium","3-Bulk"))</f>
        <v>1-Low</v>
      </c>
      <c r="L1713" s="0" t="str">
        <f aca="false">IF(H1713="TRUE","Out of stock","In stock")</f>
        <v>In stock</v>
      </c>
      <c r="M1713" s="0" t="str">
        <f aca="false">IF(D1713&lt;5,"1) Under 5%",IF(D1713&lt;10,"2) 5-9%",IF(D1713&lt;15,"3) 10-14%",IF(D1713&lt;25,"4) 15-24%","5) 25%+"))))</f>
        <v>2) 5-9%</v>
      </c>
      <c r="N1713" s="0" t="str">
        <f aca="false">IF(F1713&lt;50,"1) Under Rs 50",IF(F1713&lt;100,"2) Rs 50-99",IF(F1713&lt;200,"3) Rs 100-199",IF(F1713&lt;500,"4) Rs 200-499","5) Rs 500+"))))</f>
        <v>4) Rs 200-499</v>
      </c>
      <c r="O1713" s="0" t="n">
        <f aca="false">G1713*E1713/1000</f>
        <v>1</v>
      </c>
    </row>
    <row r="1714" customFormat="false" ht="15" hidden="false" customHeight="false" outlineLevel="0" collapsed="false">
      <c r="A1714" s="0" t="s">
        <v>121</v>
      </c>
      <c r="B1714" s="0" t="s">
        <v>1057</v>
      </c>
      <c r="C1714" s="0" t="n">
        <v>275</v>
      </c>
      <c r="D1714" s="0" t="n">
        <v>14</v>
      </c>
      <c r="E1714" s="0" t="n">
        <v>6</v>
      </c>
      <c r="F1714" s="0" t="n">
        <v>234</v>
      </c>
      <c r="G1714" s="0" t="n">
        <v>200</v>
      </c>
      <c r="H1714" s="0" t="s">
        <v>145</v>
      </c>
      <c r="I1714" s="0" t="n">
        <v>200</v>
      </c>
      <c r="J1714" s="0" t="n">
        <f aca="false">F1714*E1714</f>
        <v>1404</v>
      </c>
      <c r="K1714" s="0" t="str">
        <f aca="false">IF(G1714&lt;1000,"1-Low",IF(G1714&lt;5000,"2-Medium","3-Bulk"))</f>
        <v>1-Low</v>
      </c>
      <c r="L1714" s="0" t="str">
        <f aca="false">IF(H1714="TRUE","Out of stock","In stock")</f>
        <v>In stock</v>
      </c>
      <c r="M1714" s="0" t="str">
        <f aca="false">IF(D1714&lt;5,"1) Under 5%",IF(D1714&lt;10,"2) 5-9%",IF(D1714&lt;15,"3) 10-14%",IF(D1714&lt;25,"4) 15-24%","5) 25%+"))))</f>
        <v>3) 10-14%</v>
      </c>
      <c r="N1714" s="0" t="str">
        <f aca="false">IF(F1714&lt;50,"1) Under Rs 50",IF(F1714&lt;100,"2) Rs 50-99",IF(F1714&lt;200,"3) Rs 100-199",IF(F1714&lt;500,"4) Rs 200-499","5) Rs 500+"))))</f>
        <v>4) Rs 200-499</v>
      </c>
      <c r="O1714" s="0" t="n">
        <f aca="false">G1714*E1714/1000</f>
        <v>1.2</v>
      </c>
    </row>
    <row r="1715" customFormat="false" ht="15" hidden="false" customHeight="false" outlineLevel="0" collapsed="false">
      <c r="A1715" s="0" t="s">
        <v>121</v>
      </c>
      <c r="B1715" s="0" t="s">
        <v>1058</v>
      </c>
      <c r="C1715" s="0" t="n">
        <v>114</v>
      </c>
      <c r="D1715" s="0" t="n">
        <v>0</v>
      </c>
      <c r="E1715" s="0" t="n">
        <v>6</v>
      </c>
      <c r="F1715" s="0" t="n">
        <v>114</v>
      </c>
      <c r="G1715" s="0" t="n">
        <v>480</v>
      </c>
      <c r="H1715" s="0" t="s">
        <v>145</v>
      </c>
      <c r="I1715" s="0" t="n">
        <v>480</v>
      </c>
      <c r="J1715" s="0" t="n">
        <f aca="false">F1715*E1715</f>
        <v>684</v>
      </c>
      <c r="K1715" s="0" t="str">
        <f aca="false">IF(G1715&lt;1000,"1-Low",IF(G1715&lt;5000,"2-Medium","3-Bulk"))</f>
        <v>1-Low</v>
      </c>
      <c r="L1715" s="0" t="str">
        <f aca="false">IF(H1715="TRUE","Out of stock","In stock")</f>
        <v>In stock</v>
      </c>
      <c r="M1715" s="0" t="str">
        <f aca="false">IF(D1715&lt;5,"1) Under 5%",IF(D1715&lt;10,"2) 5-9%",IF(D1715&lt;15,"3) 10-14%",IF(D1715&lt;25,"4) 15-24%","5) 25%+"))))</f>
        <v>1) Under 5%</v>
      </c>
      <c r="N1715" s="0" t="str">
        <f aca="false">IF(F1715&lt;50,"1) Under Rs 50",IF(F1715&lt;100,"2) Rs 50-99",IF(F1715&lt;200,"3) Rs 100-199",IF(F1715&lt;500,"4) Rs 200-499","5) Rs 500+"))))</f>
        <v>3) Rs 100-199</v>
      </c>
      <c r="O1715" s="0" t="n">
        <f aca="false">G1715*E1715/1000</f>
        <v>2.88</v>
      </c>
    </row>
    <row r="1716" customFormat="false" ht="15" hidden="false" customHeight="false" outlineLevel="0" collapsed="false">
      <c r="A1716" s="0" t="s">
        <v>121</v>
      </c>
      <c r="B1716" s="0" t="s">
        <v>605</v>
      </c>
      <c r="C1716" s="0" t="n">
        <v>250</v>
      </c>
      <c r="D1716" s="0" t="n">
        <v>0</v>
      </c>
      <c r="E1716" s="0" t="n">
        <v>5</v>
      </c>
      <c r="F1716" s="0" t="n">
        <v>250</v>
      </c>
      <c r="G1716" s="0" t="n">
        <v>400</v>
      </c>
      <c r="H1716" s="0" t="s">
        <v>145</v>
      </c>
      <c r="I1716" s="0" t="n">
        <v>400</v>
      </c>
      <c r="J1716" s="0" t="n">
        <f aca="false">F1716*E1716</f>
        <v>1250</v>
      </c>
      <c r="K1716" s="0" t="str">
        <f aca="false">IF(G1716&lt;1000,"1-Low",IF(G1716&lt;5000,"2-Medium","3-Bulk"))</f>
        <v>1-Low</v>
      </c>
      <c r="L1716" s="0" t="str">
        <f aca="false">IF(H1716="TRUE","Out of stock","In stock")</f>
        <v>In stock</v>
      </c>
      <c r="M1716" s="0" t="str">
        <f aca="false">IF(D1716&lt;5,"1) Under 5%",IF(D1716&lt;10,"2) 5-9%",IF(D1716&lt;15,"3) 10-14%",IF(D1716&lt;25,"4) 15-24%","5) 25%+"))))</f>
        <v>1) Under 5%</v>
      </c>
      <c r="N1716" s="0" t="str">
        <f aca="false">IF(F1716&lt;50,"1) Under Rs 50",IF(F1716&lt;100,"2) Rs 50-99",IF(F1716&lt;200,"3) Rs 100-199",IF(F1716&lt;500,"4) Rs 200-499","5) Rs 500+"))))</f>
        <v>4) Rs 200-499</v>
      </c>
      <c r="O1716" s="0" t="n">
        <f aca="false">G1716*E1716/1000</f>
        <v>2</v>
      </c>
    </row>
    <row r="1717" customFormat="false" ht="15" hidden="false" customHeight="false" outlineLevel="0" collapsed="false">
      <c r="A1717" s="0" t="s">
        <v>121</v>
      </c>
      <c r="B1717" s="0" t="s">
        <v>1059</v>
      </c>
      <c r="C1717" s="0" t="n">
        <v>610</v>
      </c>
      <c r="D1717" s="0" t="n">
        <v>0</v>
      </c>
      <c r="E1717" s="0" t="n">
        <v>2</v>
      </c>
      <c r="F1717" s="0" t="n">
        <v>610</v>
      </c>
      <c r="G1717" s="0" t="n">
        <v>400</v>
      </c>
      <c r="H1717" s="0" t="s">
        <v>145</v>
      </c>
      <c r="I1717" s="0" t="n">
        <v>400</v>
      </c>
      <c r="J1717" s="0" t="n">
        <f aca="false">F1717*E1717</f>
        <v>1220</v>
      </c>
      <c r="K1717" s="0" t="str">
        <f aca="false">IF(G1717&lt;1000,"1-Low",IF(G1717&lt;5000,"2-Medium","3-Bulk"))</f>
        <v>1-Low</v>
      </c>
      <c r="L1717" s="0" t="str">
        <f aca="false">IF(H1717="TRUE","Out of stock","In stock")</f>
        <v>In stock</v>
      </c>
      <c r="M1717" s="0" t="str">
        <f aca="false">IF(D1717&lt;5,"1) Under 5%",IF(D1717&lt;10,"2) 5-9%",IF(D1717&lt;15,"3) 10-14%",IF(D1717&lt;25,"4) 15-24%","5) 25%+"))))</f>
        <v>1) Under 5%</v>
      </c>
      <c r="N1717" s="0" t="str">
        <f aca="false">IF(F1717&lt;50,"1) Under Rs 50",IF(F1717&lt;100,"2) Rs 50-99",IF(F1717&lt;200,"3) Rs 100-199",IF(F1717&lt;500,"4) Rs 200-499","5) Rs 500+"))))</f>
        <v>5) Rs 500+</v>
      </c>
      <c r="O1717" s="0" t="n">
        <f aca="false">G1717*E1717/1000</f>
        <v>0.8</v>
      </c>
    </row>
    <row r="1718" customFormat="false" ht="15" hidden="false" customHeight="false" outlineLevel="0" collapsed="false">
      <c r="A1718" s="0" t="s">
        <v>121</v>
      </c>
      <c r="B1718" s="0" t="s">
        <v>1060</v>
      </c>
      <c r="C1718" s="0" t="n">
        <v>91</v>
      </c>
      <c r="D1718" s="0" t="n">
        <v>0</v>
      </c>
      <c r="E1718" s="0" t="n">
        <v>6</v>
      </c>
      <c r="F1718" s="0" t="n">
        <v>91</v>
      </c>
      <c r="G1718" s="0" t="n">
        <v>60</v>
      </c>
      <c r="H1718" s="0" t="s">
        <v>145</v>
      </c>
      <c r="I1718" s="0" t="n">
        <v>60</v>
      </c>
      <c r="J1718" s="0" t="n">
        <f aca="false">F1718*E1718</f>
        <v>546</v>
      </c>
      <c r="K1718" s="0" t="str">
        <f aca="false">IF(G1718&lt;1000,"1-Low",IF(G1718&lt;5000,"2-Medium","3-Bulk"))</f>
        <v>1-Low</v>
      </c>
      <c r="L1718" s="0" t="str">
        <f aca="false">IF(H1718="TRUE","Out of stock","In stock")</f>
        <v>In stock</v>
      </c>
      <c r="M1718" s="0" t="str">
        <f aca="false">IF(D1718&lt;5,"1) Under 5%",IF(D1718&lt;10,"2) 5-9%",IF(D1718&lt;15,"3) 10-14%",IF(D1718&lt;25,"4) 15-24%","5) 25%+"))))</f>
        <v>1) Under 5%</v>
      </c>
      <c r="N1718" s="0" t="str">
        <f aca="false">IF(F1718&lt;50,"1) Under Rs 50",IF(F1718&lt;100,"2) Rs 50-99",IF(F1718&lt;200,"3) Rs 100-199",IF(F1718&lt;500,"4) Rs 200-499","5) Rs 500+"))))</f>
        <v>2) Rs 50-99</v>
      </c>
      <c r="O1718" s="0" t="n">
        <f aca="false">G1718*E1718/1000</f>
        <v>0.36</v>
      </c>
    </row>
    <row r="1719" customFormat="false" ht="15" hidden="false" customHeight="false" outlineLevel="0" collapsed="false">
      <c r="A1719" s="0" t="s">
        <v>121</v>
      </c>
      <c r="B1719" s="0" t="s">
        <v>1061</v>
      </c>
      <c r="C1719" s="0" t="n">
        <v>230</v>
      </c>
      <c r="D1719" s="0" t="n">
        <v>0</v>
      </c>
      <c r="E1719" s="0" t="n">
        <v>4</v>
      </c>
      <c r="F1719" s="0" t="n">
        <v>230</v>
      </c>
      <c r="G1719" s="0" t="n">
        <v>400</v>
      </c>
      <c r="H1719" s="0" t="s">
        <v>145</v>
      </c>
      <c r="I1719" s="0" t="n">
        <v>400</v>
      </c>
      <c r="J1719" s="0" t="n">
        <f aca="false">F1719*E1719</f>
        <v>920</v>
      </c>
      <c r="K1719" s="0" t="str">
        <f aca="false">IF(G1719&lt;1000,"1-Low",IF(G1719&lt;5000,"2-Medium","3-Bulk"))</f>
        <v>1-Low</v>
      </c>
      <c r="L1719" s="0" t="str">
        <f aca="false">IF(H1719="TRUE","Out of stock","In stock")</f>
        <v>In stock</v>
      </c>
      <c r="M1719" s="0" t="str">
        <f aca="false">IF(D1719&lt;5,"1) Under 5%",IF(D1719&lt;10,"2) 5-9%",IF(D1719&lt;15,"3) 10-14%",IF(D1719&lt;25,"4) 15-24%","5) 25%+"))))</f>
        <v>1) Under 5%</v>
      </c>
      <c r="N1719" s="0" t="str">
        <f aca="false">IF(F1719&lt;50,"1) Under Rs 50",IF(F1719&lt;100,"2) Rs 50-99",IF(F1719&lt;200,"3) Rs 100-199",IF(F1719&lt;500,"4) Rs 200-499","5) Rs 500+"))))</f>
        <v>4) Rs 200-499</v>
      </c>
      <c r="O1719" s="0" t="n">
        <f aca="false">G1719*E1719/1000</f>
        <v>1.6</v>
      </c>
    </row>
    <row r="1720" customFormat="false" ht="15" hidden="false" customHeight="false" outlineLevel="0" collapsed="false">
      <c r="A1720" s="0" t="s">
        <v>121</v>
      </c>
      <c r="B1720" s="0" t="s">
        <v>1062</v>
      </c>
      <c r="C1720" s="0" t="n">
        <v>275</v>
      </c>
      <c r="D1720" s="0" t="n">
        <v>14</v>
      </c>
      <c r="E1720" s="0" t="n">
        <v>6</v>
      </c>
      <c r="F1720" s="0" t="n">
        <v>234</v>
      </c>
      <c r="G1720" s="0" t="n">
        <v>200</v>
      </c>
      <c r="H1720" s="0" t="s">
        <v>145</v>
      </c>
      <c r="I1720" s="0" t="n">
        <v>200</v>
      </c>
      <c r="J1720" s="0" t="n">
        <f aca="false">F1720*E1720</f>
        <v>1404</v>
      </c>
      <c r="K1720" s="0" t="str">
        <f aca="false">IF(G1720&lt;1000,"1-Low",IF(G1720&lt;5000,"2-Medium","3-Bulk"))</f>
        <v>1-Low</v>
      </c>
      <c r="L1720" s="0" t="str">
        <f aca="false">IF(H1720="TRUE","Out of stock","In stock")</f>
        <v>In stock</v>
      </c>
      <c r="M1720" s="0" t="str">
        <f aca="false">IF(D1720&lt;5,"1) Under 5%",IF(D1720&lt;10,"2) 5-9%",IF(D1720&lt;15,"3) 10-14%",IF(D1720&lt;25,"4) 15-24%","5) 25%+"))))</f>
        <v>3) 10-14%</v>
      </c>
      <c r="N1720" s="0" t="str">
        <f aca="false">IF(F1720&lt;50,"1) Under Rs 50",IF(F1720&lt;100,"2) Rs 50-99",IF(F1720&lt;200,"3) Rs 100-199",IF(F1720&lt;500,"4) Rs 200-499","5) Rs 500+"))))</f>
        <v>4) Rs 200-499</v>
      </c>
      <c r="O1720" s="0" t="n">
        <f aca="false">G1720*E1720/1000</f>
        <v>1.2</v>
      </c>
    </row>
    <row r="1721" customFormat="false" ht="15" hidden="false" customHeight="false" outlineLevel="0" collapsed="false">
      <c r="A1721" s="0" t="s">
        <v>121</v>
      </c>
      <c r="B1721" s="0" t="s">
        <v>1063</v>
      </c>
      <c r="C1721" s="0" t="n">
        <v>65</v>
      </c>
      <c r="D1721" s="0" t="n">
        <v>6</v>
      </c>
      <c r="E1721" s="0" t="n">
        <v>3</v>
      </c>
      <c r="F1721" s="0" t="n">
        <v>61</v>
      </c>
      <c r="G1721" s="0" t="n">
        <v>52</v>
      </c>
      <c r="H1721" s="0" t="s">
        <v>145</v>
      </c>
      <c r="I1721" s="0" t="n">
        <v>52</v>
      </c>
      <c r="J1721" s="0" t="n">
        <f aca="false">F1721*E1721</f>
        <v>183</v>
      </c>
      <c r="K1721" s="0" t="str">
        <f aca="false">IF(G1721&lt;1000,"1-Low",IF(G1721&lt;5000,"2-Medium","3-Bulk"))</f>
        <v>1-Low</v>
      </c>
      <c r="L1721" s="0" t="str">
        <f aca="false">IF(H1721="TRUE","Out of stock","In stock")</f>
        <v>In stock</v>
      </c>
      <c r="M1721" s="0" t="str">
        <f aca="false">IF(D1721&lt;5,"1) Under 5%",IF(D1721&lt;10,"2) 5-9%",IF(D1721&lt;15,"3) 10-14%",IF(D1721&lt;25,"4) 15-24%","5) 25%+"))))</f>
        <v>2) 5-9%</v>
      </c>
      <c r="N1721" s="0" t="str">
        <f aca="false">IF(F1721&lt;50,"1) Under Rs 50",IF(F1721&lt;100,"2) Rs 50-99",IF(F1721&lt;200,"3) Rs 100-199",IF(F1721&lt;500,"4) Rs 200-499","5) Rs 500+"))))</f>
        <v>2) Rs 50-99</v>
      </c>
      <c r="O1721" s="0" t="n">
        <f aca="false">G1721*E1721/1000</f>
        <v>0.156</v>
      </c>
    </row>
    <row r="1722" customFormat="false" ht="15" hidden="false" customHeight="false" outlineLevel="0" collapsed="false">
      <c r="A1722" s="0" t="s">
        <v>121</v>
      </c>
      <c r="B1722" s="0" t="s">
        <v>125</v>
      </c>
      <c r="C1722" s="0" t="n">
        <v>595</v>
      </c>
      <c r="D1722" s="0" t="n">
        <v>0</v>
      </c>
      <c r="E1722" s="0" t="n">
        <v>5</v>
      </c>
      <c r="F1722" s="0" t="n">
        <v>595</v>
      </c>
      <c r="G1722" s="0" t="n">
        <v>1000</v>
      </c>
      <c r="H1722" s="0" t="s">
        <v>145</v>
      </c>
      <c r="I1722" s="0" t="n">
        <v>1</v>
      </c>
      <c r="J1722" s="0" t="n">
        <f aca="false">F1722*E1722</f>
        <v>2975</v>
      </c>
      <c r="K1722" s="0" t="str">
        <f aca="false">IF(G1722&lt;1000,"1-Low",IF(G1722&lt;5000,"2-Medium","3-Bulk"))</f>
        <v>2-Medium</v>
      </c>
      <c r="L1722" s="0" t="str">
        <f aca="false">IF(H1722="TRUE","Out of stock","In stock")</f>
        <v>In stock</v>
      </c>
      <c r="M1722" s="0" t="str">
        <f aca="false">IF(D1722&lt;5,"1) Under 5%",IF(D1722&lt;10,"2) 5-9%",IF(D1722&lt;15,"3) 10-14%",IF(D1722&lt;25,"4) 15-24%","5) 25%+"))))</f>
        <v>1) Under 5%</v>
      </c>
      <c r="N1722" s="0" t="str">
        <f aca="false">IF(F1722&lt;50,"1) Under Rs 50",IF(F1722&lt;100,"2) Rs 50-99",IF(F1722&lt;200,"3) Rs 100-199",IF(F1722&lt;500,"4) Rs 200-499","5) Rs 500+"))))</f>
        <v>5) Rs 500+</v>
      </c>
      <c r="O1722" s="0" t="n">
        <f aca="false">G1722*E1722/1000</f>
        <v>5</v>
      </c>
    </row>
    <row r="1723" customFormat="false" ht="15" hidden="false" customHeight="false" outlineLevel="0" collapsed="false">
      <c r="A1723" s="0" t="s">
        <v>121</v>
      </c>
      <c r="B1723" s="0" t="s">
        <v>981</v>
      </c>
      <c r="C1723" s="0" t="n">
        <v>105</v>
      </c>
      <c r="D1723" s="0" t="n">
        <v>0</v>
      </c>
      <c r="E1723" s="0" t="n">
        <v>4</v>
      </c>
      <c r="F1723" s="0" t="n">
        <v>105</v>
      </c>
      <c r="G1723" s="0" t="n">
        <v>850</v>
      </c>
      <c r="H1723" s="0" t="s">
        <v>145</v>
      </c>
      <c r="I1723" s="0" t="n">
        <v>850</v>
      </c>
      <c r="J1723" s="0" t="n">
        <f aca="false">F1723*E1723</f>
        <v>420</v>
      </c>
      <c r="K1723" s="0" t="str">
        <f aca="false">IF(G1723&lt;1000,"1-Low",IF(G1723&lt;5000,"2-Medium","3-Bulk"))</f>
        <v>1-Low</v>
      </c>
      <c r="L1723" s="0" t="str">
        <f aca="false">IF(H1723="TRUE","Out of stock","In stock")</f>
        <v>In stock</v>
      </c>
      <c r="M1723" s="0" t="str">
        <f aca="false">IF(D1723&lt;5,"1) Under 5%",IF(D1723&lt;10,"2) 5-9%",IF(D1723&lt;15,"3) 10-14%",IF(D1723&lt;25,"4) 15-24%","5) 25%+"))))</f>
        <v>1) Under 5%</v>
      </c>
      <c r="N1723" s="0" t="str">
        <f aca="false">IF(F1723&lt;50,"1) Under Rs 50",IF(F1723&lt;100,"2) Rs 50-99",IF(F1723&lt;200,"3) Rs 100-199",IF(F1723&lt;500,"4) Rs 200-499","5) Rs 500+"))))</f>
        <v>3) Rs 100-199</v>
      </c>
      <c r="O1723" s="0" t="n">
        <f aca="false">G1723*E1723/1000</f>
        <v>3.4</v>
      </c>
    </row>
    <row r="1724" customFormat="false" ht="15" hidden="false" customHeight="false" outlineLevel="0" collapsed="false">
      <c r="A1724" s="0" t="s">
        <v>121</v>
      </c>
      <c r="B1724" s="0" t="s">
        <v>649</v>
      </c>
      <c r="C1724" s="0" t="n">
        <v>44</v>
      </c>
      <c r="D1724" s="0" t="n">
        <v>0</v>
      </c>
      <c r="E1724" s="0" t="n">
        <v>0</v>
      </c>
      <c r="F1724" s="0" t="n">
        <v>44</v>
      </c>
      <c r="G1724" s="0" t="n">
        <v>280</v>
      </c>
      <c r="H1724" s="0" t="s">
        <v>230</v>
      </c>
      <c r="I1724" s="0" t="n">
        <v>280</v>
      </c>
      <c r="J1724" s="0" t="n">
        <f aca="false">F1724*E1724</f>
        <v>0</v>
      </c>
      <c r="K1724" s="0" t="str">
        <f aca="false">IF(G1724&lt;1000,"1-Low",IF(G1724&lt;5000,"2-Medium","3-Bulk"))</f>
        <v>1-Low</v>
      </c>
      <c r="L1724" s="0" t="str">
        <f aca="false">IF(H1724="TRUE","Out of stock","In stock")</f>
        <v>Out of stock</v>
      </c>
      <c r="M1724" s="0" t="str">
        <f aca="false">IF(D1724&lt;5,"1) Under 5%",IF(D1724&lt;10,"2) 5-9%",IF(D1724&lt;15,"3) 10-14%",IF(D1724&lt;25,"4) 15-24%","5) 25%+"))))</f>
        <v>1) Under 5%</v>
      </c>
      <c r="N1724" s="0" t="str">
        <f aca="false">IF(F1724&lt;50,"1) Under Rs 50",IF(F1724&lt;100,"2) Rs 50-99",IF(F1724&lt;200,"3) Rs 100-199",IF(F1724&lt;500,"4) Rs 200-499","5) Rs 500+"))))</f>
        <v>1) Under Rs 50</v>
      </c>
      <c r="O1724" s="0" t="n">
        <f aca="false">G1724*E1724/1000</f>
        <v>0</v>
      </c>
    </row>
    <row r="1725" customFormat="false" ht="15" hidden="false" customHeight="false" outlineLevel="0" collapsed="false">
      <c r="A1725" s="0" t="s">
        <v>121</v>
      </c>
      <c r="B1725" s="0" t="s">
        <v>1064</v>
      </c>
      <c r="C1725" s="0" t="n">
        <v>20</v>
      </c>
      <c r="D1725" s="0" t="n">
        <v>0</v>
      </c>
      <c r="E1725" s="0" t="n">
        <v>0</v>
      </c>
      <c r="F1725" s="0" t="n">
        <v>20</v>
      </c>
      <c r="G1725" s="0" t="n">
        <v>90</v>
      </c>
      <c r="H1725" s="0" t="s">
        <v>230</v>
      </c>
      <c r="I1725" s="0" t="n">
        <v>90</v>
      </c>
      <c r="J1725" s="0" t="n">
        <f aca="false">F1725*E1725</f>
        <v>0</v>
      </c>
      <c r="K1725" s="0" t="str">
        <f aca="false">IF(G1725&lt;1000,"1-Low",IF(G1725&lt;5000,"2-Medium","3-Bulk"))</f>
        <v>1-Low</v>
      </c>
      <c r="L1725" s="0" t="str">
        <f aca="false">IF(H1725="TRUE","Out of stock","In stock")</f>
        <v>Out of stock</v>
      </c>
      <c r="M1725" s="0" t="str">
        <f aca="false">IF(D1725&lt;5,"1) Under 5%",IF(D1725&lt;10,"2) 5-9%",IF(D1725&lt;15,"3) 10-14%",IF(D1725&lt;25,"4) 15-24%","5) 25%+"))))</f>
        <v>1) Under 5%</v>
      </c>
      <c r="N1725" s="0" t="str">
        <f aca="false">IF(F1725&lt;50,"1) Under Rs 50",IF(F1725&lt;100,"2) Rs 50-99",IF(F1725&lt;200,"3) Rs 100-199",IF(F1725&lt;500,"4) Rs 200-499","5) Rs 500+"))))</f>
        <v>1) Under Rs 50</v>
      </c>
      <c r="O1725" s="0" t="n">
        <f aca="false">G1725*E1725/1000</f>
        <v>0</v>
      </c>
    </row>
    <row r="1726" customFormat="false" ht="15" hidden="false" customHeight="false" outlineLevel="0" collapsed="false">
      <c r="A1726" s="0" t="s">
        <v>121</v>
      </c>
      <c r="B1726" s="0" t="s">
        <v>1065</v>
      </c>
      <c r="C1726" s="0" t="n">
        <v>60</v>
      </c>
      <c r="D1726" s="0" t="n">
        <v>6</v>
      </c>
      <c r="E1726" s="0" t="n">
        <v>0</v>
      </c>
      <c r="F1726" s="0" t="n">
        <v>56</v>
      </c>
      <c r="G1726" s="0" t="n">
        <v>156</v>
      </c>
      <c r="H1726" s="0" t="s">
        <v>230</v>
      </c>
      <c r="I1726" s="0" t="n">
        <v>156</v>
      </c>
      <c r="J1726" s="0" t="n">
        <f aca="false">F1726*E1726</f>
        <v>0</v>
      </c>
      <c r="K1726" s="0" t="str">
        <f aca="false">IF(G1726&lt;1000,"1-Low",IF(G1726&lt;5000,"2-Medium","3-Bulk"))</f>
        <v>1-Low</v>
      </c>
      <c r="L1726" s="0" t="str">
        <f aca="false">IF(H1726="TRUE","Out of stock","In stock")</f>
        <v>Out of stock</v>
      </c>
      <c r="M1726" s="0" t="str">
        <f aca="false">IF(D1726&lt;5,"1) Under 5%",IF(D1726&lt;10,"2) 5-9%",IF(D1726&lt;15,"3) 10-14%",IF(D1726&lt;25,"4) 15-24%","5) 25%+"))))</f>
        <v>2) 5-9%</v>
      </c>
      <c r="N1726" s="0" t="str">
        <f aca="false">IF(F1726&lt;50,"1) Under Rs 50",IF(F1726&lt;100,"2) Rs 50-99",IF(F1726&lt;200,"3) Rs 100-199",IF(F1726&lt;500,"4) Rs 200-499","5) Rs 500+"))))</f>
        <v>2) Rs 50-99</v>
      </c>
      <c r="O1726" s="0" t="n">
        <f aca="false">G1726*E1726/1000</f>
        <v>0</v>
      </c>
    </row>
    <row r="1727" customFormat="false" ht="15" hidden="false" customHeight="false" outlineLevel="0" collapsed="false">
      <c r="A1727" s="0" t="s">
        <v>121</v>
      </c>
      <c r="B1727" s="0" t="s">
        <v>1066</v>
      </c>
      <c r="C1727" s="0" t="n">
        <v>155</v>
      </c>
      <c r="D1727" s="0" t="n">
        <v>0</v>
      </c>
      <c r="E1727" s="0" t="n">
        <v>0</v>
      </c>
      <c r="F1727" s="0" t="n">
        <v>155</v>
      </c>
      <c r="G1727" s="0" t="n">
        <v>500</v>
      </c>
      <c r="H1727" s="0" t="s">
        <v>230</v>
      </c>
      <c r="I1727" s="0" t="n">
        <v>500</v>
      </c>
      <c r="J1727" s="0" t="n">
        <f aca="false">F1727*E1727</f>
        <v>0</v>
      </c>
      <c r="K1727" s="0" t="str">
        <f aca="false">IF(G1727&lt;1000,"1-Low",IF(G1727&lt;5000,"2-Medium","3-Bulk"))</f>
        <v>1-Low</v>
      </c>
      <c r="L1727" s="0" t="str">
        <f aca="false">IF(H1727="TRUE","Out of stock","In stock")</f>
        <v>Out of stock</v>
      </c>
      <c r="M1727" s="0" t="str">
        <f aca="false">IF(D1727&lt;5,"1) Under 5%",IF(D1727&lt;10,"2) 5-9%",IF(D1727&lt;15,"3) 10-14%",IF(D1727&lt;25,"4) 15-24%","5) 25%+"))))</f>
        <v>1) Under 5%</v>
      </c>
      <c r="N1727" s="0" t="str">
        <f aca="false">IF(F1727&lt;50,"1) Under Rs 50",IF(F1727&lt;100,"2) Rs 50-99",IF(F1727&lt;200,"3) Rs 100-199",IF(F1727&lt;500,"4) Rs 200-499","5) Rs 500+"))))</f>
        <v>3) Rs 100-199</v>
      </c>
      <c r="O1727" s="0" t="n">
        <f aca="false">G1727*E1727/1000</f>
        <v>0</v>
      </c>
    </row>
    <row r="1728" customFormat="false" ht="15" hidden="false" customHeight="false" outlineLevel="0" collapsed="false">
      <c r="A1728" s="0" t="s">
        <v>121</v>
      </c>
      <c r="B1728" s="0" t="s">
        <v>1067</v>
      </c>
      <c r="C1728" s="0" t="n">
        <v>60</v>
      </c>
      <c r="D1728" s="0" t="n">
        <v>5</v>
      </c>
      <c r="E1728" s="0" t="n">
        <v>0</v>
      </c>
      <c r="F1728" s="0" t="n">
        <v>57</v>
      </c>
      <c r="G1728" s="0" t="n">
        <v>200</v>
      </c>
      <c r="H1728" s="0" t="s">
        <v>230</v>
      </c>
      <c r="I1728" s="0" t="n">
        <v>200</v>
      </c>
      <c r="J1728" s="0" t="n">
        <f aca="false">F1728*E1728</f>
        <v>0</v>
      </c>
      <c r="K1728" s="0" t="str">
        <f aca="false">IF(G1728&lt;1000,"1-Low",IF(G1728&lt;5000,"2-Medium","3-Bulk"))</f>
        <v>1-Low</v>
      </c>
      <c r="L1728" s="0" t="str">
        <f aca="false">IF(H1728="TRUE","Out of stock","In stock")</f>
        <v>Out of stock</v>
      </c>
      <c r="M1728" s="0" t="str">
        <f aca="false">IF(D1728&lt;5,"1) Under 5%",IF(D1728&lt;10,"2) 5-9%",IF(D1728&lt;15,"3) 10-14%",IF(D1728&lt;25,"4) 15-24%","5) 25%+"))))</f>
        <v>2) 5-9%</v>
      </c>
      <c r="N1728" s="0" t="str">
        <f aca="false">IF(F1728&lt;50,"1) Under Rs 50",IF(F1728&lt;100,"2) Rs 50-99",IF(F1728&lt;200,"3) Rs 100-199",IF(F1728&lt;500,"4) Rs 200-499","5) Rs 500+"))))</f>
        <v>2) Rs 50-99</v>
      </c>
      <c r="O1728" s="0" t="n">
        <f aca="false">G1728*E1728/1000</f>
        <v>0</v>
      </c>
    </row>
    <row r="1729" customFormat="false" ht="15" hidden="false" customHeight="false" outlineLevel="0" collapsed="false">
      <c r="A1729" s="0" t="s">
        <v>121</v>
      </c>
      <c r="B1729" s="0" t="s">
        <v>794</v>
      </c>
      <c r="C1729" s="0" t="n">
        <v>85</v>
      </c>
      <c r="D1729" s="0" t="n">
        <v>0</v>
      </c>
      <c r="E1729" s="0" t="n">
        <v>0</v>
      </c>
      <c r="F1729" s="0" t="n">
        <v>85</v>
      </c>
      <c r="G1729" s="0" t="n">
        <v>200</v>
      </c>
      <c r="H1729" s="0" t="s">
        <v>230</v>
      </c>
      <c r="I1729" s="0" t="n">
        <v>200</v>
      </c>
      <c r="J1729" s="0" t="n">
        <f aca="false">F1729*E1729</f>
        <v>0</v>
      </c>
      <c r="K1729" s="0" t="str">
        <f aca="false">IF(G1729&lt;1000,"1-Low",IF(G1729&lt;5000,"2-Medium","3-Bulk"))</f>
        <v>1-Low</v>
      </c>
      <c r="L1729" s="0" t="str">
        <f aca="false">IF(H1729="TRUE","Out of stock","In stock")</f>
        <v>Out of stock</v>
      </c>
      <c r="M1729" s="0" t="str">
        <f aca="false">IF(D1729&lt;5,"1) Under 5%",IF(D1729&lt;10,"2) 5-9%",IF(D1729&lt;15,"3) 10-14%",IF(D1729&lt;25,"4) 15-24%","5) 25%+"))))</f>
        <v>1) Under 5%</v>
      </c>
      <c r="N1729" s="0" t="str">
        <f aca="false">IF(F1729&lt;50,"1) Under Rs 50",IF(F1729&lt;100,"2) Rs 50-99",IF(F1729&lt;200,"3) Rs 100-199",IF(F1729&lt;500,"4) Rs 200-499","5) Rs 500+"))))</f>
        <v>2) Rs 50-99</v>
      </c>
      <c r="O1729" s="0" t="n">
        <f aca="false">G1729*E1729/1000</f>
        <v>0</v>
      </c>
    </row>
    <row r="1730" customFormat="false" ht="15" hidden="false" customHeight="false" outlineLevel="0" collapsed="false">
      <c r="A1730" s="0" t="s">
        <v>121</v>
      </c>
      <c r="B1730" s="0" t="s">
        <v>1068</v>
      </c>
      <c r="C1730" s="0" t="n">
        <v>50</v>
      </c>
      <c r="D1730" s="0" t="n">
        <v>24</v>
      </c>
      <c r="E1730" s="0" t="n">
        <v>0</v>
      </c>
      <c r="F1730" s="0" t="n">
        <v>38</v>
      </c>
      <c r="G1730" s="0" t="n">
        <v>200</v>
      </c>
      <c r="H1730" s="0" t="s">
        <v>230</v>
      </c>
      <c r="I1730" s="0" t="n">
        <v>200</v>
      </c>
      <c r="J1730" s="0" t="n">
        <f aca="false">F1730*E1730</f>
        <v>0</v>
      </c>
      <c r="K1730" s="0" t="str">
        <f aca="false">IF(G1730&lt;1000,"1-Low",IF(G1730&lt;5000,"2-Medium","3-Bulk"))</f>
        <v>1-Low</v>
      </c>
      <c r="L1730" s="0" t="str">
        <f aca="false">IF(H1730="TRUE","Out of stock","In stock")</f>
        <v>Out of stock</v>
      </c>
      <c r="M1730" s="0" t="str">
        <f aca="false">IF(D1730&lt;5,"1) Under 5%",IF(D1730&lt;10,"2) 5-9%",IF(D1730&lt;15,"3) 10-14%",IF(D1730&lt;25,"4) 15-24%","5) 25%+"))))</f>
        <v>4) 15-24%</v>
      </c>
      <c r="N1730" s="0" t="str">
        <f aca="false">IF(F1730&lt;50,"1) Under Rs 50",IF(F1730&lt;100,"2) Rs 50-99",IF(F1730&lt;200,"3) Rs 100-199",IF(F1730&lt;500,"4) Rs 200-499","5) Rs 500+"))))</f>
        <v>1) Under Rs 50</v>
      </c>
      <c r="O1730" s="0" t="n">
        <f aca="false">G1730*E1730/1000</f>
        <v>0</v>
      </c>
    </row>
    <row r="1731" customFormat="false" ht="15" hidden="false" customHeight="false" outlineLevel="0" collapsed="false">
      <c r="A1731" s="0" t="s">
        <v>121</v>
      </c>
      <c r="B1731" s="0" t="s">
        <v>1069</v>
      </c>
      <c r="C1731" s="0" t="n">
        <v>40</v>
      </c>
      <c r="D1731" s="0" t="n">
        <v>2</v>
      </c>
      <c r="E1731" s="0" t="n">
        <v>0</v>
      </c>
      <c r="F1731" s="0" t="n">
        <v>39</v>
      </c>
      <c r="G1731" s="0" t="n">
        <v>40</v>
      </c>
      <c r="H1731" s="0" t="s">
        <v>230</v>
      </c>
      <c r="I1731" s="0" t="n">
        <v>40</v>
      </c>
      <c r="J1731" s="0" t="n">
        <f aca="false">F1731*E1731</f>
        <v>0</v>
      </c>
      <c r="K1731" s="0" t="str">
        <f aca="false">IF(G1731&lt;1000,"1-Low",IF(G1731&lt;5000,"2-Medium","3-Bulk"))</f>
        <v>1-Low</v>
      </c>
      <c r="L1731" s="0" t="str">
        <f aca="false">IF(H1731="TRUE","Out of stock","In stock")</f>
        <v>Out of stock</v>
      </c>
      <c r="M1731" s="0" t="str">
        <f aca="false">IF(D1731&lt;5,"1) Under 5%",IF(D1731&lt;10,"2) 5-9%",IF(D1731&lt;15,"3) 10-14%",IF(D1731&lt;25,"4) 15-24%","5) 25%+"))))</f>
        <v>1) Under 5%</v>
      </c>
      <c r="N1731" s="0" t="str">
        <f aca="false">IF(F1731&lt;50,"1) Under Rs 50",IF(F1731&lt;100,"2) Rs 50-99",IF(F1731&lt;200,"3) Rs 100-199",IF(F1731&lt;500,"4) Rs 200-499","5) Rs 500+"))))</f>
        <v>1) Under Rs 50</v>
      </c>
      <c r="O1731" s="0" t="n">
        <f aca="false">G1731*E1731/1000</f>
        <v>0</v>
      </c>
    </row>
    <row r="1732" customFormat="false" ht="15" hidden="false" customHeight="false" outlineLevel="0" collapsed="false">
      <c r="A1732" s="0" t="s">
        <v>121</v>
      </c>
      <c r="B1732" s="0" t="s">
        <v>1070</v>
      </c>
      <c r="C1732" s="0" t="n">
        <v>35</v>
      </c>
      <c r="D1732" s="0" t="n">
        <v>2</v>
      </c>
      <c r="E1732" s="0" t="n">
        <v>0</v>
      </c>
      <c r="F1732" s="0" t="n">
        <v>34</v>
      </c>
      <c r="G1732" s="0" t="n">
        <v>70</v>
      </c>
      <c r="H1732" s="0" t="s">
        <v>230</v>
      </c>
      <c r="I1732" s="0" t="n">
        <v>70</v>
      </c>
      <c r="J1732" s="0" t="n">
        <f aca="false">F1732*E1732</f>
        <v>0</v>
      </c>
      <c r="K1732" s="0" t="str">
        <f aca="false">IF(G1732&lt;1000,"1-Low",IF(G1732&lt;5000,"2-Medium","3-Bulk"))</f>
        <v>1-Low</v>
      </c>
      <c r="L1732" s="0" t="str">
        <f aca="false">IF(H1732="TRUE","Out of stock","In stock")</f>
        <v>Out of stock</v>
      </c>
      <c r="M1732" s="0" t="str">
        <f aca="false">IF(D1732&lt;5,"1) Under 5%",IF(D1732&lt;10,"2) 5-9%",IF(D1732&lt;15,"3) 10-14%",IF(D1732&lt;25,"4) 15-24%","5) 25%+"))))</f>
        <v>1) Under 5%</v>
      </c>
      <c r="N1732" s="0" t="str">
        <f aca="false">IF(F1732&lt;50,"1) Under Rs 50",IF(F1732&lt;100,"2) Rs 50-99",IF(F1732&lt;200,"3) Rs 100-199",IF(F1732&lt;500,"4) Rs 200-499","5) Rs 500+"))))</f>
        <v>1) Under Rs 50</v>
      </c>
      <c r="O1732" s="0" t="n">
        <f aca="false">G1732*E1732/1000</f>
        <v>0</v>
      </c>
    </row>
    <row r="1733" customFormat="false" ht="15" hidden="false" customHeight="false" outlineLevel="0" collapsed="false">
      <c r="A1733" s="0" t="s">
        <v>121</v>
      </c>
      <c r="B1733" s="0" t="s">
        <v>800</v>
      </c>
      <c r="C1733" s="0" t="n">
        <v>185</v>
      </c>
      <c r="D1733" s="0" t="n">
        <v>20</v>
      </c>
      <c r="E1733" s="0" t="n">
        <v>0</v>
      </c>
      <c r="F1733" s="0" t="n">
        <v>148</v>
      </c>
      <c r="G1733" s="0" t="n">
        <v>325</v>
      </c>
      <c r="H1733" s="0" t="s">
        <v>230</v>
      </c>
      <c r="I1733" s="0" t="n">
        <v>325</v>
      </c>
      <c r="J1733" s="0" t="n">
        <f aca="false">F1733*E1733</f>
        <v>0</v>
      </c>
      <c r="K1733" s="0" t="str">
        <f aca="false">IF(G1733&lt;1000,"1-Low",IF(G1733&lt;5000,"2-Medium","3-Bulk"))</f>
        <v>1-Low</v>
      </c>
      <c r="L1733" s="0" t="str">
        <f aca="false">IF(H1733="TRUE","Out of stock","In stock")</f>
        <v>Out of stock</v>
      </c>
      <c r="M1733" s="0" t="str">
        <f aca="false">IF(D1733&lt;5,"1) Under 5%",IF(D1733&lt;10,"2) 5-9%",IF(D1733&lt;15,"3) 10-14%",IF(D1733&lt;25,"4) 15-24%","5) 25%+"))))</f>
        <v>4) 15-24%</v>
      </c>
      <c r="N1733" s="0" t="str">
        <f aca="false">IF(F1733&lt;50,"1) Under Rs 50",IF(F1733&lt;100,"2) Rs 50-99",IF(F1733&lt;200,"3) Rs 100-199",IF(F1733&lt;500,"4) Rs 200-499","5) Rs 500+"))))</f>
        <v>3) Rs 100-199</v>
      </c>
      <c r="O1733" s="0" t="n">
        <f aca="false">G1733*E1733/1000</f>
        <v>0</v>
      </c>
    </row>
    <row r="1734" customFormat="false" ht="15" hidden="false" customHeight="false" outlineLevel="0" collapsed="false">
      <c r="A1734" s="0" t="s">
        <v>121</v>
      </c>
      <c r="B1734" s="0" t="s">
        <v>664</v>
      </c>
      <c r="C1734" s="0" t="n">
        <v>10</v>
      </c>
      <c r="D1734" s="0" t="n">
        <v>0</v>
      </c>
      <c r="E1734" s="0" t="n">
        <v>0</v>
      </c>
      <c r="F1734" s="0" t="n">
        <v>10</v>
      </c>
      <c r="G1734" s="0" t="n">
        <v>20</v>
      </c>
      <c r="H1734" s="0" t="s">
        <v>230</v>
      </c>
      <c r="I1734" s="0" t="n">
        <v>20</v>
      </c>
      <c r="J1734" s="0" t="n">
        <f aca="false">F1734*E1734</f>
        <v>0</v>
      </c>
      <c r="K1734" s="0" t="str">
        <f aca="false">IF(G1734&lt;1000,"1-Low",IF(G1734&lt;5000,"2-Medium","3-Bulk"))</f>
        <v>1-Low</v>
      </c>
      <c r="L1734" s="0" t="str">
        <f aca="false">IF(H1734="TRUE","Out of stock","In stock")</f>
        <v>Out of stock</v>
      </c>
      <c r="M1734" s="0" t="str">
        <f aca="false">IF(D1734&lt;5,"1) Under 5%",IF(D1734&lt;10,"2) 5-9%",IF(D1734&lt;15,"3) 10-14%",IF(D1734&lt;25,"4) 15-24%","5) 25%+"))))</f>
        <v>1) Under 5%</v>
      </c>
      <c r="N1734" s="0" t="str">
        <f aca="false">IF(F1734&lt;50,"1) Under Rs 50",IF(F1734&lt;100,"2) Rs 50-99",IF(F1734&lt;200,"3) Rs 100-199",IF(F1734&lt;500,"4) Rs 200-499","5) Rs 500+"))))</f>
        <v>1) Under Rs 50</v>
      </c>
      <c r="O1734" s="0" t="n">
        <f aca="false">G1734*E1734/1000</f>
        <v>0</v>
      </c>
    </row>
    <row r="1735" customFormat="false" ht="15" hidden="false" customHeight="false" outlineLevel="0" collapsed="false">
      <c r="A1735" s="0" t="s">
        <v>121</v>
      </c>
      <c r="B1735" s="0" t="s">
        <v>232</v>
      </c>
      <c r="C1735" s="0" t="n">
        <v>60</v>
      </c>
      <c r="D1735" s="0" t="n">
        <v>5</v>
      </c>
      <c r="E1735" s="0" t="n">
        <v>0</v>
      </c>
      <c r="F1735" s="0" t="n">
        <v>57</v>
      </c>
      <c r="G1735" s="0" t="n">
        <v>500</v>
      </c>
      <c r="H1735" s="0" t="s">
        <v>230</v>
      </c>
      <c r="I1735" s="0" t="n">
        <v>500</v>
      </c>
      <c r="J1735" s="0" t="n">
        <f aca="false">F1735*E1735</f>
        <v>0</v>
      </c>
      <c r="K1735" s="0" t="str">
        <f aca="false">IF(G1735&lt;1000,"1-Low",IF(G1735&lt;5000,"2-Medium","3-Bulk"))</f>
        <v>1-Low</v>
      </c>
      <c r="L1735" s="0" t="str">
        <f aca="false">IF(H1735="TRUE","Out of stock","In stock")</f>
        <v>Out of stock</v>
      </c>
      <c r="M1735" s="0" t="str">
        <f aca="false">IF(D1735&lt;5,"1) Under 5%",IF(D1735&lt;10,"2) 5-9%",IF(D1735&lt;15,"3) 10-14%",IF(D1735&lt;25,"4) 15-24%","5) 25%+"))))</f>
        <v>2) 5-9%</v>
      </c>
      <c r="N1735" s="0" t="str">
        <f aca="false">IF(F1735&lt;50,"1) Under Rs 50",IF(F1735&lt;100,"2) Rs 50-99",IF(F1735&lt;200,"3) Rs 100-199",IF(F1735&lt;500,"4) Rs 200-499","5) Rs 500+"))))</f>
        <v>2) Rs 50-99</v>
      </c>
      <c r="O1735" s="0" t="n">
        <f aca="false">G1735*E1735/1000</f>
        <v>0</v>
      </c>
    </row>
    <row r="1736" customFormat="false" ht="15" hidden="false" customHeight="false" outlineLevel="0" collapsed="false">
      <c r="A1736" s="0" t="s">
        <v>121</v>
      </c>
      <c r="B1736" s="0" t="s">
        <v>233</v>
      </c>
      <c r="C1736" s="0" t="n">
        <v>41</v>
      </c>
      <c r="D1736" s="0" t="n">
        <v>4</v>
      </c>
      <c r="E1736" s="0" t="n">
        <v>0</v>
      </c>
      <c r="F1736" s="0" t="n">
        <v>39</v>
      </c>
      <c r="G1736" s="0" t="n">
        <v>200</v>
      </c>
      <c r="H1736" s="0" t="s">
        <v>230</v>
      </c>
      <c r="I1736" s="0" t="n">
        <v>200</v>
      </c>
      <c r="J1736" s="0" t="n">
        <f aca="false">F1736*E1736</f>
        <v>0</v>
      </c>
      <c r="K1736" s="0" t="str">
        <f aca="false">IF(G1736&lt;1000,"1-Low",IF(G1736&lt;5000,"2-Medium","3-Bulk"))</f>
        <v>1-Low</v>
      </c>
      <c r="L1736" s="0" t="str">
        <f aca="false">IF(H1736="TRUE","Out of stock","In stock")</f>
        <v>Out of stock</v>
      </c>
      <c r="M1736" s="0" t="str">
        <f aca="false">IF(D1736&lt;5,"1) Under 5%",IF(D1736&lt;10,"2) 5-9%",IF(D1736&lt;15,"3) 10-14%",IF(D1736&lt;25,"4) 15-24%","5) 25%+"))))</f>
        <v>1) Under 5%</v>
      </c>
      <c r="N1736" s="0" t="str">
        <f aca="false">IF(F1736&lt;50,"1) Under Rs 50",IF(F1736&lt;100,"2) Rs 50-99",IF(F1736&lt;200,"3) Rs 100-199",IF(F1736&lt;500,"4) Rs 200-499","5) Rs 500+"))))</f>
        <v>1) Under Rs 50</v>
      </c>
      <c r="O1736" s="0" t="n">
        <f aca="false">G1736*E1736/1000</f>
        <v>0</v>
      </c>
    </row>
    <row r="1737" customFormat="false" ht="15" hidden="false" customHeight="false" outlineLevel="0" collapsed="false">
      <c r="A1737" s="0" t="s">
        <v>121</v>
      </c>
      <c r="B1737" s="0" t="s">
        <v>801</v>
      </c>
      <c r="C1737" s="0" t="n">
        <v>85</v>
      </c>
      <c r="D1737" s="0" t="n">
        <v>3</v>
      </c>
      <c r="E1737" s="0" t="n">
        <v>0</v>
      </c>
      <c r="F1737" s="0" t="n">
        <v>82</v>
      </c>
      <c r="G1737" s="0" t="n">
        <v>200</v>
      </c>
      <c r="H1737" s="0" t="s">
        <v>230</v>
      </c>
      <c r="I1737" s="0" t="n">
        <v>200</v>
      </c>
      <c r="J1737" s="0" t="n">
        <f aca="false">F1737*E1737</f>
        <v>0</v>
      </c>
      <c r="K1737" s="0" t="str">
        <f aca="false">IF(G1737&lt;1000,"1-Low",IF(G1737&lt;5000,"2-Medium","3-Bulk"))</f>
        <v>1-Low</v>
      </c>
      <c r="L1737" s="0" t="str">
        <f aca="false">IF(H1737="TRUE","Out of stock","In stock")</f>
        <v>Out of stock</v>
      </c>
      <c r="M1737" s="0" t="str">
        <f aca="false">IF(D1737&lt;5,"1) Under 5%",IF(D1737&lt;10,"2) 5-9%",IF(D1737&lt;15,"3) 10-14%",IF(D1737&lt;25,"4) 15-24%","5) 25%+"))))</f>
        <v>1) Under 5%</v>
      </c>
      <c r="N1737" s="0" t="str">
        <f aca="false">IF(F1737&lt;50,"1) Under Rs 50",IF(F1737&lt;100,"2) Rs 50-99",IF(F1737&lt;200,"3) Rs 100-199",IF(F1737&lt;500,"4) Rs 200-499","5) Rs 500+"))))</f>
        <v>2) Rs 50-99</v>
      </c>
      <c r="O1737" s="0" t="n">
        <f aca="false">G1737*E1737/1000</f>
        <v>0</v>
      </c>
    </row>
    <row r="1738" customFormat="false" ht="15" hidden="false" customHeight="false" outlineLevel="0" collapsed="false">
      <c r="A1738" s="0" t="s">
        <v>121</v>
      </c>
      <c r="B1738" s="0" t="s">
        <v>667</v>
      </c>
      <c r="C1738" s="0" t="n">
        <v>107</v>
      </c>
      <c r="D1738" s="0" t="n">
        <v>0</v>
      </c>
      <c r="E1738" s="0" t="n">
        <v>0</v>
      </c>
      <c r="F1738" s="0" t="n">
        <v>107</v>
      </c>
      <c r="G1738" s="0" t="n">
        <v>600</v>
      </c>
      <c r="H1738" s="0" t="s">
        <v>230</v>
      </c>
      <c r="I1738" s="0" t="n">
        <v>600</v>
      </c>
      <c r="J1738" s="0" t="n">
        <f aca="false">F1738*E1738</f>
        <v>0</v>
      </c>
      <c r="K1738" s="0" t="str">
        <f aca="false">IF(G1738&lt;1000,"1-Low",IF(G1738&lt;5000,"2-Medium","3-Bulk"))</f>
        <v>1-Low</v>
      </c>
      <c r="L1738" s="0" t="str">
        <f aca="false">IF(H1738="TRUE","Out of stock","In stock")</f>
        <v>Out of stock</v>
      </c>
      <c r="M1738" s="0" t="str">
        <f aca="false">IF(D1738&lt;5,"1) Under 5%",IF(D1738&lt;10,"2) 5-9%",IF(D1738&lt;15,"3) 10-14%",IF(D1738&lt;25,"4) 15-24%","5) 25%+"))))</f>
        <v>1) Under 5%</v>
      </c>
      <c r="N1738" s="0" t="str">
        <f aca="false">IF(F1738&lt;50,"1) Under Rs 50",IF(F1738&lt;100,"2) Rs 50-99",IF(F1738&lt;200,"3) Rs 100-199",IF(F1738&lt;500,"4) Rs 200-499","5) Rs 500+"))))</f>
        <v>3) Rs 100-199</v>
      </c>
      <c r="O1738" s="0" t="n">
        <f aca="false">G1738*E1738/1000</f>
        <v>0</v>
      </c>
    </row>
    <row r="1739" customFormat="false" ht="15" hidden="false" customHeight="false" outlineLevel="0" collapsed="false">
      <c r="A1739" s="0" t="s">
        <v>121</v>
      </c>
      <c r="B1739" s="0" t="s">
        <v>668</v>
      </c>
      <c r="C1739" s="0" t="n">
        <v>15</v>
      </c>
      <c r="D1739" s="0" t="n">
        <v>0</v>
      </c>
      <c r="E1739" s="0" t="n">
        <v>0</v>
      </c>
      <c r="F1739" s="0" t="n">
        <v>15</v>
      </c>
      <c r="G1739" s="0" t="n">
        <v>38</v>
      </c>
      <c r="H1739" s="0" t="s">
        <v>230</v>
      </c>
      <c r="I1739" s="0" t="n">
        <v>38</v>
      </c>
      <c r="J1739" s="0" t="n">
        <f aca="false">F1739*E1739</f>
        <v>0</v>
      </c>
      <c r="K1739" s="0" t="str">
        <f aca="false">IF(G1739&lt;1000,"1-Low",IF(G1739&lt;5000,"2-Medium","3-Bulk"))</f>
        <v>1-Low</v>
      </c>
      <c r="L1739" s="0" t="str">
        <f aca="false">IF(H1739="TRUE","Out of stock","In stock")</f>
        <v>Out of stock</v>
      </c>
      <c r="M1739" s="0" t="str">
        <f aca="false">IF(D1739&lt;5,"1) Under 5%",IF(D1739&lt;10,"2) 5-9%",IF(D1739&lt;15,"3) 10-14%",IF(D1739&lt;25,"4) 15-24%","5) 25%+"))))</f>
        <v>1) Under 5%</v>
      </c>
      <c r="N1739" s="0" t="str">
        <f aca="false">IF(F1739&lt;50,"1) Under Rs 50",IF(F1739&lt;100,"2) Rs 50-99",IF(F1739&lt;200,"3) Rs 100-199",IF(F1739&lt;500,"4) Rs 200-499","5) Rs 500+"))))</f>
        <v>1) Under Rs 50</v>
      </c>
      <c r="O1739" s="0" t="n">
        <f aca="false">G1739*E1739/1000</f>
        <v>0</v>
      </c>
    </row>
    <row r="1740" customFormat="false" ht="15" hidden="false" customHeight="false" outlineLevel="0" collapsed="false">
      <c r="A1740" s="0" t="s">
        <v>121</v>
      </c>
      <c r="B1740" s="0" t="s">
        <v>1071</v>
      </c>
      <c r="C1740" s="0" t="n">
        <v>60</v>
      </c>
      <c r="D1740" s="0" t="n">
        <v>5</v>
      </c>
      <c r="E1740" s="0" t="n">
        <v>0</v>
      </c>
      <c r="F1740" s="0" t="n">
        <v>57</v>
      </c>
      <c r="G1740" s="0" t="n">
        <v>200</v>
      </c>
      <c r="H1740" s="0" t="s">
        <v>230</v>
      </c>
      <c r="I1740" s="0" t="n">
        <v>200</v>
      </c>
      <c r="J1740" s="0" t="n">
        <f aca="false">F1740*E1740</f>
        <v>0</v>
      </c>
      <c r="K1740" s="0" t="str">
        <f aca="false">IF(G1740&lt;1000,"1-Low",IF(G1740&lt;5000,"2-Medium","3-Bulk"))</f>
        <v>1-Low</v>
      </c>
      <c r="L1740" s="0" t="str">
        <f aca="false">IF(H1740="TRUE","Out of stock","In stock")</f>
        <v>Out of stock</v>
      </c>
      <c r="M1740" s="0" t="str">
        <f aca="false">IF(D1740&lt;5,"1) Under 5%",IF(D1740&lt;10,"2) 5-9%",IF(D1740&lt;15,"3) 10-14%",IF(D1740&lt;25,"4) 15-24%","5) 25%+"))))</f>
        <v>2) 5-9%</v>
      </c>
      <c r="N1740" s="0" t="str">
        <f aca="false">IF(F1740&lt;50,"1) Under Rs 50",IF(F1740&lt;100,"2) Rs 50-99",IF(F1740&lt;200,"3) Rs 100-199",IF(F1740&lt;500,"4) Rs 200-499","5) Rs 500+"))))</f>
        <v>2) Rs 50-99</v>
      </c>
      <c r="O1740" s="0" t="n">
        <f aca="false">G1740*E1740/1000</f>
        <v>0</v>
      </c>
    </row>
    <row r="1741" customFormat="false" ht="15" hidden="false" customHeight="false" outlineLevel="0" collapsed="false">
      <c r="A1741" s="0" t="s">
        <v>121</v>
      </c>
      <c r="B1741" s="0" t="s">
        <v>1072</v>
      </c>
      <c r="C1741" s="0" t="n">
        <v>31</v>
      </c>
      <c r="D1741" s="0" t="n">
        <v>9</v>
      </c>
      <c r="E1741" s="0" t="n">
        <v>0</v>
      </c>
      <c r="F1741" s="0" t="n">
        <v>28</v>
      </c>
      <c r="G1741" s="0" t="n">
        <v>70</v>
      </c>
      <c r="H1741" s="0" t="s">
        <v>230</v>
      </c>
      <c r="I1741" s="0" t="n">
        <v>70</v>
      </c>
      <c r="J1741" s="0" t="n">
        <f aca="false">F1741*E1741</f>
        <v>0</v>
      </c>
      <c r="K1741" s="0" t="str">
        <f aca="false">IF(G1741&lt;1000,"1-Low",IF(G1741&lt;5000,"2-Medium","3-Bulk"))</f>
        <v>1-Low</v>
      </c>
      <c r="L1741" s="0" t="str">
        <f aca="false">IF(H1741="TRUE","Out of stock","In stock")</f>
        <v>Out of stock</v>
      </c>
      <c r="M1741" s="0" t="str">
        <f aca="false">IF(D1741&lt;5,"1) Under 5%",IF(D1741&lt;10,"2) 5-9%",IF(D1741&lt;15,"3) 10-14%",IF(D1741&lt;25,"4) 15-24%","5) 25%+"))))</f>
        <v>2) 5-9%</v>
      </c>
      <c r="N1741" s="0" t="str">
        <f aca="false">IF(F1741&lt;50,"1) Under Rs 50",IF(F1741&lt;100,"2) Rs 50-99",IF(F1741&lt;200,"3) Rs 100-199",IF(F1741&lt;500,"4) Rs 200-499","5) Rs 500+"))))</f>
        <v>1) Under Rs 50</v>
      </c>
      <c r="O1741" s="0" t="n">
        <f aca="false">G1741*E1741/1000</f>
        <v>0</v>
      </c>
    </row>
    <row r="1742" customFormat="false" ht="15" hidden="false" customHeight="false" outlineLevel="0" collapsed="false">
      <c r="A1742" s="0" t="s">
        <v>121</v>
      </c>
      <c r="B1742" s="0" t="s">
        <v>674</v>
      </c>
      <c r="C1742" s="0" t="n">
        <v>50</v>
      </c>
      <c r="D1742" s="0" t="n">
        <v>0</v>
      </c>
      <c r="E1742" s="0" t="n">
        <v>0</v>
      </c>
      <c r="F1742" s="0" t="n">
        <v>50</v>
      </c>
      <c r="G1742" s="0" t="n">
        <v>70</v>
      </c>
      <c r="H1742" s="0" t="s">
        <v>230</v>
      </c>
      <c r="I1742" s="0" t="n">
        <v>70</v>
      </c>
      <c r="J1742" s="0" t="n">
        <f aca="false">F1742*E1742</f>
        <v>0</v>
      </c>
      <c r="K1742" s="0" t="str">
        <f aca="false">IF(G1742&lt;1000,"1-Low",IF(G1742&lt;5000,"2-Medium","3-Bulk"))</f>
        <v>1-Low</v>
      </c>
      <c r="L1742" s="0" t="str">
        <f aca="false">IF(H1742="TRUE","Out of stock","In stock")</f>
        <v>Out of stock</v>
      </c>
      <c r="M1742" s="0" t="str">
        <f aca="false">IF(D1742&lt;5,"1) Under 5%",IF(D1742&lt;10,"2) 5-9%",IF(D1742&lt;15,"3) 10-14%",IF(D1742&lt;25,"4) 15-24%","5) 25%+"))))</f>
        <v>1) Under 5%</v>
      </c>
      <c r="N1742" s="0" t="str">
        <f aca="false">IF(F1742&lt;50,"1) Under Rs 50",IF(F1742&lt;100,"2) Rs 50-99",IF(F1742&lt;200,"3) Rs 100-199",IF(F1742&lt;500,"4) Rs 200-499","5) Rs 500+"))))</f>
        <v>2) Rs 50-99</v>
      </c>
      <c r="O1742" s="0" t="n">
        <f aca="false">G1742*E1742/1000</f>
        <v>0</v>
      </c>
    </row>
    <row r="1743" customFormat="false" ht="15" hidden="false" customHeight="false" outlineLevel="0" collapsed="false">
      <c r="A1743" s="0" t="s">
        <v>121</v>
      </c>
      <c r="B1743" s="0" t="s">
        <v>1073</v>
      </c>
      <c r="C1743" s="0" t="n">
        <v>69</v>
      </c>
      <c r="D1743" s="0" t="n">
        <v>8</v>
      </c>
      <c r="E1743" s="0" t="n">
        <v>0</v>
      </c>
      <c r="F1743" s="0" t="n">
        <v>63</v>
      </c>
      <c r="G1743" s="0" t="n">
        <v>250</v>
      </c>
      <c r="H1743" s="0" t="s">
        <v>230</v>
      </c>
      <c r="I1743" s="0" t="n">
        <v>250</v>
      </c>
      <c r="J1743" s="0" t="n">
        <f aca="false">F1743*E1743</f>
        <v>0</v>
      </c>
      <c r="K1743" s="0" t="str">
        <f aca="false">IF(G1743&lt;1000,"1-Low",IF(G1743&lt;5000,"2-Medium","3-Bulk"))</f>
        <v>1-Low</v>
      </c>
      <c r="L1743" s="0" t="str">
        <f aca="false">IF(H1743="TRUE","Out of stock","In stock")</f>
        <v>Out of stock</v>
      </c>
      <c r="M1743" s="0" t="str">
        <f aca="false">IF(D1743&lt;5,"1) Under 5%",IF(D1743&lt;10,"2) 5-9%",IF(D1743&lt;15,"3) 10-14%",IF(D1743&lt;25,"4) 15-24%","5) 25%+"))))</f>
        <v>2) 5-9%</v>
      </c>
      <c r="N1743" s="0" t="str">
        <f aca="false">IF(F1743&lt;50,"1) Under Rs 50",IF(F1743&lt;100,"2) Rs 50-99",IF(F1743&lt;200,"3) Rs 100-199",IF(F1743&lt;500,"4) Rs 200-499","5) Rs 500+"))))</f>
        <v>2) Rs 50-99</v>
      </c>
      <c r="O1743" s="0" t="n">
        <f aca="false">G1743*E1743/1000</f>
        <v>0</v>
      </c>
    </row>
    <row r="1744" customFormat="false" ht="15" hidden="false" customHeight="false" outlineLevel="0" collapsed="false">
      <c r="A1744" s="0" t="s">
        <v>121</v>
      </c>
      <c r="B1744" s="0" t="s">
        <v>681</v>
      </c>
      <c r="C1744" s="0" t="n">
        <v>48</v>
      </c>
      <c r="D1744" s="0" t="n">
        <v>6</v>
      </c>
      <c r="E1744" s="0" t="n">
        <v>0</v>
      </c>
      <c r="F1744" s="0" t="n">
        <v>45</v>
      </c>
      <c r="G1744" s="0" t="n">
        <v>240</v>
      </c>
      <c r="H1744" s="0" t="s">
        <v>230</v>
      </c>
      <c r="I1744" s="0" t="n">
        <v>240</v>
      </c>
      <c r="J1744" s="0" t="n">
        <f aca="false">F1744*E1744</f>
        <v>0</v>
      </c>
      <c r="K1744" s="0" t="str">
        <f aca="false">IF(G1744&lt;1000,"1-Low",IF(G1744&lt;5000,"2-Medium","3-Bulk"))</f>
        <v>1-Low</v>
      </c>
      <c r="L1744" s="0" t="str">
        <f aca="false">IF(H1744="TRUE","Out of stock","In stock")</f>
        <v>Out of stock</v>
      </c>
      <c r="M1744" s="0" t="str">
        <f aca="false">IF(D1744&lt;5,"1) Under 5%",IF(D1744&lt;10,"2) 5-9%",IF(D1744&lt;15,"3) 10-14%",IF(D1744&lt;25,"4) 15-24%","5) 25%+"))))</f>
        <v>2) 5-9%</v>
      </c>
      <c r="N1744" s="0" t="str">
        <f aca="false">IF(F1744&lt;50,"1) Under Rs 50",IF(F1744&lt;100,"2) Rs 50-99",IF(F1744&lt;200,"3) Rs 100-199",IF(F1744&lt;500,"4) Rs 200-499","5) Rs 500+"))))</f>
        <v>1) Under Rs 50</v>
      </c>
      <c r="O1744" s="0" t="n">
        <f aca="false">G1744*E1744/1000</f>
        <v>0</v>
      </c>
    </row>
    <row r="1745" customFormat="false" ht="15" hidden="false" customHeight="false" outlineLevel="0" collapsed="false">
      <c r="A1745" s="0" t="s">
        <v>121</v>
      </c>
      <c r="B1745" s="0" t="s">
        <v>684</v>
      </c>
      <c r="C1745" s="0" t="n">
        <v>91</v>
      </c>
      <c r="D1745" s="0" t="n">
        <v>9</v>
      </c>
      <c r="E1745" s="0" t="n">
        <v>0</v>
      </c>
      <c r="F1745" s="0" t="n">
        <v>82</v>
      </c>
      <c r="G1745" s="0" t="n">
        <v>560</v>
      </c>
      <c r="H1745" s="0" t="s">
        <v>230</v>
      </c>
      <c r="I1745" s="0" t="n">
        <v>560</v>
      </c>
      <c r="J1745" s="0" t="n">
        <f aca="false">F1745*E1745</f>
        <v>0</v>
      </c>
      <c r="K1745" s="0" t="str">
        <f aca="false">IF(G1745&lt;1000,"1-Low",IF(G1745&lt;5000,"2-Medium","3-Bulk"))</f>
        <v>1-Low</v>
      </c>
      <c r="L1745" s="0" t="str">
        <f aca="false">IF(H1745="TRUE","Out of stock","In stock")</f>
        <v>Out of stock</v>
      </c>
      <c r="M1745" s="0" t="str">
        <f aca="false">IF(D1745&lt;5,"1) Under 5%",IF(D1745&lt;10,"2) 5-9%",IF(D1745&lt;15,"3) 10-14%",IF(D1745&lt;25,"4) 15-24%","5) 25%+"))))</f>
        <v>2) 5-9%</v>
      </c>
      <c r="N1745" s="0" t="str">
        <f aca="false">IF(F1745&lt;50,"1) Under Rs 50",IF(F1745&lt;100,"2) Rs 50-99",IF(F1745&lt;200,"3) Rs 100-199",IF(F1745&lt;500,"4) Rs 200-499","5) Rs 500+"))))</f>
        <v>2) Rs 50-99</v>
      </c>
      <c r="O1745" s="0" t="n">
        <f aca="false">G1745*E1745/1000</f>
        <v>0</v>
      </c>
    </row>
    <row r="1746" customFormat="false" ht="15" hidden="false" customHeight="false" outlineLevel="0" collapsed="false">
      <c r="A1746" s="0" t="s">
        <v>121</v>
      </c>
      <c r="B1746" s="0" t="s">
        <v>1074</v>
      </c>
      <c r="C1746" s="0" t="n">
        <v>265</v>
      </c>
      <c r="D1746" s="0" t="n">
        <v>10</v>
      </c>
      <c r="E1746" s="0" t="n">
        <v>0</v>
      </c>
      <c r="F1746" s="0" t="n">
        <v>236</v>
      </c>
      <c r="G1746" s="0" t="n">
        <v>575</v>
      </c>
      <c r="H1746" s="0" t="s">
        <v>230</v>
      </c>
      <c r="I1746" s="0" t="n">
        <v>575</v>
      </c>
      <c r="J1746" s="0" t="n">
        <f aca="false">F1746*E1746</f>
        <v>0</v>
      </c>
      <c r="K1746" s="0" t="str">
        <f aca="false">IF(G1746&lt;1000,"1-Low",IF(G1746&lt;5000,"2-Medium","3-Bulk"))</f>
        <v>1-Low</v>
      </c>
      <c r="L1746" s="0" t="str">
        <f aca="false">IF(H1746="TRUE","Out of stock","In stock")</f>
        <v>Out of stock</v>
      </c>
      <c r="M1746" s="0" t="str">
        <f aca="false">IF(D1746&lt;5,"1) Under 5%",IF(D1746&lt;10,"2) 5-9%",IF(D1746&lt;15,"3) 10-14%",IF(D1746&lt;25,"4) 15-24%","5) 25%+"))))</f>
        <v>3) 10-14%</v>
      </c>
      <c r="N1746" s="0" t="str">
        <f aca="false">IF(F1746&lt;50,"1) Under Rs 50",IF(F1746&lt;100,"2) Rs 50-99",IF(F1746&lt;200,"3) Rs 100-199",IF(F1746&lt;500,"4) Rs 200-499","5) Rs 500+"))))</f>
        <v>4) Rs 200-499</v>
      </c>
      <c r="O1746" s="0" t="n">
        <f aca="false">G1746*E1746/1000</f>
        <v>0</v>
      </c>
    </row>
    <row r="1747" customFormat="false" ht="15" hidden="false" customHeight="false" outlineLevel="0" collapsed="false">
      <c r="A1747" s="0" t="s">
        <v>121</v>
      </c>
      <c r="B1747" s="0" t="s">
        <v>1075</v>
      </c>
      <c r="C1747" s="0" t="n">
        <v>31</v>
      </c>
      <c r="D1747" s="0" t="n">
        <v>9</v>
      </c>
      <c r="E1747" s="0" t="n">
        <v>0</v>
      </c>
      <c r="F1747" s="0" t="n">
        <v>28</v>
      </c>
      <c r="G1747" s="0" t="n">
        <v>70</v>
      </c>
      <c r="H1747" s="0" t="s">
        <v>230</v>
      </c>
      <c r="I1747" s="0" t="n">
        <v>75</v>
      </c>
      <c r="J1747" s="0" t="n">
        <f aca="false">F1747*E1747</f>
        <v>0</v>
      </c>
      <c r="K1747" s="0" t="str">
        <f aca="false">IF(G1747&lt;1000,"1-Low",IF(G1747&lt;5000,"2-Medium","3-Bulk"))</f>
        <v>1-Low</v>
      </c>
      <c r="L1747" s="0" t="str">
        <f aca="false">IF(H1747="TRUE","Out of stock","In stock")</f>
        <v>Out of stock</v>
      </c>
      <c r="M1747" s="0" t="str">
        <f aca="false">IF(D1747&lt;5,"1) Under 5%",IF(D1747&lt;10,"2) 5-9%",IF(D1747&lt;15,"3) 10-14%",IF(D1747&lt;25,"4) 15-24%","5) 25%+"))))</f>
        <v>2) 5-9%</v>
      </c>
      <c r="N1747" s="0" t="str">
        <f aca="false">IF(F1747&lt;50,"1) Under Rs 50",IF(F1747&lt;100,"2) Rs 50-99",IF(F1747&lt;200,"3) Rs 100-199",IF(F1747&lt;500,"4) Rs 200-499","5) Rs 500+"))))</f>
        <v>1) Under Rs 50</v>
      </c>
      <c r="O1747" s="0" t="n">
        <f aca="false">G1747*E1747/1000</f>
        <v>0</v>
      </c>
    </row>
    <row r="1748" customFormat="false" ht="15" hidden="false" customHeight="false" outlineLevel="0" collapsed="false">
      <c r="A1748" s="0" t="s">
        <v>121</v>
      </c>
      <c r="B1748" s="0" t="s">
        <v>1076</v>
      </c>
      <c r="C1748" s="0" t="n">
        <v>24</v>
      </c>
      <c r="D1748" s="0" t="n">
        <v>0</v>
      </c>
      <c r="E1748" s="0" t="n">
        <v>0</v>
      </c>
      <c r="F1748" s="0" t="n">
        <v>24</v>
      </c>
      <c r="G1748" s="0" t="n">
        <v>75</v>
      </c>
      <c r="H1748" s="0" t="s">
        <v>230</v>
      </c>
      <c r="I1748" s="0" t="n">
        <v>75</v>
      </c>
      <c r="J1748" s="0" t="n">
        <f aca="false">F1748*E1748</f>
        <v>0</v>
      </c>
      <c r="K1748" s="0" t="str">
        <f aca="false">IF(G1748&lt;1000,"1-Low",IF(G1748&lt;5000,"2-Medium","3-Bulk"))</f>
        <v>1-Low</v>
      </c>
      <c r="L1748" s="0" t="str">
        <f aca="false">IF(H1748="TRUE","Out of stock","In stock")</f>
        <v>Out of stock</v>
      </c>
      <c r="M1748" s="0" t="str">
        <f aca="false">IF(D1748&lt;5,"1) Under 5%",IF(D1748&lt;10,"2) 5-9%",IF(D1748&lt;15,"3) 10-14%",IF(D1748&lt;25,"4) 15-24%","5) 25%+"))))</f>
        <v>1) Under 5%</v>
      </c>
      <c r="N1748" s="0" t="str">
        <f aca="false">IF(F1748&lt;50,"1) Under Rs 50",IF(F1748&lt;100,"2) Rs 50-99",IF(F1748&lt;200,"3) Rs 100-199",IF(F1748&lt;500,"4) Rs 200-499","5) Rs 500+"))))</f>
        <v>1) Under Rs 50</v>
      </c>
      <c r="O1748" s="0" t="n">
        <f aca="false">G1748*E1748/1000</f>
        <v>0</v>
      </c>
    </row>
    <row r="1749" customFormat="false" ht="15" hidden="false" customHeight="false" outlineLevel="0" collapsed="false">
      <c r="A1749" s="0" t="s">
        <v>121</v>
      </c>
      <c r="B1749" s="0" t="s">
        <v>688</v>
      </c>
      <c r="C1749" s="0" t="n">
        <v>160</v>
      </c>
      <c r="D1749" s="0" t="n">
        <v>50</v>
      </c>
      <c r="E1749" s="0" t="n">
        <v>0</v>
      </c>
      <c r="F1749" s="0" t="n">
        <v>80</v>
      </c>
      <c r="G1749" s="0" t="n">
        <v>500</v>
      </c>
      <c r="H1749" s="0" t="s">
        <v>230</v>
      </c>
      <c r="I1749" s="0" t="n">
        <v>500</v>
      </c>
      <c r="J1749" s="0" t="n">
        <f aca="false">F1749*E1749</f>
        <v>0</v>
      </c>
      <c r="K1749" s="0" t="str">
        <f aca="false">IF(G1749&lt;1000,"1-Low",IF(G1749&lt;5000,"2-Medium","3-Bulk"))</f>
        <v>1-Low</v>
      </c>
      <c r="L1749" s="0" t="str">
        <f aca="false">IF(H1749="TRUE","Out of stock","In stock")</f>
        <v>Out of stock</v>
      </c>
      <c r="M1749" s="0" t="str">
        <f aca="false">IF(D1749&lt;5,"1) Under 5%",IF(D1749&lt;10,"2) 5-9%",IF(D1749&lt;15,"3) 10-14%",IF(D1749&lt;25,"4) 15-24%","5) 25%+"))))</f>
        <v>5) 25%+</v>
      </c>
      <c r="N1749" s="0" t="str">
        <f aca="false">IF(F1749&lt;50,"1) Under Rs 50",IF(F1749&lt;100,"2) Rs 50-99",IF(F1749&lt;200,"3) Rs 100-199",IF(F1749&lt;500,"4) Rs 200-499","5) Rs 500+"))))</f>
        <v>2) Rs 50-99</v>
      </c>
      <c r="O1749" s="0" t="n">
        <f aca="false">G1749*E1749/1000</f>
        <v>0</v>
      </c>
    </row>
    <row r="1750" customFormat="false" ht="15" hidden="false" customHeight="false" outlineLevel="0" collapsed="false">
      <c r="A1750" s="0" t="s">
        <v>121</v>
      </c>
      <c r="B1750" s="0" t="s">
        <v>1077</v>
      </c>
      <c r="C1750" s="0" t="n">
        <v>20</v>
      </c>
      <c r="D1750" s="0" t="n">
        <v>10</v>
      </c>
      <c r="E1750" s="0" t="n">
        <v>0</v>
      </c>
      <c r="F1750" s="0" t="n">
        <v>18</v>
      </c>
      <c r="G1750" s="0" t="n">
        <v>100</v>
      </c>
      <c r="H1750" s="0" t="s">
        <v>230</v>
      </c>
      <c r="I1750" s="0" t="n">
        <v>100</v>
      </c>
      <c r="J1750" s="0" t="n">
        <f aca="false">F1750*E1750</f>
        <v>0</v>
      </c>
      <c r="K1750" s="0" t="str">
        <f aca="false">IF(G1750&lt;1000,"1-Low",IF(G1750&lt;5000,"2-Medium","3-Bulk"))</f>
        <v>1-Low</v>
      </c>
      <c r="L1750" s="0" t="str">
        <f aca="false">IF(H1750="TRUE","Out of stock","In stock")</f>
        <v>Out of stock</v>
      </c>
      <c r="M1750" s="0" t="str">
        <f aca="false">IF(D1750&lt;5,"1) Under 5%",IF(D1750&lt;10,"2) 5-9%",IF(D1750&lt;15,"3) 10-14%",IF(D1750&lt;25,"4) 15-24%","5) 25%+"))))</f>
        <v>3) 10-14%</v>
      </c>
      <c r="N1750" s="0" t="str">
        <f aca="false">IF(F1750&lt;50,"1) Under Rs 50",IF(F1750&lt;100,"2) Rs 50-99",IF(F1750&lt;200,"3) Rs 100-199",IF(F1750&lt;500,"4) Rs 200-499","5) Rs 500+"))))</f>
        <v>1) Under Rs 50</v>
      </c>
      <c r="O1750" s="0" t="n">
        <f aca="false">G1750*E1750/1000</f>
        <v>0</v>
      </c>
    </row>
    <row r="1751" customFormat="false" ht="15" hidden="false" customHeight="false" outlineLevel="0" collapsed="false">
      <c r="A1751" s="0" t="s">
        <v>121</v>
      </c>
      <c r="B1751" s="0" t="s">
        <v>691</v>
      </c>
      <c r="C1751" s="0" t="n">
        <v>190</v>
      </c>
      <c r="D1751" s="0" t="n">
        <v>0</v>
      </c>
      <c r="E1751" s="0" t="n">
        <v>0</v>
      </c>
      <c r="F1751" s="0" t="n">
        <v>190</v>
      </c>
      <c r="G1751" s="0" t="n">
        <v>300</v>
      </c>
      <c r="H1751" s="0" t="s">
        <v>230</v>
      </c>
      <c r="I1751" s="0" t="n">
        <v>300</v>
      </c>
      <c r="J1751" s="0" t="n">
        <f aca="false">F1751*E1751</f>
        <v>0</v>
      </c>
      <c r="K1751" s="0" t="str">
        <f aca="false">IF(G1751&lt;1000,"1-Low",IF(G1751&lt;5000,"2-Medium","3-Bulk"))</f>
        <v>1-Low</v>
      </c>
      <c r="L1751" s="0" t="str">
        <f aca="false">IF(H1751="TRUE","Out of stock","In stock")</f>
        <v>Out of stock</v>
      </c>
      <c r="M1751" s="0" t="str">
        <f aca="false">IF(D1751&lt;5,"1) Under 5%",IF(D1751&lt;10,"2) 5-9%",IF(D1751&lt;15,"3) 10-14%",IF(D1751&lt;25,"4) 15-24%","5) 25%+"))))</f>
        <v>1) Under 5%</v>
      </c>
      <c r="N1751" s="0" t="str">
        <f aca="false">IF(F1751&lt;50,"1) Under Rs 50",IF(F1751&lt;100,"2) Rs 50-99",IF(F1751&lt;200,"3) Rs 100-199",IF(F1751&lt;500,"4) Rs 200-499","5) Rs 500+"))))</f>
        <v>3) Rs 100-199</v>
      </c>
      <c r="O1751" s="0" t="n">
        <f aca="false">G1751*E1751/1000</f>
        <v>0</v>
      </c>
    </row>
    <row r="1752" customFormat="false" ht="15" hidden="false" customHeight="false" outlineLevel="0" collapsed="false">
      <c r="A1752" s="0" t="s">
        <v>121</v>
      </c>
      <c r="B1752" s="0" t="s">
        <v>692</v>
      </c>
      <c r="C1752" s="0" t="n">
        <v>28</v>
      </c>
      <c r="D1752" s="0" t="n">
        <v>17</v>
      </c>
      <c r="E1752" s="0" t="n">
        <v>0</v>
      </c>
      <c r="F1752" s="0" t="n">
        <v>23</v>
      </c>
      <c r="G1752" s="0" t="n">
        <v>65</v>
      </c>
      <c r="H1752" s="0" t="s">
        <v>230</v>
      </c>
      <c r="I1752" s="0" t="n">
        <v>65</v>
      </c>
      <c r="J1752" s="0" t="n">
        <f aca="false">F1752*E1752</f>
        <v>0</v>
      </c>
      <c r="K1752" s="0" t="str">
        <f aca="false">IF(G1752&lt;1000,"1-Low",IF(G1752&lt;5000,"2-Medium","3-Bulk"))</f>
        <v>1-Low</v>
      </c>
      <c r="L1752" s="0" t="str">
        <f aca="false">IF(H1752="TRUE","Out of stock","In stock")</f>
        <v>Out of stock</v>
      </c>
      <c r="M1752" s="0" t="str">
        <f aca="false">IF(D1752&lt;5,"1) Under 5%",IF(D1752&lt;10,"2) 5-9%",IF(D1752&lt;15,"3) 10-14%",IF(D1752&lt;25,"4) 15-24%","5) 25%+"))))</f>
        <v>4) 15-24%</v>
      </c>
      <c r="N1752" s="0" t="str">
        <f aca="false">IF(F1752&lt;50,"1) Under Rs 50",IF(F1752&lt;100,"2) Rs 50-99",IF(F1752&lt;200,"3) Rs 100-199",IF(F1752&lt;500,"4) Rs 200-499","5) Rs 500+"))))</f>
        <v>1) Under Rs 50</v>
      </c>
      <c r="O1752" s="0" t="n">
        <f aca="false">G1752*E1752/1000</f>
        <v>0</v>
      </c>
    </row>
    <row r="1753" customFormat="false" ht="15" hidden="false" customHeight="false" outlineLevel="0" collapsed="false">
      <c r="A1753" s="0" t="s">
        <v>121</v>
      </c>
      <c r="B1753" s="0" t="s">
        <v>234</v>
      </c>
      <c r="C1753" s="0" t="n">
        <v>160</v>
      </c>
      <c r="D1753" s="0" t="n">
        <v>5</v>
      </c>
      <c r="E1753" s="0" t="n">
        <v>0</v>
      </c>
      <c r="F1753" s="0" t="n">
        <v>152</v>
      </c>
      <c r="G1753" s="0" t="n">
        <v>1000</v>
      </c>
      <c r="H1753" s="0" t="s">
        <v>230</v>
      </c>
      <c r="I1753" s="0" t="n">
        <v>1</v>
      </c>
      <c r="J1753" s="0" t="n">
        <f aca="false">F1753*E1753</f>
        <v>0</v>
      </c>
      <c r="K1753" s="0" t="str">
        <f aca="false">IF(G1753&lt;1000,"1-Low",IF(G1753&lt;5000,"2-Medium","3-Bulk"))</f>
        <v>2-Medium</v>
      </c>
      <c r="L1753" s="0" t="str">
        <f aca="false">IF(H1753="TRUE","Out of stock","In stock")</f>
        <v>Out of stock</v>
      </c>
      <c r="M1753" s="0" t="str">
        <f aca="false">IF(D1753&lt;5,"1) Under 5%",IF(D1753&lt;10,"2) 5-9%",IF(D1753&lt;15,"3) 10-14%",IF(D1753&lt;25,"4) 15-24%","5) 25%+"))))</f>
        <v>2) 5-9%</v>
      </c>
      <c r="N1753" s="0" t="str">
        <f aca="false">IF(F1753&lt;50,"1) Under Rs 50",IF(F1753&lt;100,"2) Rs 50-99",IF(F1753&lt;200,"3) Rs 100-199",IF(F1753&lt;500,"4) Rs 200-499","5) Rs 500+"))))</f>
        <v>3) Rs 100-199</v>
      </c>
      <c r="O1753" s="0" t="n">
        <f aca="false">G1753*E1753/1000</f>
        <v>0</v>
      </c>
    </row>
    <row r="1754" customFormat="false" ht="15" hidden="false" customHeight="false" outlineLevel="0" collapsed="false">
      <c r="A1754" s="0" t="s">
        <v>121</v>
      </c>
      <c r="B1754" s="0" t="s">
        <v>1078</v>
      </c>
      <c r="C1754" s="0" t="n">
        <v>25</v>
      </c>
      <c r="D1754" s="0" t="n">
        <v>0</v>
      </c>
      <c r="E1754" s="0" t="n">
        <v>0</v>
      </c>
      <c r="F1754" s="0" t="n">
        <v>25</v>
      </c>
      <c r="G1754" s="0" t="n">
        <v>60</v>
      </c>
      <c r="H1754" s="0" t="s">
        <v>230</v>
      </c>
      <c r="I1754" s="0" t="n">
        <v>60</v>
      </c>
      <c r="J1754" s="0" t="n">
        <f aca="false">F1754*E1754</f>
        <v>0</v>
      </c>
      <c r="K1754" s="0" t="str">
        <f aca="false">IF(G1754&lt;1000,"1-Low",IF(G1754&lt;5000,"2-Medium","3-Bulk"))</f>
        <v>1-Low</v>
      </c>
      <c r="L1754" s="0" t="str">
        <f aca="false">IF(H1754="TRUE","Out of stock","In stock")</f>
        <v>Out of stock</v>
      </c>
      <c r="M1754" s="0" t="str">
        <f aca="false">IF(D1754&lt;5,"1) Under 5%",IF(D1754&lt;10,"2) 5-9%",IF(D1754&lt;15,"3) 10-14%",IF(D1754&lt;25,"4) 15-24%","5) 25%+"))))</f>
        <v>1) Under 5%</v>
      </c>
      <c r="N1754" s="0" t="str">
        <f aca="false">IF(F1754&lt;50,"1) Under Rs 50",IF(F1754&lt;100,"2) Rs 50-99",IF(F1754&lt;200,"3) Rs 100-199",IF(F1754&lt;500,"4) Rs 200-499","5) Rs 500+"))))</f>
        <v>1) Under Rs 50</v>
      </c>
      <c r="O1754" s="0" t="n">
        <f aca="false">G1754*E1754/1000</f>
        <v>0</v>
      </c>
    </row>
    <row r="1755" customFormat="false" ht="15" hidden="false" customHeight="false" outlineLevel="0" collapsed="false">
      <c r="A1755" s="0" t="s">
        <v>121</v>
      </c>
      <c r="B1755" s="0" t="s">
        <v>1079</v>
      </c>
      <c r="C1755" s="0" t="n">
        <v>120</v>
      </c>
      <c r="D1755" s="0" t="n">
        <v>7</v>
      </c>
      <c r="E1755" s="0" t="n">
        <v>0</v>
      </c>
      <c r="F1755" s="0" t="n">
        <v>111</v>
      </c>
      <c r="G1755" s="0" t="n">
        <v>950</v>
      </c>
      <c r="H1755" s="0" t="s">
        <v>230</v>
      </c>
      <c r="I1755" s="0" t="n">
        <v>950</v>
      </c>
      <c r="J1755" s="0" t="n">
        <f aca="false">F1755*E1755</f>
        <v>0</v>
      </c>
      <c r="K1755" s="0" t="str">
        <f aca="false">IF(G1755&lt;1000,"1-Low",IF(G1755&lt;5000,"2-Medium","3-Bulk"))</f>
        <v>1-Low</v>
      </c>
      <c r="L1755" s="0" t="str">
        <f aca="false">IF(H1755="TRUE","Out of stock","In stock")</f>
        <v>Out of stock</v>
      </c>
      <c r="M1755" s="0" t="str">
        <f aca="false">IF(D1755&lt;5,"1) Under 5%",IF(D1755&lt;10,"2) 5-9%",IF(D1755&lt;15,"3) 10-14%",IF(D1755&lt;25,"4) 15-24%","5) 25%+"))))</f>
        <v>2) 5-9%</v>
      </c>
      <c r="N1755" s="0" t="str">
        <f aca="false">IF(F1755&lt;50,"1) Under Rs 50",IF(F1755&lt;100,"2) Rs 50-99",IF(F1755&lt;200,"3) Rs 100-199",IF(F1755&lt;500,"4) Rs 200-499","5) Rs 500+"))))</f>
        <v>3) Rs 100-199</v>
      </c>
      <c r="O1755" s="0" t="n">
        <f aca="false">G1755*E1755/1000</f>
        <v>0</v>
      </c>
    </row>
    <row r="1756" customFormat="false" ht="15" hidden="false" customHeight="false" outlineLevel="0" collapsed="false">
      <c r="A1756" s="0" t="s">
        <v>121</v>
      </c>
      <c r="B1756" s="0" t="s">
        <v>1080</v>
      </c>
      <c r="C1756" s="0" t="n">
        <v>55</v>
      </c>
      <c r="D1756" s="0" t="n">
        <v>3</v>
      </c>
      <c r="E1756" s="0" t="n">
        <v>0</v>
      </c>
      <c r="F1756" s="0" t="n">
        <v>53</v>
      </c>
      <c r="G1756" s="0" t="n">
        <v>180</v>
      </c>
      <c r="H1756" s="0" t="s">
        <v>230</v>
      </c>
      <c r="I1756" s="0" t="n">
        <v>180</v>
      </c>
      <c r="J1756" s="0" t="n">
        <f aca="false">F1756*E1756</f>
        <v>0</v>
      </c>
      <c r="K1756" s="0" t="str">
        <f aca="false">IF(G1756&lt;1000,"1-Low",IF(G1756&lt;5000,"2-Medium","3-Bulk"))</f>
        <v>1-Low</v>
      </c>
      <c r="L1756" s="0" t="str">
        <f aca="false">IF(H1756="TRUE","Out of stock","In stock")</f>
        <v>Out of stock</v>
      </c>
      <c r="M1756" s="0" t="str">
        <f aca="false">IF(D1756&lt;5,"1) Under 5%",IF(D1756&lt;10,"2) 5-9%",IF(D1756&lt;15,"3) 10-14%",IF(D1756&lt;25,"4) 15-24%","5) 25%+"))))</f>
        <v>1) Under 5%</v>
      </c>
      <c r="N1756" s="0" t="str">
        <f aca="false">IF(F1756&lt;50,"1) Under Rs 50",IF(F1756&lt;100,"2) Rs 50-99",IF(F1756&lt;200,"3) Rs 100-199",IF(F1756&lt;500,"4) Rs 200-499","5) Rs 500+"))))</f>
        <v>2) Rs 50-99</v>
      </c>
      <c r="O1756" s="0" t="n">
        <f aca="false">G1756*E1756/1000</f>
        <v>0</v>
      </c>
    </row>
    <row r="1757" customFormat="false" ht="15" hidden="false" customHeight="false" outlineLevel="0" collapsed="false">
      <c r="A1757" s="0" t="s">
        <v>121</v>
      </c>
      <c r="B1757" s="0" t="s">
        <v>1081</v>
      </c>
      <c r="C1757" s="0" t="n">
        <v>135</v>
      </c>
      <c r="D1757" s="0" t="n">
        <v>6</v>
      </c>
      <c r="E1757" s="0" t="n">
        <v>0</v>
      </c>
      <c r="F1757" s="0" t="n">
        <v>126</v>
      </c>
      <c r="G1757" s="0" t="n">
        <v>500</v>
      </c>
      <c r="H1757" s="0" t="s">
        <v>230</v>
      </c>
      <c r="I1757" s="0" t="n">
        <v>500</v>
      </c>
      <c r="J1757" s="0" t="n">
        <f aca="false">F1757*E1757</f>
        <v>0</v>
      </c>
      <c r="K1757" s="0" t="str">
        <f aca="false">IF(G1757&lt;1000,"1-Low",IF(G1757&lt;5000,"2-Medium","3-Bulk"))</f>
        <v>1-Low</v>
      </c>
      <c r="L1757" s="0" t="str">
        <f aca="false">IF(H1757="TRUE","Out of stock","In stock")</f>
        <v>Out of stock</v>
      </c>
      <c r="M1757" s="0" t="str">
        <f aca="false">IF(D1757&lt;5,"1) Under 5%",IF(D1757&lt;10,"2) 5-9%",IF(D1757&lt;15,"3) 10-14%",IF(D1757&lt;25,"4) 15-24%","5) 25%+"))))</f>
        <v>2) 5-9%</v>
      </c>
      <c r="N1757" s="0" t="str">
        <f aca="false">IF(F1757&lt;50,"1) Under Rs 50",IF(F1757&lt;100,"2) Rs 50-99",IF(F1757&lt;200,"3) Rs 100-199",IF(F1757&lt;500,"4) Rs 200-499","5) Rs 500+"))))</f>
        <v>3) Rs 100-199</v>
      </c>
      <c r="O1757" s="0" t="n">
        <f aca="false">G1757*E1757/1000</f>
        <v>0</v>
      </c>
    </row>
    <row r="1758" customFormat="false" ht="15" hidden="false" customHeight="false" outlineLevel="0" collapsed="false">
      <c r="A1758" s="0" t="s">
        <v>121</v>
      </c>
      <c r="B1758" s="0" t="s">
        <v>1082</v>
      </c>
      <c r="C1758" s="0" t="n">
        <v>160</v>
      </c>
      <c r="D1758" s="0" t="n">
        <v>5</v>
      </c>
      <c r="E1758" s="0" t="n">
        <v>0</v>
      </c>
      <c r="F1758" s="0" t="n">
        <v>152</v>
      </c>
      <c r="G1758" s="0" t="n">
        <v>320</v>
      </c>
      <c r="H1758" s="0" t="s">
        <v>230</v>
      </c>
      <c r="I1758" s="0" t="n">
        <v>320</v>
      </c>
      <c r="J1758" s="0" t="n">
        <f aca="false">F1758*E1758</f>
        <v>0</v>
      </c>
      <c r="K1758" s="0" t="str">
        <f aca="false">IF(G1758&lt;1000,"1-Low",IF(G1758&lt;5000,"2-Medium","3-Bulk"))</f>
        <v>1-Low</v>
      </c>
      <c r="L1758" s="0" t="str">
        <f aca="false">IF(H1758="TRUE","Out of stock","In stock")</f>
        <v>Out of stock</v>
      </c>
      <c r="M1758" s="0" t="str">
        <f aca="false">IF(D1758&lt;5,"1) Under 5%",IF(D1758&lt;10,"2) 5-9%",IF(D1758&lt;15,"3) 10-14%",IF(D1758&lt;25,"4) 15-24%","5) 25%+"))))</f>
        <v>2) 5-9%</v>
      </c>
      <c r="N1758" s="0" t="str">
        <f aca="false">IF(F1758&lt;50,"1) Under Rs 50",IF(F1758&lt;100,"2) Rs 50-99",IF(F1758&lt;200,"3) Rs 100-199",IF(F1758&lt;500,"4) Rs 200-499","5) Rs 500+"))))</f>
        <v>3) Rs 100-199</v>
      </c>
      <c r="O1758" s="0" t="n">
        <f aca="false">G1758*E1758/1000</f>
        <v>0</v>
      </c>
    </row>
    <row r="1759" customFormat="false" ht="15" hidden="false" customHeight="false" outlineLevel="0" collapsed="false">
      <c r="A1759" s="0" t="s">
        <v>121</v>
      </c>
      <c r="B1759" s="0" t="s">
        <v>1083</v>
      </c>
      <c r="C1759" s="0" t="n">
        <v>115</v>
      </c>
      <c r="D1759" s="0" t="n">
        <v>4</v>
      </c>
      <c r="E1759" s="0" t="n">
        <v>0</v>
      </c>
      <c r="F1759" s="0" t="n">
        <v>110</v>
      </c>
      <c r="G1759" s="0" t="n">
        <v>400</v>
      </c>
      <c r="H1759" s="0" t="s">
        <v>230</v>
      </c>
      <c r="I1759" s="0" t="n">
        <v>400</v>
      </c>
      <c r="J1759" s="0" t="n">
        <f aca="false">F1759*E1759</f>
        <v>0</v>
      </c>
      <c r="K1759" s="0" t="str">
        <f aca="false">IF(G1759&lt;1000,"1-Low",IF(G1759&lt;5000,"2-Medium","3-Bulk"))</f>
        <v>1-Low</v>
      </c>
      <c r="L1759" s="0" t="str">
        <f aca="false">IF(H1759="TRUE","Out of stock","In stock")</f>
        <v>Out of stock</v>
      </c>
      <c r="M1759" s="0" t="str">
        <f aca="false">IF(D1759&lt;5,"1) Under 5%",IF(D1759&lt;10,"2) 5-9%",IF(D1759&lt;15,"3) 10-14%",IF(D1759&lt;25,"4) 15-24%","5) 25%+"))))</f>
        <v>1) Under 5%</v>
      </c>
      <c r="N1759" s="0" t="str">
        <f aca="false">IF(F1759&lt;50,"1) Under Rs 50",IF(F1759&lt;100,"2) Rs 50-99",IF(F1759&lt;200,"3) Rs 100-199",IF(F1759&lt;500,"4) Rs 200-499","5) Rs 500+"))))</f>
        <v>3) Rs 100-199</v>
      </c>
      <c r="O1759" s="0" t="n">
        <f aca="false">G1759*E1759/1000</f>
        <v>0</v>
      </c>
    </row>
    <row r="1760" customFormat="false" ht="15" hidden="false" customHeight="false" outlineLevel="0" collapsed="false">
      <c r="A1760" s="0" t="s">
        <v>121</v>
      </c>
      <c r="B1760" s="0" t="s">
        <v>699</v>
      </c>
      <c r="C1760" s="0" t="n">
        <v>150</v>
      </c>
      <c r="D1760" s="0" t="n">
        <v>4</v>
      </c>
      <c r="E1760" s="0" t="n">
        <v>0</v>
      </c>
      <c r="F1760" s="0" t="n">
        <v>143</v>
      </c>
      <c r="G1760" s="0" t="n">
        <v>250</v>
      </c>
      <c r="H1760" s="0" t="s">
        <v>230</v>
      </c>
      <c r="I1760" s="0" t="n">
        <v>250</v>
      </c>
      <c r="J1760" s="0" t="n">
        <f aca="false">F1760*E1760</f>
        <v>0</v>
      </c>
      <c r="K1760" s="0" t="str">
        <f aca="false">IF(G1760&lt;1000,"1-Low",IF(G1760&lt;5000,"2-Medium","3-Bulk"))</f>
        <v>1-Low</v>
      </c>
      <c r="L1760" s="0" t="str">
        <f aca="false">IF(H1760="TRUE","Out of stock","In stock")</f>
        <v>Out of stock</v>
      </c>
      <c r="M1760" s="0" t="str">
        <f aca="false">IF(D1760&lt;5,"1) Under 5%",IF(D1760&lt;10,"2) 5-9%",IF(D1760&lt;15,"3) 10-14%",IF(D1760&lt;25,"4) 15-24%","5) 25%+"))))</f>
        <v>1) Under 5%</v>
      </c>
      <c r="N1760" s="0" t="str">
        <f aca="false">IF(F1760&lt;50,"1) Under Rs 50",IF(F1760&lt;100,"2) Rs 50-99",IF(F1760&lt;200,"3) Rs 100-199",IF(F1760&lt;500,"4) Rs 200-499","5) Rs 500+"))))</f>
        <v>3) Rs 100-199</v>
      </c>
      <c r="O1760" s="0" t="n">
        <f aca="false">G1760*E1760/1000</f>
        <v>0</v>
      </c>
    </row>
    <row r="1761" customFormat="false" ht="15" hidden="false" customHeight="false" outlineLevel="0" collapsed="false">
      <c r="A1761" s="0" t="s">
        <v>121</v>
      </c>
      <c r="B1761" s="0" t="s">
        <v>1084</v>
      </c>
      <c r="C1761" s="0" t="n">
        <v>295</v>
      </c>
      <c r="D1761" s="0" t="n">
        <v>9</v>
      </c>
      <c r="E1761" s="0" t="n">
        <v>0</v>
      </c>
      <c r="F1761" s="0" t="n">
        <v>266</v>
      </c>
      <c r="G1761" s="0" t="n">
        <v>350</v>
      </c>
      <c r="H1761" s="0" t="s">
        <v>230</v>
      </c>
      <c r="I1761" s="0" t="n">
        <v>350</v>
      </c>
      <c r="J1761" s="0" t="n">
        <f aca="false">F1761*E1761</f>
        <v>0</v>
      </c>
      <c r="K1761" s="0" t="str">
        <f aca="false">IF(G1761&lt;1000,"1-Low",IF(G1761&lt;5000,"2-Medium","3-Bulk"))</f>
        <v>1-Low</v>
      </c>
      <c r="L1761" s="0" t="str">
        <f aca="false">IF(H1761="TRUE","Out of stock","In stock")</f>
        <v>Out of stock</v>
      </c>
      <c r="M1761" s="0" t="str">
        <f aca="false">IF(D1761&lt;5,"1) Under 5%",IF(D1761&lt;10,"2) 5-9%",IF(D1761&lt;15,"3) 10-14%",IF(D1761&lt;25,"4) 15-24%","5) 25%+"))))</f>
        <v>2) 5-9%</v>
      </c>
      <c r="N1761" s="0" t="str">
        <f aca="false">IF(F1761&lt;50,"1) Under Rs 50",IF(F1761&lt;100,"2) Rs 50-99",IF(F1761&lt;200,"3) Rs 100-199",IF(F1761&lt;500,"4) Rs 200-499","5) Rs 500+"))))</f>
        <v>4) Rs 200-499</v>
      </c>
      <c r="O1761" s="0" t="n">
        <f aca="false">G1761*E1761/1000</f>
        <v>0</v>
      </c>
    </row>
    <row r="1762" customFormat="false" ht="15" hidden="false" customHeight="false" outlineLevel="0" collapsed="false">
      <c r="A1762" s="0" t="s">
        <v>121</v>
      </c>
      <c r="B1762" s="0" t="s">
        <v>698</v>
      </c>
      <c r="C1762" s="0" t="n">
        <v>72</v>
      </c>
      <c r="D1762" s="0" t="n">
        <v>0</v>
      </c>
      <c r="E1762" s="0" t="n">
        <v>0</v>
      </c>
      <c r="F1762" s="0" t="n">
        <v>72</v>
      </c>
      <c r="G1762" s="0" t="n">
        <v>280</v>
      </c>
      <c r="H1762" s="0" t="s">
        <v>230</v>
      </c>
      <c r="I1762" s="0" t="n">
        <v>280</v>
      </c>
      <c r="J1762" s="0" t="n">
        <f aca="false">F1762*E1762</f>
        <v>0</v>
      </c>
      <c r="K1762" s="0" t="str">
        <f aca="false">IF(G1762&lt;1000,"1-Low",IF(G1762&lt;5000,"2-Medium","3-Bulk"))</f>
        <v>1-Low</v>
      </c>
      <c r="L1762" s="0" t="str">
        <f aca="false">IF(H1762="TRUE","Out of stock","In stock")</f>
        <v>Out of stock</v>
      </c>
      <c r="M1762" s="0" t="str">
        <f aca="false">IF(D1762&lt;5,"1) Under 5%",IF(D1762&lt;10,"2) 5-9%",IF(D1762&lt;15,"3) 10-14%",IF(D1762&lt;25,"4) 15-24%","5) 25%+"))))</f>
        <v>1) Under 5%</v>
      </c>
      <c r="N1762" s="0" t="str">
        <f aca="false">IF(F1762&lt;50,"1) Under Rs 50",IF(F1762&lt;100,"2) Rs 50-99",IF(F1762&lt;200,"3) Rs 100-199",IF(F1762&lt;500,"4) Rs 200-499","5) Rs 500+"))))</f>
        <v>2) Rs 50-99</v>
      </c>
      <c r="O1762" s="0" t="n">
        <f aca="false">G1762*E1762/1000</f>
        <v>0</v>
      </c>
    </row>
    <row r="1763" customFormat="false" ht="15" hidden="false" customHeight="false" outlineLevel="0" collapsed="false">
      <c r="A1763" s="0" t="s">
        <v>121</v>
      </c>
      <c r="B1763" s="0" t="s">
        <v>1085</v>
      </c>
      <c r="C1763" s="0" t="n">
        <v>55</v>
      </c>
      <c r="D1763" s="0" t="n">
        <v>0</v>
      </c>
      <c r="E1763" s="0" t="n">
        <v>0</v>
      </c>
      <c r="F1763" s="0" t="n">
        <v>55</v>
      </c>
      <c r="G1763" s="0" t="n">
        <v>190</v>
      </c>
      <c r="H1763" s="0" t="s">
        <v>230</v>
      </c>
      <c r="I1763" s="0" t="n">
        <v>190</v>
      </c>
      <c r="J1763" s="0" t="n">
        <f aca="false">F1763*E1763</f>
        <v>0</v>
      </c>
      <c r="K1763" s="0" t="str">
        <f aca="false">IF(G1763&lt;1000,"1-Low",IF(G1763&lt;5000,"2-Medium","3-Bulk"))</f>
        <v>1-Low</v>
      </c>
      <c r="L1763" s="0" t="str">
        <f aca="false">IF(H1763="TRUE","Out of stock","In stock")</f>
        <v>Out of stock</v>
      </c>
      <c r="M1763" s="0" t="str">
        <f aca="false">IF(D1763&lt;5,"1) Under 5%",IF(D1763&lt;10,"2) 5-9%",IF(D1763&lt;15,"3) 10-14%",IF(D1763&lt;25,"4) 15-24%","5) 25%+"))))</f>
        <v>1) Under 5%</v>
      </c>
      <c r="N1763" s="0" t="str">
        <f aca="false">IF(F1763&lt;50,"1) Under Rs 50",IF(F1763&lt;100,"2) Rs 50-99",IF(F1763&lt;200,"3) Rs 100-199",IF(F1763&lt;500,"4) Rs 200-499","5) Rs 500+"))))</f>
        <v>2) Rs 50-99</v>
      </c>
      <c r="O1763" s="0" t="n">
        <f aca="false">G1763*E1763/1000</f>
        <v>0</v>
      </c>
    </row>
    <row r="1764" customFormat="false" ht="15" hidden="false" customHeight="false" outlineLevel="0" collapsed="false">
      <c r="A1764" s="0" t="s">
        <v>121</v>
      </c>
      <c r="B1764" s="0" t="s">
        <v>1086</v>
      </c>
      <c r="C1764" s="0" t="n">
        <v>135</v>
      </c>
      <c r="D1764" s="0" t="n">
        <v>0</v>
      </c>
      <c r="E1764" s="0" t="n">
        <v>0</v>
      </c>
      <c r="F1764" s="0" t="n">
        <v>135</v>
      </c>
      <c r="G1764" s="0" t="n">
        <v>500</v>
      </c>
      <c r="H1764" s="0" t="s">
        <v>230</v>
      </c>
      <c r="I1764" s="0" t="n">
        <v>500</v>
      </c>
      <c r="J1764" s="0" t="n">
        <f aca="false">F1764*E1764</f>
        <v>0</v>
      </c>
      <c r="K1764" s="0" t="str">
        <f aca="false">IF(G1764&lt;1000,"1-Low",IF(G1764&lt;5000,"2-Medium","3-Bulk"))</f>
        <v>1-Low</v>
      </c>
      <c r="L1764" s="0" t="str">
        <f aca="false">IF(H1764="TRUE","Out of stock","In stock")</f>
        <v>Out of stock</v>
      </c>
      <c r="M1764" s="0" t="str">
        <f aca="false">IF(D1764&lt;5,"1) Under 5%",IF(D1764&lt;10,"2) 5-9%",IF(D1764&lt;15,"3) 10-14%",IF(D1764&lt;25,"4) 15-24%","5) 25%+"))))</f>
        <v>1) Under 5%</v>
      </c>
      <c r="N1764" s="0" t="str">
        <f aca="false">IF(F1764&lt;50,"1) Under Rs 50",IF(F1764&lt;100,"2) Rs 50-99",IF(F1764&lt;200,"3) Rs 100-199",IF(F1764&lt;500,"4) Rs 200-499","5) Rs 500+"))))</f>
        <v>3) Rs 100-199</v>
      </c>
      <c r="O1764" s="0" t="n">
        <f aca="false">G1764*E1764/1000</f>
        <v>0</v>
      </c>
    </row>
    <row r="1765" customFormat="false" ht="15" hidden="false" customHeight="false" outlineLevel="0" collapsed="false">
      <c r="A1765" s="0" t="s">
        <v>121</v>
      </c>
      <c r="B1765" s="0" t="s">
        <v>1086</v>
      </c>
      <c r="C1765" s="0" t="n">
        <v>250</v>
      </c>
      <c r="D1765" s="0" t="n">
        <v>0</v>
      </c>
      <c r="E1765" s="0" t="n">
        <v>0</v>
      </c>
      <c r="F1765" s="0" t="n">
        <v>250</v>
      </c>
      <c r="G1765" s="0" t="n">
        <v>1000</v>
      </c>
      <c r="H1765" s="0" t="s">
        <v>230</v>
      </c>
      <c r="I1765" s="0" t="n">
        <v>1</v>
      </c>
      <c r="J1765" s="0" t="n">
        <f aca="false">F1765*E1765</f>
        <v>0</v>
      </c>
      <c r="K1765" s="0" t="str">
        <f aca="false">IF(G1765&lt;1000,"1-Low",IF(G1765&lt;5000,"2-Medium","3-Bulk"))</f>
        <v>2-Medium</v>
      </c>
      <c r="L1765" s="0" t="str">
        <f aca="false">IF(H1765="TRUE","Out of stock","In stock")</f>
        <v>Out of stock</v>
      </c>
      <c r="M1765" s="0" t="str">
        <f aca="false">IF(D1765&lt;5,"1) Under 5%",IF(D1765&lt;10,"2) 5-9%",IF(D1765&lt;15,"3) 10-14%",IF(D1765&lt;25,"4) 15-24%","5) 25%+"))))</f>
        <v>1) Under 5%</v>
      </c>
      <c r="N1765" s="0" t="str">
        <f aca="false">IF(F1765&lt;50,"1) Under Rs 50",IF(F1765&lt;100,"2) Rs 50-99",IF(F1765&lt;200,"3) Rs 100-199",IF(F1765&lt;500,"4) Rs 200-499","5) Rs 500+"))))</f>
        <v>4) Rs 200-499</v>
      </c>
      <c r="O1765" s="0" t="n">
        <f aca="false">G1765*E1765/1000</f>
        <v>0</v>
      </c>
    </row>
    <row r="1766" customFormat="false" ht="15" hidden="false" customHeight="false" outlineLevel="0" collapsed="false">
      <c r="A1766" s="0" t="s">
        <v>121</v>
      </c>
      <c r="B1766" s="0" t="s">
        <v>1087</v>
      </c>
      <c r="C1766" s="0" t="n">
        <v>85</v>
      </c>
      <c r="D1766" s="0" t="n">
        <v>0</v>
      </c>
      <c r="E1766" s="0" t="n">
        <v>0</v>
      </c>
      <c r="F1766" s="0" t="n">
        <v>85</v>
      </c>
      <c r="G1766" s="0" t="n">
        <v>400</v>
      </c>
      <c r="H1766" s="0" t="s">
        <v>230</v>
      </c>
      <c r="I1766" s="0" t="n">
        <v>400</v>
      </c>
      <c r="J1766" s="0" t="n">
        <f aca="false">F1766*E1766</f>
        <v>0</v>
      </c>
      <c r="K1766" s="0" t="str">
        <f aca="false">IF(G1766&lt;1000,"1-Low",IF(G1766&lt;5000,"2-Medium","3-Bulk"))</f>
        <v>1-Low</v>
      </c>
      <c r="L1766" s="0" t="str">
        <f aca="false">IF(H1766="TRUE","Out of stock","In stock")</f>
        <v>Out of stock</v>
      </c>
      <c r="M1766" s="0" t="str">
        <f aca="false">IF(D1766&lt;5,"1) Under 5%",IF(D1766&lt;10,"2) 5-9%",IF(D1766&lt;15,"3) 10-14%",IF(D1766&lt;25,"4) 15-24%","5) 25%+"))))</f>
        <v>1) Under 5%</v>
      </c>
      <c r="N1766" s="0" t="str">
        <f aca="false">IF(F1766&lt;50,"1) Under Rs 50",IF(F1766&lt;100,"2) Rs 50-99",IF(F1766&lt;200,"3) Rs 100-199",IF(F1766&lt;500,"4) Rs 200-499","5) Rs 500+"))))</f>
        <v>2) Rs 50-99</v>
      </c>
      <c r="O1766" s="0" t="n">
        <f aca="false">G1766*E1766/1000</f>
        <v>0</v>
      </c>
    </row>
    <row r="1767" customFormat="false" ht="15" hidden="false" customHeight="false" outlineLevel="0" collapsed="false">
      <c r="A1767" s="0" t="s">
        <v>121</v>
      </c>
      <c r="B1767" s="0" t="s">
        <v>1088</v>
      </c>
      <c r="C1767" s="0" t="n">
        <v>79</v>
      </c>
      <c r="D1767" s="0" t="n">
        <v>0</v>
      </c>
      <c r="E1767" s="0" t="n">
        <v>0</v>
      </c>
      <c r="F1767" s="0" t="n">
        <v>79</v>
      </c>
      <c r="G1767" s="0" t="n">
        <v>250</v>
      </c>
      <c r="H1767" s="0" t="s">
        <v>230</v>
      </c>
      <c r="I1767" s="0" t="n">
        <v>250</v>
      </c>
      <c r="J1767" s="0" t="n">
        <f aca="false">F1767*E1767</f>
        <v>0</v>
      </c>
      <c r="K1767" s="0" t="str">
        <f aca="false">IF(G1767&lt;1000,"1-Low",IF(G1767&lt;5000,"2-Medium","3-Bulk"))</f>
        <v>1-Low</v>
      </c>
      <c r="L1767" s="0" t="str">
        <f aca="false">IF(H1767="TRUE","Out of stock","In stock")</f>
        <v>Out of stock</v>
      </c>
      <c r="M1767" s="0" t="str">
        <f aca="false">IF(D1767&lt;5,"1) Under 5%",IF(D1767&lt;10,"2) 5-9%",IF(D1767&lt;15,"3) 10-14%",IF(D1767&lt;25,"4) 15-24%","5) 25%+"))))</f>
        <v>1) Under 5%</v>
      </c>
      <c r="N1767" s="0" t="str">
        <f aca="false">IF(F1767&lt;50,"1) Under Rs 50",IF(F1767&lt;100,"2) Rs 50-99",IF(F1767&lt;200,"3) Rs 100-199",IF(F1767&lt;500,"4) Rs 200-499","5) Rs 500+"))))</f>
        <v>2) Rs 50-99</v>
      </c>
      <c r="O1767" s="0" t="n">
        <f aca="false">G1767*E1767/1000</f>
        <v>0</v>
      </c>
    </row>
    <row r="1768" customFormat="false" ht="15" hidden="false" customHeight="false" outlineLevel="0" collapsed="false">
      <c r="A1768" s="0" t="s">
        <v>121</v>
      </c>
      <c r="B1768" s="0" t="s">
        <v>1089</v>
      </c>
      <c r="C1768" s="0" t="n">
        <v>250</v>
      </c>
      <c r="D1768" s="0" t="n">
        <v>0</v>
      </c>
      <c r="E1768" s="0" t="n">
        <v>0</v>
      </c>
      <c r="F1768" s="0" t="n">
        <v>250</v>
      </c>
      <c r="G1768" s="0" t="n">
        <v>450</v>
      </c>
      <c r="H1768" s="0" t="s">
        <v>230</v>
      </c>
      <c r="I1768" s="0" t="n">
        <v>450</v>
      </c>
      <c r="J1768" s="0" t="n">
        <f aca="false">F1768*E1768</f>
        <v>0</v>
      </c>
      <c r="K1768" s="0" t="str">
        <f aca="false">IF(G1768&lt;1000,"1-Low",IF(G1768&lt;5000,"2-Medium","3-Bulk"))</f>
        <v>1-Low</v>
      </c>
      <c r="L1768" s="0" t="str">
        <f aca="false">IF(H1768="TRUE","Out of stock","In stock")</f>
        <v>Out of stock</v>
      </c>
      <c r="M1768" s="0" t="str">
        <f aca="false">IF(D1768&lt;5,"1) Under 5%",IF(D1768&lt;10,"2) 5-9%",IF(D1768&lt;15,"3) 10-14%",IF(D1768&lt;25,"4) 15-24%","5) 25%+"))))</f>
        <v>1) Under 5%</v>
      </c>
      <c r="N1768" s="0" t="str">
        <f aca="false">IF(F1768&lt;50,"1) Under Rs 50",IF(F1768&lt;100,"2) Rs 50-99",IF(F1768&lt;200,"3) Rs 100-199",IF(F1768&lt;500,"4) Rs 200-499","5) Rs 500+"))))</f>
        <v>4) Rs 200-499</v>
      </c>
      <c r="O1768" s="0" t="n">
        <f aca="false">G1768*E1768/1000</f>
        <v>0</v>
      </c>
    </row>
    <row r="1769" customFormat="false" ht="15" hidden="false" customHeight="false" outlineLevel="0" collapsed="false">
      <c r="A1769" s="0" t="s">
        <v>113</v>
      </c>
      <c r="B1769" s="0" t="s">
        <v>235</v>
      </c>
      <c r="C1769" s="0" t="n">
        <v>12</v>
      </c>
      <c r="D1769" s="0" t="n">
        <v>0</v>
      </c>
      <c r="E1769" s="0" t="n">
        <v>6</v>
      </c>
      <c r="F1769" s="0" t="n">
        <v>12</v>
      </c>
      <c r="G1769" s="0" t="n">
        <v>70</v>
      </c>
      <c r="H1769" s="0" t="s">
        <v>145</v>
      </c>
      <c r="I1769" s="0" t="n">
        <v>70</v>
      </c>
      <c r="J1769" s="0" t="n">
        <f aca="false">F1769*E1769</f>
        <v>72</v>
      </c>
      <c r="K1769" s="0" t="str">
        <f aca="false">IF(G1769&lt;1000,"1-Low",IF(G1769&lt;5000,"2-Medium","3-Bulk"))</f>
        <v>1-Low</v>
      </c>
      <c r="L1769" s="0" t="str">
        <f aca="false">IF(H1769="TRUE","Out of stock","In stock")</f>
        <v>In stock</v>
      </c>
      <c r="M1769" s="0" t="str">
        <f aca="false">IF(D1769&lt;5,"1) Under 5%",IF(D1769&lt;10,"2) 5-9%",IF(D1769&lt;15,"3) 10-14%",IF(D1769&lt;25,"4) 15-24%","5) 25%+"))))</f>
        <v>1) Under 5%</v>
      </c>
      <c r="N1769" s="0" t="str">
        <f aca="false">IF(F1769&lt;50,"1) Under Rs 50",IF(F1769&lt;100,"2) Rs 50-99",IF(F1769&lt;200,"3) Rs 100-199",IF(F1769&lt;500,"4) Rs 200-499","5) Rs 500+"))))</f>
        <v>1) Under Rs 50</v>
      </c>
      <c r="O1769" s="0" t="n">
        <f aca="false">G1769*E1769/1000</f>
        <v>0.42</v>
      </c>
    </row>
    <row r="1770" customFormat="false" ht="15" hidden="false" customHeight="false" outlineLevel="0" collapsed="false">
      <c r="A1770" s="0" t="s">
        <v>113</v>
      </c>
      <c r="B1770" s="0" t="s">
        <v>236</v>
      </c>
      <c r="C1770" s="0" t="n">
        <v>80</v>
      </c>
      <c r="D1770" s="0" t="n">
        <v>15</v>
      </c>
      <c r="E1770" s="0" t="n">
        <v>6</v>
      </c>
      <c r="F1770" s="0" t="n">
        <v>68</v>
      </c>
      <c r="G1770" s="0" t="n">
        <v>1000</v>
      </c>
      <c r="H1770" s="0" t="s">
        <v>145</v>
      </c>
      <c r="I1770" s="0" t="n">
        <v>1</v>
      </c>
      <c r="J1770" s="0" t="n">
        <f aca="false">F1770*E1770</f>
        <v>408</v>
      </c>
      <c r="K1770" s="0" t="str">
        <f aca="false">IF(G1770&lt;1000,"1-Low",IF(G1770&lt;5000,"2-Medium","3-Bulk"))</f>
        <v>2-Medium</v>
      </c>
      <c r="L1770" s="0" t="str">
        <f aca="false">IF(H1770="TRUE","Out of stock","In stock")</f>
        <v>In stock</v>
      </c>
      <c r="M1770" s="0" t="str">
        <f aca="false">IF(D1770&lt;5,"1) Under 5%",IF(D1770&lt;10,"2) 5-9%",IF(D1770&lt;15,"3) 10-14%",IF(D1770&lt;25,"4) 15-24%","5) 25%+"))))</f>
        <v>4) 15-24%</v>
      </c>
      <c r="N1770" s="0" t="str">
        <f aca="false">IF(F1770&lt;50,"1) Under Rs 50",IF(F1770&lt;100,"2) Rs 50-99",IF(F1770&lt;200,"3) Rs 100-199",IF(F1770&lt;500,"4) Rs 200-499","5) Rs 500+"))))</f>
        <v>2) Rs 50-99</v>
      </c>
      <c r="O1770" s="0" t="n">
        <f aca="false">G1770*E1770/1000</f>
        <v>6</v>
      </c>
    </row>
    <row r="1771" customFormat="false" ht="15" hidden="false" customHeight="false" outlineLevel="0" collapsed="false">
      <c r="A1771" s="0" t="s">
        <v>113</v>
      </c>
      <c r="B1771" s="0" t="s">
        <v>809</v>
      </c>
      <c r="C1771" s="0" t="n">
        <v>80</v>
      </c>
      <c r="D1771" s="0" t="n">
        <v>10</v>
      </c>
      <c r="E1771" s="0" t="n">
        <v>4</v>
      </c>
      <c r="F1771" s="0" t="n">
        <v>72</v>
      </c>
      <c r="G1771" s="0" t="n">
        <v>400</v>
      </c>
      <c r="H1771" s="0" t="s">
        <v>145</v>
      </c>
      <c r="I1771" s="0" t="n">
        <v>400</v>
      </c>
      <c r="J1771" s="0" t="n">
        <f aca="false">F1771*E1771</f>
        <v>288</v>
      </c>
      <c r="K1771" s="0" t="str">
        <f aca="false">IF(G1771&lt;1000,"1-Low",IF(G1771&lt;5000,"2-Medium","3-Bulk"))</f>
        <v>1-Low</v>
      </c>
      <c r="L1771" s="0" t="str">
        <f aca="false">IF(H1771="TRUE","Out of stock","In stock")</f>
        <v>In stock</v>
      </c>
      <c r="M1771" s="0" t="str">
        <f aca="false">IF(D1771&lt;5,"1) Under 5%",IF(D1771&lt;10,"2) 5-9%",IF(D1771&lt;15,"3) 10-14%",IF(D1771&lt;25,"4) 15-24%","5) 25%+"))))</f>
        <v>3) 10-14%</v>
      </c>
      <c r="N1771" s="0" t="str">
        <f aca="false">IF(F1771&lt;50,"1) Under Rs 50",IF(F1771&lt;100,"2) Rs 50-99",IF(F1771&lt;200,"3) Rs 100-199",IF(F1771&lt;500,"4) Rs 200-499","5) Rs 500+"))))</f>
        <v>2) Rs 50-99</v>
      </c>
      <c r="O1771" s="0" t="n">
        <f aca="false">G1771*E1771/1000</f>
        <v>1.6</v>
      </c>
    </row>
    <row r="1772" customFormat="false" ht="15" hidden="false" customHeight="false" outlineLevel="0" collapsed="false">
      <c r="A1772" s="0" t="s">
        <v>113</v>
      </c>
      <c r="B1772" s="0" t="s">
        <v>810</v>
      </c>
      <c r="C1772" s="0" t="n">
        <v>80</v>
      </c>
      <c r="D1772" s="0" t="n">
        <v>12</v>
      </c>
      <c r="E1772" s="0" t="n">
        <v>6</v>
      </c>
      <c r="F1772" s="0" t="n">
        <v>70</v>
      </c>
      <c r="G1772" s="0" t="n">
        <v>400</v>
      </c>
      <c r="H1772" s="0" t="s">
        <v>145</v>
      </c>
      <c r="I1772" s="0" t="n">
        <v>400</v>
      </c>
      <c r="J1772" s="0" t="n">
        <f aca="false">F1772*E1772</f>
        <v>420</v>
      </c>
      <c r="K1772" s="0" t="str">
        <f aca="false">IF(G1772&lt;1000,"1-Low",IF(G1772&lt;5000,"2-Medium","3-Bulk"))</f>
        <v>1-Low</v>
      </c>
      <c r="L1772" s="0" t="str">
        <f aca="false">IF(H1772="TRUE","Out of stock","In stock")</f>
        <v>In stock</v>
      </c>
      <c r="M1772" s="0" t="str">
        <f aca="false">IF(D1772&lt;5,"1) Under 5%",IF(D1772&lt;10,"2) 5-9%",IF(D1772&lt;15,"3) 10-14%",IF(D1772&lt;25,"4) 15-24%","5) 25%+"))))</f>
        <v>3) 10-14%</v>
      </c>
      <c r="N1772" s="0" t="str">
        <f aca="false">IF(F1772&lt;50,"1) Under Rs 50",IF(F1772&lt;100,"2) Rs 50-99",IF(F1772&lt;200,"3) Rs 100-199",IF(F1772&lt;500,"4) Rs 200-499","5) Rs 500+"))))</f>
        <v>2) Rs 50-99</v>
      </c>
      <c r="O1772" s="0" t="n">
        <f aca="false">G1772*E1772/1000</f>
        <v>2.4</v>
      </c>
    </row>
    <row r="1773" customFormat="false" ht="15" hidden="false" customHeight="false" outlineLevel="0" collapsed="false">
      <c r="A1773" s="0" t="s">
        <v>113</v>
      </c>
      <c r="B1773" s="0" t="s">
        <v>811</v>
      </c>
      <c r="C1773" s="0" t="n">
        <v>110</v>
      </c>
      <c r="D1773" s="0" t="n">
        <v>4</v>
      </c>
      <c r="E1773" s="0" t="n">
        <v>6</v>
      </c>
      <c r="F1773" s="0" t="n">
        <v>105</v>
      </c>
      <c r="G1773" s="0" t="n">
        <v>400</v>
      </c>
      <c r="H1773" s="0" t="s">
        <v>145</v>
      </c>
      <c r="I1773" s="0" t="n">
        <v>400</v>
      </c>
      <c r="J1773" s="0" t="n">
        <f aca="false">F1773*E1773</f>
        <v>630</v>
      </c>
      <c r="K1773" s="0" t="str">
        <f aca="false">IF(G1773&lt;1000,"1-Low",IF(G1773&lt;5000,"2-Medium","3-Bulk"))</f>
        <v>1-Low</v>
      </c>
      <c r="L1773" s="0" t="str">
        <f aca="false">IF(H1773="TRUE","Out of stock","In stock")</f>
        <v>In stock</v>
      </c>
      <c r="M1773" s="0" t="str">
        <f aca="false">IF(D1773&lt;5,"1) Under 5%",IF(D1773&lt;10,"2) 5-9%",IF(D1773&lt;15,"3) 10-14%",IF(D1773&lt;25,"4) 15-24%","5) 25%+"))))</f>
        <v>1) Under 5%</v>
      </c>
      <c r="N1773" s="0" t="str">
        <f aca="false">IF(F1773&lt;50,"1) Under Rs 50",IF(F1773&lt;100,"2) Rs 50-99",IF(F1773&lt;200,"3) Rs 100-199",IF(F1773&lt;500,"4) Rs 200-499","5) Rs 500+"))))</f>
        <v>3) Rs 100-199</v>
      </c>
      <c r="O1773" s="0" t="n">
        <f aca="false">G1773*E1773/1000</f>
        <v>2.4</v>
      </c>
    </row>
    <row r="1774" customFormat="false" ht="15" hidden="false" customHeight="false" outlineLevel="0" collapsed="false">
      <c r="A1774" s="0" t="s">
        <v>113</v>
      </c>
      <c r="B1774" s="0" t="s">
        <v>812</v>
      </c>
      <c r="C1774" s="0" t="n">
        <v>120</v>
      </c>
      <c r="D1774" s="0" t="n">
        <v>5</v>
      </c>
      <c r="E1774" s="0" t="n">
        <v>6</v>
      </c>
      <c r="F1774" s="0" t="n">
        <v>114</v>
      </c>
      <c r="G1774" s="0" t="n">
        <v>415</v>
      </c>
      <c r="H1774" s="0" t="s">
        <v>145</v>
      </c>
      <c r="I1774" s="0" t="n">
        <v>415</v>
      </c>
      <c r="J1774" s="0" t="n">
        <f aca="false">F1774*E1774</f>
        <v>684</v>
      </c>
      <c r="K1774" s="0" t="str">
        <f aca="false">IF(G1774&lt;1000,"1-Low",IF(G1774&lt;5000,"2-Medium","3-Bulk"))</f>
        <v>1-Low</v>
      </c>
      <c r="L1774" s="0" t="str">
        <f aca="false">IF(H1774="TRUE","Out of stock","In stock")</f>
        <v>In stock</v>
      </c>
      <c r="M1774" s="0" t="str">
        <f aca="false">IF(D1774&lt;5,"1) Under 5%",IF(D1774&lt;10,"2) 5-9%",IF(D1774&lt;15,"3) 10-14%",IF(D1774&lt;25,"4) 15-24%","5) 25%+"))))</f>
        <v>2) 5-9%</v>
      </c>
      <c r="N1774" s="0" t="str">
        <f aca="false">IF(F1774&lt;50,"1) Under Rs 50",IF(F1774&lt;100,"2) Rs 50-99",IF(F1774&lt;200,"3) Rs 100-199",IF(F1774&lt;500,"4) Rs 200-499","5) Rs 500+"))))</f>
        <v>3) Rs 100-199</v>
      </c>
      <c r="O1774" s="0" t="n">
        <f aca="false">G1774*E1774/1000</f>
        <v>2.49</v>
      </c>
    </row>
    <row r="1775" customFormat="false" ht="15" hidden="false" customHeight="false" outlineLevel="0" collapsed="false">
      <c r="A1775" s="0" t="s">
        <v>113</v>
      </c>
      <c r="B1775" s="0" t="s">
        <v>813</v>
      </c>
      <c r="C1775" s="0" t="n">
        <v>115</v>
      </c>
      <c r="D1775" s="0" t="n">
        <v>3</v>
      </c>
      <c r="E1775" s="0" t="n">
        <v>6</v>
      </c>
      <c r="F1775" s="0" t="n">
        <v>111</v>
      </c>
      <c r="G1775" s="0" t="n">
        <v>360</v>
      </c>
      <c r="H1775" s="0" t="s">
        <v>145</v>
      </c>
      <c r="I1775" s="0" t="n">
        <v>360</v>
      </c>
      <c r="J1775" s="0" t="n">
        <f aca="false">F1775*E1775</f>
        <v>666</v>
      </c>
      <c r="K1775" s="0" t="str">
        <f aca="false">IF(G1775&lt;1000,"1-Low",IF(G1775&lt;5000,"2-Medium","3-Bulk"))</f>
        <v>1-Low</v>
      </c>
      <c r="L1775" s="0" t="str">
        <f aca="false">IF(H1775="TRUE","Out of stock","In stock")</f>
        <v>In stock</v>
      </c>
      <c r="M1775" s="0" t="str">
        <f aca="false">IF(D1775&lt;5,"1) Under 5%",IF(D1775&lt;10,"2) 5-9%",IF(D1775&lt;15,"3) 10-14%",IF(D1775&lt;25,"4) 15-24%","5) 25%+"))))</f>
        <v>1) Under 5%</v>
      </c>
      <c r="N1775" s="0" t="str">
        <f aca="false">IF(F1775&lt;50,"1) Under Rs 50",IF(F1775&lt;100,"2) Rs 50-99",IF(F1775&lt;200,"3) Rs 100-199",IF(F1775&lt;500,"4) Rs 200-499","5) Rs 500+"))))</f>
        <v>3) Rs 100-199</v>
      </c>
      <c r="O1775" s="0" t="n">
        <f aca="false">G1775*E1775/1000</f>
        <v>2.16</v>
      </c>
    </row>
    <row r="1776" customFormat="false" ht="15" hidden="false" customHeight="false" outlineLevel="0" collapsed="false">
      <c r="A1776" s="0" t="s">
        <v>113</v>
      </c>
      <c r="B1776" s="0" t="s">
        <v>814</v>
      </c>
      <c r="C1776" s="0" t="n">
        <v>117</v>
      </c>
      <c r="D1776" s="0" t="n">
        <v>5</v>
      </c>
      <c r="E1776" s="0" t="n">
        <v>6</v>
      </c>
      <c r="F1776" s="0" t="n">
        <v>111</v>
      </c>
      <c r="G1776" s="0" t="n">
        <v>400</v>
      </c>
      <c r="H1776" s="0" t="s">
        <v>145</v>
      </c>
      <c r="I1776" s="0" t="n">
        <v>400</v>
      </c>
      <c r="J1776" s="0" t="n">
        <f aca="false">F1776*E1776</f>
        <v>666</v>
      </c>
      <c r="K1776" s="0" t="str">
        <f aca="false">IF(G1776&lt;1000,"1-Low",IF(G1776&lt;5000,"2-Medium","3-Bulk"))</f>
        <v>1-Low</v>
      </c>
      <c r="L1776" s="0" t="str">
        <f aca="false">IF(H1776="TRUE","Out of stock","In stock")</f>
        <v>In stock</v>
      </c>
      <c r="M1776" s="0" t="str">
        <f aca="false">IF(D1776&lt;5,"1) Under 5%",IF(D1776&lt;10,"2) 5-9%",IF(D1776&lt;15,"3) 10-14%",IF(D1776&lt;25,"4) 15-24%","5) 25%+"))))</f>
        <v>2) 5-9%</v>
      </c>
      <c r="N1776" s="0" t="str">
        <f aca="false">IF(F1776&lt;50,"1) Under Rs 50",IF(F1776&lt;100,"2) Rs 50-99",IF(F1776&lt;200,"3) Rs 100-199",IF(F1776&lt;500,"4) Rs 200-499","5) Rs 500+"))))</f>
        <v>3) Rs 100-199</v>
      </c>
      <c r="O1776" s="0" t="n">
        <f aca="false">G1776*E1776/1000</f>
        <v>2.4</v>
      </c>
    </row>
    <row r="1777" customFormat="false" ht="15" hidden="false" customHeight="false" outlineLevel="0" collapsed="false">
      <c r="A1777" s="0" t="s">
        <v>113</v>
      </c>
      <c r="B1777" s="0" t="s">
        <v>728</v>
      </c>
      <c r="C1777" s="0" t="n">
        <v>18</v>
      </c>
      <c r="D1777" s="0" t="n">
        <v>5</v>
      </c>
      <c r="E1777" s="0" t="n">
        <v>6</v>
      </c>
      <c r="F1777" s="0" t="n">
        <v>17</v>
      </c>
      <c r="G1777" s="0" t="n">
        <v>100</v>
      </c>
      <c r="H1777" s="0" t="s">
        <v>145</v>
      </c>
      <c r="I1777" s="0" t="n">
        <v>100</v>
      </c>
      <c r="J1777" s="0" t="n">
        <f aca="false">F1777*E1777</f>
        <v>102</v>
      </c>
      <c r="K1777" s="0" t="str">
        <f aca="false">IF(G1777&lt;1000,"1-Low",IF(G1777&lt;5000,"2-Medium","3-Bulk"))</f>
        <v>1-Low</v>
      </c>
      <c r="L1777" s="0" t="str">
        <f aca="false">IF(H1777="TRUE","Out of stock","In stock")</f>
        <v>In stock</v>
      </c>
      <c r="M1777" s="0" t="str">
        <f aca="false">IF(D1777&lt;5,"1) Under 5%",IF(D1777&lt;10,"2) 5-9%",IF(D1777&lt;15,"3) 10-14%",IF(D1777&lt;25,"4) 15-24%","5) 25%+"))))</f>
        <v>2) 5-9%</v>
      </c>
      <c r="N1777" s="0" t="str">
        <f aca="false">IF(F1777&lt;50,"1) Under Rs 50",IF(F1777&lt;100,"2) Rs 50-99",IF(F1777&lt;200,"3) Rs 100-199",IF(F1777&lt;500,"4) Rs 200-499","5) Rs 500+"))))</f>
        <v>1) Under Rs 50</v>
      </c>
      <c r="O1777" s="0" t="n">
        <f aca="false">G1777*E1777/1000</f>
        <v>0.6</v>
      </c>
    </row>
    <row r="1778" customFormat="false" ht="15" hidden="false" customHeight="false" outlineLevel="0" collapsed="false">
      <c r="A1778" s="0" t="s">
        <v>113</v>
      </c>
      <c r="B1778" s="0" t="s">
        <v>815</v>
      </c>
      <c r="C1778" s="0" t="n">
        <v>35</v>
      </c>
      <c r="D1778" s="0" t="n">
        <v>2</v>
      </c>
      <c r="E1778" s="0" t="n">
        <v>2</v>
      </c>
      <c r="F1778" s="0" t="n">
        <v>34</v>
      </c>
      <c r="G1778" s="0" t="n">
        <v>85</v>
      </c>
      <c r="H1778" s="0" t="s">
        <v>145</v>
      </c>
      <c r="I1778" s="0" t="n">
        <v>85</v>
      </c>
      <c r="J1778" s="0" t="n">
        <f aca="false">F1778*E1778</f>
        <v>68</v>
      </c>
      <c r="K1778" s="0" t="str">
        <f aca="false">IF(G1778&lt;1000,"1-Low",IF(G1778&lt;5000,"2-Medium","3-Bulk"))</f>
        <v>1-Low</v>
      </c>
      <c r="L1778" s="0" t="str">
        <f aca="false">IF(H1778="TRUE","Out of stock","In stock")</f>
        <v>In stock</v>
      </c>
      <c r="M1778" s="0" t="str">
        <f aca="false">IF(D1778&lt;5,"1) Under 5%",IF(D1778&lt;10,"2) 5-9%",IF(D1778&lt;15,"3) 10-14%",IF(D1778&lt;25,"4) 15-24%","5) 25%+"))))</f>
        <v>1) Under 5%</v>
      </c>
      <c r="N1778" s="0" t="str">
        <f aca="false">IF(F1778&lt;50,"1) Under Rs 50",IF(F1778&lt;100,"2) Rs 50-99",IF(F1778&lt;200,"3) Rs 100-199",IF(F1778&lt;500,"4) Rs 200-499","5) Rs 500+"))))</f>
        <v>1) Under Rs 50</v>
      </c>
      <c r="O1778" s="0" t="n">
        <f aca="false">G1778*E1778/1000</f>
        <v>0.17</v>
      </c>
    </row>
    <row r="1779" customFormat="false" ht="15" hidden="false" customHeight="false" outlineLevel="0" collapsed="false">
      <c r="A1779" s="0" t="s">
        <v>113</v>
      </c>
      <c r="B1779" s="0" t="s">
        <v>816</v>
      </c>
      <c r="C1779" s="0" t="n">
        <v>125</v>
      </c>
      <c r="D1779" s="0" t="n">
        <v>5</v>
      </c>
      <c r="E1779" s="0" t="n">
        <v>1</v>
      </c>
      <c r="F1779" s="0" t="n">
        <v>118</v>
      </c>
      <c r="G1779" s="0" t="n">
        <v>420</v>
      </c>
      <c r="H1779" s="0" t="s">
        <v>145</v>
      </c>
      <c r="I1779" s="0" t="n">
        <v>420</v>
      </c>
      <c r="J1779" s="0" t="n">
        <f aca="false">F1779*E1779</f>
        <v>118</v>
      </c>
      <c r="K1779" s="0" t="str">
        <f aca="false">IF(G1779&lt;1000,"1-Low",IF(G1779&lt;5000,"2-Medium","3-Bulk"))</f>
        <v>1-Low</v>
      </c>
      <c r="L1779" s="0" t="str">
        <f aca="false">IF(H1779="TRUE","Out of stock","In stock")</f>
        <v>In stock</v>
      </c>
      <c r="M1779" s="0" t="str">
        <f aca="false">IF(D1779&lt;5,"1) Under 5%",IF(D1779&lt;10,"2) 5-9%",IF(D1779&lt;15,"3) 10-14%",IF(D1779&lt;25,"4) 15-24%","5) 25%+"))))</f>
        <v>2) 5-9%</v>
      </c>
      <c r="N1779" s="0" t="str">
        <f aca="false">IF(F1779&lt;50,"1) Under Rs 50",IF(F1779&lt;100,"2) Rs 50-99",IF(F1779&lt;200,"3) Rs 100-199",IF(F1779&lt;500,"4) Rs 200-499","5) Rs 500+"))))</f>
        <v>3) Rs 100-199</v>
      </c>
      <c r="O1779" s="0" t="n">
        <f aca="false">G1779*E1779/1000</f>
        <v>0.42</v>
      </c>
    </row>
    <row r="1780" customFormat="false" ht="15" hidden="false" customHeight="false" outlineLevel="0" collapsed="false">
      <c r="A1780" s="0" t="s">
        <v>113</v>
      </c>
      <c r="B1780" s="0" t="s">
        <v>259</v>
      </c>
      <c r="C1780" s="0" t="n">
        <v>15</v>
      </c>
      <c r="D1780" s="0" t="n">
        <v>0</v>
      </c>
      <c r="E1780" s="0" t="n">
        <v>3</v>
      </c>
      <c r="F1780" s="0" t="n">
        <v>15</v>
      </c>
      <c r="G1780" s="0" t="n">
        <v>60</v>
      </c>
      <c r="H1780" s="0" t="s">
        <v>145</v>
      </c>
      <c r="I1780" s="0" t="n">
        <v>60</v>
      </c>
      <c r="J1780" s="0" t="n">
        <f aca="false">F1780*E1780</f>
        <v>45</v>
      </c>
      <c r="K1780" s="0" t="str">
        <f aca="false">IF(G1780&lt;1000,"1-Low",IF(G1780&lt;5000,"2-Medium","3-Bulk"))</f>
        <v>1-Low</v>
      </c>
      <c r="L1780" s="0" t="str">
        <f aca="false">IF(H1780="TRUE","Out of stock","In stock")</f>
        <v>In stock</v>
      </c>
      <c r="M1780" s="0" t="str">
        <f aca="false">IF(D1780&lt;5,"1) Under 5%",IF(D1780&lt;10,"2) 5-9%",IF(D1780&lt;15,"3) 10-14%",IF(D1780&lt;25,"4) 15-24%","5) 25%+"))))</f>
        <v>1) Under 5%</v>
      </c>
      <c r="N1780" s="0" t="str">
        <f aca="false">IF(F1780&lt;50,"1) Under Rs 50",IF(F1780&lt;100,"2) Rs 50-99",IF(F1780&lt;200,"3) Rs 100-199",IF(F1780&lt;500,"4) Rs 200-499","5) Rs 500+"))))</f>
        <v>1) Under Rs 50</v>
      </c>
      <c r="O1780" s="0" t="n">
        <f aca="false">G1780*E1780/1000</f>
        <v>0.18</v>
      </c>
    </row>
    <row r="1781" customFormat="false" ht="15" hidden="false" customHeight="false" outlineLevel="0" collapsed="false">
      <c r="A1781" s="0" t="s">
        <v>113</v>
      </c>
      <c r="B1781" s="0" t="s">
        <v>817</v>
      </c>
      <c r="C1781" s="0" t="n">
        <v>79</v>
      </c>
      <c r="D1781" s="0" t="n">
        <v>11</v>
      </c>
      <c r="E1781" s="0" t="n">
        <v>5</v>
      </c>
      <c r="F1781" s="0" t="n">
        <v>70</v>
      </c>
      <c r="G1781" s="0" t="n">
        <v>250</v>
      </c>
      <c r="H1781" s="0" t="s">
        <v>145</v>
      </c>
      <c r="I1781" s="0" t="n">
        <v>250</v>
      </c>
      <c r="J1781" s="0" t="n">
        <f aca="false">F1781*E1781</f>
        <v>350</v>
      </c>
      <c r="K1781" s="0" t="str">
        <f aca="false">IF(G1781&lt;1000,"1-Low",IF(G1781&lt;5000,"2-Medium","3-Bulk"))</f>
        <v>1-Low</v>
      </c>
      <c r="L1781" s="0" t="str">
        <f aca="false">IF(H1781="TRUE","Out of stock","In stock")</f>
        <v>In stock</v>
      </c>
      <c r="M1781" s="0" t="str">
        <f aca="false">IF(D1781&lt;5,"1) Under 5%",IF(D1781&lt;10,"2) 5-9%",IF(D1781&lt;15,"3) 10-14%",IF(D1781&lt;25,"4) 15-24%","5) 25%+"))))</f>
        <v>3) 10-14%</v>
      </c>
      <c r="N1781" s="0" t="str">
        <f aca="false">IF(F1781&lt;50,"1) Under Rs 50",IF(F1781&lt;100,"2) Rs 50-99",IF(F1781&lt;200,"3) Rs 100-199",IF(F1781&lt;500,"4) Rs 200-499","5) Rs 500+"))))</f>
        <v>2) Rs 50-99</v>
      </c>
      <c r="O1781" s="0" t="n">
        <f aca="false">G1781*E1781/1000</f>
        <v>1.25</v>
      </c>
    </row>
    <row r="1782" customFormat="false" ht="15" hidden="false" customHeight="false" outlineLevel="0" collapsed="false">
      <c r="A1782" s="0" t="s">
        <v>113</v>
      </c>
      <c r="B1782" s="0" t="s">
        <v>261</v>
      </c>
      <c r="C1782" s="0" t="n">
        <v>15</v>
      </c>
      <c r="D1782" s="0" t="n">
        <v>0</v>
      </c>
      <c r="E1782" s="0" t="n">
        <v>6</v>
      </c>
      <c r="F1782" s="0" t="n">
        <v>15</v>
      </c>
      <c r="G1782" s="0" t="n">
        <v>60</v>
      </c>
      <c r="H1782" s="0" t="s">
        <v>145</v>
      </c>
      <c r="I1782" s="0" t="n">
        <v>60</v>
      </c>
      <c r="J1782" s="0" t="n">
        <f aca="false">F1782*E1782</f>
        <v>90</v>
      </c>
      <c r="K1782" s="0" t="str">
        <f aca="false">IF(G1782&lt;1000,"1-Low",IF(G1782&lt;5000,"2-Medium","3-Bulk"))</f>
        <v>1-Low</v>
      </c>
      <c r="L1782" s="0" t="str">
        <f aca="false">IF(H1782="TRUE","Out of stock","In stock")</f>
        <v>In stock</v>
      </c>
      <c r="M1782" s="0" t="str">
        <f aca="false">IF(D1782&lt;5,"1) Under 5%",IF(D1782&lt;10,"2) 5-9%",IF(D1782&lt;15,"3) 10-14%",IF(D1782&lt;25,"4) 15-24%","5) 25%+"))))</f>
        <v>1) Under 5%</v>
      </c>
      <c r="N1782" s="0" t="str">
        <f aca="false">IF(F1782&lt;50,"1) Under Rs 50",IF(F1782&lt;100,"2) Rs 50-99",IF(F1782&lt;200,"3) Rs 100-199",IF(F1782&lt;500,"4) Rs 200-499","5) Rs 500+"))))</f>
        <v>1) Under Rs 50</v>
      </c>
      <c r="O1782" s="0" t="n">
        <f aca="false">G1782*E1782/1000</f>
        <v>0.36</v>
      </c>
    </row>
    <row r="1783" customFormat="false" ht="15" hidden="false" customHeight="false" outlineLevel="0" collapsed="false">
      <c r="A1783" s="0" t="s">
        <v>113</v>
      </c>
      <c r="B1783" s="0" t="s">
        <v>818</v>
      </c>
      <c r="C1783" s="0" t="n">
        <v>75</v>
      </c>
      <c r="D1783" s="0" t="n">
        <v>13</v>
      </c>
      <c r="E1783" s="0" t="n">
        <v>5</v>
      </c>
      <c r="F1783" s="0" t="n">
        <v>65</v>
      </c>
      <c r="G1783" s="0" t="n">
        <v>280</v>
      </c>
      <c r="H1783" s="0" t="s">
        <v>145</v>
      </c>
      <c r="I1783" s="0" t="n">
        <v>280</v>
      </c>
      <c r="J1783" s="0" t="n">
        <f aca="false">F1783*E1783</f>
        <v>325</v>
      </c>
      <c r="K1783" s="0" t="str">
        <f aca="false">IF(G1783&lt;1000,"1-Low",IF(G1783&lt;5000,"2-Medium","3-Bulk"))</f>
        <v>1-Low</v>
      </c>
      <c r="L1783" s="0" t="str">
        <f aca="false">IF(H1783="TRUE","Out of stock","In stock")</f>
        <v>In stock</v>
      </c>
      <c r="M1783" s="0" t="str">
        <f aca="false">IF(D1783&lt;5,"1) Under 5%",IF(D1783&lt;10,"2) 5-9%",IF(D1783&lt;15,"3) 10-14%",IF(D1783&lt;25,"4) 15-24%","5) 25%+"))))</f>
        <v>3) 10-14%</v>
      </c>
      <c r="N1783" s="0" t="str">
        <f aca="false">IF(F1783&lt;50,"1) Under Rs 50",IF(F1783&lt;100,"2) Rs 50-99",IF(F1783&lt;200,"3) Rs 100-199",IF(F1783&lt;500,"4) Rs 200-499","5) Rs 500+"))))</f>
        <v>2) Rs 50-99</v>
      </c>
      <c r="O1783" s="0" t="n">
        <f aca="false">G1783*E1783/1000</f>
        <v>1.4</v>
      </c>
    </row>
    <row r="1784" customFormat="false" ht="15" hidden="false" customHeight="false" outlineLevel="0" collapsed="false">
      <c r="A1784" s="0" t="s">
        <v>113</v>
      </c>
      <c r="B1784" s="0" t="s">
        <v>267</v>
      </c>
      <c r="C1784" s="0" t="n">
        <v>20</v>
      </c>
      <c r="D1784" s="0" t="n">
        <v>0</v>
      </c>
      <c r="E1784" s="0" t="n">
        <v>1</v>
      </c>
      <c r="F1784" s="0" t="n">
        <v>20</v>
      </c>
      <c r="G1784" s="0" t="n">
        <v>70</v>
      </c>
      <c r="H1784" s="0" t="s">
        <v>145</v>
      </c>
      <c r="I1784" s="0" t="n">
        <v>70</v>
      </c>
      <c r="J1784" s="0" t="n">
        <f aca="false">F1784*E1784</f>
        <v>20</v>
      </c>
      <c r="K1784" s="0" t="str">
        <f aca="false">IF(G1784&lt;1000,"1-Low",IF(G1784&lt;5000,"2-Medium","3-Bulk"))</f>
        <v>1-Low</v>
      </c>
      <c r="L1784" s="0" t="str">
        <f aca="false">IF(H1784="TRUE","Out of stock","In stock")</f>
        <v>In stock</v>
      </c>
      <c r="M1784" s="0" t="str">
        <f aca="false">IF(D1784&lt;5,"1) Under 5%",IF(D1784&lt;10,"2) 5-9%",IF(D1784&lt;15,"3) 10-14%",IF(D1784&lt;25,"4) 15-24%","5) 25%+"))))</f>
        <v>1) Under 5%</v>
      </c>
      <c r="N1784" s="0" t="str">
        <f aca="false">IF(F1784&lt;50,"1) Under Rs 50",IF(F1784&lt;100,"2) Rs 50-99",IF(F1784&lt;200,"3) Rs 100-199",IF(F1784&lt;500,"4) Rs 200-499","5) Rs 500+"))))</f>
        <v>1) Under Rs 50</v>
      </c>
      <c r="O1784" s="0" t="n">
        <f aca="false">G1784*E1784/1000</f>
        <v>0.07</v>
      </c>
    </row>
    <row r="1785" customFormat="false" ht="15" hidden="false" customHeight="false" outlineLevel="0" collapsed="false">
      <c r="A1785" s="0" t="s">
        <v>113</v>
      </c>
      <c r="B1785" s="0" t="s">
        <v>270</v>
      </c>
      <c r="C1785" s="0" t="n">
        <v>15</v>
      </c>
      <c r="D1785" s="0" t="n">
        <v>0</v>
      </c>
      <c r="E1785" s="0" t="n">
        <v>6</v>
      </c>
      <c r="F1785" s="0" t="n">
        <v>15</v>
      </c>
      <c r="G1785" s="0" t="n">
        <v>38</v>
      </c>
      <c r="H1785" s="0" t="s">
        <v>145</v>
      </c>
      <c r="I1785" s="0" t="n">
        <v>38</v>
      </c>
      <c r="J1785" s="0" t="n">
        <f aca="false">F1785*E1785</f>
        <v>90</v>
      </c>
      <c r="K1785" s="0" t="str">
        <f aca="false">IF(G1785&lt;1000,"1-Low",IF(G1785&lt;5000,"2-Medium","3-Bulk"))</f>
        <v>1-Low</v>
      </c>
      <c r="L1785" s="0" t="str">
        <f aca="false">IF(H1785="TRUE","Out of stock","In stock")</f>
        <v>In stock</v>
      </c>
      <c r="M1785" s="0" t="str">
        <f aca="false">IF(D1785&lt;5,"1) Under 5%",IF(D1785&lt;10,"2) 5-9%",IF(D1785&lt;15,"3) 10-14%",IF(D1785&lt;25,"4) 15-24%","5) 25%+"))))</f>
        <v>1) Under 5%</v>
      </c>
      <c r="N1785" s="0" t="str">
        <f aca="false">IF(F1785&lt;50,"1) Under Rs 50",IF(F1785&lt;100,"2) Rs 50-99",IF(F1785&lt;200,"3) Rs 100-199",IF(F1785&lt;500,"4) Rs 200-499","5) Rs 500+"))))</f>
        <v>1) Under Rs 50</v>
      </c>
      <c r="O1785" s="0" t="n">
        <f aca="false">G1785*E1785/1000</f>
        <v>0.228</v>
      </c>
    </row>
    <row r="1786" customFormat="false" ht="15" hidden="false" customHeight="false" outlineLevel="0" collapsed="false">
      <c r="A1786" s="0" t="s">
        <v>113</v>
      </c>
      <c r="B1786" s="0" t="s">
        <v>819</v>
      </c>
      <c r="C1786" s="0" t="n">
        <v>40</v>
      </c>
      <c r="D1786" s="0" t="n">
        <v>17</v>
      </c>
      <c r="E1786" s="0" t="n">
        <v>4</v>
      </c>
      <c r="F1786" s="0" t="n">
        <v>33</v>
      </c>
      <c r="G1786" s="0" t="n">
        <v>30</v>
      </c>
      <c r="H1786" s="0" t="s">
        <v>145</v>
      </c>
      <c r="I1786" s="0" t="n">
        <v>30</v>
      </c>
      <c r="J1786" s="0" t="n">
        <f aca="false">F1786*E1786</f>
        <v>132</v>
      </c>
      <c r="K1786" s="0" t="str">
        <f aca="false">IF(G1786&lt;1000,"1-Low",IF(G1786&lt;5000,"2-Medium","3-Bulk"))</f>
        <v>1-Low</v>
      </c>
      <c r="L1786" s="0" t="str">
        <f aca="false">IF(H1786="TRUE","Out of stock","In stock")</f>
        <v>In stock</v>
      </c>
      <c r="M1786" s="0" t="str">
        <f aca="false">IF(D1786&lt;5,"1) Under 5%",IF(D1786&lt;10,"2) 5-9%",IF(D1786&lt;15,"3) 10-14%",IF(D1786&lt;25,"4) 15-24%","5) 25%+"))))</f>
        <v>4) 15-24%</v>
      </c>
      <c r="N1786" s="0" t="str">
        <f aca="false">IF(F1786&lt;50,"1) Under Rs 50",IF(F1786&lt;100,"2) Rs 50-99",IF(F1786&lt;200,"3) Rs 100-199",IF(F1786&lt;500,"4) Rs 200-499","5) Rs 500+"))))</f>
        <v>1) Under Rs 50</v>
      </c>
      <c r="O1786" s="0" t="n">
        <f aca="false">G1786*E1786/1000</f>
        <v>0.12</v>
      </c>
    </row>
    <row r="1787" customFormat="false" ht="15" hidden="false" customHeight="false" outlineLevel="0" collapsed="false">
      <c r="A1787" s="0" t="s">
        <v>113</v>
      </c>
      <c r="B1787" s="0" t="s">
        <v>272</v>
      </c>
      <c r="C1787" s="0" t="n">
        <v>79</v>
      </c>
      <c r="D1787" s="0" t="n">
        <v>0</v>
      </c>
      <c r="E1787" s="0" t="n">
        <v>2</v>
      </c>
      <c r="F1787" s="0" t="n">
        <v>79</v>
      </c>
      <c r="G1787" s="0" t="n">
        <v>400</v>
      </c>
      <c r="H1787" s="0" t="s">
        <v>145</v>
      </c>
      <c r="I1787" s="0" t="n">
        <v>400</v>
      </c>
      <c r="J1787" s="0" t="n">
        <f aca="false">F1787*E1787</f>
        <v>158</v>
      </c>
      <c r="K1787" s="0" t="str">
        <f aca="false">IF(G1787&lt;1000,"1-Low",IF(G1787&lt;5000,"2-Medium","3-Bulk"))</f>
        <v>1-Low</v>
      </c>
      <c r="L1787" s="0" t="str">
        <f aca="false">IF(H1787="TRUE","Out of stock","In stock")</f>
        <v>In stock</v>
      </c>
      <c r="M1787" s="0" t="str">
        <f aca="false">IF(D1787&lt;5,"1) Under 5%",IF(D1787&lt;10,"2) 5-9%",IF(D1787&lt;15,"3) 10-14%",IF(D1787&lt;25,"4) 15-24%","5) 25%+"))))</f>
        <v>1) Under 5%</v>
      </c>
      <c r="N1787" s="0" t="str">
        <f aca="false">IF(F1787&lt;50,"1) Under Rs 50",IF(F1787&lt;100,"2) Rs 50-99",IF(F1787&lt;200,"3) Rs 100-199",IF(F1787&lt;500,"4) Rs 200-499","5) Rs 500+"))))</f>
        <v>2) Rs 50-99</v>
      </c>
      <c r="O1787" s="0" t="n">
        <f aca="false">G1787*E1787/1000</f>
        <v>0.8</v>
      </c>
    </row>
    <row r="1788" customFormat="false" ht="15" hidden="false" customHeight="false" outlineLevel="0" collapsed="false">
      <c r="A1788" s="0" t="s">
        <v>113</v>
      </c>
      <c r="B1788" s="0" t="s">
        <v>728</v>
      </c>
      <c r="C1788" s="0" t="n">
        <v>88</v>
      </c>
      <c r="D1788" s="0" t="n">
        <v>2</v>
      </c>
      <c r="E1788" s="0" t="n">
        <v>2</v>
      </c>
      <c r="F1788" s="0" t="n">
        <v>86</v>
      </c>
      <c r="G1788" s="0" t="n">
        <v>500</v>
      </c>
      <c r="H1788" s="0" t="s">
        <v>145</v>
      </c>
      <c r="I1788" s="0" t="n">
        <v>500</v>
      </c>
      <c r="J1788" s="0" t="n">
        <f aca="false">F1788*E1788</f>
        <v>172</v>
      </c>
      <c r="K1788" s="0" t="str">
        <f aca="false">IF(G1788&lt;1000,"1-Low",IF(G1788&lt;5000,"2-Medium","3-Bulk"))</f>
        <v>1-Low</v>
      </c>
      <c r="L1788" s="0" t="str">
        <f aca="false">IF(H1788="TRUE","Out of stock","In stock")</f>
        <v>In stock</v>
      </c>
      <c r="M1788" s="0" t="str">
        <f aca="false">IF(D1788&lt;5,"1) Under 5%",IF(D1788&lt;10,"2) 5-9%",IF(D1788&lt;15,"3) 10-14%",IF(D1788&lt;25,"4) 15-24%","5) 25%+"))))</f>
        <v>1) Under 5%</v>
      </c>
      <c r="N1788" s="0" t="str">
        <f aca="false">IF(F1788&lt;50,"1) Under Rs 50",IF(F1788&lt;100,"2) Rs 50-99",IF(F1788&lt;200,"3) Rs 100-199",IF(F1788&lt;500,"4) Rs 200-499","5) Rs 500+"))))</f>
        <v>2) Rs 50-99</v>
      </c>
      <c r="O1788" s="0" t="n">
        <f aca="false">G1788*E1788/1000</f>
        <v>1</v>
      </c>
    </row>
    <row r="1789" customFormat="false" ht="15" hidden="false" customHeight="false" outlineLevel="0" collapsed="false">
      <c r="A1789" s="0" t="s">
        <v>113</v>
      </c>
      <c r="B1789" s="0" t="s">
        <v>820</v>
      </c>
      <c r="C1789" s="0" t="n">
        <v>120</v>
      </c>
      <c r="D1789" s="0" t="n">
        <v>5</v>
      </c>
      <c r="E1789" s="0" t="n">
        <v>1</v>
      </c>
      <c r="F1789" s="0" t="n">
        <v>114</v>
      </c>
      <c r="G1789" s="0" t="n">
        <v>420</v>
      </c>
      <c r="H1789" s="0" t="s">
        <v>145</v>
      </c>
      <c r="I1789" s="0" t="n">
        <v>420</v>
      </c>
      <c r="J1789" s="0" t="n">
        <f aca="false">F1789*E1789</f>
        <v>114</v>
      </c>
      <c r="K1789" s="0" t="str">
        <f aca="false">IF(G1789&lt;1000,"1-Low",IF(G1789&lt;5000,"2-Medium","3-Bulk"))</f>
        <v>1-Low</v>
      </c>
      <c r="L1789" s="0" t="str">
        <f aca="false">IF(H1789="TRUE","Out of stock","In stock")</f>
        <v>In stock</v>
      </c>
      <c r="M1789" s="0" t="str">
        <f aca="false">IF(D1789&lt;5,"1) Under 5%",IF(D1789&lt;10,"2) 5-9%",IF(D1789&lt;15,"3) 10-14%",IF(D1789&lt;25,"4) 15-24%","5) 25%+"))))</f>
        <v>2) 5-9%</v>
      </c>
      <c r="N1789" s="0" t="str">
        <f aca="false">IF(F1789&lt;50,"1) Under Rs 50",IF(F1789&lt;100,"2) Rs 50-99",IF(F1789&lt;200,"3) Rs 100-199",IF(F1789&lt;500,"4) Rs 200-499","5) Rs 500+"))))</f>
        <v>3) Rs 100-199</v>
      </c>
      <c r="O1789" s="0" t="n">
        <f aca="false">G1789*E1789/1000</f>
        <v>0.42</v>
      </c>
    </row>
    <row r="1790" customFormat="false" ht="15" hidden="false" customHeight="false" outlineLevel="0" collapsed="false">
      <c r="A1790" s="0" t="s">
        <v>113</v>
      </c>
      <c r="B1790" s="0" t="s">
        <v>821</v>
      </c>
      <c r="C1790" s="0" t="n">
        <v>10</v>
      </c>
      <c r="D1790" s="0" t="n">
        <v>0</v>
      </c>
      <c r="E1790" s="0" t="n">
        <v>1</v>
      </c>
      <c r="F1790" s="0" t="n">
        <v>10</v>
      </c>
      <c r="G1790" s="0" t="n">
        <v>15</v>
      </c>
      <c r="H1790" s="0" t="s">
        <v>145</v>
      </c>
      <c r="I1790" s="0" t="n">
        <v>15</v>
      </c>
      <c r="J1790" s="0" t="n">
        <f aca="false">F1790*E1790</f>
        <v>10</v>
      </c>
      <c r="K1790" s="0" t="str">
        <f aca="false">IF(G1790&lt;1000,"1-Low",IF(G1790&lt;5000,"2-Medium","3-Bulk"))</f>
        <v>1-Low</v>
      </c>
      <c r="L1790" s="0" t="str">
        <f aca="false">IF(H1790="TRUE","Out of stock","In stock")</f>
        <v>In stock</v>
      </c>
      <c r="M1790" s="0" t="str">
        <f aca="false">IF(D1790&lt;5,"1) Under 5%",IF(D1790&lt;10,"2) 5-9%",IF(D1790&lt;15,"3) 10-14%",IF(D1790&lt;25,"4) 15-24%","5) 25%+"))))</f>
        <v>1) Under 5%</v>
      </c>
      <c r="N1790" s="0" t="str">
        <f aca="false">IF(F1790&lt;50,"1) Under Rs 50",IF(F1790&lt;100,"2) Rs 50-99",IF(F1790&lt;200,"3) Rs 100-199",IF(F1790&lt;500,"4) Rs 200-499","5) Rs 500+"))))</f>
        <v>1) Under Rs 50</v>
      </c>
      <c r="O1790" s="0" t="n">
        <f aca="false">G1790*E1790/1000</f>
        <v>0.015</v>
      </c>
    </row>
    <row r="1791" customFormat="false" ht="15" hidden="false" customHeight="false" outlineLevel="0" collapsed="false">
      <c r="A1791" s="0" t="s">
        <v>113</v>
      </c>
      <c r="B1791" s="0" t="s">
        <v>822</v>
      </c>
      <c r="C1791" s="0" t="n">
        <v>130</v>
      </c>
      <c r="D1791" s="0" t="n">
        <v>4</v>
      </c>
      <c r="E1791" s="0" t="n">
        <v>6</v>
      </c>
      <c r="F1791" s="0" t="n">
        <v>124</v>
      </c>
      <c r="G1791" s="0" t="n">
        <v>250</v>
      </c>
      <c r="H1791" s="0" t="s">
        <v>145</v>
      </c>
      <c r="I1791" s="0" t="n">
        <v>250</v>
      </c>
      <c r="J1791" s="0" t="n">
        <f aca="false">F1791*E1791</f>
        <v>744</v>
      </c>
      <c r="K1791" s="0" t="str">
        <f aca="false">IF(G1791&lt;1000,"1-Low",IF(G1791&lt;5000,"2-Medium","3-Bulk"))</f>
        <v>1-Low</v>
      </c>
      <c r="L1791" s="0" t="str">
        <f aca="false">IF(H1791="TRUE","Out of stock","In stock")</f>
        <v>In stock</v>
      </c>
      <c r="M1791" s="0" t="str">
        <f aca="false">IF(D1791&lt;5,"1) Under 5%",IF(D1791&lt;10,"2) 5-9%",IF(D1791&lt;15,"3) 10-14%",IF(D1791&lt;25,"4) 15-24%","5) 25%+"))))</f>
        <v>1) Under 5%</v>
      </c>
      <c r="N1791" s="0" t="str">
        <f aca="false">IF(F1791&lt;50,"1) Under Rs 50",IF(F1791&lt;100,"2) Rs 50-99",IF(F1791&lt;200,"3) Rs 100-199",IF(F1791&lt;500,"4) Rs 200-499","5) Rs 500+"))))</f>
        <v>3) Rs 100-199</v>
      </c>
      <c r="O1791" s="0" t="n">
        <f aca="false">G1791*E1791/1000</f>
        <v>1.5</v>
      </c>
    </row>
    <row r="1792" customFormat="false" ht="15" hidden="false" customHeight="false" outlineLevel="0" collapsed="false">
      <c r="A1792" s="0" t="s">
        <v>113</v>
      </c>
      <c r="B1792" s="0" t="s">
        <v>823</v>
      </c>
      <c r="C1792" s="0" t="n">
        <v>120</v>
      </c>
      <c r="D1792" s="0" t="n">
        <v>5</v>
      </c>
      <c r="E1792" s="0" t="n">
        <v>3</v>
      </c>
      <c r="F1792" s="0" t="n">
        <v>114</v>
      </c>
      <c r="G1792" s="0" t="n">
        <v>375</v>
      </c>
      <c r="H1792" s="0" t="s">
        <v>145</v>
      </c>
      <c r="I1792" s="0" t="n">
        <v>375</v>
      </c>
      <c r="J1792" s="0" t="n">
        <f aca="false">F1792*E1792</f>
        <v>342</v>
      </c>
      <c r="K1792" s="0" t="str">
        <f aca="false">IF(G1792&lt;1000,"1-Low",IF(G1792&lt;5000,"2-Medium","3-Bulk"))</f>
        <v>1-Low</v>
      </c>
      <c r="L1792" s="0" t="str">
        <f aca="false">IF(H1792="TRUE","Out of stock","In stock")</f>
        <v>In stock</v>
      </c>
      <c r="M1792" s="0" t="str">
        <f aca="false">IF(D1792&lt;5,"1) Under 5%",IF(D1792&lt;10,"2) 5-9%",IF(D1792&lt;15,"3) 10-14%",IF(D1792&lt;25,"4) 15-24%","5) 25%+"))))</f>
        <v>2) 5-9%</v>
      </c>
      <c r="N1792" s="0" t="str">
        <f aca="false">IF(F1792&lt;50,"1) Under Rs 50",IF(F1792&lt;100,"2) Rs 50-99",IF(F1792&lt;200,"3) Rs 100-199",IF(F1792&lt;500,"4) Rs 200-499","5) Rs 500+"))))</f>
        <v>3) Rs 100-199</v>
      </c>
      <c r="O1792" s="0" t="n">
        <f aca="false">G1792*E1792/1000</f>
        <v>1.125</v>
      </c>
    </row>
    <row r="1793" customFormat="false" ht="15" hidden="false" customHeight="false" outlineLevel="0" collapsed="false">
      <c r="A1793" s="0" t="s">
        <v>113</v>
      </c>
      <c r="B1793" s="0" t="s">
        <v>824</v>
      </c>
      <c r="C1793" s="0" t="n">
        <v>15</v>
      </c>
      <c r="D1793" s="0" t="n">
        <v>0</v>
      </c>
      <c r="E1793" s="0" t="n">
        <v>6</v>
      </c>
      <c r="F1793" s="0" t="n">
        <v>15</v>
      </c>
      <c r="G1793" s="0" t="n">
        <v>20</v>
      </c>
      <c r="H1793" s="0" t="s">
        <v>145</v>
      </c>
      <c r="I1793" s="0" t="n">
        <v>20</v>
      </c>
      <c r="J1793" s="0" t="n">
        <f aca="false">F1793*E1793</f>
        <v>90</v>
      </c>
      <c r="K1793" s="0" t="str">
        <f aca="false">IF(G1793&lt;1000,"1-Low",IF(G1793&lt;5000,"2-Medium","3-Bulk"))</f>
        <v>1-Low</v>
      </c>
      <c r="L1793" s="0" t="str">
        <f aca="false">IF(H1793="TRUE","Out of stock","In stock")</f>
        <v>In stock</v>
      </c>
      <c r="M1793" s="0" t="str">
        <f aca="false">IF(D1793&lt;5,"1) Under 5%",IF(D1793&lt;10,"2) 5-9%",IF(D1793&lt;15,"3) 10-14%",IF(D1793&lt;25,"4) 15-24%","5) 25%+"))))</f>
        <v>1) Under 5%</v>
      </c>
      <c r="N1793" s="0" t="str">
        <f aca="false">IF(F1793&lt;50,"1) Under Rs 50",IF(F1793&lt;100,"2) Rs 50-99",IF(F1793&lt;200,"3) Rs 100-199",IF(F1793&lt;500,"4) Rs 200-499","5) Rs 500+"))))</f>
        <v>1) Under Rs 50</v>
      </c>
      <c r="O1793" s="0" t="n">
        <f aca="false">G1793*E1793/1000</f>
        <v>0.12</v>
      </c>
    </row>
    <row r="1794" customFormat="false" ht="15" hidden="false" customHeight="false" outlineLevel="0" collapsed="false">
      <c r="A1794" s="0" t="s">
        <v>113</v>
      </c>
      <c r="B1794" s="0" t="s">
        <v>279</v>
      </c>
      <c r="C1794" s="0" t="n">
        <v>120</v>
      </c>
      <c r="D1794" s="0" t="n">
        <v>1</v>
      </c>
      <c r="E1794" s="0" t="n">
        <v>3</v>
      </c>
      <c r="F1794" s="0" t="n">
        <v>118</v>
      </c>
      <c r="G1794" s="0" t="n">
        <v>240</v>
      </c>
      <c r="H1794" s="0" t="s">
        <v>145</v>
      </c>
      <c r="I1794" s="0" t="n">
        <v>240</v>
      </c>
      <c r="J1794" s="0" t="n">
        <f aca="false">F1794*E1794</f>
        <v>354</v>
      </c>
      <c r="K1794" s="0" t="str">
        <f aca="false">IF(G1794&lt;1000,"1-Low",IF(G1794&lt;5000,"2-Medium","3-Bulk"))</f>
        <v>1-Low</v>
      </c>
      <c r="L1794" s="0" t="str">
        <f aca="false">IF(H1794="TRUE","Out of stock","In stock")</f>
        <v>In stock</v>
      </c>
      <c r="M1794" s="0" t="str">
        <f aca="false">IF(D1794&lt;5,"1) Under 5%",IF(D1794&lt;10,"2) 5-9%",IF(D1794&lt;15,"3) 10-14%",IF(D1794&lt;25,"4) 15-24%","5) 25%+"))))</f>
        <v>1) Under 5%</v>
      </c>
      <c r="N1794" s="0" t="str">
        <f aca="false">IF(F1794&lt;50,"1) Under Rs 50",IF(F1794&lt;100,"2) Rs 50-99",IF(F1794&lt;200,"3) Rs 100-199",IF(F1794&lt;500,"4) Rs 200-499","5) Rs 500+"))))</f>
        <v>3) Rs 100-199</v>
      </c>
      <c r="O1794" s="0" t="n">
        <f aca="false">G1794*E1794/1000</f>
        <v>0.72</v>
      </c>
    </row>
    <row r="1795" customFormat="false" ht="15" hidden="false" customHeight="false" outlineLevel="0" collapsed="false">
      <c r="A1795" s="0" t="s">
        <v>113</v>
      </c>
      <c r="B1795" s="0" t="s">
        <v>825</v>
      </c>
      <c r="C1795" s="0" t="n">
        <v>130</v>
      </c>
      <c r="D1795" s="0" t="n">
        <v>4</v>
      </c>
      <c r="E1795" s="0" t="n">
        <v>1</v>
      </c>
      <c r="F1795" s="0" t="n">
        <v>124</v>
      </c>
      <c r="G1795" s="0" t="n">
        <v>250</v>
      </c>
      <c r="H1795" s="0" t="s">
        <v>145</v>
      </c>
      <c r="I1795" s="0" t="n">
        <v>250</v>
      </c>
      <c r="J1795" s="0" t="n">
        <f aca="false">F1795*E1795</f>
        <v>124</v>
      </c>
      <c r="K1795" s="0" t="str">
        <f aca="false">IF(G1795&lt;1000,"1-Low",IF(G1795&lt;5000,"2-Medium","3-Bulk"))</f>
        <v>1-Low</v>
      </c>
      <c r="L1795" s="0" t="str">
        <f aca="false">IF(H1795="TRUE","Out of stock","In stock")</f>
        <v>In stock</v>
      </c>
      <c r="M1795" s="0" t="str">
        <f aca="false">IF(D1795&lt;5,"1) Under 5%",IF(D1795&lt;10,"2) 5-9%",IF(D1795&lt;15,"3) 10-14%",IF(D1795&lt;25,"4) 15-24%","5) 25%+"))))</f>
        <v>1) Under 5%</v>
      </c>
      <c r="N1795" s="0" t="str">
        <f aca="false">IF(F1795&lt;50,"1) Under Rs 50",IF(F1795&lt;100,"2) Rs 50-99",IF(F1795&lt;200,"3) Rs 100-199",IF(F1795&lt;500,"4) Rs 200-499","5) Rs 500+"))))</f>
        <v>3) Rs 100-199</v>
      </c>
      <c r="O1795" s="0" t="n">
        <f aca="false">G1795*E1795/1000</f>
        <v>0.25</v>
      </c>
    </row>
    <row r="1796" customFormat="false" ht="15" hidden="false" customHeight="false" outlineLevel="0" collapsed="false">
      <c r="A1796" s="0" t="s">
        <v>113</v>
      </c>
      <c r="B1796" s="0" t="s">
        <v>826</v>
      </c>
      <c r="C1796" s="0" t="n">
        <v>430</v>
      </c>
      <c r="D1796" s="0" t="n">
        <v>10</v>
      </c>
      <c r="E1796" s="0" t="n">
        <v>6</v>
      </c>
      <c r="F1796" s="0" t="n">
        <v>387</v>
      </c>
      <c r="G1796" s="0" t="n">
        <v>1200</v>
      </c>
      <c r="H1796" s="0" t="s">
        <v>145</v>
      </c>
      <c r="I1796" s="0" t="n">
        <v>1</v>
      </c>
      <c r="J1796" s="0" t="n">
        <f aca="false">F1796*E1796</f>
        <v>2322</v>
      </c>
      <c r="K1796" s="0" t="str">
        <f aca="false">IF(G1796&lt;1000,"1-Low",IF(G1796&lt;5000,"2-Medium","3-Bulk"))</f>
        <v>2-Medium</v>
      </c>
      <c r="L1796" s="0" t="str">
        <f aca="false">IF(H1796="TRUE","Out of stock","In stock")</f>
        <v>In stock</v>
      </c>
      <c r="M1796" s="0" t="str">
        <f aca="false">IF(D1796&lt;5,"1) Under 5%",IF(D1796&lt;10,"2) 5-9%",IF(D1796&lt;15,"3) 10-14%",IF(D1796&lt;25,"4) 15-24%","5) 25%+"))))</f>
        <v>3) 10-14%</v>
      </c>
      <c r="N1796" s="0" t="str">
        <f aca="false">IF(F1796&lt;50,"1) Under Rs 50",IF(F1796&lt;100,"2) Rs 50-99",IF(F1796&lt;200,"3) Rs 100-199",IF(F1796&lt;500,"4) Rs 200-499","5) Rs 500+"))))</f>
        <v>4) Rs 200-499</v>
      </c>
      <c r="O1796" s="0" t="n">
        <f aca="false">G1796*E1796/1000</f>
        <v>7.2</v>
      </c>
    </row>
    <row r="1797" customFormat="false" ht="15" hidden="false" customHeight="false" outlineLevel="0" collapsed="false">
      <c r="A1797" s="0" t="s">
        <v>113</v>
      </c>
      <c r="B1797" s="0" t="s">
        <v>827</v>
      </c>
      <c r="C1797" s="0" t="n">
        <v>10</v>
      </c>
      <c r="D1797" s="0" t="n">
        <v>0</v>
      </c>
      <c r="E1797" s="0" t="n">
        <v>1</v>
      </c>
      <c r="F1797" s="0" t="n">
        <v>10</v>
      </c>
      <c r="G1797" s="0" t="n">
        <v>15</v>
      </c>
      <c r="H1797" s="0" t="s">
        <v>145</v>
      </c>
      <c r="I1797" s="0" t="n">
        <v>15</v>
      </c>
      <c r="J1797" s="0" t="n">
        <f aca="false">F1797*E1797</f>
        <v>10</v>
      </c>
      <c r="K1797" s="0" t="str">
        <f aca="false">IF(G1797&lt;1000,"1-Low",IF(G1797&lt;5000,"2-Medium","3-Bulk"))</f>
        <v>1-Low</v>
      </c>
      <c r="L1797" s="0" t="str">
        <f aca="false">IF(H1797="TRUE","Out of stock","In stock")</f>
        <v>In stock</v>
      </c>
      <c r="M1797" s="0" t="str">
        <f aca="false">IF(D1797&lt;5,"1) Under 5%",IF(D1797&lt;10,"2) 5-9%",IF(D1797&lt;15,"3) 10-14%",IF(D1797&lt;25,"4) 15-24%","5) 25%+"))))</f>
        <v>1) Under 5%</v>
      </c>
      <c r="N1797" s="0" t="str">
        <f aca="false">IF(F1797&lt;50,"1) Under Rs 50",IF(F1797&lt;100,"2) Rs 50-99",IF(F1797&lt;200,"3) Rs 100-199",IF(F1797&lt;500,"4) Rs 200-499","5) Rs 500+"))))</f>
        <v>1) Under Rs 50</v>
      </c>
      <c r="O1797" s="0" t="n">
        <f aca="false">G1797*E1797/1000</f>
        <v>0.015</v>
      </c>
    </row>
    <row r="1798" customFormat="false" ht="15" hidden="false" customHeight="false" outlineLevel="0" collapsed="false">
      <c r="A1798" s="0" t="s">
        <v>113</v>
      </c>
      <c r="B1798" s="0" t="s">
        <v>828</v>
      </c>
      <c r="C1798" s="0" t="n">
        <v>197</v>
      </c>
      <c r="D1798" s="0" t="n">
        <v>2</v>
      </c>
      <c r="E1798" s="0" t="n">
        <v>6</v>
      </c>
      <c r="F1798" s="0" t="n">
        <v>193</v>
      </c>
      <c r="G1798" s="0" t="n">
        <v>500</v>
      </c>
      <c r="H1798" s="0" t="s">
        <v>145</v>
      </c>
      <c r="I1798" s="0" t="n">
        <v>500</v>
      </c>
      <c r="J1798" s="0" t="n">
        <f aca="false">F1798*E1798</f>
        <v>1158</v>
      </c>
      <c r="K1798" s="0" t="str">
        <f aca="false">IF(G1798&lt;1000,"1-Low",IF(G1798&lt;5000,"2-Medium","3-Bulk"))</f>
        <v>1-Low</v>
      </c>
      <c r="L1798" s="0" t="str">
        <f aca="false">IF(H1798="TRUE","Out of stock","In stock")</f>
        <v>In stock</v>
      </c>
      <c r="M1798" s="0" t="str">
        <f aca="false">IF(D1798&lt;5,"1) Under 5%",IF(D1798&lt;10,"2) 5-9%",IF(D1798&lt;15,"3) 10-14%",IF(D1798&lt;25,"4) 15-24%","5) 25%+"))))</f>
        <v>1) Under 5%</v>
      </c>
      <c r="N1798" s="0" t="str">
        <f aca="false">IF(F1798&lt;50,"1) Under Rs 50",IF(F1798&lt;100,"2) Rs 50-99",IF(F1798&lt;200,"3) Rs 100-199",IF(F1798&lt;500,"4) Rs 200-499","5) Rs 500+"))))</f>
        <v>3) Rs 100-199</v>
      </c>
      <c r="O1798" s="0" t="n">
        <f aca="false">G1798*E1798/1000</f>
        <v>3</v>
      </c>
    </row>
    <row r="1799" customFormat="false" ht="15" hidden="false" customHeight="false" outlineLevel="0" collapsed="false">
      <c r="A1799" s="0" t="s">
        <v>113</v>
      </c>
      <c r="B1799" s="0" t="s">
        <v>829</v>
      </c>
      <c r="C1799" s="0" t="n">
        <v>120</v>
      </c>
      <c r="D1799" s="0" t="n">
        <v>5</v>
      </c>
      <c r="E1799" s="0" t="n">
        <v>3</v>
      </c>
      <c r="F1799" s="0" t="n">
        <v>114</v>
      </c>
      <c r="G1799" s="0" t="n">
        <v>375</v>
      </c>
      <c r="H1799" s="0" t="s">
        <v>145</v>
      </c>
      <c r="I1799" s="0" t="n">
        <v>375</v>
      </c>
      <c r="J1799" s="0" t="n">
        <f aca="false">F1799*E1799</f>
        <v>342</v>
      </c>
      <c r="K1799" s="0" t="str">
        <f aca="false">IF(G1799&lt;1000,"1-Low",IF(G1799&lt;5000,"2-Medium","3-Bulk"))</f>
        <v>1-Low</v>
      </c>
      <c r="L1799" s="0" t="str">
        <f aca="false">IF(H1799="TRUE","Out of stock","In stock")</f>
        <v>In stock</v>
      </c>
      <c r="M1799" s="0" t="str">
        <f aca="false">IF(D1799&lt;5,"1) Under 5%",IF(D1799&lt;10,"2) 5-9%",IF(D1799&lt;15,"3) 10-14%",IF(D1799&lt;25,"4) 15-24%","5) 25%+"))))</f>
        <v>2) 5-9%</v>
      </c>
      <c r="N1799" s="0" t="str">
        <f aca="false">IF(F1799&lt;50,"1) Under Rs 50",IF(F1799&lt;100,"2) Rs 50-99",IF(F1799&lt;200,"3) Rs 100-199",IF(F1799&lt;500,"4) Rs 200-499","5) Rs 500+"))))</f>
        <v>3) Rs 100-199</v>
      </c>
      <c r="O1799" s="0" t="n">
        <f aca="false">G1799*E1799/1000</f>
        <v>1.125</v>
      </c>
    </row>
    <row r="1800" customFormat="false" ht="15" hidden="false" customHeight="false" outlineLevel="0" collapsed="false">
      <c r="A1800" s="0" t="s">
        <v>113</v>
      </c>
      <c r="B1800" s="0" t="s">
        <v>830</v>
      </c>
      <c r="C1800" s="0" t="n">
        <v>175</v>
      </c>
      <c r="D1800" s="0" t="n">
        <v>4</v>
      </c>
      <c r="E1800" s="0" t="n">
        <v>3</v>
      </c>
      <c r="F1800" s="0" t="n">
        <v>167</v>
      </c>
      <c r="G1800" s="0" t="n">
        <v>750</v>
      </c>
      <c r="H1800" s="0" t="s">
        <v>145</v>
      </c>
      <c r="I1800" s="0" t="n">
        <v>750</v>
      </c>
      <c r="J1800" s="0" t="n">
        <f aca="false">F1800*E1800</f>
        <v>501</v>
      </c>
      <c r="K1800" s="0" t="str">
        <f aca="false">IF(G1800&lt;1000,"1-Low",IF(G1800&lt;5000,"2-Medium","3-Bulk"))</f>
        <v>1-Low</v>
      </c>
      <c r="L1800" s="0" t="str">
        <f aca="false">IF(H1800="TRUE","Out of stock","In stock")</f>
        <v>In stock</v>
      </c>
      <c r="M1800" s="0" t="str">
        <f aca="false">IF(D1800&lt;5,"1) Under 5%",IF(D1800&lt;10,"2) 5-9%",IF(D1800&lt;15,"3) 10-14%",IF(D1800&lt;25,"4) 15-24%","5) 25%+"))))</f>
        <v>1) Under 5%</v>
      </c>
      <c r="N1800" s="0" t="str">
        <f aca="false">IF(F1800&lt;50,"1) Under Rs 50",IF(F1800&lt;100,"2) Rs 50-99",IF(F1800&lt;200,"3) Rs 100-199",IF(F1800&lt;500,"4) Rs 200-499","5) Rs 500+"))))</f>
        <v>3) Rs 100-199</v>
      </c>
      <c r="O1800" s="0" t="n">
        <f aca="false">G1800*E1800/1000</f>
        <v>2.25</v>
      </c>
    </row>
    <row r="1801" customFormat="false" ht="15" hidden="false" customHeight="false" outlineLevel="0" collapsed="false">
      <c r="A1801" s="0" t="s">
        <v>113</v>
      </c>
      <c r="B1801" s="0" t="s">
        <v>831</v>
      </c>
      <c r="C1801" s="0" t="n">
        <v>220</v>
      </c>
      <c r="D1801" s="0" t="n">
        <v>5</v>
      </c>
      <c r="E1801" s="0" t="n">
        <v>2</v>
      </c>
      <c r="F1801" s="0" t="n">
        <v>207</v>
      </c>
      <c r="G1801" s="0" t="n">
        <v>180</v>
      </c>
      <c r="H1801" s="0" t="s">
        <v>145</v>
      </c>
      <c r="I1801" s="0" t="n">
        <v>180</v>
      </c>
      <c r="J1801" s="0" t="n">
        <f aca="false">F1801*E1801</f>
        <v>414</v>
      </c>
      <c r="K1801" s="0" t="str">
        <f aca="false">IF(G1801&lt;1000,"1-Low",IF(G1801&lt;5000,"2-Medium","3-Bulk"))</f>
        <v>1-Low</v>
      </c>
      <c r="L1801" s="0" t="str">
        <f aca="false">IF(H1801="TRUE","Out of stock","In stock")</f>
        <v>In stock</v>
      </c>
      <c r="M1801" s="0" t="str">
        <f aca="false">IF(D1801&lt;5,"1) Under 5%",IF(D1801&lt;10,"2) 5-9%",IF(D1801&lt;15,"3) 10-14%",IF(D1801&lt;25,"4) 15-24%","5) 25%+"))))</f>
        <v>2) 5-9%</v>
      </c>
      <c r="N1801" s="0" t="str">
        <f aca="false">IF(F1801&lt;50,"1) Under Rs 50",IF(F1801&lt;100,"2) Rs 50-99",IF(F1801&lt;200,"3) Rs 100-199",IF(F1801&lt;500,"4) Rs 200-499","5) Rs 500+"))))</f>
        <v>4) Rs 200-499</v>
      </c>
      <c r="O1801" s="0" t="n">
        <f aca="false">G1801*E1801/1000</f>
        <v>0.36</v>
      </c>
    </row>
    <row r="1802" customFormat="false" ht="15" hidden="false" customHeight="false" outlineLevel="0" collapsed="false">
      <c r="A1802" s="0" t="s">
        <v>113</v>
      </c>
      <c r="B1802" s="0" t="s">
        <v>832</v>
      </c>
      <c r="C1802" s="0" t="n">
        <v>60</v>
      </c>
      <c r="D1802" s="0" t="n">
        <v>5</v>
      </c>
      <c r="E1802" s="0" t="n">
        <v>5</v>
      </c>
      <c r="F1802" s="0" t="n">
        <v>57</v>
      </c>
      <c r="G1802" s="0" t="n">
        <v>200</v>
      </c>
      <c r="H1802" s="0" t="s">
        <v>145</v>
      </c>
      <c r="I1802" s="0" t="n">
        <v>200</v>
      </c>
      <c r="J1802" s="0" t="n">
        <f aca="false">F1802*E1802</f>
        <v>285</v>
      </c>
      <c r="K1802" s="0" t="str">
        <f aca="false">IF(G1802&lt;1000,"1-Low",IF(G1802&lt;5000,"2-Medium","3-Bulk"))</f>
        <v>1-Low</v>
      </c>
      <c r="L1802" s="0" t="str">
        <f aca="false">IF(H1802="TRUE","Out of stock","In stock")</f>
        <v>In stock</v>
      </c>
      <c r="M1802" s="0" t="str">
        <f aca="false">IF(D1802&lt;5,"1) Under 5%",IF(D1802&lt;10,"2) 5-9%",IF(D1802&lt;15,"3) 10-14%",IF(D1802&lt;25,"4) 15-24%","5) 25%+"))))</f>
        <v>2) 5-9%</v>
      </c>
      <c r="N1802" s="0" t="str">
        <f aca="false">IF(F1802&lt;50,"1) Under Rs 50",IF(F1802&lt;100,"2) Rs 50-99",IF(F1802&lt;200,"3) Rs 100-199",IF(F1802&lt;500,"4) Rs 200-499","5) Rs 500+"))))</f>
        <v>2) Rs 50-99</v>
      </c>
      <c r="O1802" s="0" t="n">
        <f aca="false">G1802*E1802/1000</f>
        <v>1</v>
      </c>
    </row>
    <row r="1803" customFormat="false" ht="15" hidden="false" customHeight="false" outlineLevel="0" collapsed="false">
      <c r="A1803" s="0" t="s">
        <v>113</v>
      </c>
      <c r="B1803" s="0" t="s">
        <v>833</v>
      </c>
      <c r="C1803" s="0" t="n">
        <v>90</v>
      </c>
      <c r="D1803" s="0" t="n">
        <v>4</v>
      </c>
      <c r="E1803" s="0" t="n">
        <v>6</v>
      </c>
      <c r="F1803" s="0" t="n">
        <v>86</v>
      </c>
      <c r="G1803" s="0" t="n">
        <v>50</v>
      </c>
      <c r="H1803" s="0" t="s">
        <v>145</v>
      </c>
      <c r="I1803" s="0" t="n">
        <v>50</v>
      </c>
      <c r="J1803" s="0" t="n">
        <f aca="false">F1803*E1803</f>
        <v>516</v>
      </c>
      <c r="K1803" s="0" t="str">
        <f aca="false">IF(G1803&lt;1000,"1-Low",IF(G1803&lt;5000,"2-Medium","3-Bulk"))</f>
        <v>1-Low</v>
      </c>
      <c r="L1803" s="0" t="str">
        <f aca="false">IF(H1803="TRUE","Out of stock","In stock")</f>
        <v>In stock</v>
      </c>
      <c r="M1803" s="0" t="str">
        <f aca="false">IF(D1803&lt;5,"1) Under 5%",IF(D1803&lt;10,"2) 5-9%",IF(D1803&lt;15,"3) 10-14%",IF(D1803&lt;25,"4) 15-24%","5) 25%+"))))</f>
        <v>1) Under 5%</v>
      </c>
      <c r="N1803" s="0" t="str">
        <f aca="false">IF(F1803&lt;50,"1) Under Rs 50",IF(F1803&lt;100,"2) Rs 50-99",IF(F1803&lt;200,"3) Rs 100-199",IF(F1803&lt;500,"4) Rs 200-499","5) Rs 500+"))))</f>
        <v>2) Rs 50-99</v>
      </c>
      <c r="O1803" s="0" t="n">
        <f aca="false">G1803*E1803/1000</f>
        <v>0.3</v>
      </c>
    </row>
    <row r="1804" customFormat="false" ht="15" hidden="false" customHeight="false" outlineLevel="0" collapsed="false">
      <c r="A1804" s="0" t="s">
        <v>113</v>
      </c>
      <c r="B1804" s="0" t="s">
        <v>732</v>
      </c>
      <c r="C1804" s="0" t="n">
        <v>85</v>
      </c>
      <c r="D1804" s="0" t="n">
        <v>5</v>
      </c>
      <c r="E1804" s="0" t="n">
        <v>6</v>
      </c>
      <c r="F1804" s="0" t="n">
        <v>80</v>
      </c>
      <c r="G1804" s="0" t="n">
        <v>180</v>
      </c>
      <c r="H1804" s="0" t="s">
        <v>145</v>
      </c>
      <c r="I1804" s="0" t="n">
        <v>180</v>
      </c>
      <c r="J1804" s="0" t="n">
        <f aca="false">F1804*E1804</f>
        <v>480</v>
      </c>
      <c r="K1804" s="0" t="str">
        <f aca="false">IF(G1804&lt;1000,"1-Low",IF(G1804&lt;5000,"2-Medium","3-Bulk"))</f>
        <v>1-Low</v>
      </c>
      <c r="L1804" s="0" t="str">
        <f aca="false">IF(H1804="TRUE","Out of stock","In stock")</f>
        <v>In stock</v>
      </c>
      <c r="M1804" s="0" t="str">
        <f aca="false">IF(D1804&lt;5,"1) Under 5%",IF(D1804&lt;10,"2) 5-9%",IF(D1804&lt;15,"3) 10-14%",IF(D1804&lt;25,"4) 15-24%","5) 25%+"))))</f>
        <v>2) 5-9%</v>
      </c>
      <c r="N1804" s="0" t="str">
        <f aca="false">IF(F1804&lt;50,"1) Under Rs 50",IF(F1804&lt;100,"2) Rs 50-99",IF(F1804&lt;200,"3) Rs 100-199",IF(F1804&lt;500,"4) Rs 200-499","5) Rs 500+"))))</f>
        <v>2) Rs 50-99</v>
      </c>
      <c r="O1804" s="0" t="n">
        <f aca="false">G1804*E1804/1000</f>
        <v>1.08</v>
      </c>
    </row>
    <row r="1805" customFormat="false" ht="15" hidden="false" customHeight="false" outlineLevel="0" collapsed="false">
      <c r="A1805" s="0" t="s">
        <v>113</v>
      </c>
      <c r="B1805" s="0" t="s">
        <v>834</v>
      </c>
      <c r="C1805" s="0" t="n">
        <v>22</v>
      </c>
      <c r="D1805" s="0" t="n">
        <v>0</v>
      </c>
      <c r="E1805" s="0" t="n">
        <v>6</v>
      </c>
      <c r="F1805" s="0" t="n">
        <v>22</v>
      </c>
      <c r="G1805" s="0" t="n">
        <v>90</v>
      </c>
      <c r="H1805" s="0" t="s">
        <v>145</v>
      </c>
      <c r="I1805" s="0" t="n">
        <v>90</v>
      </c>
      <c r="J1805" s="0" t="n">
        <f aca="false">F1805*E1805</f>
        <v>132</v>
      </c>
      <c r="K1805" s="0" t="str">
        <f aca="false">IF(G1805&lt;1000,"1-Low",IF(G1805&lt;5000,"2-Medium","3-Bulk"))</f>
        <v>1-Low</v>
      </c>
      <c r="L1805" s="0" t="str">
        <f aca="false">IF(H1805="TRUE","Out of stock","In stock")</f>
        <v>In stock</v>
      </c>
      <c r="M1805" s="0" t="str">
        <f aca="false">IF(D1805&lt;5,"1) Under 5%",IF(D1805&lt;10,"2) 5-9%",IF(D1805&lt;15,"3) 10-14%",IF(D1805&lt;25,"4) 15-24%","5) 25%+"))))</f>
        <v>1) Under 5%</v>
      </c>
      <c r="N1805" s="0" t="str">
        <f aca="false">IF(F1805&lt;50,"1) Under Rs 50",IF(F1805&lt;100,"2) Rs 50-99",IF(F1805&lt;200,"3) Rs 100-199",IF(F1805&lt;500,"4) Rs 200-499","5) Rs 500+"))))</f>
        <v>1) Under Rs 50</v>
      </c>
      <c r="O1805" s="0" t="n">
        <f aca="false">G1805*E1805/1000</f>
        <v>0.54</v>
      </c>
    </row>
    <row r="1806" customFormat="false" ht="15" hidden="false" customHeight="false" outlineLevel="0" collapsed="false">
      <c r="A1806" s="0" t="s">
        <v>113</v>
      </c>
      <c r="B1806" s="0" t="s">
        <v>835</v>
      </c>
      <c r="C1806" s="0" t="n">
        <v>385</v>
      </c>
      <c r="D1806" s="0" t="n">
        <v>9</v>
      </c>
      <c r="E1806" s="0" t="n">
        <v>5</v>
      </c>
      <c r="F1806" s="0" t="n">
        <v>347</v>
      </c>
      <c r="G1806" s="0" t="n">
        <v>1100</v>
      </c>
      <c r="H1806" s="0" t="s">
        <v>145</v>
      </c>
      <c r="I1806" s="0" t="n">
        <v>1100</v>
      </c>
      <c r="J1806" s="0" t="n">
        <f aca="false">F1806*E1806</f>
        <v>1735</v>
      </c>
      <c r="K1806" s="0" t="str">
        <f aca="false">IF(G1806&lt;1000,"1-Low",IF(G1806&lt;5000,"2-Medium","3-Bulk"))</f>
        <v>2-Medium</v>
      </c>
      <c r="L1806" s="0" t="str">
        <f aca="false">IF(H1806="TRUE","Out of stock","In stock")</f>
        <v>In stock</v>
      </c>
      <c r="M1806" s="0" t="str">
        <f aca="false">IF(D1806&lt;5,"1) Under 5%",IF(D1806&lt;10,"2) 5-9%",IF(D1806&lt;15,"3) 10-14%",IF(D1806&lt;25,"4) 15-24%","5) 25%+"))))</f>
        <v>2) 5-9%</v>
      </c>
      <c r="N1806" s="0" t="str">
        <f aca="false">IF(F1806&lt;50,"1) Under Rs 50",IF(F1806&lt;100,"2) Rs 50-99",IF(F1806&lt;200,"3) Rs 100-199",IF(F1806&lt;500,"4) Rs 200-499","5) Rs 500+"))))</f>
        <v>4) Rs 200-499</v>
      </c>
      <c r="O1806" s="0" t="n">
        <f aca="false">G1806*E1806/1000</f>
        <v>5.5</v>
      </c>
    </row>
    <row r="1807" customFormat="false" ht="15" hidden="false" customHeight="false" outlineLevel="0" collapsed="false">
      <c r="A1807" s="0" t="s">
        <v>113</v>
      </c>
      <c r="B1807" s="0" t="s">
        <v>836</v>
      </c>
      <c r="C1807" s="0" t="n">
        <v>10</v>
      </c>
      <c r="D1807" s="0" t="n">
        <v>0</v>
      </c>
      <c r="E1807" s="0" t="n">
        <v>2</v>
      </c>
      <c r="F1807" s="0" t="n">
        <v>10</v>
      </c>
      <c r="G1807" s="0" t="n">
        <v>15</v>
      </c>
      <c r="H1807" s="0" t="s">
        <v>145</v>
      </c>
      <c r="I1807" s="0" t="n">
        <v>15</v>
      </c>
      <c r="J1807" s="0" t="n">
        <f aca="false">F1807*E1807</f>
        <v>20</v>
      </c>
      <c r="K1807" s="0" t="str">
        <f aca="false">IF(G1807&lt;1000,"1-Low",IF(G1807&lt;5000,"2-Medium","3-Bulk"))</f>
        <v>1-Low</v>
      </c>
      <c r="L1807" s="0" t="str">
        <f aca="false">IF(H1807="TRUE","Out of stock","In stock")</f>
        <v>In stock</v>
      </c>
      <c r="M1807" s="0" t="str">
        <f aca="false">IF(D1807&lt;5,"1) Under 5%",IF(D1807&lt;10,"2) 5-9%",IF(D1807&lt;15,"3) 10-14%",IF(D1807&lt;25,"4) 15-24%","5) 25%+"))))</f>
        <v>1) Under 5%</v>
      </c>
      <c r="N1807" s="0" t="str">
        <f aca="false">IF(F1807&lt;50,"1) Under Rs 50",IF(F1807&lt;100,"2) Rs 50-99",IF(F1807&lt;200,"3) Rs 100-199",IF(F1807&lt;500,"4) Rs 200-499","5) Rs 500+"))))</f>
        <v>1) Under Rs 50</v>
      </c>
      <c r="O1807" s="0" t="n">
        <f aca="false">G1807*E1807/1000</f>
        <v>0.03</v>
      </c>
    </row>
    <row r="1808" customFormat="false" ht="15" hidden="false" customHeight="false" outlineLevel="0" collapsed="false">
      <c r="A1808" s="0" t="s">
        <v>113</v>
      </c>
      <c r="B1808" s="0" t="s">
        <v>837</v>
      </c>
      <c r="C1808" s="0" t="n">
        <v>35</v>
      </c>
      <c r="D1808" s="0" t="n">
        <v>5</v>
      </c>
      <c r="E1808" s="0" t="n">
        <v>2</v>
      </c>
      <c r="F1808" s="0" t="n">
        <v>33</v>
      </c>
      <c r="G1808" s="0" t="n">
        <v>85</v>
      </c>
      <c r="H1808" s="0" t="s">
        <v>145</v>
      </c>
      <c r="I1808" s="0" t="n">
        <v>85</v>
      </c>
      <c r="J1808" s="0" t="n">
        <f aca="false">F1808*E1808</f>
        <v>66</v>
      </c>
      <c r="K1808" s="0" t="str">
        <f aca="false">IF(G1808&lt;1000,"1-Low",IF(G1808&lt;5000,"2-Medium","3-Bulk"))</f>
        <v>1-Low</v>
      </c>
      <c r="L1808" s="0" t="str">
        <f aca="false">IF(H1808="TRUE","Out of stock","In stock")</f>
        <v>In stock</v>
      </c>
      <c r="M1808" s="0" t="str">
        <f aca="false">IF(D1808&lt;5,"1) Under 5%",IF(D1808&lt;10,"2) 5-9%",IF(D1808&lt;15,"3) 10-14%",IF(D1808&lt;25,"4) 15-24%","5) 25%+"))))</f>
        <v>2) 5-9%</v>
      </c>
      <c r="N1808" s="0" t="str">
        <f aca="false">IF(F1808&lt;50,"1) Under Rs 50",IF(F1808&lt;100,"2) Rs 50-99",IF(F1808&lt;200,"3) Rs 100-199",IF(F1808&lt;500,"4) Rs 200-499","5) Rs 500+"))))</f>
        <v>1) Under Rs 50</v>
      </c>
      <c r="O1808" s="0" t="n">
        <f aca="false">G1808*E1808/1000</f>
        <v>0.17</v>
      </c>
    </row>
    <row r="1809" customFormat="false" ht="15" hidden="false" customHeight="false" outlineLevel="0" collapsed="false">
      <c r="A1809" s="0" t="s">
        <v>113</v>
      </c>
      <c r="B1809" s="0" t="s">
        <v>838</v>
      </c>
      <c r="C1809" s="0" t="n">
        <v>120</v>
      </c>
      <c r="D1809" s="0" t="n">
        <v>5</v>
      </c>
      <c r="E1809" s="0" t="n">
        <v>6</v>
      </c>
      <c r="F1809" s="0" t="n">
        <v>114</v>
      </c>
      <c r="G1809" s="0" t="n">
        <v>400</v>
      </c>
      <c r="H1809" s="0" t="s">
        <v>145</v>
      </c>
      <c r="I1809" s="0" t="n">
        <v>400</v>
      </c>
      <c r="J1809" s="0" t="n">
        <f aca="false">F1809*E1809</f>
        <v>684</v>
      </c>
      <c r="K1809" s="0" t="str">
        <f aca="false">IF(G1809&lt;1000,"1-Low",IF(G1809&lt;5000,"2-Medium","3-Bulk"))</f>
        <v>1-Low</v>
      </c>
      <c r="L1809" s="0" t="str">
        <f aca="false">IF(H1809="TRUE","Out of stock","In stock")</f>
        <v>In stock</v>
      </c>
      <c r="M1809" s="0" t="str">
        <f aca="false">IF(D1809&lt;5,"1) Under 5%",IF(D1809&lt;10,"2) 5-9%",IF(D1809&lt;15,"3) 10-14%",IF(D1809&lt;25,"4) 15-24%","5) 25%+"))))</f>
        <v>2) 5-9%</v>
      </c>
      <c r="N1809" s="0" t="str">
        <f aca="false">IF(F1809&lt;50,"1) Under Rs 50",IF(F1809&lt;100,"2) Rs 50-99",IF(F1809&lt;200,"3) Rs 100-199",IF(F1809&lt;500,"4) Rs 200-499","5) Rs 500+"))))</f>
        <v>3) Rs 100-199</v>
      </c>
      <c r="O1809" s="0" t="n">
        <f aca="false">G1809*E1809/1000</f>
        <v>2.4</v>
      </c>
    </row>
    <row r="1810" customFormat="false" ht="15" hidden="false" customHeight="false" outlineLevel="0" collapsed="false">
      <c r="A1810" s="0" t="s">
        <v>113</v>
      </c>
      <c r="B1810" s="0" t="s">
        <v>839</v>
      </c>
      <c r="C1810" s="0" t="n">
        <v>100</v>
      </c>
      <c r="D1810" s="0" t="n">
        <v>10</v>
      </c>
      <c r="E1810" s="0" t="n">
        <v>6</v>
      </c>
      <c r="F1810" s="0" t="n">
        <v>90</v>
      </c>
      <c r="G1810" s="0" t="n">
        <v>52</v>
      </c>
      <c r="H1810" s="0" t="s">
        <v>145</v>
      </c>
      <c r="I1810" s="0" t="n">
        <v>52</v>
      </c>
      <c r="J1810" s="0" t="n">
        <f aca="false">F1810*E1810</f>
        <v>540</v>
      </c>
      <c r="K1810" s="0" t="str">
        <f aca="false">IF(G1810&lt;1000,"1-Low",IF(G1810&lt;5000,"2-Medium","3-Bulk"))</f>
        <v>1-Low</v>
      </c>
      <c r="L1810" s="0" t="str">
        <f aca="false">IF(H1810="TRUE","Out of stock","In stock")</f>
        <v>In stock</v>
      </c>
      <c r="M1810" s="0" t="str">
        <f aca="false">IF(D1810&lt;5,"1) Under 5%",IF(D1810&lt;10,"2) 5-9%",IF(D1810&lt;15,"3) 10-14%",IF(D1810&lt;25,"4) 15-24%","5) 25%+"))))</f>
        <v>3) 10-14%</v>
      </c>
      <c r="N1810" s="0" t="str">
        <f aca="false">IF(F1810&lt;50,"1) Under Rs 50",IF(F1810&lt;100,"2) Rs 50-99",IF(F1810&lt;200,"3) Rs 100-199",IF(F1810&lt;500,"4) Rs 200-499","5) Rs 500+"))))</f>
        <v>2) Rs 50-99</v>
      </c>
      <c r="O1810" s="0" t="n">
        <f aca="false">G1810*E1810/1000</f>
        <v>0.312</v>
      </c>
    </row>
    <row r="1811" customFormat="false" ht="15" hidden="false" customHeight="false" outlineLevel="0" collapsed="false">
      <c r="A1811" s="0" t="s">
        <v>113</v>
      </c>
      <c r="B1811" s="0" t="s">
        <v>840</v>
      </c>
      <c r="C1811" s="0" t="n">
        <v>68</v>
      </c>
      <c r="D1811" s="0" t="n">
        <v>4</v>
      </c>
      <c r="E1811" s="0" t="n">
        <v>1</v>
      </c>
      <c r="F1811" s="0" t="n">
        <v>65</v>
      </c>
      <c r="G1811" s="0" t="n">
        <v>425</v>
      </c>
      <c r="H1811" s="0" t="s">
        <v>145</v>
      </c>
      <c r="I1811" s="0" t="n">
        <v>425</v>
      </c>
      <c r="J1811" s="0" t="n">
        <f aca="false">F1811*E1811</f>
        <v>65</v>
      </c>
      <c r="K1811" s="0" t="str">
        <f aca="false">IF(G1811&lt;1000,"1-Low",IF(G1811&lt;5000,"2-Medium","3-Bulk"))</f>
        <v>1-Low</v>
      </c>
      <c r="L1811" s="0" t="str">
        <f aca="false">IF(H1811="TRUE","Out of stock","In stock")</f>
        <v>In stock</v>
      </c>
      <c r="M1811" s="0" t="str">
        <f aca="false">IF(D1811&lt;5,"1) Under 5%",IF(D1811&lt;10,"2) 5-9%",IF(D1811&lt;15,"3) 10-14%",IF(D1811&lt;25,"4) 15-24%","5) 25%+"))))</f>
        <v>1) Under 5%</v>
      </c>
      <c r="N1811" s="0" t="str">
        <f aca="false">IF(F1811&lt;50,"1) Under Rs 50",IF(F1811&lt;100,"2) Rs 50-99",IF(F1811&lt;200,"3) Rs 100-199",IF(F1811&lt;500,"4) Rs 200-499","5) Rs 500+"))))</f>
        <v>2) Rs 50-99</v>
      </c>
      <c r="O1811" s="0" t="n">
        <f aca="false">G1811*E1811/1000</f>
        <v>0.425</v>
      </c>
    </row>
    <row r="1812" customFormat="false" ht="15" hidden="false" customHeight="false" outlineLevel="0" collapsed="false">
      <c r="A1812" s="0" t="s">
        <v>113</v>
      </c>
      <c r="B1812" s="0" t="s">
        <v>841</v>
      </c>
      <c r="C1812" s="0" t="n">
        <v>380</v>
      </c>
      <c r="D1812" s="0" t="n">
        <v>6</v>
      </c>
      <c r="E1812" s="0" t="n">
        <v>5</v>
      </c>
      <c r="F1812" s="0" t="n">
        <v>357</v>
      </c>
      <c r="G1812" s="0" t="n">
        <v>350</v>
      </c>
      <c r="H1812" s="0" t="s">
        <v>145</v>
      </c>
      <c r="I1812" s="0" t="n">
        <v>350</v>
      </c>
      <c r="J1812" s="0" t="n">
        <f aca="false">F1812*E1812</f>
        <v>1785</v>
      </c>
      <c r="K1812" s="0" t="str">
        <f aca="false">IF(G1812&lt;1000,"1-Low",IF(G1812&lt;5000,"2-Medium","3-Bulk"))</f>
        <v>1-Low</v>
      </c>
      <c r="L1812" s="0" t="str">
        <f aca="false">IF(H1812="TRUE","Out of stock","In stock")</f>
        <v>In stock</v>
      </c>
      <c r="M1812" s="0" t="str">
        <f aca="false">IF(D1812&lt;5,"1) Under 5%",IF(D1812&lt;10,"2) 5-9%",IF(D1812&lt;15,"3) 10-14%",IF(D1812&lt;25,"4) 15-24%","5) 25%+"))))</f>
        <v>2) 5-9%</v>
      </c>
      <c r="N1812" s="0" t="str">
        <f aca="false">IF(F1812&lt;50,"1) Under Rs 50",IF(F1812&lt;100,"2) Rs 50-99",IF(F1812&lt;200,"3) Rs 100-199",IF(F1812&lt;500,"4) Rs 200-499","5) Rs 500+"))))</f>
        <v>4) Rs 200-499</v>
      </c>
      <c r="O1812" s="0" t="n">
        <f aca="false">G1812*E1812/1000</f>
        <v>1.75</v>
      </c>
    </row>
    <row r="1813" customFormat="false" ht="15" hidden="false" customHeight="false" outlineLevel="0" collapsed="false">
      <c r="A1813" s="0" t="s">
        <v>113</v>
      </c>
      <c r="B1813" s="0" t="s">
        <v>842</v>
      </c>
      <c r="C1813" s="0" t="n">
        <v>161</v>
      </c>
      <c r="D1813" s="0" t="n">
        <v>7</v>
      </c>
      <c r="E1813" s="0" t="n">
        <v>4</v>
      </c>
      <c r="F1813" s="0" t="n">
        <v>149</v>
      </c>
      <c r="G1813" s="0" t="n">
        <v>300</v>
      </c>
      <c r="H1813" s="0" t="s">
        <v>145</v>
      </c>
      <c r="I1813" s="0" t="n">
        <v>300</v>
      </c>
      <c r="J1813" s="0" t="n">
        <f aca="false">F1813*E1813</f>
        <v>596</v>
      </c>
      <c r="K1813" s="0" t="str">
        <f aca="false">IF(G1813&lt;1000,"1-Low",IF(G1813&lt;5000,"2-Medium","3-Bulk"))</f>
        <v>1-Low</v>
      </c>
      <c r="L1813" s="0" t="str">
        <f aca="false">IF(H1813="TRUE","Out of stock","In stock")</f>
        <v>In stock</v>
      </c>
      <c r="M1813" s="0" t="str">
        <f aca="false">IF(D1813&lt;5,"1) Under 5%",IF(D1813&lt;10,"2) 5-9%",IF(D1813&lt;15,"3) 10-14%",IF(D1813&lt;25,"4) 15-24%","5) 25%+"))))</f>
        <v>2) 5-9%</v>
      </c>
      <c r="N1813" s="0" t="str">
        <f aca="false">IF(F1813&lt;50,"1) Under Rs 50",IF(F1813&lt;100,"2) Rs 50-99",IF(F1813&lt;200,"3) Rs 100-199",IF(F1813&lt;500,"4) Rs 200-499","5) Rs 500+"))))</f>
        <v>3) Rs 100-199</v>
      </c>
      <c r="O1813" s="0" t="n">
        <f aca="false">G1813*E1813/1000</f>
        <v>1.2</v>
      </c>
    </row>
    <row r="1814" customFormat="false" ht="15" hidden="false" customHeight="false" outlineLevel="0" collapsed="false">
      <c r="A1814" s="0" t="s">
        <v>113</v>
      </c>
      <c r="B1814" s="0" t="s">
        <v>843</v>
      </c>
      <c r="C1814" s="0" t="n">
        <v>15</v>
      </c>
      <c r="D1814" s="0" t="n">
        <v>0</v>
      </c>
      <c r="E1814" s="0" t="n">
        <v>6</v>
      </c>
      <c r="F1814" s="0" t="n">
        <v>15</v>
      </c>
      <c r="G1814" s="0" t="n">
        <v>20</v>
      </c>
      <c r="H1814" s="0" t="s">
        <v>145</v>
      </c>
      <c r="I1814" s="0" t="n">
        <v>20</v>
      </c>
      <c r="J1814" s="0" t="n">
        <f aca="false">F1814*E1814</f>
        <v>90</v>
      </c>
      <c r="K1814" s="0" t="str">
        <f aca="false">IF(G1814&lt;1000,"1-Low",IF(G1814&lt;5000,"2-Medium","3-Bulk"))</f>
        <v>1-Low</v>
      </c>
      <c r="L1814" s="0" t="str">
        <f aca="false">IF(H1814="TRUE","Out of stock","In stock")</f>
        <v>In stock</v>
      </c>
      <c r="M1814" s="0" t="str">
        <f aca="false">IF(D1814&lt;5,"1) Under 5%",IF(D1814&lt;10,"2) 5-9%",IF(D1814&lt;15,"3) 10-14%",IF(D1814&lt;25,"4) 15-24%","5) 25%+"))))</f>
        <v>1) Under 5%</v>
      </c>
      <c r="N1814" s="0" t="str">
        <f aca="false">IF(F1814&lt;50,"1) Under Rs 50",IF(F1814&lt;100,"2) Rs 50-99",IF(F1814&lt;200,"3) Rs 100-199",IF(F1814&lt;500,"4) Rs 200-499","5) Rs 500+"))))</f>
        <v>1) Under Rs 50</v>
      </c>
      <c r="O1814" s="0" t="n">
        <f aca="false">G1814*E1814/1000</f>
        <v>0.12</v>
      </c>
    </row>
    <row r="1815" customFormat="false" ht="15" hidden="false" customHeight="false" outlineLevel="0" collapsed="false">
      <c r="A1815" s="0" t="s">
        <v>113</v>
      </c>
      <c r="B1815" s="0" t="s">
        <v>844</v>
      </c>
      <c r="C1815" s="0" t="n">
        <v>50</v>
      </c>
      <c r="D1815" s="0" t="n">
        <v>12</v>
      </c>
      <c r="E1815" s="0" t="n">
        <v>1</v>
      </c>
      <c r="F1815" s="0" t="n">
        <v>44</v>
      </c>
      <c r="G1815" s="0" t="n">
        <v>50</v>
      </c>
      <c r="H1815" s="0" t="s">
        <v>145</v>
      </c>
      <c r="I1815" s="0" t="n">
        <v>50</v>
      </c>
      <c r="J1815" s="0" t="n">
        <f aca="false">F1815*E1815</f>
        <v>44</v>
      </c>
      <c r="K1815" s="0" t="str">
        <f aca="false">IF(G1815&lt;1000,"1-Low",IF(G1815&lt;5000,"2-Medium","3-Bulk"))</f>
        <v>1-Low</v>
      </c>
      <c r="L1815" s="0" t="str">
        <f aca="false">IF(H1815="TRUE","Out of stock","In stock")</f>
        <v>In stock</v>
      </c>
      <c r="M1815" s="0" t="str">
        <f aca="false">IF(D1815&lt;5,"1) Under 5%",IF(D1815&lt;10,"2) 5-9%",IF(D1815&lt;15,"3) 10-14%",IF(D1815&lt;25,"4) 15-24%","5) 25%+"))))</f>
        <v>3) 10-14%</v>
      </c>
      <c r="N1815" s="0" t="str">
        <f aca="false">IF(F1815&lt;50,"1) Under Rs 50",IF(F1815&lt;100,"2) Rs 50-99",IF(F1815&lt;200,"3) Rs 100-199",IF(F1815&lt;500,"4) Rs 200-499","5) Rs 500+"))))</f>
        <v>1) Under Rs 50</v>
      </c>
      <c r="O1815" s="0" t="n">
        <f aca="false">G1815*E1815/1000</f>
        <v>0.05</v>
      </c>
    </row>
    <row r="1816" customFormat="false" ht="15" hidden="false" customHeight="false" outlineLevel="0" collapsed="false">
      <c r="A1816" s="0" t="s">
        <v>113</v>
      </c>
      <c r="B1816" s="0" t="s">
        <v>272</v>
      </c>
      <c r="C1816" s="0" t="n">
        <v>199</v>
      </c>
      <c r="D1816" s="0" t="n">
        <v>7</v>
      </c>
      <c r="E1816" s="0" t="n">
        <v>6</v>
      </c>
      <c r="F1816" s="0" t="n">
        <v>184</v>
      </c>
      <c r="G1816" s="0" t="n">
        <v>1000</v>
      </c>
      <c r="H1816" s="0" t="s">
        <v>145</v>
      </c>
      <c r="I1816" s="0" t="n">
        <v>1</v>
      </c>
      <c r="J1816" s="0" t="n">
        <f aca="false">F1816*E1816</f>
        <v>1104</v>
      </c>
      <c r="K1816" s="0" t="str">
        <f aca="false">IF(G1816&lt;1000,"1-Low",IF(G1816&lt;5000,"2-Medium","3-Bulk"))</f>
        <v>2-Medium</v>
      </c>
      <c r="L1816" s="0" t="str">
        <f aca="false">IF(H1816="TRUE","Out of stock","In stock")</f>
        <v>In stock</v>
      </c>
      <c r="M1816" s="0" t="str">
        <f aca="false">IF(D1816&lt;5,"1) Under 5%",IF(D1816&lt;10,"2) 5-9%",IF(D1816&lt;15,"3) 10-14%",IF(D1816&lt;25,"4) 15-24%","5) 25%+"))))</f>
        <v>2) 5-9%</v>
      </c>
      <c r="N1816" s="0" t="str">
        <f aca="false">IF(F1816&lt;50,"1) Under Rs 50",IF(F1816&lt;100,"2) Rs 50-99",IF(F1816&lt;200,"3) Rs 100-199",IF(F1816&lt;500,"4) Rs 200-499","5) Rs 500+"))))</f>
        <v>3) Rs 100-199</v>
      </c>
      <c r="O1816" s="0" t="n">
        <f aca="false">G1816*E1816/1000</f>
        <v>6</v>
      </c>
    </row>
    <row r="1817" customFormat="false" ht="15" hidden="false" customHeight="false" outlineLevel="0" collapsed="false">
      <c r="A1817" s="0" t="s">
        <v>113</v>
      </c>
      <c r="B1817" s="0" t="s">
        <v>845</v>
      </c>
      <c r="C1817" s="0" t="n">
        <v>55</v>
      </c>
      <c r="D1817" s="0" t="n">
        <v>25</v>
      </c>
      <c r="E1817" s="0" t="n">
        <v>6</v>
      </c>
      <c r="F1817" s="0" t="n">
        <v>41</v>
      </c>
      <c r="G1817" s="0" t="n">
        <v>27</v>
      </c>
      <c r="H1817" s="0" t="s">
        <v>145</v>
      </c>
      <c r="I1817" s="0" t="n">
        <v>27</v>
      </c>
      <c r="J1817" s="0" t="n">
        <f aca="false">F1817*E1817</f>
        <v>246</v>
      </c>
      <c r="K1817" s="0" t="str">
        <f aca="false">IF(G1817&lt;1000,"1-Low",IF(G1817&lt;5000,"2-Medium","3-Bulk"))</f>
        <v>1-Low</v>
      </c>
      <c r="L1817" s="0" t="str">
        <f aca="false">IF(H1817="TRUE","Out of stock","In stock")</f>
        <v>In stock</v>
      </c>
      <c r="M1817" s="0" t="str">
        <f aca="false">IF(D1817&lt;5,"1) Under 5%",IF(D1817&lt;10,"2) 5-9%",IF(D1817&lt;15,"3) 10-14%",IF(D1817&lt;25,"4) 15-24%","5) 25%+"))))</f>
        <v>5) 25%+</v>
      </c>
      <c r="N1817" s="0" t="str">
        <f aca="false">IF(F1817&lt;50,"1) Under Rs 50",IF(F1817&lt;100,"2) Rs 50-99",IF(F1817&lt;200,"3) Rs 100-199",IF(F1817&lt;500,"4) Rs 200-499","5) Rs 500+"))))</f>
        <v>1) Under Rs 50</v>
      </c>
      <c r="O1817" s="0" t="n">
        <f aca="false">G1817*E1817/1000</f>
        <v>0.162</v>
      </c>
    </row>
    <row r="1818" customFormat="false" ht="15" hidden="false" customHeight="false" outlineLevel="0" collapsed="false">
      <c r="A1818" s="0" t="s">
        <v>113</v>
      </c>
      <c r="B1818" s="0" t="s">
        <v>846</v>
      </c>
      <c r="C1818" s="0" t="n">
        <v>90</v>
      </c>
      <c r="D1818" s="0" t="n">
        <v>4</v>
      </c>
      <c r="E1818" s="0" t="n">
        <v>6</v>
      </c>
      <c r="F1818" s="0" t="n">
        <v>86</v>
      </c>
      <c r="G1818" s="0" t="n">
        <v>1160</v>
      </c>
      <c r="H1818" s="0" t="s">
        <v>145</v>
      </c>
      <c r="I1818" s="0" t="n">
        <v>20</v>
      </c>
      <c r="J1818" s="0" t="n">
        <f aca="false">F1818*E1818</f>
        <v>516</v>
      </c>
      <c r="K1818" s="0" t="str">
        <f aca="false">IF(G1818&lt;1000,"1-Low",IF(G1818&lt;5000,"2-Medium","3-Bulk"))</f>
        <v>2-Medium</v>
      </c>
      <c r="L1818" s="0" t="str">
        <f aca="false">IF(H1818="TRUE","Out of stock","In stock")</f>
        <v>In stock</v>
      </c>
      <c r="M1818" s="0" t="str">
        <f aca="false">IF(D1818&lt;5,"1) Under 5%",IF(D1818&lt;10,"2) 5-9%",IF(D1818&lt;15,"3) 10-14%",IF(D1818&lt;25,"4) 15-24%","5) 25%+"))))</f>
        <v>1) Under 5%</v>
      </c>
      <c r="N1818" s="0" t="str">
        <f aca="false">IF(F1818&lt;50,"1) Under Rs 50",IF(F1818&lt;100,"2) Rs 50-99",IF(F1818&lt;200,"3) Rs 100-199",IF(F1818&lt;500,"4) Rs 200-499","5) Rs 500+"))))</f>
        <v>2) Rs 50-99</v>
      </c>
      <c r="O1818" s="0" t="n">
        <f aca="false">G1818*E1818/1000</f>
        <v>6.96</v>
      </c>
    </row>
    <row r="1819" customFormat="false" ht="15" hidden="false" customHeight="false" outlineLevel="0" collapsed="false">
      <c r="A1819" s="0" t="s">
        <v>113</v>
      </c>
      <c r="B1819" s="0" t="s">
        <v>847</v>
      </c>
      <c r="C1819" s="0" t="n">
        <v>40</v>
      </c>
      <c r="D1819" s="0" t="n">
        <v>17</v>
      </c>
      <c r="E1819" s="0" t="n">
        <v>6</v>
      </c>
      <c r="F1819" s="0" t="n">
        <v>33</v>
      </c>
      <c r="G1819" s="0" t="n">
        <v>30</v>
      </c>
      <c r="H1819" s="0" t="s">
        <v>145</v>
      </c>
      <c r="I1819" s="0" t="n">
        <v>30</v>
      </c>
      <c r="J1819" s="0" t="n">
        <f aca="false">F1819*E1819</f>
        <v>198</v>
      </c>
      <c r="K1819" s="0" t="str">
        <f aca="false">IF(G1819&lt;1000,"1-Low",IF(G1819&lt;5000,"2-Medium","3-Bulk"))</f>
        <v>1-Low</v>
      </c>
      <c r="L1819" s="0" t="str">
        <f aca="false">IF(H1819="TRUE","Out of stock","In stock")</f>
        <v>In stock</v>
      </c>
      <c r="M1819" s="0" t="str">
        <f aca="false">IF(D1819&lt;5,"1) Under 5%",IF(D1819&lt;10,"2) 5-9%",IF(D1819&lt;15,"3) 10-14%",IF(D1819&lt;25,"4) 15-24%","5) 25%+"))))</f>
        <v>4) 15-24%</v>
      </c>
      <c r="N1819" s="0" t="str">
        <f aca="false">IF(F1819&lt;50,"1) Under Rs 50",IF(F1819&lt;100,"2) Rs 50-99",IF(F1819&lt;200,"3) Rs 100-199",IF(F1819&lt;500,"4) Rs 200-499","5) Rs 500+"))))</f>
        <v>1) Under Rs 50</v>
      </c>
      <c r="O1819" s="0" t="n">
        <f aca="false">G1819*E1819/1000</f>
        <v>0.18</v>
      </c>
    </row>
    <row r="1820" customFormat="false" ht="15" hidden="false" customHeight="false" outlineLevel="0" collapsed="false">
      <c r="A1820" s="0" t="s">
        <v>113</v>
      </c>
      <c r="B1820" s="0" t="s">
        <v>848</v>
      </c>
      <c r="C1820" s="0" t="n">
        <v>10</v>
      </c>
      <c r="D1820" s="0" t="n">
        <v>0</v>
      </c>
      <c r="E1820" s="0" t="n">
        <v>1</v>
      </c>
      <c r="F1820" s="0" t="n">
        <v>10</v>
      </c>
      <c r="G1820" s="0" t="n">
        <v>16</v>
      </c>
      <c r="H1820" s="0" t="s">
        <v>145</v>
      </c>
      <c r="I1820" s="0" t="n">
        <v>15</v>
      </c>
      <c r="J1820" s="0" t="n">
        <f aca="false">F1820*E1820</f>
        <v>10</v>
      </c>
      <c r="K1820" s="0" t="str">
        <f aca="false">IF(G1820&lt;1000,"1-Low",IF(G1820&lt;5000,"2-Medium","3-Bulk"))</f>
        <v>1-Low</v>
      </c>
      <c r="L1820" s="0" t="str">
        <f aca="false">IF(H1820="TRUE","Out of stock","In stock")</f>
        <v>In stock</v>
      </c>
      <c r="M1820" s="0" t="str">
        <f aca="false">IF(D1820&lt;5,"1) Under 5%",IF(D1820&lt;10,"2) 5-9%",IF(D1820&lt;15,"3) 10-14%",IF(D1820&lt;25,"4) 15-24%","5) 25%+"))))</f>
        <v>1) Under 5%</v>
      </c>
      <c r="N1820" s="0" t="str">
        <f aca="false">IF(F1820&lt;50,"1) Under Rs 50",IF(F1820&lt;100,"2) Rs 50-99",IF(F1820&lt;200,"3) Rs 100-199",IF(F1820&lt;500,"4) Rs 200-499","5) Rs 500+"))))</f>
        <v>1) Under Rs 50</v>
      </c>
      <c r="O1820" s="0" t="n">
        <f aca="false">G1820*E1820/1000</f>
        <v>0.016</v>
      </c>
    </row>
    <row r="1821" customFormat="false" ht="15" hidden="false" customHeight="false" outlineLevel="0" collapsed="false">
      <c r="A1821" s="0" t="s">
        <v>113</v>
      </c>
      <c r="B1821" s="0" t="s">
        <v>327</v>
      </c>
      <c r="C1821" s="0" t="n">
        <v>160</v>
      </c>
      <c r="D1821" s="0" t="n">
        <v>50</v>
      </c>
      <c r="E1821" s="0" t="n">
        <v>6</v>
      </c>
      <c r="F1821" s="0" t="n">
        <v>80</v>
      </c>
      <c r="G1821" s="0" t="n">
        <v>500</v>
      </c>
      <c r="H1821" s="0" t="s">
        <v>145</v>
      </c>
      <c r="I1821" s="0" t="n">
        <v>500</v>
      </c>
      <c r="J1821" s="0" t="n">
        <f aca="false">F1821*E1821</f>
        <v>480</v>
      </c>
      <c r="K1821" s="0" t="str">
        <f aca="false">IF(G1821&lt;1000,"1-Low",IF(G1821&lt;5000,"2-Medium","3-Bulk"))</f>
        <v>1-Low</v>
      </c>
      <c r="L1821" s="0" t="str">
        <f aca="false">IF(H1821="TRUE","Out of stock","In stock")</f>
        <v>In stock</v>
      </c>
      <c r="M1821" s="0" t="str">
        <f aca="false">IF(D1821&lt;5,"1) Under 5%",IF(D1821&lt;10,"2) 5-9%",IF(D1821&lt;15,"3) 10-14%",IF(D1821&lt;25,"4) 15-24%","5) 25%+"))))</f>
        <v>5) 25%+</v>
      </c>
      <c r="N1821" s="0" t="str">
        <f aca="false">IF(F1821&lt;50,"1) Under Rs 50",IF(F1821&lt;100,"2) Rs 50-99",IF(F1821&lt;200,"3) Rs 100-199",IF(F1821&lt;500,"4) Rs 200-499","5) Rs 500+"))))</f>
        <v>2) Rs 50-99</v>
      </c>
      <c r="O1821" s="0" t="n">
        <f aca="false">G1821*E1821/1000</f>
        <v>3</v>
      </c>
    </row>
    <row r="1822" customFormat="false" ht="15" hidden="false" customHeight="false" outlineLevel="0" collapsed="false">
      <c r="A1822" s="0" t="s">
        <v>113</v>
      </c>
      <c r="B1822" s="0" t="s">
        <v>326</v>
      </c>
      <c r="C1822" s="0" t="n">
        <v>60</v>
      </c>
      <c r="D1822" s="0" t="n">
        <v>28</v>
      </c>
      <c r="E1822" s="0" t="n">
        <v>3</v>
      </c>
      <c r="F1822" s="0" t="n">
        <v>43</v>
      </c>
      <c r="G1822" s="0" t="n">
        <v>260</v>
      </c>
      <c r="H1822" s="0" t="s">
        <v>145</v>
      </c>
      <c r="I1822" s="0" t="n">
        <v>260</v>
      </c>
      <c r="J1822" s="0" t="n">
        <f aca="false">F1822*E1822</f>
        <v>129</v>
      </c>
      <c r="K1822" s="0" t="str">
        <f aca="false">IF(G1822&lt;1000,"1-Low",IF(G1822&lt;5000,"2-Medium","3-Bulk"))</f>
        <v>1-Low</v>
      </c>
      <c r="L1822" s="0" t="str">
        <f aca="false">IF(H1822="TRUE","Out of stock","In stock")</f>
        <v>In stock</v>
      </c>
      <c r="M1822" s="0" t="str">
        <f aca="false">IF(D1822&lt;5,"1) Under 5%",IF(D1822&lt;10,"2) 5-9%",IF(D1822&lt;15,"3) 10-14%",IF(D1822&lt;25,"4) 15-24%","5) 25%+"))))</f>
        <v>5) 25%+</v>
      </c>
      <c r="N1822" s="0" t="str">
        <f aca="false">IF(F1822&lt;50,"1) Under Rs 50",IF(F1822&lt;100,"2) Rs 50-99",IF(F1822&lt;200,"3) Rs 100-199",IF(F1822&lt;500,"4) Rs 200-499","5) Rs 500+"))))</f>
        <v>1) Under Rs 50</v>
      </c>
      <c r="O1822" s="0" t="n">
        <f aca="false">G1822*E1822/1000</f>
        <v>0.78</v>
      </c>
    </row>
    <row r="1823" customFormat="false" ht="15" hidden="false" customHeight="false" outlineLevel="0" collapsed="false">
      <c r="A1823" s="0" t="s">
        <v>113</v>
      </c>
      <c r="B1823" s="0" t="s">
        <v>328</v>
      </c>
      <c r="C1823" s="0" t="n">
        <v>25</v>
      </c>
      <c r="D1823" s="0" t="n">
        <v>20</v>
      </c>
      <c r="E1823" s="0" t="n">
        <v>6</v>
      </c>
      <c r="F1823" s="0" t="n">
        <v>20</v>
      </c>
      <c r="G1823" s="0" t="n">
        <v>60</v>
      </c>
      <c r="H1823" s="0" t="s">
        <v>145</v>
      </c>
      <c r="I1823" s="0" t="n">
        <v>60</v>
      </c>
      <c r="J1823" s="0" t="n">
        <f aca="false">F1823*E1823</f>
        <v>120</v>
      </c>
      <c r="K1823" s="0" t="str">
        <f aca="false">IF(G1823&lt;1000,"1-Low",IF(G1823&lt;5000,"2-Medium","3-Bulk"))</f>
        <v>1-Low</v>
      </c>
      <c r="L1823" s="0" t="str">
        <f aca="false">IF(H1823="TRUE","Out of stock","In stock")</f>
        <v>In stock</v>
      </c>
      <c r="M1823" s="0" t="str">
        <f aca="false">IF(D1823&lt;5,"1) Under 5%",IF(D1823&lt;10,"2) 5-9%",IF(D1823&lt;15,"3) 10-14%",IF(D1823&lt;25,"4) 15-24%","5) 25%+"))))</f>
        <v>4) 15-24%</v>
      </c>
      <c r="N1823" s="0" t="str">
        <f aca="false">IF(F1823&lt;50,"1) Under Rs 50",IF(F1823&lt;100,"2) Rs 50-99",IF(F1823&lt;200,"3) Rs 100-199",IF(F1823&lt;500,"4) Rs 200-499","5) Rs 500+"))))</f>
        <v>1) Under Rs 50</v>
      </c>
      <c r="O1823" s="0" t="n">
        <f aca="false">G1823*E1823/1000</f>
        <v>0.36</v>
      </c>
    </row>
    <row r="1824" customFormat="false" ht="15" hidden="false" customHeight="false" outlineLevel="0" collapsed="false">
      <c r="A1824" s="0" t="s">
        <v>113</v>
      </c>
      <c r="B1824" s="0" t="s">
        <v>849</v>
      </c>
      <c r="C1824" s="0" t="n">
        <v>445</v>
      </c>
      <c r="D1824" s="0" t="n">
        <v>9</v>
      </c>
      <c r="E1824" s="0" t="n">
        <v>6</v>
      </c>
      <c r="F1824" s="0" t="n">
        <v>401</v>
      </c>
      <c r="G1824" s="0" t="n">
        <v>750</v>
      </c>
      <c r="H1824" s="0" t="s">
        <v>145</v>
      </c>
      <c r="I1824" s="0" t="n">
        <v>750</v>
      </c>
      <c r="J1824" s="0" t="n">
        <f aca="false">F1824*E1824</f>
        <v>2406</v>
      </c>
      <c r="K1824" s="0" t="str">
        <f aca="false">IF(G1824&lt;1000,"1-Low",IF(G1824&lt;5000,"2-Medium","3-Bulk"))</f>
        <v>1-Low</v>
      </c>
      <c r="L1824" s="0" t="str">
        <f aca="false">IF(H1824="TRUE","Out of stock","In stock")</f>
        <v>In stock</v>
      </c>
      <c r="M1824" s="0" t="str">
        <f aca="false">IF(D1824&lt;5,"1) Under 5%",IF(D1824&lt;10,"2) 5-9%",IF(D1824&lt;15,"3) 10-14%",IF(D1824&lt;25,"4) 15-24%","5) 25%+"))))</f>
        <v>2) 5-9%</v>
      </c>
      <c r="N1824" s="0" t="str">
        <f aca="false">IF(F1824&lt;50,"1) Under Rs 50",IF(F1824&lt;100,"2) Rs 50-99",IF(F1824&lt;200,"3) Rs 100-199",IF(F1824&lt;500,"4) Rs 200-499","5) Rs 500+"))))</f>
        <v>4) Rs 200-499</v>
      </c>
      <c r="O1824" s="0" t="n">
        <f aca="false">G1824*E1824/1000</f>
        <v>4.5</v>
      </c>
    </row>
    <row r="1825" customFormat="false" ht="15" hidden="false" customHeight="false" outlineLevel="0" collapsed="false">
      <c r="A1825" s="0" t="s">
        <v>113</v>
      </c>
      <c r="B1825" s="0" t="s">
        <v>850</v>
      </c>
      <c r="C1825" s="0" t="n">
        <v>50</v>
      </c>
      <c r="D1825" s="0" t="n">
        <v>0</v>
      </c>
      <c r="E1825" s="0" t="n">
        <v>4</v>
      </c>
      <c r="F1825" s="0" t="n">
        <v>50</v>
      </c>
      <c r="G1825" s="0" t="n">
        <v>170</v>
      </c>
      <c r="H1825" s="0" t="s">
        <v>145</v>
      </c>
      <c r="I1825" s="0" t="n">
        <v>170</v>
      </c>
      <c r="J1825" s="0" t="n">
        <f aca="false">F1825*E1825</f>
        <v>200</v>
      </c>
      <c r="K1825" s="0" t="str">
        <f aca="false">IF(G1825&lt;1000,"1-Low",IF(G1825&lt;5000,"2-Medium","3-Bulk"))</f>
        <v>1-Low</v>
      </c>
      <c r="L1825" s="0" t="str">
        <f aca="false">IF(H1825="TRUE","Out of stock","In stock")</f>
        <v>In stock</v>
      </c>
      <c r="M1825" s="0" t="str">
        <f aca="false">IF(D1825&lt;5,"1) Under 5%",IF(D1825&lt;10,"2) 5-9%",IF(D1825&lt;15,"3) 10-14%",IF(D1825&lt;25,"4) 15-24%","5) 25%+"))))</f>
        <v>1) Under 5%</v>
      </c>
      <c r="N1825" s="0" t="str">
        <f aca="false">IF(F1825&lt;50,"1) Under Rs 50",IF(F1825&lt;100,"2) Rs 50-99",IF(F1825&lt;200,"3) Rs 100-199",IF(F1825&lt;500,"4) Rs 200-499","5) Rs 500+"))))</f>
        <v>2) Rs 50-99</v>
      </c>
      <c r="O1825" s="0" t="n">
        <f aca="false">G1825*E1825/1000</f>
        <v>0.68</v>
      </c>
    </row>
    <row r="1826" customFormat="false" ht="15" hidden="false" customHeight="false" outlineLevel="0" collapsed="false">
      <c r="A1826" s="0" t="s">
        <v>113</v>
      </c>
      <c r="B1826" s="0" t="s">
        <v>851</v>
      </c>
      <c r="C1826" s="0" t="n">
        <v>55</v>
      </c>
      <c r="D1826" s="0" t="n">
        <v>0</v>
      </c>
      <c r="E1826" s="0" t="n">
        <v>6</v>
      </c>
      <c r="F1826" s="0" t="n">
        <v>55</v>
      </c>
      <c r="G1826" s="0" t="n">
        <v>200</v>
      </c>
      <c r="H1826" s="0" t="s">
        <v>145</v>
      </c>
      <c r="I1826" s="0" t="n">
        <v>200</v>
      </c>
      <c r="J1826" s="0" t="n">
        <f aca="false">F1826*E1826</f>
        <v>330</v>
      </c>
      <c r="K1826" s="0" t="str">
        <f aca="false">IF(G1826&lt;1000,"1-Low",IF(G1826&lt;5000,"2-Medium","3-Bulk"))</f>
        <v>1-Low</v>
      </c>
      <c r="L1826" s="0" t="str">
        <f aca="false">IF(H1826="TRUE","Out of stock","In stock")</f>
        <v>In stock</v>
      </c>
      <c r="M1826" s="0" t="str">
        <f aca="false">IF(D1826&lt;5,"1) Under 5%",IF(D1826&lt;10,"2) 5-9%",IF(D1826&lt;15,"3) 10-14%",IF(D1826&lt;25,"4) 15-24%","5) 25%+"))))</f>
        <v>1) Under 5%</v>
      </c>
      <c r="N1826" s="0" t="str">
        <f aca="false">IF(F1826&lt;50,"1) Under Rs 50",IF(F1826&lt;100,"2) Rs 50-99",IF(F1826&lt;200,"3) Rs 100-199",IF(F1826&lt;500,"4) Rs 200-499","5) Rs 500+"))))</f>
        <v>2) Rs 50-99</v>
      </c>
      <c r="O1826" s="0" t="n">
        <f aca="false">G1826*E1826/1000</f>
        <v>1.2</v>
      </c>
    </row>
    <row r="1827" customFormat="false" ht="15" hidden="false" customHeight="false" outlineLevel="0" collapsed="false">
      <c r="A1827" s="0" t="s">
        <v>113</v>
      </c>
      <c r="B1827" s="0" t="s">
        <v>738</v>
      </c>
      <c r="C1827" s="0" t="n">
        <v>40</v>
      </c>
      <c r="D1827" s="0" t="n">
        <v>2</v>
      </c>
      <c r="E1827" s="0" t="n">
        <v>5</v>
      </c>
      <c r="F1827" s="0" t="n">
        <v>39</v>
      </c>
      <c r="G1827" s="0" t="n">
        <v>100</v>
      </c>
      <c r="H1827" s="0" t="s">
        <v>145</v>
      </c>
      <c r="I1827" s="0" t="n">
        <v>100</v>
      </c>
      <c r="J1827" s="0" t="n">
        <f aca="false">F1827*E1827</f>
        <v>195</v>
      </c>
      <c r="K1827" s="0" t="str">
        <f aca="false">IF(G1827&lt;1000,"1-Low",IF(G1827&lt;5000,"2-Medium","3-Bulk"))</f>
        <v>1-Low</v>
      </c>
      <c r="L1827" s="0" t="str">
        <f aca="false">IF(H1827="TRUE","Out of stock","In stock")</f>
        <v>In stock</v>
      </c>
      <c r="M1827" s="0" t="str">
        <f aca="false">IF(D1827&lt;5,"1) Under 5%",IF(D1827&lt;10,"2) 5-9%",IF(D1827&lt;15,"3) 10-14%",IF(D1827&lt;25,"4) 15-24%","5) 25%+"))))</f>
        <v>1) Under 5%</v>
      </c>
      <c r="N1827" s="0" t="str">
        <f aca="false">IF(F1827&lt;50,"1) Under Rs 50",IF(F1827&lt;100,"2) Rs 50-99",IF(F1827&lt;200,"3) Rs 100-199",IF(F1827&lt;500,"4) Rs 200-499","5) Rs 500+"))))</f>
        <v>1) Under Rs 50</v>
      </c>
      <c r="O1827" s="0" t="n">
        <f aca="false">G1827*E1827/1000</f>
        <v>0.5</v>
      </c>
    </row>
    <row r="1828" customFormat="false" ht="15" hidden="false" customHeight="false" outlineLevel="0" collapsed="false">
      <c r="A1828" s="0" t="s">
        <v>113</v>
      </c>
      <c r="B1828" s="0" t="s">
        <v>331</v>
      </c>
      <c r="C1828" s="0" t="n">
        <v>250</v>
      </c>
      <c r="D1828" s="0" t="n">
        <v>0</v>
      </c>
      <c r="E1828" s="0" t="n">
        <v>3</v>
      </c>
      <c r="F1828" s="0" t="n">
        <v>250</v>
      </c>
      <c r="G1828" s="0" t="n">
        <v>500</v>
      </c>
      <c r="H1828" s="0" t="s">
        <v>145</v>
      </c>
      <c r="I1828" s="0" t="n">
        <v>500</v>
      </c>
      <c r="J1828" s="0" t="n">
        <f aca="false">F1828*E1828</f>
        <v>750</v>
      </c>
      <c r="K1828" s="0" t="str">
        <f aca="false">IF(G1828&lt;1000,"1-Low",IF(G1828&lt;5000,"2-Medium","3-Bulk"))</f>
        <v>1-Low</v>
      </c>
      <c r="L1828" s="0" t="str">
        <f aca="false">IF(H1828="TRUE","Out of stock","In stock")</f>
        <v>In stock</v>
      </c>
      <c r="M1828" s="0" t="str">
        <f aca="false">IF(D1828&lt;5,"1) Under 5%",IF(D1828&lt;10,"2) 5-9%",IF(D1828&lt;15,"3) 10-14%",IF(D1828&lt;25,"4) 15-24%","5) 25%+"))))</f>
        <v>1) Under 5%</v>
      </c>
      <c r="N1828" s="0" t="str">
        <f aca="false">IF(F1828&lt;50,"1) Under Rs 50",IF(F1828&lt;100,"2) Rs 50-99",IF(F1828&lt;200,"3) Rs 100-199",IF(F1828&lt;500,"4) Rs 200-499","5) Rs 500+"))))</f>
        <v>4) Rs 200-499</v>
      </c>
      <c r="O1828" s="0" t="n">
        <f aca="false">G1828*E1828/1000</f>
        <v>1.5</v>
      </c>
    </row>
    <row r="1829" customFormat="false" ht="15" hidden="false" customHeight="false" outlineLevel="0" collapsed="false">
      <c r="A1829" s="0" t="s">
        <v>113</v>
      </c>
      <c r="B1829" s="0" t="s">
        <v>852</v>
      </c>
      <c r="C1829" s="0" t="n">
        <v>55</v>
      </c>
      <c r="D1829" s="0" t="n">
        <v>20</v>
      </c>
      <c r="E1829" s="0" t="n">
        <v>6</v>
      </c>
      <c r="F1829" s="0" t="n">
        <v>44</v>
      </c>
      <c r="G1829" s="0" t="n">
        <v>27</v>
      </c>
      <c r="H1829" s="0" t="s">
        <v>145</v>
      </c>
      <c r="I1829" s="0" t="n">
        <v>27</v>
      </c>
      <c r="J1829" s="0" t="n">
        <f aca="false">F1829*E1829</f>
        <v>264</v>
      </c>
      <c r="K1829" s="0" t="str">
        <f aca="false">IF(G1829&lt;1000,"1-Low",IF(G1829&lt;5000,"2-Medium","3-Bulk"))</f>
        <v>1-Low</v>
      </c>
      <c r="L1829" s="0" t="str">
        <f aca="false">IF(H1829="TRUE","Out of stock","In stock")</f>
        <v>In stock</v>
      </c>
      <c r="M1829" s="0" t="str">
        <f aca="false">IF(D1829&lt;5,"1) Under 5%",IF(D1829&lt;10,"2) 5-9%",IF(D1829&lt;15,"3) 10-14%",IF(D1829&lt;25,"4) 15-24%","5) 25%+"))))</f>
        <v>4) 15-24%</v>
      </c>
      <c r="N1829" s="0" t="str">
        <f aca="false">IF(F1829&lt;50,"1) Under Rs 50",IF(F1829&lt;100,"2) Rs 50-99",IF(F1829&lt;200,"3) Rs 100-199",IF(F1829&lt;500,"4) Rs 200-499","5) Rs 500+"))))</f>
        <v>1) Under Rs 50</v>
      </c>
      <c r="O1829" s="0" t="n">
        <f aca="false">G1829*E1829/1000</f>
        <v>0.162</v>
      </c>
    </row>
    <row r="1830" customFormat="false" ht="15" hidden="false" customHeight="false" outlineLevel="0" collapsed="false">
      <c r="A1830" s="0" t="s">
        <v>113</v>
      </c>
      <c r="B1830" s="0" t="s">
        <v>853</v>
      </c>
      <c r="C1830" s="0" t="n">
        <v>55</v>
      </c>
      <c r="D1830" s="0" t="n">
        <v>20</v>
      </c>
      <c r="E1830" s="0" t="n">
        <v>6</v>
      </c>
      <c r="F1830" s="0" t="n">
        <v>44</v>
      </c>
      <c r="G1830" s="0" t="n">
        <v>27</v>
      </c>
      <c r="H1830" s="0" t="s">
        <v>145</v>
      </c>
      <c r="I1830" s="0" t="n">
        <v>27</v>
      </c>
      <c r="J1830" s="0" t="n">
        <f aca="false">F1830*E1830</f>
        <v>264</v>
      </c>
      <c r="K1830" s="0" t="str">
        <f aca="false">IF(G1830&lt;1000,"1-Low",IF(G1830&lt;5000,"2-Medium","3-Bulk"))</f>
        <v>1-Low</v>
      </c>
      <c r="L1830" s="0" t="str">
        <f aca="false">IF(H1830="TRUE","Out of stock","In stock")</f>
        <v>In stock</v>
      </c>
      <c r="M1830" s="0" t="str">
        <f aca="false">IF(D1830&lt;5,"1) Under 5%",IF(D1830&lt;10,"2) 5-9%",IF(D1830&lt;15,"3) 10-14%",IF(D1830&lt;25,"4) 15-24%","5) 25%+"))))</f>
        <v>4) 15-24%</v>
      </c>
      <c r="N1830" s="0" t="str">
        <f aca="false">IF(F1830&lt;50,"1) Under Rs 50",IF(F1830&lt;100,"2) Rs 50-99",IF(F1830&lt;200,"3) Rs 100-199",IF(F1830&lt;500,"4) Rs 200-499","5) Rs 500+"))))</f>
        <v>1) Under Rs 50</v>
      </c>
      <c r="O1830" s="0" t="n">
        <f aca="false">G1830*E1830/1000</f>
        <v>0.162</v>
      </c>
    </row>
    <row r="1831" customFormat="false" ht="15" hidden="false" customHeight="false" outlineLevel="0" collapsed="false">
      <c r="A1831" s="0" t="s">
        <v>113</v>
      </c>
      <c r="B1831" s="0" t="s">
        <v>854</v>
      </c>
      <c r="C1831" s="0" t="n">
        <v>115</v>
      </c>
      <c r="D1831" s="0" t="n">
        <v>0</v>
      </c>
      <c r="E1831" s="0" t="n">
        <v>1</v>
      </c>
      <c r="F1831" s="0" t="n">
        <v>115</v>
      </c>
      <c r="G1831" s="0" t="n">
        <v>500</v>
      </c>
      <c r="H1831" s="0" t="s">
        <v>145</v>
      </c>
      <c r="I1831" s="0" t="n">
        <v>500</v>
      </c>
      <c r="J1831" s="0" t="n">
        <f aca="false">F1831*E1831</f>
        <v>115</v>
      </c>
      <c r="K1831" s="0" t="str">
        <f aca="false">IF(G1831&lt;1000,"1-Low",IF(G1831&lt;5000,"2-Medium","3-Bulk"))</f>
        <v>1-Low</v>
      </c>
      <c r="L1831" s="0" t="str">
        <f aca="false">IF(H1831="TRUE","Out of stock","In stock")</f>
        <v>In stock</v>
      </c>
      <c r="M1831" s="0" t="str">
        <f aca="false">IF(D1831&lt;5,"1) Under 5%",IF(D1831&lt;10,"2) 5-9%",IF(D1831&lt;15,"3) 10-14%",IF(D1831&lt;25,"4) 15-24%","5) 25%+"))))</f>
        <v>1) Under 5%</v>
      </c>
      <c r="N1831" s="0" t="str">
        <f aca="false">IF(F1831&lt;50,"1) Under Rs 50",IF(F1831&lt;100,"2) Rs 50-99",IF(F1831&lt;200,"3) Rs 100-199",IF(F1831&lt;500,"4) Rs 200-499","5) Rs 500+"))))</f>
        <v>3) Rs 100-199</v>
      </c>
      <c r="O1831" s="0" t="n">
        <f aca="false">G1831*E1831/1000</f>
        <v>0.5</v>
      </c>
    </row>
    <row r="1832" customFormat="false" ht="15" hidden="false" customHeight="false" outlineLevel="0" collapsed="false">
      <c r="A1832" s="0" t="s">
        <v>113</v>
      </c>
      <c r="B1832" s="0" t="s">
        <v>855</v>
      </c>
      <c r="C1832" s="0" t="n">
        <v>96</v>
      </c>
      <c r="D1832" s="0" t="n">
        <v>5</v>
      </c>
      <c r="E1832" s="0" t="n">
        <v>4</v>
      </c>
      <c r="F1832" s="0" t="n">
        <v>91</v>
      </c>
      <c r="G1832" s="0" t="n">
        <v>540</v>
      </c>
      <c r="H1832" s="0" t="s">
        <v>145</v>
      </c>
      <c r="I1832" s="0" t="n">
        <v>540</v>
      </c>
      <c r="J1832" s="0" t="n">
        <f aca="false">F1832*E1832</f>
        <v>364</v>
      </c>
      <c r="K1832" s="0" t="str">
        <f aca="false">IF(G1832&lt;1000,"1-Low",IF(G1832&lt;5000,"2-Medium","3-Bulk"))</f>
        <v>1-Low</v>
      </c>
      <c r="L1832" s="0" t="str">
        <f aca="false">IF(H1832="TRUE","Out of stock","In stock")</f>
        <v>In stock</v>
      </c>
      <c r="M1832" s="0" t="str">
        <f aca="false">IF(D1832&lt;5,"1) Under 5%",IF(D1832&lt;10,"2) 5-9%",IF(D1832&lt;15,"3) 10-14%",IF(D1832&lt;25,"4) 15-24%","5) 25%+"))))</f>
        <v>2) 5-9%</v>
      </c>
      <c r="N1832" s="0" t="str">
        <f aca="false">IF(F1832&lt;50,"1) Under Rs 50",IF(F1832&lt;100,"2) Rs 50-99",IF(F1832&lt;200,"3) Rs 100-199",IF(F1832&lt;500,"4) Rs 200-499","5) Rs 500+"))))</f>
        <v>2) Rs 50-99</v>
      </c>
      <c r="O1832" s="0" t="n">
        <f aca="false">G1832*E1832/1000</f>
        <v>2.16</v>
      </c>
    </row>
    <row r="1833" customFormat="false" ht="15" hidden="false" customHeight="false" outlineLevel="0" collapsed="false">
      <c r="A1833" s="0" t="s">
        <v>113</v>
      </c>
      <c r="B1833" s="0" t="s">
        <v>345</v>
      </c>
      <c r="C1833" s="0" t="n">
        <v>160</v>
      </c>
      <c r="D1833" s="0" t="n">
        <v>50</v>
      </c>
      <c r="E1833" s="0" t="n">
        <v>6</v>
      </c>
      <c r="F1833" s="0" t="n">
        <v>80</v>
      </c>
      <c r="G1833" s="0" t="n">
        <v>500</v>
      </c>
      <c r="H1833" s="0" t="s">
        <v>145</v>
      </c>
      <c r="I1833" s="0" t="n">
        <v>500</v>
      </c>
      <c r="J1833" s="0" t="n">
        <f aca="false">F1833*E1833</f>
        <v>480</v>
      </c>
      <c r="K1833" s="0" t="str">
        <f aca="false">IF(G1833&lt;1000,"1-Low",IF(G1833&lt;5000,"2-Medium","3-Bulk"))</f>
        <v>1-Low</v>
      </c>
      <c r="L1833" s="0" t="str">
        <f aca="false">IF(H1833="TRUE","Out of stock","In stock")</f>
        <v>In stock</v>
      </c>
      <c r="M1833" s="0" t="str">
        <f aca="false">IF(D1833&lt;5,"1) Under 5%",IF(D1833&lt;10,"2) 5-9%",IF(D1833&lt;15,"3) 10-14%",IF(D1833&lt;25,"4) 15-24%","5) 25%+"))))</f>
        <v>5) 25%+</v>
      </c>
      <c r="N1833" s="0" t="str">
        <f aca="false">IF(F1833&lt;50,"1) Under Rs 50",IF(F1833&lt;100,"2) Rs 50-99",IF(F1833&lt;200,"3) Rs 100-199",IF(F1833&lt;500,"4) Rs 200-499","5) Rs 500+"))))</f>
        <v>2) Rs 50-99</v>
      </c>
      <c r="O1833" s="0" t="n">
        <f aca="false">G1833*E1833/1000</f>
        <v>3</v>
      </c>
    </row>
    <row r="1834" customFormat="false" ht="15" hidden="false" customHeight="false" outlineLevel="0" collapsed="false">
      <c r="A1834" s="0" t="s">
        <v>113</v>
      </c>
      <c r="B1834" s="0" t="s">
        <v>347</v>
      </c>
      <c r="C1834" s="0" t="n">
        <v>60</v>
      </c>
      <c r="D1834" s="0" t="n">
        <v>10</v>
      </c>
      <c r="E1834" s="0" t="n">
        <v>1</v>
      </c>
      <c r="F1834" s="0" t="n">
        <v>54</v>
      </c>
      <c r="G1834" s="0" t="n">
        <v>280</v>
      </c>
      <c r="H1834" s="0" t="s">
        <v>145</v>
      </c>
      <c r="I1834" s="0" t="n">
        <v>280</v>
      </c>
      <c r="J1834" s="0" t="n">
        <f aca="false">F1834*E1834</f>
        <v>54</v>
      </c>
      <c r="K1834" s="0" t="str">
        <f aca="false">IF(G1834&lt;1000,"1-Low",IF(G1834&lt;5000,"2-Medium","3-Bulk"))</f>
        <v>1-Low</v>
      </c>
      <c r="L1834" s="0" t="str">
        <f aca="false">IF(H1834="TRUE","Out of stock","In stock")</f>
        <v>In stock</v>
      </c>
      <c r="M1834" s="0" t="str">
        <f aca="false">IF(D1834&lt;5,"1) Under 5%",IF(D1834&lt;10,"2) 5-9%",IF(D1834&lt;15,"3) 10-14%",IF(D1834&lt;25,"4) 15-24%","5) 25%+"))))</f>
        <v>3) 10-14%</v>
      </c>
      <c r="N1834" s="0" t="str">
        <f aca="false">IF(F1834&lt;50,"1) Under Rs 50",IF(F1834&lt;100,"2) Rs 50-99",IF(F1834&lt;200,"3) Rs 100-199",IF(F1834&lt;500,"4) Rs 200-499","5) Rs 500+"))))</f>
        <v>2) Rs 50-99</v>
      </c>
      <c r="O1834" s="0" t="n">
        <f aca="false">G1834*E1834/1000</f>
        <v>0.28</v>
      </c>
    </row>
    <row r="1835" customFormat="false" ht="15" hidden="false" customHeight="false" outlineLevel="0" collapsed="false">
      <c r="A1835" s="0" t="s">
        <v>113</v>
      </c>
      <c r="B1835" s="0" t="s">
        <v>856</v>
      </c>
      <c r="C1835" s="0" t="n">
        <v>89</v>
      </c>
      <c r="D1835" s="0" t="n">
        <v>11</v>
      </c>
      <c r="E1835" s="0" t="n">
        <v>6</v>
      </c>
      <c r="F1835" s="0" t="n">
        <v>79</v>
      </c>
      <c r="G1835" s="0" t="n">
        <v>275</v>
      </c>
      <c r="H1835" s="0" t="s">
        <v>145</v>
      </c>
      <c r="I1835" s="0" t="n">
        <v>275</v>
      </c>
      <c r="J1835" s="0" t="n">
        <f aca="false">F1835*E1835</f>
        <v>474</v>
      </c>
      <c r="K1835" s="0" t="str">
        <f aca="false">IF(G1835&lt;1000,"1-Low",IF(G1835&lt;5000,"2-Medium","3-Bulk"))</f>
        <v>1-Low</v>
      </c>
      <c r="L1835" s="0" t="str">
        <f aca="false">IF(H1835="TRUE","Out of stock","In stock")</f>
        <v>In stock</v>
      </c>
      <c r="M1835" s="0" t="str">
        <f aca="false">IF(D1835&lt;5,"1) Under 5%",IF(D1835&lt;10,"2) 5-9%",IF(D1835&lt;15,"3) 10-14%",IF(D1835&lt;25,"4) 15-24%","5) 25%+"))))</f>
        <v>3) 10-14%</v>
      </c>
      <c r="N1835" s="0" t="str">
        <f aca="false">IF(F1835&lt;50,"1) Under Rs 50",IF(F1835&lt;100,"2) Rs 50-99",IF(F1835&lt;200,"3) Rs 100-199",IF(F1835&lt;500,"4) Rs 200-499","5) Rs 500+"))))</f>
        <v>2) Rs 50-99</v>
      </c>
      <c r="O1835" s="0" t="n">
        <f aca="false">G1835*E1835/1000</f>
        <v>1.65</v>
      </c>
    </row>
    <row r="1836" customFormat="false" ht="15" hidden="false" customHeight="false" outlineLevel="0" collapsed="false">
      <c r="A1836" s="0" t="s">
        <v>113</v>
      </c>
      <c r="B1836" s="0" t="s">
        <v>351</v>
      </c>
      <c r="C1836" s="0" t="n">
        <v>44</v>
      </c>
      <c r="D1836" s="0" t="n">
        <v>0</v>
      </c>
      <c r="E1836" s="0" t="n">
        <v>2</v>
      </c>
      <c r="F1836" s="0" t="n">
        <v>44</v>
      </c>
      <c r="G1836" s="0" t="n">
        <v>60</v>
      </c>
      <c r="H1836" s="0" t="s">
        <v>145</v>
      </c>
      <c r="I1836" s="0" t="n">
        <v>60</v>
      </c>
      <c r="J1836" s="0" t="n">
        <f aca="false">F1836*E1836</f>
        <v>88</v>
      </c>
      <c r="K1836" s="0" t="str">
        <f aca="false">IF(G1836&lt;1000,"1-Low",IF(G1836&lt;5000,"2-Medium","3-Bulk"))</f>
        <v>1-Low</v>
      </c>
      <c r="L1836" s="0" t="str">
        <f aca="false">IF(H1836="TRUE","Out of stock","In stock")</f>
        <v>In stock</v>
      </c>
      <c r="M1836" s="0" t="str">
        <f aca="false">IF(D1836&lt;5,"1) Under 5%",IF(D1836&lt;10,"2) 5-9%",IF(D1836&lt;15,"3) 10-14%",IF(D1836&lt;25,"4) 15-24%","5) 25%+"))))</f>
        <v>1) Under 5%</v>
      </c>
      <c r="N1836" s="0" t="str">
        <f aca="false">IF(F1836&lt;50,"1) Under Rs 50",IF(F1836&lt;100,"2) Rs 50-99",IF(F1836&lt;200,"3) Rs 100-199",IF(F1836&lt;500,"4) Rs 200-499","5) Rs 500+"))))</f>
        <v>1) Under Rs 50</v>
      </c>
      <c r="O1836" s="0" t="n">
        <f aca="false">G1836*E1836/1000</f>
        <v>0.12</v>
      </c>
    </row>
    <row r="1837" customFormat="false" ht="15" hidden="false" customHeight="false" outlineLevel="0" collapsed="false">
      <c r="A1837" s="0" t="s">
        <v>113</v>
      </c>
      <c r="B1837" s="0" t="s">
        <v>224</v>
      </c>
      <c r="C1837" s="0" t="n">
        <v>110</v>
      </c>
      <c r="D1837" s="0" t="n">
        <v>4</v>
      </c>
      <c r="E1837" s="0" t="n">
        <v>2</v>
      </c>
      <c r="F1837" s="0" t="n">
        <v>105</v>
      </c>
      <c r="G1837" s="0" t="n">
        <v>1000</v>
      </c>
      <c r="H1837" s="0" t="s">
        <v>145</v>
      </c>
      <c r="I1837" s="0" t="n">
        <v>1</v>
      </c>
      <c r="J1837" s="0" t="n">
        <f aca="false">F1837*E1837</f>
        <v>210</v>
      </c>
      <c r="K1837" s="0" t="str">
        <f aca="false">IF(G1837&lt;1000,"1-Low",IF(G1837&lt;5000,"2-Medium","3-Bulk"))</f>
        <v>2-Medium</v>
      </c>
      <c r="L1837" s="0" t="str">
        <f aca="false">IF(H1837="TRUE","Out of stock","In stock")</f>
        <v>In stock</v>
      </c>
      <c r="M1837" s="0" t="str">
        <f aca="false">IF(D1837&lt;5,"1) Under 5%",IF(D1837&lt;10,"2) 5-9%",IF(D1837&lt;15,"3) 10-14%",IF(D1837&lt;25,"4) 15-24%","5) 25%+"))))</f>
        <v>1) Under 5%</v>
      </c>
      <c r="N1837" s="0" t="str">
        <f aca="false">IF(F1837&lt;50,"1) Under Rs 50",IF(F1837&lt;100,"2) Rs 50-99",IF(F1837&lt;200,"3) Rs 100-199",IF(F1837&lt;500,"4) Rs 200-499","5) Rs 500+"))))</f>
        <v>3) Rs 100-199</v>
      </c>
      <c r="O1837" s="0" t="n">
        <f aca="false">G1837*E1837/1000</f>
        <v>2</v>
      </c>
    </row>
    <row r="1838" customFormat="false" ht="15" hidden="false" customHeight="false" outlineLevel="0" collapsed="false">
      <c r="A1838" s="0" t="s">
        <v>113</v>
      </c>
      <c r="B1838" s="0" t="s">
        <v>357</v>
      </c>
      <c r="C1838" s="0" t="n">
        <v>25</v>
      </c>
      <c r="D1838" s="0" t="n">
        <v>0</v>
      </c>
      <c r="E1838" s="0" t="n">
        <v>6</v>
      </c>
      <c r="F1838" s="0" t="n">
        <v>25</v>
      </c>
      <c r="G1838" s="0" t="n">
        <v>60</v>
      </c>
      <c r="H1838" s="0" t="s">
        <v>145</v>
      </c>
      <c r="I1838" s="0" t="n">
        <v>60</v>
      </c>
      <c r="J1838" s="0" t="n">
        <f aca="false">F1838*E1838</f>
        <v>150</v>
      </c>
      <c r="K1838" s="0" t="str">
        <f aca="false">IF(G1838&lt;1000,"1-Low",IF(G1838&lt;5000,"2-Medium","3-Bulk"))</f>
        <v>1-Low</v>
      </c>
      <c r="L1838" s="0" t="str">
        <f aca="false">IF(H1838="TRUE","Out of stock","In stock")</f>
        <v>In stock</v>
      </c>
      <c r="M1838" s="0" t="str">
        <f aca="false">IF(D1838&lt;5,"1) Under 5%",IF(D1838&lt;10,"2) 5-9%",IF(D1838&lt;15,"3) 10-14%",IF(D1838&lt;25,"4) 15-24%","5) 25%+"))))</f>
        <v>1) Under 5%</v>
      </c>
      <c r="N1838" s="0" t="str">
        <f aca="false">IF(F1838&lt;50,"1) Under Rs 50",IF(F1838&lt;100,"2) Rs 50-99",IF(F1838&lt;200,"3) Rs 100-199",IF(F1838&lt;500,"4) Rs 200-499","5) Rs 500+"))))</f>
        <v>1) Under Rs 50</v>
      </c>
      <c r="O1838" s="0" t="n">
        <f aca="false">G1838*E1838/1000</f>
        <v>0.36</v>
      </c>
    </row>
    <row r="1839" customFormat="false" ht="15" hidden="false" customHeight="false" outlineLevel="0" collapsed="false">
      <c r="A1839" s="0" t="s">
        <v>113</v>
      </c>
      <c r="B1839" s="0" t="s">
        <v>358</v>
      </c>
      <c r="C1839" s="0" t="n">
        <v>15</v>
      </c>
      <c r="D1839" s="0" t="n">
        <v>0</v>
      </c>
      <c r="E1839" s="0" t="n">
        <v>5</v>
      </c>
      <c r="F1839" s="0" t="n">
        <v>15</v>
      </c>
      <c r="G1839" s="0" t="n">
        <v>60</v>
      </c>
      <c r="H1839" s="0" t="s">
        <v>145</v>
      </c>
      <c r="I1839" s="0" t="n">
        <v>60</v>
      </c>
      <c r="J1839" s="0" t="n">
        <f aca="false">F1839*E1839</f>
        <v>75</v>
      </c>
      <c r="K1839" s="0" t="str">
        <f aca="false">IF(G1839&lt;1000,"1-Low",IF(G1839&lt;5000,"2-Medium","3-Bulk"))</f>
        <v>1-Low</v>
      </c>
      <c r="L1839" s="0" t="str">
        <f aca="false">IF(H1839="TRUE","Out of stock","In stock")</f>
        <v>In stock</v>
      </c>
      <c r="M1839" s="0" t="str">
        <f aca="false">IF(D1839&lt;5,"1) Under 5%",IF(D1839&lt;10,"2) 5-9%",IF(D1839&lt;15,"3) 10-14%",IF(D1839&lt;25,"4) 15-24%","5) 25%+"))))</f>
        <v>1) Under 5%</v>
      </c>
      <c r="N1839" s="0" t="str">
        <f aca="false">IF(F1839&lt;50,"1) Under Rs 50",IF(F1839&lt;100,"2) Rs 50-99",IF(F1839&lt;200,"3) Rs 100-199",IF(F1839&lt;500,"4) Rs 200-499","5) Rs 500+"))))</f>
        <v>1) Under Rs 50</v>
      </c>
      <c r="O1839" s="0" t="n">
        <f aca="false">G1839*E1839/1000</f>
        <v>0.3</v>
      </c>
    </row>
    <row r="1840" customFormat="false" ht="15" hidden="false" customHeight="false" outlineLevel="0" collapsed="false">
      <c r="A1840" s="0" t="s">
        <v>113</v>
      </c>
      <c r="B1840" s="0" t="s">
        <v>857</v>
      </c>
      <c r="C1840" s="0" t="n">
        <v>55</v>
      </c>
      <c r="D1840" s="0" t="n">
        <v>25</v>
      </c>
      <c r="E1840" s="0" t="n">
        <v>6</v>
      </c>
      <c r="F1840" s="0" t="n">
        <v>41</v>
      </c>
      <c r="G1840" s="0" t="n">
        <v>27</v>
      </c>
      <c r="H1840" s="0" t="s">
        <v>145</v>
      </c>
      <c r="I1840" s="0" t="n">
        <v>27</v>
      </c>
      <c r="J1840" s="0" t="n">
        <f aca="false">F1840*E1840</f>
        <v>246</v>
      </c>
      <c r="K1840" s="0" t="str">
        <f aca="false">IF(G1840&lt;1000,"1-Low",IF(G1840&lt;5000,"2-Medium","3-Bulk"))</f>
        <v>1-Low</v>
      </c>
      <c r="L1840" s="0" t="str">
        <f aca="false">IF(H1840="TRUE","Out of stock","In stock")</f>
        <v>In stock</v>
      </c>
      <c r="M1840" s="0" t="str">
        <f aca="false">IF(D1840&lt;5,"1) Under 5%",IF(D1840&lt;10,"2) 5-9%",IF(D1840&lt;15,"3) 10-14%",IF(D1840&lt;25,"4) 15-24%","5) 25%+"))))</f>
        <v>5) 25%+</v>
      </c>
      <c r="N1840" s="0" t="str">
        <f aca="false">IF(F1840&lt;50,"1) Under Rs 50",IF(F1840&lt;100,"2) Rs 50-99",IF(F1840&lt;200,"3) Rs 100-199",IF(F1840&lt;500,"4) Rs 200-499","5) Rs 500+"))))</f>
        <v>1) Under Rs 50</v>
      </c>
      <c r="O1840" s="0" t="n">
        <f aca="false">G1840*E1840/1000</f>
        <v>0.162</v>
      </c>
    </row>
    <row r="1841" customFormat="false" ht="15" hidden="false" customHeight="false" outlineLevel="0" collapsed="false">
      <c r="A1841" s="0" t="s">
        <v>113</v>
      </c>
      <c r="B1841" s="0" t="s">
        <v>858</v>
      </c>
      <c r="C1841" s="0" t="n">
        <v>110</v>
      </c>
      <c r="D1841" s="0" t="n">
        <v>22</v>
      </c>
      <c r="E1841" s="0" t="n">
        <v>6</v>
      </c>
      <c r="F1841" s="0" t="n">
        <v>85</v>
      </c>
      <c r="G1841" s="0" t="n">
        <v>300</v>
      </c>
      <c r="H1841" s="0" t="s">
        <v>145</v>
      </c>
      <c r="I1841" s="0" t="n">
        <v>300</v>
      </c>
      <c r="J1841" s="0" t="n">
        <f aca="false">F1841*E1841</f>
        <v>510</v>
      </c>
      <c r="K1841" s="0" t="str">
        <f aca="false">IF(G1841&lt;1000,"1-Low",IF(G1841&lt;5000,"2-Medium","3-Bulk"))</f>
        <v>1-Low</v>
      </c>
      <c r="L1841" s="0" t="str">
        <f aca="false">IF(H1841="TRUE","Out of stock","In stock")</f>
        <v>In stock</v>
      </c>
      <c r="M1841" s="0" t="str">
        <f aca="false">IF(D1841&lt;5,"1) Under 5%",IF(D1841&lt;10,"2) 5-9%",IF(D1841&lt;15,"3) 10-14%",IF(D1841&lt;25,"4) 15-24%","5) 25%+"))))</f>
        <v>4) 15-24%</v>
      </c>
      <c r="N1841" s="0" t="str">
        <f aca="false">IF(F1841&lt;50,"1) Under Rs 50",IF(F1841&lt;100,"2) Rs 50-99",IF(F1841&lt;200,"3) Rs 100-199",IF(F1841&lt;500,"4) Rs 200-499","5) Rs 500+"))))</f>
        <v>2) Rs 50-99</v>
      </c>
      <c r="O1841" s="0" t="n">
        <f aca="false">G1841*E1841/1000</f>
        <v>1.8</v>
      </c>
    </row>
    <row r="1842" customFormat="false" ht="15" hidden="false" customHeight="false" outlineLevel="0" collapsed="false">
      <c r="A1842" s="0" t="s">
        <v>113</v>
      </c>
      <c r="B1842" s="0" t="s">
        <v>355</v>
      </c>
      <c r="C1842" s="0" t="n">
        <v>120</v>
      </c>
      <c r="D1842" s="0" t="n">
        <v>1</v>
      </c>
      <c r="E1842" s="0" t="n">
        <v>2</v>
      </c>
      <c r="F1842" s="0" t="n">
        <v>118</v>
      </c>
      <c r="G1842" s="0" t="n">
        <v>240</v>
      </c>
      <c r="H1842" s="0" t="s">
        <v>145</v>
      </c>
      <c r="I1842" s="0" t="n">
        <v>240</v>
      </c>
      <c r="J1842" s="0" t="n">
        <f aca="false">F1842*E1842</f>
        <v>236</v>
      </c>
      <c r="K1842" s="0" t="str">
        <f aca="false">IF(G1842&lt;1000,"1-Low",IF(G1842&lt;5000,"2-Medium","3-Bulk"))</f>
        <v>1-Low</v>
      </c>
      <c r="L1842" s="0" t="str">
        <f aca="false">IF(H1842="TRUE","Out of stock","In stock")</f>
        <v>In stock</v>
      </c>
      <c r="M1842" s="0" t="str">
        <f aca="false">IF(D1842&lt;5,"1) Under 5%",IF(D1842&lt;10,"2) 5-9%",IF(D1842&lt;15,"3) 10-14%",IF(D1842&lt;25,"4) 15-24%","5) 25%+"))))</f>
        <v>1) Under 5%</v>
      </c>
      <c r="N1842" s="0" t="str">
        <f aca="false">IF(F1842&lt;50,"1) Under Rs 50",IF(F1842&lt;100,"2) Rs 50-99",IF(F1842&lt;200,"3) Rs 100-199",IF(F1842&lt;500,"4) Rs 200-499","5) Rs 500+"))))</f>
        <v>3) Rs 100-199</v>
      </c>
      <c r="O1842" s="0" t="n">
        <f aca="false">G1842*E1842/1000</f>
        <v>0.48</v>
      </c>
    </row>
    <row r="1843" customFormat="false" ht="15" hidden="false" customHeight="false" outlineLevel="0" collapsed="false">
      <c r="A1843" s="0" t="s">
        <v>113</v>
      </c>
      <c r="B1843" s="0" t="s">
        <v>859</v>
      </c>
      <c r="C1843" s="0" t="n">
        <v>60</v>
      </c>
      <c r="D1843" s="0" t="n">
        <v>6</v>
      </c>
      <c r="E1843" s="0" t="n">
        <v>6</v>
      </c>
      <c r="F1843" s="0" t="n">
        <v>56</v>
      </c>
      <c r="G1843" s="0" t="n">
        <v>200</v>
      </c>
      <c r="H1843" s="0" t="s">
        <v>145</v>
      </c>
      <c r="I1843" s="0" t="n">
        <v>200</v>
      </c>
      <c r="J1843" s="0" t="n">
        <f aca="false">F1843*E1843</f>
        <v>336</v>
      </c>
      <c r="K1843" s="0" t="str">
        <f aca="false">IF(G1843&lt;1000,"1-Low",IF(G1843&lt;5000,"2-Medium","3-Bulk"))</f>
        <v>1-Low</v>
      </c>
      <c r="L1843" s="0" t="str">
        <f aca="false">IF(H1843="TRUE","Out of stock","In stock")</f>
        <v>In stock</v>
      </c>
      <c r="M1843" s="0" t="str">
        <f aca="false">IF(D1843&lt;5,"1) Under 5%",IF(D1843&lt;10,"2) 5-9%",IF(D1843&lt;15,"3) 10-14%",IF(D1843&lt;25,"4) 15-24%","5) 25%+"))))</f>
        <v>2) 5-9%</v>
      </c>
      <c r="N1843" s="0" t="str">
        <f aca="false">IF(F1843&lt;50,"1) Under Rs 50",IF(F1843&lt;100,"2) Rs 50-99",IF(F1843&lt;200,"3) Rs 100-199",IF(F1843&lt;500,"4) Rs 200-499","5) Rs 500+"))))</f>
        <v>2) Rs 50-99</v>
      </c>
      <c r="O1843" s="0" t="n">
        <f aca="false">G1843*E1843/1000</f>
        <v>1.2</v>
      </c>
    </row>
    <row r="1844" customFormat="false" ht="15" hidden="false" customHeight="false" outlineLevel="0" collapsed="false">
      <c r="A1844" s="0" t="s">
        <v>113</v>
      </c>
      <c r="B1844" s="0" t="s">
        <v>860</v>
      </c>
      <c r="C1844" s="0" t="n">
        <v>120</v>
      </c>
      <c r="D1844" s="0" t="n">
        <v>5</v>
      </c>
      <c r="E1844" s="0" t="n">
        <v>5</v>
      </c>
      <c r="F1844" s="0" t="n">
        <v>114</v>
      </c>
      <c r="G1844" s="0" t="n">
        <v>400</v>
      </c>
      <c r="H1844" s="0" t="s">
        <v>145</v>
      </c>
      <c r="I1844" s="0" t="n">
        <v>400</v>
      </c>
      <c r="J1844" s="0" t="n">
        <f aca="false">F1844*E1844</f>
        <v>570</v>
      </c>
      <c r="K1844" s="0" t="str">
        <f aca="false">IF(G1844&lt;1000,"1-Low",IF(G1844&lt;5000,"2-Medium","3-Bulk"))</f>
        <v>1-Low</v>
      </c>
      <c r="L1844" s="0" t="str">
        <f aca="false">IF(H1844="TRUE","Out of stock","In stock")</f>
        <v>In stock</v>
      </c>
      <c r="M1844" s="0" t="str">
        <f aca="false">IF(D1844&lt;5,"1) Under 5%",IF(D1844&lt;10,"2) 5-9%",IF(D1844&lt;15,"3) 10-14%",IF(D1844&lt;25,"4) 15-24%","5) 25%+"))))</f>
        <v>2) 5-9%</v>
      </c>
      <c r="N1844" s="0" t="str">
        <f aca="false">IF(F1844&lt;50,"1) Under Rs 50",IF(F1844&lt;100,"2) Rs 50-99",IF(F1844&lt;200,"3) Rs 100-199",IF(F1844&lt;500,"4) Rs 200-499","5) Rs 500+"))))</f>
        <v>3) Rs 100-199</v>
      </c>
      <c r="O1844" s="0" t="n">
        <f aca="false">G1844*E1844/1000</f>
        <v>2</v>
      </c>
    </row>
    <row r="1845" customFormat="false" ht="15" hidden="false" customHeight="false" outlineLevel="0" collapsed="false">
      <c r="A1845" s="0" t="s">
        <v>113</v>
      </c>
      <c r="B1845" s="0" t="s">
        <v>861</v>
      </c>
      <c r="C1845" s="0" t="n">
        <v>40</v>
      </c>
      <c r="D1845" s="0" t="n">
        <v>12</v>
      </c>
      <c r="E1845" s="0" t="n">
        <v>4</v>
      </c>
      <c r="F1845" s="0" t="n">
        <v>35</v>
      </c>
      <c r="G1845" s="0" t="n">
        <v>38</v>
      </c>
      <c r="H1845" s="0" t="s">
        <v>145</v>
      </c>
      <c r="I1845" s="0" t="n">
        <v>38</v>
      </c>
      <c r="J1845" s="0" t="n">
        <f aca="false">F1845*E1845</f>
        <v>140</v>
      </c>
      <c r="K1845" s="0" t="str">
        <f aca="false">IF(G1845&lt;1000,"1-Low",IF(G1845&lt;5000,"2-Medium","3-Bulk"))</f>
        <v>1-Low</v>
      </c>
      <c r="L1845" s="0" t="str">
        <f aca="false">IF(H1845="TRUE","Out of stock","In stock")</f>
        <v>In stock</v>
      </c>
      <c r="M1845" s="0" t="str">
        <f aca="false">IF(D1845&lt;5,"1) Under 5%",IF(D1845&lt;10,"2) 5-9%",IF(D1845&lt;15,"3) 10-14%",IF(D1845&lt;25,"4) 15-24%","5) 25%+"))))</f>
        <v>3) 10-14%</v>
      </c>
      <c r="N1845" s="0" t="str">
        <f aca="false">IF(F1845&lt;50,"1) Under Rs 50",IF(F1845&lt;100,"2) Rs 50-99",IF(F1845&lt;200,"3) Rs 100-199",IF(F1845&lt;500,"4) Rs 200-499","5) Rs 500+"))))</f>
        <v>1) Under Rs 50</v>
      </c>
      <c r="O1845" s="0" t="n">
        <f aca="false">G1845*E1845/1000</f>
        <v>0.152</v>
      </c>
    </row>
    <row r="1846" customFormat="false" ht="15" hidden="false" customHeight="false" outlineLevel="0" collapsed="false">
      <c r="A1846" s="0" t="s">
        <v>113</v>
      </c>
      <c r="B1846" s="0" t="s">
        <v>862</v>
      </c>
      <c r="C1846" s="0" t="n">
        <v>55</v>
      </c>
      <c r="D1846" s="0" t="n">
        <v>0</v>
      </c>
      <c r="E1846" s="0" t="n">
        <v>5</v>
      </c>
      <c r="F1846" s="0" t="n">
        <v>55</v>
      </c>
      <c r="G1846" s="0" t="n">
        <v>190</v>
      </c>
      <c r="H1846" s="0" t="s">
        <v>145</v>
      </c>
      <c r="I1846" s="0" t="n">
        <v>190</v>
      </c>
      <c r="J1846" s="0" t="n">
        <f aca="false">F1846*E1846</f>
        <v>275</v>
      </c>
      <c r="K1846" s="0" t="str">
        <f aca="false">IF(G1846&lt;1000,"1-Low",IF(G1846&lt;5000,"2-Medium","3-Bulk"))</f>
        <v>1-Low</v>
      </c>
      <c r="L1846" s="0" t="str">
        <f aca="false">IF(H1846="TRUE","Out of stock","In stock")</f>
        <v>In stock</v>
      </c>
      <c r="M1846" s="0" t="str">
        <f aca="false">IF(D1846&lt;5,"1) Under 5%",IF(D1846&lt;10,"2) 5-9%",IF(D1846&lt;15,"3) 10-14%",IF(D1846&lt;25,"4) 15-24%","5) 25%+"))))</f>
        <v>1) Under 5%</v>
      </c>
      <c r="N1846" s="0" t="str">
        <f aca="false">IF(F1846&lt;50,"1) Under Rs 50",IF(F1846&lt;100,"2) Rs 50-99",IF(F1846&lt;200,"3) Rs 100-199",IF(F1846&lt;500,"4) Rs 200-499","5) Rs 500+"))))</f>
        <v>2) Rs 50-99</v>
      </c>
      <c r="O1846" s="0" t="n">
        <f aca="false">G1846*E1846/1000</f>
        <v>0.95</v>
      </c>
    </row>
    <row r="1847" customFormat="false" ht="15" hidden="false" customHeight="false" outlineLevel="0" collapsed="false">
      <c r="A1847" s="0" t="s">
        <v>113</v>
      </c>
      <c r="B1847" s="0" t="s">
        <v>863</v>
      </c>
      <c r="C1847" s="0" t="n">
        <v>75</v>
      </c>
      <c r="D1847" s="0" t="n">
        <v>6</v>
      </c>
      <c r="E1847" s="0" t="n">
        <v>4</v>
      </c>
      <c r="F1847" s="0" t="n">
        <v>70</v>
      </c>
      <c r="G1847" s="0" t="n">
        <v>280</v>
      </c>
      <c r="H1847" s="0" t="s">
        <v>145</v>
      </c>
      <c r="I1847" s="0" t="n">
        <v>280</v>
      </c>
      <c r="J1847" s="0" t="n">
        <f aca="false">F1847*E1847</f>
        <v>280</v>
      </c>
      <c r="K1847" s="0" t="str">
        <f aca="false">IF(G1847&lt;1000,"1-Low",IF(G1847&lt;5000,"2-Medium","3-Bulk"))</f>
        <v>1-Low</v>
      </c>
      <c r="L1847" s="0" t="str">
        <f aca="false">IF(H1847="TRUE","Out of stock","In stock")</f>
        <v>In stock</v>
      </c>
      <c r="M1847" s="0" t="str">
        <f aca="false">IF(D1847&lt;5,"1) Under 5%",IF(D1847&lt;10,"2) 5-9%",IF(D1847&lt;15,"3) 10-14%",IF(D1847&lt;25,"4) 15-24%","5) 25%+"))))</f>
        <v>2) 5-9%</v>
      </c>
      <c r="N1847" s="0" t="str">
        <f aca="false">IF(F1847&lt;50,"1) Under Rs 50",IF(F1847&lt;100,"2) Rs 50-99",IF(F1847&lt;200,"3) Rs 100-199",IF(F1847&lt;500,"4) Rs 200-499","5) Rs 500+"))))</f>
        <v>2) Rs 50-99</v>
      </c>
      <c r="O1847" s="0" t="n">
        <f aca="false">G1847*E1847/1000</f>
        <v>1.12</v>
      </c>
    </row>
    <row r="1848" customFormat="false" ht="15" hidden="false" customHeight="false" outlineLevel="0" collapsed="false">
      <c r="A1848" s="0" t="s">
        <v>113</v>
      </c>
      <c r="B1848" s="0" t="s">
        <v>864</v>
      </c>
      <c r="C1848" s="0" t="n">
        <v>110</v>
      </c>
      <c r="D1848" s="0" t="n">
        <v>4</v>
      </c>
      <c r="E1848" s="0" t="n">
        <v>6</v>
      </c>
      <c r="F1848" s="0" t="n">
        <v>105</v>
      </c>
      <c r="G1848" s="0" t="n">
        <v>400</v>
      </c>
      <c r="H1848" s="0" t="s">
        <v>145</v>
      </c>
      <c r="I1848" s="0" t="n">
        <v>400</v>
      </c>
      <c r="J1848" s="0" t="n">
        <f aca="false">F1848*E1848</f>
        <v>630</v>
      </c>
      <c r="K1848" s="0" t="str">
        <f aca="false">IF(G1848&lt;1000,"1-Low",IF(G1848&lt;5000,"2-Medium","3-Bulk"))</f>
        <v>1-Low</v>
      </c>
      <c r="L1848" s="0" t="str">
        <f aca="false">IF(H1848="TRUE","Out of stock","In stock")</f>
        <v>In stock</v>
      </c>
      <c r="M1848" s="0" t="str">
        <f aca="false">IF(D1848&lt;5,"1) Under 5%",IF(D1848&lt;10,"2) 5-9%",IF(D1848&lt;15,"3) 10-14%",IF(D1848&lt;25,"4) 15-24%","5) 25%+"))))</f>
        <v>1) Under 5%</v>
      </c>
      <c r="N1848" s="0" t="str">
        <f aca="false">IF(F1848&lt;50,"1) Under Rs 50",IF(F1848&lt;100,"2) Rs 50-99",IF(F1848&lt;200,"3) Rs 100-199",IF(F1848&lt;500,"4) Rs 200-499","5) Rs 500+"))))</f>
        <v>3) Rs 100-199</v>
      </c>
      <c r="O1848" s="0" t="n">
        <f aca="false">G1848*E1848/1000</f>
        <v>2.4</v>
      </c>
    </row>
    <row r="1849" customFormat="false" ht="15" hidden="false" customHeight="false" outlineLevel="0" collapsed="false">
      <c r="A1849" s="0" t="s">
        <v>113</v>
      </c>
      <c r="B1849" s="0" t="s">
        <v>865</v>
      </c>
      <c r="C1849" s="0" t="n">
        <v>325</v>
      </c>
      <c r="D1849" s="0" t="n">
        <v>6</v>
      </c>
      <c r="E1849" s="0" t="n">
        <v>6</v>
      </c>
      <c r="F1849" s="0" t="n">
        <v>305</v>
      </c>
      <c r="G1849" s="0" t="n">
        <v>500</v>
      </c>
      <c r="H1849" s="0" t="s">
        <v>145</v>
      </c>
      <c r="I1849" s="0" t="n">
        <v>500</v>
      </c>
      <c r="J1849" s="0" t="n">
        <f aca="false">F1849*E1849</f>
        <v>1830</v>
      </c>
      <c r="K1849" s="0" t="str">
        <f aca="false">IF(G1849&lt;1000,"1-Low",IF(G1849&lt;5000,"2-Medium","3-Bulk"))</f>
        <v>1-Low</v>
      </c>
      <c r="L1849" s="0" t="str">
        <f aca="false">IF(H1849="TRUE","Out of stock","In stock")</f>
        <v>In stock</v>
      </c>
      <c r="M1849" s="0" t="str">
        <f aca="false">IF(D1849&lt;5,"1) Under 5%",IF(D1849&lt;10,"2) 5-9%",IF(D1849&lt;15,"3) 10-14%",IF(D1849&lt;25,"4) 15-24%","5) 25%+"))))</f>
        <v>2) 5-9%</v>
      </c>
      <c r="N1849" s="0" t="str">
        <f aca="false">IF(F1849&lt;50,"1) Under Rs 50",IF(F1849&lt;100,"2) Rs 50-99",IF(F1849&lt;200,"3) Rs 100-199",IF(F1849&lt;500,"4) Rs 200-499","5) Rs 500+"))))</f>
        <v>4) Rs 200-499</v>
      </c>
      <c r="O1849" s="0" t="n">
        <f aca="false">G1849*E1849/1000</f>
        <v>3</v>
      </c>
    </row>
    <row r="1850" customFormat="false" ht="15" hidden="false" customHeight="false" outlineLevel="0" collapsed="false">
      <c r="A1850" s="0" t="s">
        <v>113</v>
      </c>
      <c r="B1850" s="0" t="s">
        <v>866</v>
      </c>
      <c r="C1850" s="0" t="n">
        <v>55</v>
      </c>
      <c r="D1850" s="0" t="n">
        <v>20</v>
      </c>
      <c r="E1850" s="0" t="n">
        <v>5</v>
      </c>
      <c r="F1850" s="0" t="n">
        <v>44</v>
      </c>
      <c r="G1850" s="0" t="n">
        <v>27</v>
      </c>
      <c r="H1850" s="0" t="s">
        <v>145</v>
      </c>
      <c r="I1850" s="0" t="n">
        <v>27</v>
      </c>
      <c r="J1850" s="0" t="n">
        <f aca="false">F1850*E1850</f>
        <v>220</v>
      </c>
      <c r="K1850" s="0" t="str">
        <f aca="false">IF(G1850&lt;1000,"1-Low",IF(G1850&lt;5000,"2-Medium","3-Bulk"))</f>
        <v>1-Low</v>
      </c>
      <c r="L1850" s="0" t="str">
        <f aca="false">IF(H1850="TRUE","Out of stock","In stock")</f>
        <v>In stock</v>
      </c>
      <c r="M1850" s="0" t="str">
        <f aca="false">IF(D1850&lt;5,"1) Under 5%",IF(D1850&lt;10,"2) 5-9%",IF(D1850&lt;15,"3) 10-14%",IF(D1850&lt;25,"4) 15-24%","5) 25%+"))))</f>
        <v>4) 15-24%</v>
      </c>
      <c r="N1850" s="0" t="str">
        <f aca="false">IF(F1850&lt;50,"1) Under Rs 50",IF(F1850&lt;100,"2) Rs 50-99",IF(F1850&lt;200,"3) Rs 100-199",IF(F1850&lt;500,"4) Rs 200-499","5) Rs 500+"))))</f>
        <v>1) Under Rs 50</v>
      </c>
      <c r="O1850" s="0" t="n">
        <f aca="false">G1850*E1850/1000</f>
        <v>0.135</v>
      </c>
    </row>
    <row r="1851" customFormat="false" ht="15" hidden="false" customHeight="false" outlineLevel="0" collapsed="false">
      <c r="A1851" s="0" t="s">
        <v>113</v>
      </c>
      <c r="B1851" s="0" t="s">
        <v>867</v>
      </c>
      <c r="C1851" s="0" t="n">
        <v>28</v>
      </c>
      <c r="D1851" s="0" t="n">
        <v>17</v>
      </c>
      <c r="E1851" s="0" t="n">
        <v>1</v>
      </c>
      <c r="F1851" s="0" t="n">
        <v>23</v>
      </c>
      <c r="G1851" s="0" t="n">
        <v>65</v>
      </c>
      <c r="H1851" s="0" t="s">
        <v>145</v>
      </c>
      <c r="I1851" s="0" t="n">
        <v>65</v>
      </c>
      <c r="J1851" s="0" t="n">
        <f aca="false">F1851*E1851</f>
        <v>23</v>
      </c>
      <c r="K1851" s="0" t="str">
        <f aca="false">IF(G1851&lt;1000,"1-Low",IF(G1851&lt;5000,"2-Medium","3-Bulk"))</f>
        <v>1-Low</v>
      </c>
      <c r="L1851" s="0" t="str">
        <f aca="false">IF(H1851="TRUE","Out of stock","In stock")</f>
        <v>In stock</v>
      </c>
      <c r="M1851" s="0" t="str">
        <f aca="false">IF(D1851&lt;5,"1) Under 5%",IF(D1851&lt;10,"2) 5-9%",IF(D1851&lt;15,"3) 10-14%",IF(D1851&lt;25,"4) 15-24%","5) 25%+"))))</f>
        <v>4) 15-24%</v>
      </c>
      <c r="N1851" s="0" t="str">
        <f aca="false">IF(F1851&lt;50,"1) Under Rs 50",IF(F1851&lt;100,"2) Rs 50-99",IF(F1851&lt;200,"3) Rs 100-199",IF(F1851&lt;500,"4) Rs 200-499","5) Rs 500+"))))</f>
        <v>1) Under Rs 50</v>
      </c>
      <c r="O1851" s="0" t="n">
        <f aca="false">G1851*E1851/1000</f>
        <v>0.065</v>
      </c>
    </row>
    <row r="1852" customFormat="false" ht="15" hidden="false" customHeight="false" outlineLevel="0" collapsed="false">
      <c r="A1852" s="0" t="s">
        <v>113</v>
      </c>
      <c r="B1852" s="0" t="s">
        <v>868</v>
      </c>
      <c r="C1852" s="0" t="n">
        <v>99</v>
      </c>
      <c r="D1852" s="0" t="n">
        <v>49</v>
      </c>
      <c r="E1852" s="0" t="n">
        <v>1</v>
      </c>
      <c r="F1852" s="0" t="n">
        <v>50</v>
      </c>
      <c r="G1852" s="0" t="n">
        <v>130</v>
      </c>
      <c r="H1852" s="0" t="s">
        <v>145</v>
      </c>
      <c r="I1852" s="0" t="n">
        <v>130</v>
      </c>
      <c r="J1852" s="0" t="n">
        <f aca="false">F1852*E1852</f>
        <v>50</v>
      </c>
      <c r="K1852" s="0" t="str">
        <f aca="false">IF(G1852&lt;1000,"1-Low",IF(G1852&lt;5000,"2-Medium","3-Bulk"))</f>
        <v>1-Low</v>
      </c>
      <c r="L1852" s="0" t="str">
        <f aca="false">IF(H1852="TRUE","Out of stock","In stock")</f>
        <v>In stock</v>
      </c>
      <c r="M1852" s="0" t="str">
        <f aca="false">IF(D1852&lt;5,"1) Under 5%",IF(D1852&lt;10,"2) 5-9%",IF(D1852&lt;15,"3) 10-14%",IF(D1852&lt;25,"4) 15-24%","5) 25%+"))))</f>
        <v>5) 25%+</v>
      </c>
      <c r="N1852" s="0" t="str">
        <f aca="false">IF(F1852&lt;50,"1) Under Rs 50",IF(F1852&lt;100,"2) Rs 50-99",IF(F1852&lt;200,"3) Rs 100-199",IF(F1852&lt;500,"4) Rs 200-499","5) Rs 500+"))))</f>
        <v>2) Rs 50-99</v>
      </c>
      <c r="O1852" s="0" t="n">
        <f aca="false">G1852*E1852/1000</f>
        <v>0.13</v>
      </c>
    </row>
    <row r="1853" customFormat="false" ht="15" hidden="false" customHeight="false" outlineLevel="0" collapsed="false">
      <c r="A1853" s="0" t="s">
        <v>113</v>
      </c>
      <c r="B1853" s="0" t="s">
        <v>869</v>
      </c>
      <c r="C1853" s="0" t="n">
        <v>105</v>
      </c>
      <c r="D1853" s="0" t="n">
        <v>4</v>
      </c>
      <c r="E1853" s="0" t="n">
        <v>2</v>
      </c>
      <c r="F1853" s="0" t="n">
        <v>100</v>
      </c>
      <c r="G1853" s="0" t="n">
        <v>500</v>
      </c>
      <c r="H1853" s="0" t="s">
        <v>145</v>
      </c>
      <c r="I1853" s="0" t="n">
        <v>500</v>
      </c>
      <c r="J1853" s="0" t="n">
        <f aca="false">F1853*E1853</f>
        <v>200</v>
      </c>
      <c r="K1853" s="0" t="str">
        <f aca="false">IF(G1853&lt;1000,"1-Low",IF(G1853&lt;5000,"2-Medium","3-Bulk"))</f>
        <v>1-Low</v>
      </c>
      <c r="L1853" s="0" t="str">
        <f aca="false">IF(H1853="TRUE","Out of stock","In stock")</f>
        <v>In stock</v>
      </c>
      <c r="M1853" s="0" t="str">
        <f aca="false">IF(D1853&lt;5,"1) Under 5%",IF(D1853&lt;10,"2) 5-9%",IF(D1853&lt;15,"3) 10-14%",IF(D1853&lt;25,"4) 15-24%","5) 25%+"))))</f>
        <v>1) Under 5%</v>
      </c>
      <c r="N1853" s="0" t="str">
        <f aca="false">IF(F1853&lt;50,"1) Under Rs 50",IF(F1853&lt;100,"2) Rs 50-99",IF(F1853&lt;200,"3) Rs 100-199",IF(F1853&lt;500,"4) Rs 200-499","5) Rs 500+"))))</f>
        <v>3) Rs 100-199</v>
      </c>
      <c r="O1853" s="0" t="n">
        <f aca="false">G1853*E1853/1000</f>
        <v>1</v>
      </c>
    </row>
    <row r="1854" customFormat="false" ht="15" hidden="false" customHeight="false" outlineLevel="0" collapsed="false">
      <c r="A1854" s="0" t="s">
        <v>113</v>
      </c>
      <c r="B1854" s="0" t="s">
        <v>746</v>
      </c>
      <c r="C1854" s="0" t="n">
        <v>235</v>
      </c>
      <c r="D1854" s="0" t="n">
        <v>25</v>
      </c>
      <c r="E1854" s="0" t="n">
        <v>6</v>
      </c>
      <c r="F1854" s="0" t="n">
        <v>174</v>
      </c>
      <c r="G1854" s="0" t="n">
        <v>325</v>
      </c>
      <c r="H1854" s="0" t="s">
        <v>145</v>
      </c>
      <c r="I1854" s="0" t="n">
        <v>325</v>
      </c>
      <c r="J1854" s="0" t="n">
        <f aca="false">F1854*E1854</f>
        <v>1044</v>
      </c>
      <c r="K1854" s="0" t="str">
        <f aca="false">IF(G1854&lt;1000,"1-Low",IF(G1854&lt;5000,"2-Medium","3-Bulk"))</f>
        <v>1-Low</v>
      </c>
      <c r="L1854" s="0" t="str">
        <f aca="false">IF(H1854="TRUE","Out of stock","In stock")</f>
        <v>In stock</v>
      </c>
      <c r="M1854" s="0" t="str">
        <f aca="false">IF(D1854&lt;5,"1) Under 5%",IF(D1854&lt;10,"2) 5-9%",IF(D1854&lt;15,"3) 10-14%",IF(D1854&lt;25,"4) 15-24%","5) 25%+"))))</f>
        <v>5) 25%+</v>
      </c>
      <c r="N1854" s="0" t="str">
        <f aca="false">IF(F1854&lt;50,"1) Under Rs 50",IF(F1854&lt;100,"2) Rs 50-99",IF(F1854&lt;200,"3) Rs 100-199",IF(F1854&lt;500,"4) Rs 200-499","5) Rs 500+"))))</f>
        <v>3) Rs 100-199</v>
      </c>
      <c r="O1854" s="0" t="n">
        <f aca="false">G1854*E1854/1000</f>
        <v>1.95</v>
      </c>
    </row>
    <row r="1855" customFormat="false" ht="15" hidden="false" customHeight="false" outlineLevel="0" collapsed="false">
      <c r="A1855" s="0" t="s">
        <v>113</v>
      </c>
      <c r="B1855" s="0" t="s">
        <v>375</v>
      </c>
      <c r="C1855" s="0" t="n">
        <v>325</v>
      </c>
      <c r="D1855" s="0" t="n">
        <v>9</v>
      </c>
      <c r="E1855" s="0" t="n">
        <v>1</v>
      </c>
      <c r="F1855" s="0" t="n">
        <v>293</v>
      </c>
      <c r="G1855" s="0" t="n">
        <v>500</v>
      </c>
      <c r="H1855" s="0" t="s">
        <v>145</v>
      </c>
      <c r="I1855" s="0" t="n">
        <v>500</v>
      </c>
      <c r="J1855" s="0" t="n">
        <f aca="false">F1855*E1855</f>
        <v>293</v>
      </c>
      <c r="K1855" s="0" t="str">
        <f aca="false">IF(G1855&lt;1000,"1-Low",IF(G1855&lt;5000,"2-Medium","3-Bulk"))</f>
        <v>1-Low</v>
      </c>
      <c r="L1855" s="0" t="str">
        <f aca="false">IF(H1855="TRUE","Out of stock","In stock")</f>
        <v>In stock</v>
      </c>
      <c r="M1855" s="0" t="str">
        <f aca="false">IF(D1855&lt;5,"1) Under 5%",IF(D1855&lt;10,"2) 5-9%",IF(D1855&lt;15,"3) 10-14%",IF(D1855&lt;25,"4) 15-24%","5) 25%+"))))</f>
        <v>2) 5-9%</v>
      </c>
      <c r="N1855" s="0" t="str">
        <f aca="false">IF(F1855&lt;50,"1) Under Rs 50",IF(F1855&lt;100,"2) Rs 50-99",IF(F1855&lt;200,"3) Rs 100-199",IF(F1855&lt;500,"4) Rs 200-499","5) Rs 500+"))))</f>
        <v>4) Rs 200-499</v>
      </c>
      <c r="O1855" s="0" t="n">
        <f aca="false">G1855*E1855/1000</f>
        <v>0.5</v>
      </c>
    </row>
    <row r="1856" customFormat="false" ht="15" hidden="false" customHeight="false" outlineLevel="0" collapsed="false">
      <c r="A1856" s="0" t="s">
        <v>113</v>
      </c>
      <c r="B1856" s="0" t="s">
        <v>749</v>
      </c>
      <c r="C1856" s="0" t="n">
        <v>99</v>
      </c>
      <c r="D1856" s="0" t="n">
        <v>5</v>
      </c>
      <c r="E1856" s="0" t="n">
        <v>6</v>
      </c>
      <c r="F1856" s="0" t="n">
        <v>94</v>
      </c>
      <c r="G1856" s="0" t="n">
        <v>200</v>
      </c>
      <c r="H1856" s="0" t="s">
        <v>145</v>
      </c>
      <c r="I1856" s="0" t="n">
        <v>200</v>
      </c>
      <c r="J1856" s="0" t="n">
        <f aca="false">F1856*E1856</f>
        <v>564</v>
      </c>
      <c r="K1856" s="0" t="str">
        <f aca="false">IF(G1856&lt;1000,"1-Low",IF(G1856&lt;5000,"2-Medium","3-Bulk"))</f>
        <v>1-Low</v>
      </c>
      <c r="L1856" s="0" t="str">
        <f aca="false">IF(H1856="TRUE","Out of stock","In stock")</f>
        <v>In stock</v>
      </c>
      <c r="M1856" s="0" t="str">
        <f aca="false">IF(D1856&lt;5,"1) Under 5%",IF(D1856&lt;10,"2) 5-9%",IF(D1856&lt;15,"3) 10-14%",IF(D1856&lt;25,"4) 15-24%","5) 25%+"))))</f>
        <v>2) 5-9%</v>
      </c>
      <c r="N1856" s="0" t="str">
        <f aca="false">IF(F1856&lt;50,"1) Under Rs 50",IF(F1856&lt;100,"2) Rs 50-99",IF(F1856&lt;200,"3) Rs 100-199",IF(F1856&lt;500,"4) Rs 200-499","5) Rs 500+"))))</f>
        <v>2) Rs 50-99</v>
      </c>
      <c r="O1856" s="0" t="n">
        <f aca="false">G1856*E1856/1000</f>
        <v>1.2</v>
      </c>
    </row>
    <row r="1857" customFormat="false" ht="15" hidden="false" customHeight="false" outlineLevel="0" collapsed="false">
      <c r="A1857" s="0" t="s">
        <v>113</v>
      </c>
      <c r="B1857" s="0" t="s">
        <v>120</v>
      </c>
      <c r="C1857" s="0" t="n">
        <v>175</v>
      </c>
      <c r="D1857" s="0" t="n">
        <v>9</v>
      </c>
      <c r="E1857" s="0" t="n">
        <v>6</v>
      </c>
      <c r="F1857" s="0" t="n">
        <v>158</v>
      </c>
      <c r="G1857" s="0" t="n">
        <v>300</v>
      </c>
      <c r="H1857" s="0" t="s">
        <v>145</v>
      </c>
      <c r="I1857" s="0" t="n">
        <v>300</v>
      </c>
      <c r="J1857" s="0" t="n">
        <f aca="false">F1857*E1857</f>
        <v>948</v>
      </c>
      <c r="K1857" s="0" t="str">
        <f aca="false">IF(G1857&lt;1000,"1-Low",IF(G1857&lt;5000,"2-Medium","3-Bulk"))</f>
        <v>1-Low</v>
      </c>
      <c r="L1857" s="0" t="str">
        <f aca="false">IF(H1857="TRUE","Out of stock","In stock")</f>
        <v>In stock</v>
      </c>
      <c r="M1857" s="0" t="str">
        <f aca="false">IF(D1857&lt;5,"1) Under 5%",IF(D1857&lt;10,"2) 5-9%",IF(D1857&lt;15,"3) 10-14%",IF(D1857&lt;25,"4) 15-24%","5) 25%+"))))</f>
        <v>2) 5-9%</v>
      </c>
      <c r="N1857" s="0" t="str">
        <f aca="false">IF(F1857&lt;50,"1) Under Rs 50",IF(F1857&lt;100,"2) Rs 50-99",IF(F1857&lt;200,"3) Rs 100-199",IF(F1857&lt;500,"4) Rs 200-499","5) Rs 500+"))))</f>
        <v>3) Rs 100-199</v>
      </c>
      <c r="O1857" s="0" t="n">
        <f aca="false">G1857*E1857/1000</f>
        <v>1.8</v>
      </c>
    </row>
    <row r="1858" customFormat="false" ht="15" hidden="false" customHeight="false" outlineLevel="0" collapsed="false">
      <c r="A1858" s="0" t="s">
        <v>113</v>
      </c>
      <c r="B1858" s="0" t="s">
        <v>870</v>
      </c>
      <c r="C1858" s="0" t="n">
        <v>60</v>
      </c>
      <c r="D1858" s="0" t="n">
        <v>20</v>
      </c>
      <c r="E1858" s="0" t="n">
        <v>6</v>
      </c>
      <c r="F1858" s="0" t="n">
        <v>48</v>
      </c>
      <c r="G1858" s="0" t="n">
        <v>40</v>
      </c>
      <c r="H1858" s="0" t="s">
        <v>145</v>
      </c>
      <c r="I1858" s="0" t="n">
        <v>40</v>
      </c>
      <c r="J1858" s="0" t="n">
        <f aca="false">F1858*E1858</f>
        <v>288</v>
      </c>
      <c r="K1858" s="0" t="str">
        <f aca="false">IF(G1858&lt;1000,"1-Low",IF(G1858&lt;5000,"2-Medium","3-Bulk"))</f>
        <v>1-Low</v>
      </c>
      <c r="L1858" s="0" t="str">
        <f aca="false">IF(H1858="TRUE","Out of stock","In stock")</f>
        <v>In stock</v>
      </c>
      <c r="M1858" s="0" t="str">
        <f aca="false">IF(D1858&lt;5,"1) Under 5%",IF(D1858&lt;10,"2) 5-9%",IF(D1858&lt;15,"3) 10-14%",IF(D1858&lt;25,"4) 15-24%","5) 25%+"))))</f>
        <v>4) 15-24%</v>
      </c>
      <c r="N1858" s="0" t="str">
        <f aca="false">IF(F1858&lt;50,"1) Under Rs 50",IF(F1858&lt;100,"2) Rs 50-99",IF(F1858&lt;200,"3) Rs 100-199",IF(F1858&lt;500,"4) Rs 200-499","5) Rs 500+"))))</f>
        <v>1) Under Rs 50</v>
      </c>
      <c r="O1858" s="0" t="n">
        <f aca="false">G1858*E1858/1000</f>
        <v>0.24</v>
      </c>
    </row>
    <row r="1859" customFormat="false" ht="15" hidden="false" customHeight="false" outlineLevel="0" collapsed="false">
      <c r="A1859" s="0" t="s">
        <v>113</v>
      </c>
      <c r="B1859" s="0" t="s">
        <v>871</v>
      </c>
      <c r="C1859" s="0" t="n">
        <v>270</v>
      </c>
      <c r="D1859" s="0" t="n">
        <v>0</v>
      </c>
      <c r="E1859" s="0" t="n">
        <v>5</v>
      </c>
      <c r="F1859" s="0" t="n">
        <v>270</v>
      </c>
      <c r="G1859" s="0" t="n">
        <v>24</v>
      </c>
      <c r="H1859" s="0" t="s">
        <v>145</v>
      </c>
      <c r="I1859" s="0" t="n">
        <v>24</v>
      </c>
      <c r="J1859" s="0" t="n">
        <f aca="false">F1859*E1859</f>
        <v>1350</v>
      </c>
      <c r="K1859" s="0" t="str">
        <f aca="false">IF(G1859&lt;1000,"1-Low",IF(G1859&lt;5000,"2-Medium","3-Bulk"))</f>
        <v>1-Low</v>
      </c>
      <c r="L1859" s="0" t="str">
        <f aca="false">IF(H1859="TRUE","Out of stock","In stock")</f>
        <v>In stock</v>
      </c>
      <c r="M1859" s="0" t="str">
        <f aca="false">IF(D1859&lt;5,"1) Under 5%",IF(D1859&lt;10,"2) 5-9%",IF(D1859&lt;15,"3) 10-14%",IF(D1859&lt;25,"4) 15-24%","5) 25%+"))))</f>
        <v>1) Under 5%</v>
      </c>
      <c r="N1859" s="0" t="str">
        <f aca="false">IF(F1859&lt;50,"1) Under Rs 50",IF(F1859&lt;100,"2) Rs 50-99",IF(F1859&lt;200,"3) Rs 100-199",IF(F1859&lt;500,"4) Rs 200-499","5) Rs 500+"))))</f>
        <v>4) Rs 200-499</v>
      </c>
      <c r="O1859" s="0" t="n">
        <f aca="false">G1859*E1859/1000</f>
        <v>0.12</v>
      </c>
    </row>
    <row r="1860" customFormat="false" ht="15" hidden="false" customHeight="false" outlineLevel="0" collapsed="false">
      <c r="A1860" s="0" t="s">
        <v>113</v>
      </c>
      <c r="B1860" s="0" t="s">
        <v>872</v>
      </c>
      <c r="C1860" s="0" t="n">
        <v>50</v>
      </c>
      <c r="D1860" s="0" t="n">
        <v>10</v>
      </c>
      <c r="E1860" s="0" t="n">
        <v>6</v>
      </c>
      <c r="F1860" s="0" t="n">
        <v>45</v>
      </c>
      <c r="G1860" s="0" t="n">
        <v>160</v>
      </c>
      <c r="H1860" s="0" t="s">
        <v>145</v>
      </c>
      <c r="I1860" s="0" t="n">
        <v>160</v>
      </c>
      <c r="J1860" s="0" t="n">
        <f aca="false">F1860*E1860</f>
        <v>270</v>
      </c>
      <c r="K1860" s="0" t="str">
        <f aca="false">IF(G1860&lt;1000,"1-Low",IF(G1860&lt;5000,"2-Medium","3-Bulk"))</f>
        <v>1-Low</v>
      </c>
      <c r="L1860" s="0" t="str">
        <f aca="false">IF(H1860="TRUE","Out of stock","In stock")</f>
        <v>In stock</v>
      </c>
      <c r="M1860" s="0" t="str">
        <f aca="false">IF(D1860&lt;5,"1) Under 5%",IF(D1860&lt;10,"2) 5-9%",IF(D1860&lt;15,"3) 10-14%",IF(D1860&lt;25,"4) 15-24%","5) 25%+"))))</f>
        <v>3) 10-14%</v>
      </c>
      <c r="N1860" s="0" t="str">
        <f aca="false">IF(F1860&lt;50,"1) Under Rs 50",IF(F1860&lt;100,"2) Rs 50-99",IF(F1860&lt;200,"3) Rs 100-199",IF(F1860&lt;500,"4) Rs 200-499","5) Rs 500+"))))</f>
        <v>1) Under Rs 50</v>
      </c>
      <c r="O1860" s="0" t="n">
        <f aca="false">G1860*E1860/1000</f>
        <v>0.96</v>
      </c>
    </row>
    <row r="1861" customFormat="false" ht="15" hidden="false" customHeight="false" outlineLevel="0" collapsed="false">
      <c r="A1861" s="0" t="s">
        <v>113</v>
      </c>
      <c r="B1861" s="0" t="s">
        <v>383</v>
      </c>
      <c r="C1861" s="0" t="n">
        <v>60</v>
      </c>
      <c r="D1861" s="0" t="n">
        <v>0</v>
      </c>
      <c r="E1861" s="0" t="n">
        <v>1</v>
      </c>
      <c r="F1861" s="0" t="n">
        <v>60</v>
      </c>
      <c r="G1861" s="0" t="n">
        <v>240</v>
      </c>
      <c r="H1861" s="0" t="s">
        <v>145</v>
      </c>
      <c r="I1861" s="0" t="n">
        <v>240</v>
      </c>
      <c r="J1861" s="0" t="n">
        <f aca="false">F1861*E1861</f>
        <v>60</v>
      </c>
      <c r="K1861" s="0" t="str">
        <f aca="false">IF(G1861&lt;1000,"1-Low",IF(G1861&lt;5000,"2-Medium","3-Bulk"))</f>
        <v>1-Low</v>
      </c>
      <c r="L1861" s="0" t="str">
        <f aca="false">IF(H1861="TRUE","Out of stock","In stock")</f>
        <v>In stock</v>
      </c>
      <c r="M1861" s="0" t="str">
        <f aca="false">IF(D1861&lt;5,"1) Under 5%",IF(D1861&lt;10,"2) 5-9%",IF(D1861&lt;15,"3) 10-14%",IF(D1861&lt;25,"4) 15-24%","5) 25%+"))))</f>
        <v>1) Under 5%</v>
      </c>
      <c r="N1861" s="0" t="str">
        <f aca="false">IF(F1861&lt;50,"1) Under Rs 50",IF(F1861&lt;100,"2) Rs 50-99",IF(F1861&lt;200,"3) Rs 100-199",IF(F1861&lt;500,"4) Rs 200-499","5) Rs 500+"))))</f>
        <v>2) Rs 50-99</v>
      </c>
      <c r="O1861" s="0" t="n">
        <f aca="false">G1861*E1861/1000</f>
        <v>0.24</v>
      </c>
    </row>
    <row r="1862" customFormat="false" ht="15" hidden="false" customHeight="false" outlineLevel="0" collapsed="false">
      <c r="A1862" s="0" t="s">
        <v>113</v>
      </c>
      <c r="B1862" s="0" t="s">
        <v>873</v>
      </c>
      <c r="C1862" s="0" t="n">
        <v>100</v>
      </c>
      <c r="D1862" s="0" t="n">
        <v>26</v>
      </c>
      <c r="E1862" s="0" t="n">
        <v>6</v>
      </c>
      <c r="F1862" s="0" t="n">
        <v>74</v>
      </c>
      <c r="G1862" s="0" t="n">
        <v>52</v>
      </c>
      <c r="H1862" s="0" t="s">
        <v>145</v>
      </c>
      <c r="I1862" s="0" t="n">
        <v>52</v>
      </c>
      <c r="J1862" s="0" t="n">
        <f aca="false">F1862*E1862</f>
        <v>444</v>
      </c>
      <c r="K1862" s="0" t="str">
        <f aca="false">IF(G1862&lt;1000,"1-Low",IF(G1862&lt;5000,"2-Medium","3-Bulk"))</f>
        <v>1-Low</v>
      </c>
      <c r="L1862" s="0" t="str">
        <f aca="false">IF(H1862="TRUE","Out of stock","In stock")</f>
        <v>In stock</v>
      </c>
      <c r="M1862" s="0" t="str">
        <f aca="false">IF(D1862&lt;5,"1) Under 5%",IF(D1862&lt;10,"2) 5-9%",IF(D1862&lt;15,"3) 10-14%",IF(D1862&lt;25,"4) 15-24%","5) 25%+"))))</f>
        <v>5) 25%+</v>
      </c>
      <c r="N1862" s="0" t="str">
        <f aca="false">IF(F1862&lt;50,"1) Under Rs 50",IF(F1862&lt;100,"2) Rs 50-99",IF(F1862&lt;200,"3) Rs 100-199",IF(F1862&lt;500,"4) Rs 200-499","5) Rs 500+"))))</f>
        <v>2) Rs 50-99</v>
      </c>
      <c r="O1862" s="0" t="n">
        <f aca="false">G1862*E1862/1000</f>
        <v>0.312</v>
      </c>
    </row>
    <row r="1863" customFormat="false" ht="15" hidden="false" customHeight="false" outlineLevel="0" collapsed="false">
      <c r="A1863" s="0" t="s">
        <v>113</v>
      </c>
      <c r="B1863" s="0" t="s">
        <v>387</v>
      </c>
      <c r="C1863" s="0" t="n">
        <v>20</v>
      </c>
      <c r="D1863" s="0" t="n">
        <v>0</v>
      </c>
      <c r="E1863" s="0" t="n">
        <v>2</v>
      </c>
      <c r="F1863" s="0" t="n">
        <v>20</v>
      </c>
      <c r="G1863" s="0" t="n">
        <v>46</v>
      </c>
      <c r="H1863" s="0" t="s">
        <v>145</v>
      </c>
      <c r="I1863" s="0" t="n">
        <v>46</v>
      </c>
      <c r="J1863" s="0" t="n">
        <f aca="false">F1863*E1863</f>
        <v>40</v>
      </c>
      <c r="K1863" s="0" t="str">
        <f aca="false">IF(G1863&lt;1000,"1-Low",IF(G1863&lt;5000,"2-Medium","3-Bulk"))</f>
        <v>1-Low</v>
      </c>
      <c r="L1863" s="0" t="str">
        <f aca="false">IF(H1863="TRUE","Out of stock","In stock")</f>
        <v>In stock</v>
      </c>
      <c r="M1863" s="0" t="str">
        <f aca="false">IF(D1863&lt;5,"1) Under 5%",IF(D1863&lt;10,"2) 5-9%",IF(D1863&lt;15,"3) 10-14%",IF(D1863&lt;25,"4) 15-24%","5) 25%+"))))</f>
        <v>1) Under 5%</v>
      </c>
      <c r="N1863" s="0" t="str">
        <f aca="false">IF(F1863&lt;50,"1) Under Rs 50",IF(F1863&lt;100,"2) Rs 50-99",IF(F1863&lt;200,"3) Rs 100-199",IF(F1863&lt;500,"4) Rs 200-499","5) Rs 500+"))))</f>
        <v>1) Under Rs 50</v>
      </c>
      <c r="O1863" s="0" t="n">
        <f aca="false">G1863*E1863/1000</f>
        <v>0.092</v>
      </c>
    </row>
    <row r="1864" customFormat="false" ht="15" hidden="false" customHeight="false" outlineLevel="0" collapsed="false">
      <c r="A1864" s="0" t="s">
        <v>113</v>
      </c>
      <c r="B1864" s="0" t="s">
        <v>874</v>
      </c>
      <c r="C1864" s="0" t="n">
        <v>74</v>
      </c>
      <c r="D1864" s="0" t="n">
        <v>6</v>
      </c>
      <c r="E1864" s="0" t="n">
        <v>2</v>
      </c>
      <c r="F1864" s="0" t="n">
        <v>69</v>
      </c>
      <c r="G1864" s="0" t="n">
        <v>300</v>
      </c>
      <c r="H1864" s="0" t="s">
        <v>145</v>
      </c>
      <c r="I1864" s="0" t="n">
        <v>300</v>
      </c>
      <c r="J1864" s="0" t="n">
        <f aca="false">F1864*E1864</f>
        <v>138</v>
      </c>
      <c r="K1864" s="0" t="str">
        <f aca="false">IF(G1864&lt;1000,"1-Low",IF(G1864&lt;5000,"2-Medium","3-Bulk"))</f>
        <v>1-Low</v>
      </c>
      <c r="L1864" s="0" t="str">
        <f aca="false">IF(H1864="TRUE","Out of stock","In stock")</f>
        <v>In stock</v>
      </c>
      <c r="M1864" s="0" t="str">
        <f aca="false">IF(D1864&lt;5,"1) Under 5%",IF(D1864&lt;10,"2) 5-9%",IF(D1864&lt;15,"3) 10-14%",IF(D1864&lt;25,"4) 15-24%","5) 25%+"))))</f>
        <v>2) 5-9%</v>
      </c>
      <c r="N1864" s="0" t="str">
        <f aca="false">IF(F1864&lt;50,"1) Under Rs 50",IF(F1864&lt;100,"2) Rs 50-99",IF(F1864&lt;200,"3) Rs 100-199",IF(F1864&lt;500,"4) Rs 200-499","5) Rs 500+"))))</f>
        <v>2) Rs 50-99</v>
      </c>
      <c r="O1864" s="0" t="n">
        <f aca="false">G1864*E1864/1000</f>
        <v>0.6</v>
      </c>
    </row>
    <row r="1865" customFormat="false" ht="15" hidden="false" customHeight="false" outlineLevel="0" collapsed="false">
      <c r="A1865" s="0" t="s">
        <v>113</v>
      </c>
      <c r="B1865" s="0" t="s">
        <v>394</v>
      </c>
      <c r="C1865" s="0" t="n">
        <v>48</v>
      </c>
      <c r="D1865" s="0" t="n">
        <v>6</v>
      </c>
      <c r="E1865" s="0" t="n">
        <v>6</v>
      </c>
      <c r="F1865" s="0" t="n">
        <v>45</v>
      </c>
      <c r="G1865" s="0" t="n">
        <v>200</v>
      </c>
      <c r="H1865" s="0" t="s">
        <v>145</v>
      </c>
      <c r="I1865" s="0" t="n">
        <v>200</v>
      </c>
      <c r="J1865" s="0" t="n">
        <f aca="false">F1865*E1865</f>
        <v>270</v>
      </c>
      <c r="K1865" s="0" t="str">
        <f aca="false">IF(G1865&lt;1000,"1-Low",IF(G1865&lt;5000,"2-Medium","3-Bulk"))</f>
        <v>1-Low</v>
      </c>
      <c r="L1865" s="0" t="str">
        <f aca="false">IF(H1865="TRUE","Out of stock","In stock")</f>
        <v>In stock</v>
      </c>
      <c r="M1865" s="0" t="str">
        <f aca="false">IF(D1865&lt;5,"1) Under 5%",IF(D1865&lt;10,"2) 5-9%",IF(D1865&lt;15,"3) 10-14%",IF(D1865&lt;25,"4) 15-24%","5) 25%+"))))</f>
        <v>2) 5-9%</v>
      </c>
      <c r="N1865" s="0" t="str">
        <f aca="false">IF(F1865&lt;50,"1) Under Rs 50",IF(F1865&lt;100,"2) Rs 50-99",IF(F1865&lt;200,"3) Rs 100-199",IF(F1865&lt;500,"4) Rs 200-499","5) Rs 500+"))))</f>
        <v>1) Under Rs 50</v>
      </c>
      <c r="O1865" s="0" t="n">
        <f aca="false">G1865*E1865/1000</f>
        <v>1.2</v>
      </c>
    </row>
    <row r="1866" customFormat="false" ht="15" hidden="false" customHeight="false" outlineLevel="0" collapsed="false">
      <c r="A1866" s="0" t="s">
        <v>113</v>
      </c>
      <c r="B1866" s="0" t="s">
        <v>875</v>
      </c>
      <c r="C1866" s="0" t="n">
        <v>325</v>
      </c>
      <c r="D1866" s="0" t="n">
        <v>4</v>
      </c>
      <c r="E1866" s="0" t="n">
        <v>6</v>
      </c>
      <c r="F1866" s="0" t="n">
        <v>309</v>
      </c>
      <c r="G1866" s="0" t="n">
        <v>400</v>
      </c>
      <c r="H1866" s="0" t="s">
        <v>145</v>
      </c>
      <c r="I1866" s="0" t="n">
        <v>400</v>
      </c>
      <c r="J1866" s="0" t="n">
        <f aca="false">F1866*E1866</f>
        <v>1854</v>
      </c>
      <c r="K1866" s="0" t="str">
        <f aca="false">IF(G1866&lt;1000,"1-Low",IF(G1866&lt;5000,"2-Medium","3-Bulk"))</f>
        <v>1-Low</v>
      </c>
      <c r="L1866" s="0" t="str">
        <f aca="false">IF(H1866="TRUE","Out of stock","In stock")</f>
        <v>In stock</v>
      </c>
      <c r="M1866" s="0" t="str">
        <f aca="false">IF(D1866&lt;5,"1) Under 5%",IF(D1866&lt;10,"2) 5-9%",IF(D1866&lt;15,"3) 10-14%",IF(D1866&lt;25,"4) 15-24%","5) 25%+"))))</f>
        <v>1) Under 5%</v>
      </c>
      <c r="N1866" s="0" t="str">
        <f aca="false">IF(F1866&lt;50,"1) Under Rs 50",IF(F1866&lt;100,"2) Rs 50-99",IF(F1866&lt;200,"3) Rs 100-199",IF(F1866&lt;500,"4) Rs 200-499","5) Rs 500+"))))</f>
        <v>4) Rs 200-499</v>
      </c>
      <c r="O1866" s="0" t="n">
        <f aca="false">G1866*E1866/1000</f>
        <v>2.4</v>
      </c>
    </row>
    <row r="1867" customFormat="false" ht="15" hidden="false" customHeight="false" outlineLevel="0" collapsed="false">
      <c r="A1867" s="0" t="s">
        <v>113</v>
      </c>
      <c r="B1867" s="0" t="s">
        <v>876</v>
      </c>
      <c r="C1867" s="0" t="n">
        <v>55</v>
      </c>
      <c r="D1867" s="0" t="n">
        <v>25</v>
      </c>
      <c r="E1867" s="0" t="n">
        <v>6</v>
      </c>
      <c r="F1867" s="0" t="n">
        <v>41</v>
      </c>
      <c r="G1867" s="0" t="n">
        <v>27</v>
      </c>
      <c r="H1867" s="0" t="s">
        <v>145</v>
      </c>
      <c r="I1867" s="0" t="n">
        <v>27</v>
      </c>
      <c r="J1867" s="0" t="n">
        <f aca="false">F1867*E1867</f>
        <v>246</v>
      </c>
      <c r="K1867" s="0" t="str">
        <f aca="false">IF(G1867&lt;1000,"1-Low",IF(G1867&lt;5000,"2-Medium","3-Bulk"))</f>
        <v>1-Low</v>
      </c>
      <c r="L1867" s="0" t="str">
        <f aca="false">IF(H1867="TRUE","Out of stock","In stock")</f>
        <v>In stock</v>
      </c>
      <c r="M1867" s="0" t="str">
        <f aca="false">IF(D1867&lt;5,"1) Under 5%",IF(D1867&lt;10,"2) 5-9%",IF(D1867&lt;15,"3) 10-14%",IF(D1867&lt;25,"4) 15-24%","5) 25%+"))))</f>
        <v>5) 25%+</v>
      </c>
      <c r="N1867" s="0" t="str">
        <f aca="false">IF(F1867&lt;50,"1) Under Rs 50",IF(F1867&lt;100,"2) Rs 50-99",IF(F1867&lt;200,"3) Rs 100-199",IF(F1867&lt;500,"4) Rs 200-499","5) Rs 500+"))))</f>
        <v>1) Under Rs 50</v>
      </c>
      <c r="O1867" s="0" t="n">
        <f aca="false">G1867*E1867/1000</f>
        <v>0.162</v>
      </c>
    </row>
    <row r="1868" customFormat="false" ht="15" hidden="false" customHeight="false" outlineLevel="0" collapsed="false">
      <c r="A1868" s="0" t="s">
        <v>113</v>
      </c>
      <c r="B1868" s="0" t="s">
        <v>877</v>
      </c>
      <c r="C1868" s="0" t="n">
        <v>170</v>
      </c>
      <c r="D1868" s="0" t="n">
        <v>4</v>
      </c>
      <c r="E1868" s="0" t="n">
        <v>3</v>
      </c>
      <c r="F1868" s="0" t="n">
        <v>162</v>
      </c>
      <c r="G1868" s="0" t="n">
        <v>280</v>
      </c>
      <c r="H1868" s="0" t="s">
        <v>145</v>
      </c>
      <c r="I1868" s="0" t="n">
        <v>280</v>
      </c>
      <c r="J1868" s="0" t="n">
        <f aca="false">F1868*E1868</f>
        <v>486</v>
      </c>
      <c r="K1868" s="0" t="str">
        <f aca="false">IF(G1868&lt;1000,"1-Low",IF(G1868&lt;5000,"2-Medium","3-Bulk"))</f>
        <v>1-Low</v>
      </c>
      <c r="L1868" s="0" t="str">
        <f aca="false">IF(H1868="TRUE","Out of stock","In stock")</f>
        <v>In stock</v>
      </c>
      <c r="M1868" s="0" t="str">
        <f aca="false">IF(D1868&lt;5,"1) Under 5%",IF(D1868&lt;10,"2) 5-9%",IF(D1868&lt;15,"3) 10-14%",IF(D1868&lt;25,"4) 15-24%","5) 25%+"))))</f>
        <v>1) Under 5%</v>
      </c>
      <c r="N1868" s="0" t="str">
        <f aca="false">IF(F1868&lt;50,"1) Under Rs 50",IF(F1868&lt;100,"2) Rs 50-99",IF(F1868&lt;200,"3) Rs 100-199",IF(F1868&lt;500,"4) Rs 200-499","5) Rs 500+"))))</f>
        <v>3) Rs 100-199</v>
      </c>
      <c r="O1868" s="0" t="n">
        <f aca="false">G1868*E1868/1000</f>
        <v>0.84</v>
      </c>
    </row>
    <row r="1869" customFormat="false" ht="15" hidden="false" customHeight="false" outlineLevel="0" collapsed="false">
      <c r="A1869" s="0" t="s">
        <v>113</v>
      </c>
      <c r="B1869" s="0" t="s">
        <v>878</v>
      </c>
      <c r="C1869" s="0" t="n">
        <v>99</v>
      </c>
      <c r="D1869" s="0" t="n">
        <v>13</v>
      </c>
      <c r="E1869" s="0" t="n">
        <v>6</v>
      </c>
      <c r="F1869" s="0" t="n">
        <v>86</v>
      </c>
      <c r="G1869" s="0" t="n">
        <v>250</v>
      </c>
      <c r="H1869" s="0" t="s">
        <v>145</v>
      </c>
      <c r="I1869" s="0" t="n">
        <v>250</v>
      </c>
      <c r="J1869" s="0" t="n">
        <f aca="false">F1869*E1869</f>
        <v>516</v>
      </c>
      <c r="K1869" s="0" t="str">
        <f aca="false">IF(G1869&lt;1000,"1-Low",IF(G1869&lt;5000,"2-Medium","3-Bulk"))</f>
        <v>1-Low</v>
      </c>
      <c r="L1869" s="0" t="str">
        <f aca="false">IF(H1869="TRUE","Out of stock","In stock")</f>
        <v>In stock</v>
      </c>
      <c r="M1869" s="0" t="str">
        <f aca="false">IF(D1869&lt;5,"1) Under 5%",IF(D1869&lt;10,"2) 5-9%",IF(D1869&lt;15,"3) 10-14%",IF(D1869&lt;25,"4) 15-24%","5) 25%+"))))</f>
        <v>3) 10-14%</v>
      </c>
      <c r="N1869" s="0" t="str">
        <f aca="false">IF(F1869&lt;50,"1) Under Rs 50",IF(F1869&lt;100,"2) Rs 50-99",IF(F1869&lt;200,"3) Rs 100-199",IF(F1869&lt;500,"4) Rs 200-499","5) Rs 500+"))))</f>
        <v>2) Rs 50-99</v>
      </c>
      <c r="O1869" s="0" t="n">
        <f aca="false">G1869*E1869/1000</f>
        <v>1.5</v>
      </c>
    </row>
    <row r="1870" customFormat="false" ht="15" hidden="false" customHeight="false" outlineLevel="0" collapsed="false">
      <c r="A1870" s="0" t="s">
        <v>113</v>
      </c>
      <c r="B1870" s="0" t="s">
        <v>399</v>
      </c>
      <c r="C1870" s="0" t="n">
        <v>50</v>
      </c>
      <c r="D1870" s="0" t="n">
        <v>10</v>
      </c>
      <c r="E1870" s="0" t="n">
        <v>2</v>
      </c>
      <c r="F1870" s="0" t="n">
        <v>45</v>
      </c>
      <c r="G1870" s="0" t="n">
        <v>70</v>
      </c>
      <c r="H1870" s="0" t="s">
        <v>145</v>
      </c>
      <c r="I1870" s="0" t="n">
        <v>70</v>
      </c>
      <c r="J1870" s="0" t="n">
        <f aca="false">F1870*E1870</f>
        <v>90</v>
      </c>
      <c r="K1870" s="0" t="str">
        <f aca="false">IF(G1870&lt;1000,"1-Low",IF(G1870&lt;5000,"2-Medium","3-Bulk"))</f>
        <v>1-Low</v>
      </c>
      <c r="L1870" s="0" t="str">
        <f aca="false">IF(H1870="TRUE","Out of stock","In stock")</f>
        <v>In stock</v>
      </c>
      <c r="M1870" s="0" t="str">
        <f aca="false">IF(D1870&lt;5,"1) Under 5%",IF(D1870&lt;10,"2) 5-9%",IF(D1870&lt;15,"3) 10-14%",IF(D1870&lt;25,"4) 15-24%","5) 25%+"))))</f>
        <v>3) 10-14%</v>
      </c>
      <c r="N1870" s="0" t="str">
        <f aca="false">IF(F1870&lt;50,"1) Under Rs 50",IF(F1870&lt;100,"2) Rs 50-99",IF(F1870&lt;200,"3) Rs 100-199",IF(F1870&lt;500,"4) Rs 200-499","5) Rs 500+"))))</f>
        <v>1) Under Rs 50</v>
      </c>
      <c r="O1870" s="0" t="n">
        <f aca="false">G1870*E1870/1000</f>
        <v>0.14</v>
      </c>
    </row>
    <row r="1871" customFormat="false" ht="15" hidden="false" customHeight="false" outlineLevel="0" collapsed="false">
      <c r="A1871" s="0" t="s">
        <v>113</v>
      </c>
      <c r="B1871" s="0" t="s">
        <v>879</v>
      </c>
      <c r="C1871" s="0" t="n">
        <v>40</v>
      </c>
      <c r="D1871" s="0" t="n">
        <v>0</v>
      </c>
      <c r="E1871" s="0" t="n">
        <v>3</v>
      </c>
      <c r="F1871" s="0" t="n">
        <v>40</v>
      </c>
      <c r="G1871" s="0" t="n">
        <v>46</v>
      </c>
      <c r="H1871" s="0" t="s">
        <v>145</v>
      </c>
      <c r="I1871" s="0" t="n">
        <v>46</v>
      </c>
      <c r="J1871" s="0" t="n">
        <f aca="false">F1871*E1871</f>
        <v>120</v>
      </c>
      <c r="K1871" s="0" t="str">
        <f aca="false">IF(G1871&lt;1000,"1-Low",IF(G1871&lt;5000,"2-Medium","3-Bulk"))</f>
        <v>1-Low</v>
      </c>
      <c r="L1871" s="0" t="str">
        <f aca="false">IF(H1871="TRUE","Out of stock","In stock")</f>
        <v>In stock</v>
      </c>
      <c r="M1871" s="0" t="str">
        <f aca="false">IF(D1871&lt;5,"1) Under 5%",IF(D1871&lt;10,"2) 5-9%",IF(D1871&lt;15,"3) 10-14%",IF(D1871&lt;25,"4) 15-24%","5) 25%+"))))</f>
        <v>1) Under 5%</v>
      </c>
      <c r="N1871" s="0" t="str">
        <f aca="false">IF(F1871&lt;50,"1) Under Rs 50",IF(F1871&lt;100,"2) Rs 50-99",IF(F1871&lt;200,"3) Rs 100-199",IF(F1871&lt;500,"4) Rs 200-499","5) Rs 500+"))))</f>
        <v>1) Under Rs 50</v>
      </c>
      <c r="O1871" s="0" t="n">
        <f aca="false">G1871*E1871/1000</f>
        <v>0.138</v>
      </c>
    </row>
    <row r="1872" customFormat="false" ht="15" hidden="false" customHeight="false" outlineLevel="0" collapsed="false">
      <c r="A1872" s="0" t="s">
        <v>113</v>
      </c>
      <c r="B1872" s="0" t="s">
        <v>406</v>
      </c>
      <c r="C1872" s="0" t="n">
        <v>28</v>
      </c>
      <c r="D1872" s="0" t="n">
        <v>10</v>
      </c>
      <c r="E1872" s="0" t="n">
        <v>1</v>
      </c>
      <c r="F1872" s="0" t="n">
        <v>25</v>
      </c>
      <c r="G1872" s="0" t="n">
        <v>65</v>
      </c>
      <c r="H1872" s="0" t="s">
        <v>145</v>
      </c>
      <c r="I1872" s="0" t="n">
        <v>65</v>
      </c>
      <c r="J1872" s="0" t="n">
        <f aca="false">F1872*E1872</f>
        <v>25</v>
      </c>
      <c r="K1872" s="0" t="str">
        <f aca="false">IF(G1872&lt;1000,"1-Low",IF(G1872&lt;5000,"2-Medium","3-Bulk"))</f>
        <v>1-Low</v>
      </c>
      <c r="L1872" s="0" t="str">
        <f aca="false">IF(H1872="TRUE","Out of stock","In stock")</f>
        <v>In stock</v>
      </c>
      <c r="M1872" s="0" t="str">
        <f aca="false">IF(D1872&lt;5,"1) Under 5%",IF(D1872&lt;10,"2) 5-9%",IF(D1872&lt;15,"3) 10-14%",IF(D1872&lt;25,"4) 15-24%","5) 25%+"))))</f>
        <v>3) 10-14%</v>
      </c>
      <c r="N1872" s="0" t="str">
        <f aca="false">IF(F1872&lt;50,"1) Under Rs 50",IF(F1872&lt;100,"2) Rs 50-99",IF(F1872&lt;200,"3) Rs 100-199",IF(F1872&lt;500,"4) Rs 200-499","5) Rs 500+"))))</f>
        <v>1) Under Rs 50</v>
      </c>
      <c r="O1872" s="0" t="n">
        <f aca="false">G1872*E1872/1000</f>
        <v>0.065</v>
      </c>
    </row>
    <row r="1873" customFormat="false" ht="15" hidden="false" customHeight="false" outlineLevel="0" collapsed="false">
      <c r="A1873" s="0" t="s">
        <v>113</v>
      </c>
      <c r="B1873" s="0" t="s">
        <v>880</v>
      </c>
      <c r="C1873" s="0" t="n">
        <v>55</v>
      </c>
      <c r="D1873" s="0" t="n">
        <v>9</v>
      </c>
      <c r="E1873" s="0" t="n">
        <v>2</v>
      </c>
      <c r="F1873" s="0" t="n">
        <v>50</v>
      </c>
      <c r="G1873" s="0" t="n">
        <v>200</v>
      </c>
      <c r="H1873" s="0" t="s">
        <v>145</v>
      </c>
      <c r="I1873" s="0" t="n">
        <v>200</v>
      </c>
      <c r="J1873" s="0" t="n">
        <f aca="false">F1873*E1873</f>
        <v>100</v>
      </c>
      <c r="K1873" s="0" t="str">
        <f aca="false">IF(G1873&lt;1000,"1-Low",IF(G1873&lt;5000,"2-Medium","3-Bulk"))</f>
        <v>1-Low</v>
      </c>
      <c r="L1873" s="0" t="str">
        <f aca="false">IF(H1873="TRUE","Out of stock","In stock")</f>
        <v>In stock</v>
      </c>
      <c r="M1873" s="0" t="str">
        <f aca="false">IF(D1873&lt;5,"1) Under 5%",IF(D1873&lt;10,"2) 5-9%",IF(D1873&lt;15,"3) 10-14%",IF(D1873&lt;25,"4) 15-24%","5) 25%+"))))</f>
        <v>2) 5-9%</v>
      </c>
      <c r="N1873" s="0" t="str">
        <f aca="false">IF(F1873&lt;50,"1) Under Rs 50",IF(F1873&lt;100,"2) Rs 50-99",IF(F1873&lt;200,"3) Rs 100-199",IF(F1873&lt;500,"4) Rs 200-499","5) Rs 500+"))))</f>
        <v>2) Rs 50-99</v>
      </c>
      <c r="O1873" s="0" t="n">
        <f aca="false">G1873*E1873/1000</f>
        <v>0.4</v>
      </c>
    </row>
    <row r="1874" customFormat="false" ht="15" hidden="false" customHeight="false" outlineLevel="0" collapsed="false">
      <c r="A1874" s="0" t="s">
        <v>113</v>
      </c>
      <c r="B1874" s="0" t="s">
        <v>881</v>
      </c>
      <c r="C1874" s="0" t="n">
        <v>169</v>
      </c>
      <c r="D1874" s="0" t="n">
        <v>8</v>
      </c>
      <c r="E1874" s="0" t="n">
        <v>4</v>
      </c>
      <c r="F1874" s="0" t="n">
        <v>155</v>
      </c>
      <c r="G1874" s="0" t="n">
        <v>300</v>
      </c>
      <c r="H1874" s="0" t="s">
        <v>145</v>
      </c>
      <c r="I1874" s="0" t="n">
        <v>300</v>
      </c>
      <c r="J1874" s="0" t="n">
        <f aca="false">F1874*E1874</f>
        <v>620</v>
      </c>
      <c r="K1874" s="0" t="str">
        <f aca="false">IF(G1874&lt;1000,"1-Low",IF(G1874&lt;5000,"2-Medium","3-Bulk"))</f>
        <v>1-Low</v>
      </c>
      <c r="L1874" s="0" t="str">
        <f aca="false">IF(H1874="TRUE","Out of stock","In stock")</f>
        <v>In stock</v>
      </c>
      <c r="M1874" s="0" t="str">
        <f aca="false">IF(D1874&lt;5,"1) Under 5%",IF(D1874&lt;10,"2) 5-9%",IF(D1874&lt;15,"3) 10-14%",IF(D1874&lt;25,"4) 15-24%","5) 25%+"))))</f>
        <v>2) 5-9%</v>
      </c>
      <c r="N1874" s="0" t="str">
        <f aca="false">IF(F1874&lt;50,"1) Under Rs 50",IF(F1874&lt;100,"2) Rs 50-99",IF(F1874&lt;200,"3) Rs 100-199",IF(F1874&lt;500,"4) Rs 200-499","5) Rs 500+"))))</f>
        <v>3) Rs 100-199</v>
      </c>
      <c r="O1874" s="0" t="n">
        <f aca="false">G1874*E1874/1000</f>
        <v>1.2</v>
      </c>
    </row>
    <row r="1875" customFormat="false" ht="15" hidden="false" customHeight="false" outlineLevel="0" collapsed="false">
      <c r="A1875" s="0" t="s">
        <v>113</v>
      </c>
      <c r="B1875" s="0" t="s">
        <v>882</v>
      </c>
      <c r="C1875" s="0" t="n">
        <v>130</v>
      </c>
      <c r="D1875" s="0" t="n">
        <v>0</v>
      </c>
      <c r="E1875" s="0" t="n">
        <v>6</v>
      </c>
      <c r="F1875" s="0" t="n">
        <v>129</v>
      </c>
      <c r="G1875" s="0" t="n">
        <v>415</v>
      </c>
      <c r="H1875" s="0" t="s">
        <v>145</v>
      </c>
      <c r="I1875" s="0" t="n">
        <v>415</v>
      </c>
      <c r="J1875" s="0" t="n">
        <f aca="false">F1875*E1875</f>
        <v>774</v>
      </c>
      <c r="K1875" s="0" t="str">
        <f aca="false">IF(G1875&lt;1000,"1-Low",IF(G1875&lt;5000,"2-Medium","3-Bulk"))</f>
        <v>1-Low</v>
      </c>
      <c r="L1875" s="0" t="str">
        <f aca="false">IF(H1875="TRUE","Out of stock","In stock")</f>
        <v>In stock</v>
      </c>
      <c r="M1875" s="0" t="str">
        <f aca="false">IF(D1875&lt;5,"1) Under 5%",IF(D1875&lt;10,"2) 5-9%",IF(D1875&lt;15,"3) 10-14%",IF(D1875&lt;25,"4) 15-24%","5) 25%+"))))</f>
        <v>1) Under 5%</v>
      </c>
      <c r="N1875" s="0" t="str">
        <f aca="false">IF(F1875&lt;50,"1) Under Rs 50",IF(F1875&lt;100,"2) Rs 50-99",IF(F1875&lt;200,"3) Rs 100-199",IF(F1875&lt;500,"4) Rs 200-499","5) Rs 500+"))))</f>
        <v>3) Rs 100-199</v>
      </c>
      <c r="O1875" s="0" t="n">
        <f aca="false">G1875*E1875/1000</f>
        <v>2.49</v>
      </c>
    </row>
    <row r="1876" customFormat="false" ht="15" hidden="false" customHeight="false" outlineLevel="0" collapsed="false">
      <c r="A1876" s="0" t="s">
        <v>113</v>
      </c>
      <c r="B1876" s="0" t="s">
        <v>883</v>
      </c>
      <c r="C1876" s="0" t="n">
        <v>60</v>
      </c>
      <c r="D1876" s="0" t="n">
        <v>26</v>
      </c>
      <c r="E1876" s="0" t="n">
        <v>6</v>
      </c>
      <c r="F1876" s="0" t="n">
        <v>44</v>
      </c>
      <c r="G1876" s="0" t="n">
        <v>40</v>
      </c>
      <c r="H1876" s="0" t="s">
        <v>145</v>
      </c>
      <c r="I1876" s="0" t="n">
        <v>40</v>
      </c>
      <c r="J1876" s="0" t="n">
        <f aca="false">F1876*E1876</f>
        <v>264</v>
      </c>
      <c r="K1876" s="0" t="str">
        <f aca="false">IF(G1876&lt;1000,"1-Low",IF(G1876&lt;5000,"2-Medium","3-Bulk"))</f>
        <v>1-Low</v>
      </c>
      <c r="L1876" s="0" t="str">
        <f aca="false">IF(H1876="TRUE","Out of stock","In stock")</f>
        <v>In stock</v>
      </c>
      <c r="M1876" s="0" t="str">
        <f aca="false">IF(D1876&lt;5,"1) Under 5%",IF(D1876&lt;10,"2) 5-9%",IF(D1876&lt;15,"3) 10-14%",IF(D1876&lt;25,"4) 15-24%","5) 25%+"))))</f>
        <v>5) 25%+</v>
      </c>
      <c r="N1876" s="0" t="str">
        <f aca="false">IF(F1876&lt;50,"1) Under Rs 50",IF(F1876&lt;100,"2) Rs 50-99",IF(F1876&lt;200,"3) Rs 100-199",IF(F1876&lt;500,"4) Rs 200-499","5) Rs 500+"))))</f>
        <v>1) Under Rs 50</v>
      </c>
      <c r="O1876" s="0" t="n">
        <f aca="false">G1876*E1876/1000</f>
        <v>0.24</v>
      </c>
    </row>
    <row r="1877" customFormat="false" ht="15" hidden="false" customHeight="false" outlineLevel="0" collapsed="false">
      <c r="A1877" s="0" t="s">
        <v>113</v>
      </c>
      <c r="B1877" s="0" t="s">
        <v>884</v>
      </c>
      <c r="C1877" s="0" t="n">
        <v>260</v>
      </c>
      <c r="D1877" s="0" t="n">
        <v>10</v>
      </c>
      <c r="E1877" s="0" t="n">
        <v>4</v>
      </c>
      <c r="F1877" s="0" t="n">
        <v>234</v>
      </c>
      <c r="G1877" s="0" t="n">
        <v>400</v>
      </c>
      <c r="H1877" s="0" t="s">
        <v>145</v>
      </c>
      <c r="I1877" s="0" t="n">
        <v>400</v>
      </c>
      <c r="J1877" s="0" t="n">
        <f aca="false">F1877*E1877</f>
        <v>936</v>
      </c>
      <c r="K1877" s="0" t="str">
        <f aca="false">IF(G1877&lt;1000,"1-Low",IF(G1877&lt;5000,"2-Medium","3-Bulk"))</f>
        <v>1-Low</v>
      </c>
      <c r="L1877" s="0" t="str">
        <f aca="false">IF(H1877="TRUE","Out of stock","In stock")</f>
        <v>In stock</v>
      </c>
      <c r="M1877" s="0" t="str">
        <f aca="false">IF(D1877&lt;5,"1) Under 5%",IF(D1877&lt;10,"2) 5-9%",IF(D1877&lt;15,"3) 10-14%",IF(D1877&lt;25,"4) 15-24%","5) 25%+"))))</f>
        <v>3) 10-14%</v>
      </c>
      <c r="N1877" s="0" t="str">
        <f aca="false">IF(F1877&lt;50,"1) Under Rs 50",IF(F1877&lt;100,"2) Rs 50-99",IF(F1877&lt;200,"3) Rs 100-199",IF(F1877&lt;500,"4) Rs 200-499","5) Rs 500+"))))</f>
        <v>4) Rs 200-499</v>
      </c>
      <c r="O1877" s="0" t="n">
        <f aca="false">G1877*E1877/1000</f>
        <v>1.6</v>
      </c>
    </row>
    <row r="1878" customFormat="false" ht="15" hidden="false" customHeight="false" outlineLevel="0" collapsed="false">
      <c r="A1878" s="0" t="s">
        <v>113</v>
      </c>
      <c r="B1878" s="0" t="s">
        <v>871</v>
      </c>
      <c r="C1878" s="0" t="n">
        <v>150</v>
      </c>
      <c r="D1878" s="0" t="n">
        <v>0</v>
      </c>
      <c r="E1878" s="0" t="n">
        <v>5</v>
      </c>
      <c r="F1878" s="0" t="n">
        <v>150</v>
      </c>
      <c r="G1878" s="0" t="n">
        <v>580</v>
      </c>
      <c r="H1878" s="0" t="s">
        <v>145</v>
      </c>
      <c r="I1878" s="0" t="n">
        <v>10</v>
      </c>
      <c r="J1878" s="0" t="n">
        <f aca="false">F1878*E1878</f>
        <v>750</v>
      </c>
      <c r="K1878" s="0" t="str">
        <f aca="false">IF(G1878&lt;1000,"1-Low",IF(G1878&lt;5000,"2-Medium","3-Bulk"))</f>
        <v>1-Low</v>
      </c>
      <c r="L1878" s="0" t="str">
        <f aca="false">IF(H1878="TRUE","Out of stock","In stock")</f>
        <v>In stock</v>
      </c>
      <c r="M1878" s="0" t="str">
        <f aca="false">IF(D1878&lt;5,"1) Under 5%",IF(D1878&lt;10,"2) 5-9%",IF(D1878&lt;15,"3) 10-14%",IF(D1878&lt;25,"4) 15-24%","5) 25%+"))))</f>
        <v>1) Under 5%</v>
      </c>
      <c r="N1878" s="0" t="str">
        <f aca="false">IF(F1878&lt;50,"1) Under Rs 50",IF(F1878&lt;100,"2) Rs 50-99",IF(F1878&lt;200,"3) Rs 100-199",IF(F1878&lt;500,"4) Rs 200-499","5) Rs 500+"))))</f>
        <v>3) Rs 100-199</v>
      </c>
      <c r="O1878" s="0" t="n">
        <f aca="false">G1878*E1878/1000</f>
        <v>2.9</v>
      </c>
    </row>
    <row r="1879" customFormat="false" ht="15" hidden="false" customHeight="false" outlineLevel="0" collapsed="false">
      <c r="A1879" s="0" t="s">
        <v>113</v>
      </c>
      <c r="B1879" s="0" t="s">
        <v>885</v>
      </c>
      <c r="C1879" s="0" t="n">
        <v>85</v>
      </c>
      <c r="D1879" s="0" t="n">
        <v>9</v>
      </c>
      <c r="E1879" s="0" t="n">
        <v>2</v>
      </c>
      <c r="F1879" s="0" t="n">
        <v>77</v>
      </c>
      <c r="G1879" s="0" t="n">
        <v>300</v>
      </c>
      <c r="H1879" s="0" t="s">
        <v>145</v>
      </c>
      <c r="I1879" s="0" t="n">
        <v>300</v>
      </c>
      <c r="J1879" s="0" t="n">
        <f aca="false">F1879*E1879</f>
        <v>154</v>
      </c>
      <c r="K1879" s="0" t="str">
        <f aca="false">IF(G1879&lt;1000,"1-Low",IF(G1879&lt;5000,"2-Medium","3-Bulk"))</f>
        <v>1-Low</v>
      </c>
      <c r="L1879" s="0" t="str">
        <f aca="false">IF(H1879="TRUE","Out of stock","In stock")</f>
        <v>In stock</v>
      </c>
      <c r="M1879" s="0" t="str">
        <f aca="false">IF(D1879&lt;5,"1) Under 5%",IF(D1879&lt;10,"2) 5-9%",IF(D1879&lt;15,"3) 10-14%",IF(D1879&lt;25,"4) 15-24%","5) 25%+"))))</f>
        <v>2) 5-9%</v>
      </c>
      <c r="N1879" s="0" t="str">
        <f aca="false">IF(F1879&lt;50,"1) Under Rs 50",IF(F1879&lt;100,"2) Rs 50-99",IF(F1879&lt;200,"3) Rs 100-199",IF(F1879&lt;500,"4) Rs 200-499","5) Rs 500+"))))</f>
        <v>2) Rs 50-99</v>
      </c>
      <c r="O1879" s="0" t="n">
        <f aca="false">G1879*E1879/1000</f>
        <v>0.6</v>
      </c>
    </row>
    <row r="1880" customFormat="false" ht="15" hidden="false" customHeight="false" outlineLevel="0" collapsed="false">
      <c r="A1880" s="0" t="s">
        <v>113</v>
      </c>
      <c r="B1880" s="0" t="s">
        <v>406</v>
      </c>
      <c r="C1880" s="0" t="n">
        <v>28</v>
      </c>
      <c r="D1880" s="0" t="n">
        <v>17</v>
      </c>
      <c r="E1880" s="0" t="n">
        <v>3</v>
      </c>
      <c r="F1880" s="0" t="n">
        <v>23</v>
      </c>
      <c r="G1880" s="0" t="n">
        <v>65</v>
      </c>
      <c r="H1880" s="0" t="s">
        <v>145</v>
      </c>
      <c r="I1880" s="0" t="n">
        <v>65</v>
      </c>
      <c r="J1880" s="0" t="n">
        <f aca="false">F1880*E1880</f>
        <v>69</v>
      </c>
      <c r="K1880" s="0" t="str">
        <f aca="false">IF(G1880&lt;1000,"1-Low",IF(G1880&lt;5000,"2-Medium","3-Bulk"))</f>
        <v>1-Low</v>
      </c>
      <c r="L1880" s="0" t="str">
        <f aca="false">IF(H1880="TRUE","Out of stock","In stock")</f>
        <v>In stock</v>
      </c>
      <c r="M1880" s="0" t="str">
        <f aca="false">IF(D1880&lt;5,"1) Under 5%",IF(D1880&lt;10,"2) 5-9%",IF(D1880&lt;15,"3) 10-14%",IF(D1880&lt;25,"4) 15-24%","5) 25%+"))))</f>
        <v>4) 15-24%</v>
      </c>
      <c r="N1880" s="0" t="str">
        <f aca="false">IF(F1880&lt;50,"1) Under Rs 50",IF(F1880&lt;100,"2) Rs 50-99",IF(F1880&lt;200,"3) Rs 100-199",IF(F1880&lt;500,"4) Rs 200-499","5) Rs 500+"))))</f>
        <v>1) Under Rs 50</v>
      </c>
      <c r="O1880" s="0" t="n">
        <f aca="false">G1880*E1880/1000</f>
        <v>0.195</v>
      </c>
    </row>
    <row r="1881" customFormat="false" ht="15" hidden="false" customHeight="false" outlineLevel="0" collapsed="false">
      <c r="A1881" s="0" t="s">
        <v>113</v>
      </c>
      <c r="B1881" s="0" t="s">
        <v>886</v>
      </c>
      <c r="C1881" s="0" t="n">
        <v>100</v>
      </c>
      <c r="D1881" s="0" t="n">
        <v>26</v>
      </c>
      <c r="E1881" s="0" t="n">
        <v>6</v>
      </c>
      <c r="F1881" s="0" t="n">
        <v>74</v>
      </c>
      <c r="G1881" s="0" t="n">
        <v>52</v>
      </c>
      <c r="H1881" s="0" t="s">
        <v>145</v>
      </c>
      <c r="I1881" s="0" t="n">
        <v>52</v>
      </c>
      <c r="J1881" s="0" t="n">
        <f aca="false">F1881*E1881</f>
        <v>444</v>
      </c>
      <c r="K1881" s="0" t="str">
        <f aca="false">IF(G1881&lt;1000,"1-Low",IF(G1881&lt;5000,"2-Medium","3-Bulk"))</f>
        <v>1-Low</v>
      </c>
      <c r="L1881" s="0" t="str">
        <f aca="false">IF(H1881="TRUE","Out of stock","In stock")</f>
        <v>In stock</v>
      </c>
      <c r="M1881" s="0" t="str">
        <f aca="false">IF(D1881&lt;5,"1) Under 5%",IF(D1881&lt;10,"2) 5-9%",IF(D1881&lt;15,"3) 10-14%",IF(D1881&lt;25,"4) 15-24%","5) 25%+"))))</f>
        <v>5) 25%+</v>
      </c>
      <c r="N1881" s="0" t="str">
        <f aca="false">IF(F1881&lt;50,"1) Under Rs 50",IF(F1881&lt;100,"2) Rs 50-99",IF(F1881&lt;200,"3) Rs 100-199",IF(F1881&lt;500,"4) Rs 200-499","5) Rs 500+"))))</f>
        <v>2) Rs 50-99</v>
      </c>
      <c r="O1881" s="0" t="n">
        <f aca="false">G1881*E1881/1000</f>
        <v>0.312</v>
      </c>
    </row>
    <row r="1882" customFormat="false" ht="15" hidden="false" customHeight="false" outlineLevel="0" collapsed="false">
      <c r="A1882" s="0" t="s">
        <v>113</v>
      </c>
      <c r="B1882" s="0" t="s">
        <v>887</v>
      </c>
      <c r="C1882" s="0" t="n">
        <v>325</v>
      </c>
      <c r="D1882" s="0" t="n">
        <v>4</v>
      </c>
      <c r="E1882" s="0" t="n">
        <v>6</v>
      </c>
      <c r="F1882" s="0" t="n">
        <v>309</v>
      </c>
      <c r="G1882" s="0" t="n">
        <v>400</v>
      </c>
      <c r="H1882" s="0" t="s">
        <v>145</v>
      </c>
      <c r="I1882" s="0" t="n">
        <v>400</v>
      </c>
      <c r="J1882" s="0" t="n">
        <f aca="false">F1882*E1882</f>
        <v>1854</v>
      </c>
      <c r="K1882" s="0" t="str">
        <f aca="false">IF(G1882&lt;1000,"1-Low",IF(G1882&lt;5000,"2-Medium","3-Bulk"))</f>
        <v>1-Low</v>
      </c>
      <c r="L1882" s="0" t="str">
        <f aca="false">IF(H1882="TRUE","Out of stock","In stock")</f>
        <v>In stock</v>
      </c>
      <c r="M1882" s="0" t="str">
        <f aca="false">IF(D1882&lt;5,"1) Under 5%",IF(D1882&lt;10,"2) 5-9%",IF(D1882&lt;15,"3) 10-14%",IF(D1882&lt;25,"4) 15-24%","5) 25%+"))))</f>
        <v>1) Under 5%</v>
      </c>
      <c r="N1882" s="0" t="str">
        <f aca="false">IF(F1882&lt;50,"1) Under Rs 50",IF(F1882&lt;100,"2) Rs 50-99",IF(F1882&lt;200,"3) Rs 100-199",IF(F1882&lt;500,"4) Rs 200-499","5) Rs 500+"))))</f>
        <v>4) Rs 200-499</v>
      </c>
      <c r="O1882" s="0" t="n">
        <f aca="false">G1882*E1882/1000</f>
        <v>2.4</v>
      </c>
    </row>
    <row r="1883" customFormat="false" ht="15" hidden="false" customHeight="false" outlineLevel="0" collapsed="false">
      <c r="A1883" s="0" t="s">
        <v>113</v>
      </c>
      <c r="B1883" s="0" t="s">
        <v>420</v>
      </c>
      <c r="C1883" s="0" t="n">
        <v>70</v>
      </c>
      <c r="D1883" s="0" t="n">
        <v>10</v>
      </c>
      <c r="E1883" s="0" t="n">
        <v>3</v>
      </c>
      <c r="F1883" s="0" t="n">
        <v>63</v>
      </c>
      <c r="G1883" s="0" t="n">
        <v>405</v>
      </c>
      <c r="H1883" s="0" t="s">
        <v>145</v>
      </c>
      <c r="I1883" s="0" t="n">
        <v>405</v>
      </c>
      <c r="J1883" s="0" t="n">
        <f aca="false">F1883*E1883</f>
        <v>189</v>
      </c>
      <c r="K1883" s="0" t="str">
        <f aca="false">IF(G1883&lt;1000,"1-Low",IF(G1883&lt;5000,"2-Medium","3-Bulk"))</f>
        <v>1-Low</v>
      </c>
      <c r="L1883" s="0" t="str">
        <f aca="false">IF(H1883="TRUE","Out of stock","In stock")</f>
        <v>In stock</v>
      </c>
      <c r="M1883" s="0" t="str">
        <f aca="false">IF(D1883&lt;5,"1) Under 5%",IF(D1883&lt;10,"2) 5-9%",IF(D1883&lt;15,"3) 10-14%",IF(D1883&lt;25,"4) 15-24%","5) 25%+"))))</f>
        <v>3) 10-14%</v>
      </c>
      <c r="N1883" s="0" t="str">
        <f aca="false">IF(F1883&lt;50,"1) Under Rs 50",IF(F1883&lt;100,"2) Rs 50-99",IF(F1883&lt;200,"3) Rs 100-199",IF(F1883&lt;500,"4) Rs 200-499","5) Rs 500+"))))</f>
        <v>2) Rs 50-99</v>
      </c>
      <c r="O1883" s="0" t="n">
        <f aca="false">G1883*E1883/1000</f>
        <v>1.215</v>
      </c>
    </row>
    <row r="1884" customFormat="false" ht="15" hidden="false" customHeight="false" outlineLevel="0" collapsed="false">
      <c r="A1884" s="0" t="s">
        <v>113</v>
      </c>
      <c r="B1884" s="0" t="s">
        <v>888</v>
      </c>
      <c r="C1884" s="0" t="n">
        <v>141</v>
      </c>
      <c r="D1884" s="0" t="n">
        <v>14</v>
      </c>
      <c r="E1884" s="0" t="n">
        <v>4</v>
      </c>
      <c r="F1884" s="0" t="n">
        <v>121</v>
      </c>
      <c r="G1884" s="0" t="n">
        <v>350</v>
      </c>
      <c r="H1884" s="0" t="s">
        <v>145</v>
      </c>
      <c r="I1884" s="0" t="n">
        <v>350</v>
      </c>
      <c r="J1884" s="0" t="n">
        <f aca="false">F1884*E1884</f>
        <v>484</v>
      </c>
      <c r="K1884" s="0" t="str">
        <f aca="false">IF(G1884&lt;1000,"1-Low",IF(G1884&lt;5000,"2-Medium","3-Bulk"))</f>
        <v>1-Low</v>
      </c>
      <c r="L1884" s="0" t="str">
        <f aca="false">IF(H1884="TRUE","Out of stock","In stock")</f>
        <v>In stock</v>
      </c>
      <c r="M1884" s="0" t="str">
        <f aca="false">IF(D1884&lt;5,"1) Under 5%",IF(D1884&lt;10,"2) 5-9%",IF(D1884&lt;15,"3) 10-14%",IF(D1884&lt;25,"4) 15-24%","5) 25%+"))))</f>
        <v>3) 10-14%</v>
      </c>
      <c r="N1884" s="0" t="str">
        <f aca="false">IF(F1884&lt;50,"1) Under Rs 50",IF(F1884&lt;100,"2) Rs 50-99",IF(F1884&lt;200,"3) Rs 100-199",IF(F1884&lt;500,"4) Rs 200-499","5) Rs 500+"))))</f>
        <v>3) Rs 100-199</v>
      </c>
      <c r="O1884" s="0" t="n">
        <f aca="false">G1884*E1884/1000</f>
        <v>1.4</v>
      </c>
    </row>
    <row r="1885" customFormat="false" ht="15" hidden="false" customHeight="false" outlineLevel="0" collapsed="false">
      <c r="A1885" s="0" t="s">
        <v>113</v>
      </c>
      <c r="B1885" s="0" t="s">
        <v>424</v>
      </c>
      <c r="C1885" s="0" t="n">
        <v>49</v>
      </c>
      <c r="D1885" s="0" t="n">
        <v>8</v>
      </c>
      <c r="E1885" s="0" t="n">
        <v>6</v>
      </c>
      <c r="F1885" s="0" t="n">
        <v>45</v>
      </c>
      <c r="G1885" s="0" t="n">
        <v>200</v>
      </c>
      <c r="H1885" s="0" t="s">
        <v>145</v>
      </c>
      <c r="I1885" s="0" t="n">
        <v>200</v>
      </c>
      <c r="J1885" s="0" t="n">
        <f aca="false">F1885*E1885</f>
        <v>270</v>
      </c>
      <c r="K1885" s="0" t="str">
        <f aca="false">IF(G1885&lt;1000,"1-Low",IF(G1885&lt;5000,"2-Medium","3-Bulk"))</f>
        <v>1-Low</v>
      </c>
      <c r="L1885" s="0" t="str">
        <f aca="false">IF(H1885="TRUE","Out of stock","In stock")</f>
        <v>In stock</v>
      </c>
      <c r="M1885" s="0" t="str">
        <f aca="false">IF(D1885&lt;5,"1) Under 5%",IF(D1885&lt;10,"2) 5-9%",IF(D1885&lt;15,"3) 10-14%",IF(D1885&lt;25,"4) 15-24%","5) 25%+"))))</f>
        <v>2) 5-9%</v>
      </c>
      <c r="N1885" s="0" t="str">
        <f aca="false">IF(F1885&lt;50,"1) Under Rs 50",IF(F1885&lt;100,"2) Rs 50-99",IF(F1885&lt;200,"3) Rs 100-199",IF(F1885&lt;500,"4) Rs 200-499","5) Rs 500+"))))</f>
        <v>1) Under Rs 50</v>
      </c>
      <c r="O1885" s="0" t="n">
        <f aca="false">G1885*E1885/1000</f>
        <v>1.2</v>
      </c>
    </row>
    <row r="1886" customFormat="false" ht="15" hidden="false" customHeight="false" outlineLevel="0" collapsed="false">
      <c r="A1886" s="0" t="s">
        <v>113</v>
      </c>
      <c r="B1886" s="0" t="s">
        <v>423</v>
      </c>
      <c r="C1886" s="0" t="n">
        <v>50</v>
      </c>
      <c r="D1886" s="0" t="n">
        <v>2</v>
      </c>
      <c r="E1886" s="0" t="n">
        <v>6</v>
      </c>
      <c r="F1886" s="0" t="n">
        <v>49</v>
      </c>
      <c r="G1886" s="0" t="n">
        <v>200</v>
      </c>
      <c r="H1886" s="0" t="s">
        <v>145</v>
      </c>
      <c r="I1886" s="0" t="n">
        <v>200</v>
      </c>
      <c r="J1886" s="0" t="n">
        <f aca="false">F1886*E1886</f>
        <v>294</v>
      </c>
      <c r="K1886" s="0" t="str">
        <f aca="false">IF(G1886&lt;1000,"1-Low",IF(G1886&lt;5000,"2-Medium","3-Bulk"))</f>
        <v>1-Low</v>
      </c>
      <c r="L1886" s="0" t="str">
        <f aca="false">IF(H1886="TRUE","Out of stock","In stock")</f>
        <v>In stock</v>
      </c>
      <c r="M1886" s="0" t="str">
        <f aca="false">IF(D1886&lt;5,"1) Under 5%",IF(D1886&lt;10,"2) 5-9%",IF(D1886&lt;15,"3) 10-14%",IF(D1886&lt;25,"4) 15-24%","5) 25%+"))))</f>
        <v>1) Under 5%</v>
      </c>
      <c r="N1886" s="0" t="str">
        <f aca="false">IF(F1886&lt;50,"1) Under Rs 50",IF(F1886&lt;100,"2) Rs 50-99",IF(F1886&lt;200,"3) Rs 100-199",IF(F1886&lt;500,"4) Rs 200-499","5) Rs 500+"))))</f>
        <v>1) Under Rs 50</v>
      </c>
      <c r="O1886" s="0" t="n">
        <f aca="false">G1886*E1886/1000</f>
        <v>1.2</v>
      </c>
    </row>
    <row r="1887" customFormat="false" ht="15" hidden="false" customHeight="false" outlineLevel="0" collapsed="false">
      <c r="A1887" s="0" t="s">
        <v>113</v>
      </c>
      <c r="B1887" s="0" t="s">
        <v>889</v>
      </c>
      <c r="C1887" s="0" t="n">
        <v>125</v>
      </c>
      <c r="D1887" s="0" t="n">
        <v>15</v>
      </c>
      <c r="E1887" s="0" t="n">
        <v>4</v>
      </c>
      <c r="F1887" s="0" t="n">
        <v>106</v>
      </c>
      <c r="G1887" s="0" t="n">
        <v>60</v>
      </c>
      <c r="H1887" s="0" t="s">
        <v>145</v>
      </c>
      <c r="I1887" s="0" t="n">
        <v>60</v>
      </c>
      <c r="J1887" s="0" t="n">
        <f aca="false">F1887*E1887</f>
        <v>424</v>
      </c>
      <c r="K1887" s="0" t="str">
        <f aca="false">IF(G1887&lt;1000,"1-Low",IF(G1887&lt;5000,"2-Medium","3-Bulk"))</f>
        <v>1-Low</v>
      </c>
      <c r="L1887" s="0" t="str">
        <f aca="false">IF(H1887="TRUE","Out of stock","In stock")</f>
        <v>In stock</v>
      </c>
      <c r="M1887" s="0" t="str">
        <f aca="false">IF(D1887&lt;5,"1) Under 5%",IF(D1887&lt;10,"2) 5-9%",IF(D1887&lt;15,"3) 10-14%",IF(D1887&lt;25,"4) 15-24%","5) 25%+"))))</f>
        <v>4) 15-24%</v>
      </c>
      <c r="N1887" s="0" t="str">
        <f aca="false">IF(F1887&lt;50,"1) Under Rs 50",IF(F1887&lt;100,"2) Rs 50-99",IF(F1887&lt;200,"3) Rs 100-199",IF(F1887&lt;500,"4) Rs 200-499","5) Rs 500+"))))</f>
        <v>3) Rs 100-199</v>
      </c>
      <c r="O1887" s="0" t="n">
        <f aca="false">G1887*E1887/1000</f>
        <v>0.24</v>
      </c>
    </row>
    <row r="1888" customFormat="false" ht="15" hidden="false" customHeight="false" outlineLevel="0" collapsed="false">
      <c r="A1888" s="0" t="s">
        <v>113</v>
      </c>
      <c r="B1888" s="0" t="s">
        <v>890</v>
      </c>
      <c r="C1888" s="0" t="n">
        <v>40</v>
      </c>
      <c r="D1888" s="0" t="n">
        <v>2</v>
      </c>
      <c r="E1888" s="0" t="n">
        <v>3</v>
      </c>
      <c r="F1888" s="0" t="n">
        <v>39</v>
      </c>
      <c r="G1888" s="0" t="n">
        <v>400</v>
      </c>
      <c r="H1888" s="0" t="s">
        <v>145</v>
      </c>
      <c r="I1888" s="0" t="n">
        <v>400</v>
      </c>
      <c r="J1888" s="0" t="n">
        <f aca="false">F1888*E1888</f>
        <v>117</v>
      </c>
      <c r="K1888" s="0" t="str">
        <f aca="false">IF(G1888&lt;1000,"1-Low",IF(G1888&lt;5000,"2-Medium","3-Bulk"))</f>
        <v>1-Low</v>
      </c>
      <c r="L1888" s="0" t="str">
        <f aca="false">IF(H1888="TRUE","Out of stock","In stock")</f>
        <v>In stock</v>
      </c>
      <c r="M1888" s="0" t="str">
        <f aca="false">IF(D1888&lt;5,"1) Under 5%",IF(D1888&lt;10,"2) 5-9%",IF(D1888&lt;15,"3) 10-14%",IF(D1888&lt;25,"4) 15-24%","5) 25%+"))))</f>
        <v>1) Under 5%</v>
      </c>
      <c r="N1888" s="0" t="str">
        <f aca="false">IF(F1888&lt;50,"1) Under Rs 50",IF(F1888&lt;100,"2) Rs 50-99",IF(F1888&lt;200,"3) Rs 100-199",IF(F1888&lt;500,"4) Rs 200-499","5) Rs 500+"))))</f>
        <v>1) Under Rs 50</v>
      </c>
      <c r="O1888" s="0" t="n">
        <f aca="false">G1888*E1888/1000</f>
        <v>1.2</v>
      </c>
    </row>
    <row r="1889" customFormat="false" ht="15" hidden="false" customHeight="false" outlineLevel="0" collapsed="false">
      <c r="A1889" s="0" t="s">
        <v>113</v>
      </c>
      <c r="B1889" s="0" t="s">
        <v>891</v>
      </c>
      <c r="C1889" s="0" t="n">
        <v>10</v>
      </c>
      <c r="D1889" s="0" t="n">
        <v>0</v>
      </c>
      <c r="E1889" s="0" t="n">
        <v>3</v>
      </c>
      <c r="F1889" s="0" t="n">
        <v>10</v>
      </c>
      <c r="G1889" s="0" t="n">
        <v>15</v>
      </c>
      <c r="H1889" s="0" t="s">
        <v>145</v>
      </c>
      <c r="I1889" s="0" t="n">
        <v>15</v>
      </c>
      <c r="J1889" s="0" t="n">
        <f aca="false">F1889*E1889</f>
        <v>30</v>
      </c>
      <c r="K1889" s="0" t="str">
        <f aca="false">IF(G1889&lt;1000,"1-Low",IF(G1889&lt;5000,"2-Medium","3-Bulk"))</f>
        <v>1-Low</v>
      </c>
      <c r="L1889" s="0" t="str">
        <f aca="false">IF(H1889="TRUE","Out of stock","In stock")</f>
        <v>In stock</v>
      </c>
      <c r="M1889" s="0" t="str">
        <f aca="false">IF(D1889&lt;5,"1) Under 5%",IF(D1889&lt;10,"2) 5-9%",IF(D1889&lt;15,"3) 10-14%",IF(D1889&lt;25,"4) 15-24%","5) 25%+"))))</f>
        <v>1) Under 5%</v>
      </c>
      <c r="N1889" s="0" t="str">
        <f aca="false">IF(F1889&lt;50,"1) Under Rs 50",IF(F1889&lt;100,"2) Rs 50-99",IF(F1889&lt;200,"3) Rs 100-199",IF(F1889&lt;500,"4) Rs 200-499","5) Rs 500+"))))</f>
        <v>1) Under Rs 50</v>
      </c>
      <c r="O1889" s="0" t="n">
        <f aca="false">G1889*E1889/1000</f>
        <v>0.045</v>
      </c>
    </row>
    <row r="1890" customFormat="false" ht="15" hidden="false" customHeight="false" outlineLevel="0" collapsed="false">
      <c r="A1890" s="0" t="s">
        <v>113</v>
      </c>
      <c r="B1890" s="0" t="s">
        <v>892</v>
      </c>
      <c r="C1890" s="0" t="n">
        <v>145</v>
      </c>
      <c r="D1890" s="0" t="n">
        <v>11</v>
      </c>
      <c r="E1890" s="0" t="n">
        <v>3</v>
      </c>
      <c r="F1890" s="0" t="n">
        <v>129</v>
      </c>
      <c r="G1890" s="0" t="n">
        <v>400</v>
      </c>
      <c r="H1890" s="0" t="s">
        <v>145</v>
      </c>
      <c r="I1890" s="0" t="n">
        <v>400</v>
      </c>
      <c r="J1890" s="0" t="n">
        <f aca="false">F1890*E1890</f>
        <v>387</v>
      </c>
      <c r="K1890" s="0" t="str">
        <f aca="false">IF(G1890&lt;1000,"1-Low",IF(G1890&lt;5000,"2-Medium","3-Bulk"))</f>
        <v>1-Low</v>
      </c>
      <c r="L1890" s="0" t="str">
        <f aca="false">IF(H1890="TRUE","Out of stock","In stock")</f>
        <v>In stock</v>
      </c>
      <c r="M1890" s="0" t="str">
        <f aca="false">IF(D1890&lt;5,"1) Under 5%",IF(D1890&lt;10,"2) 5-9%",IF(D1890&lt;15,"3) 10-14%",IF(D1890&lt;25,"4) 15-24%","5) 25%+"))))</f>
        <v>3) 10-14%</v>
      </c>
      <c r="N1890" s="0" t="str">
        <f aca="false">IF(F1890&lt;50,"1) Under Rs 50",IF(F1890&lt;100,"2) Rs 50-99",IF(F1890&lt;200,"3) Rs 100-199",IF(F1890&lt;500,"4) Rs 200-499","5) Rs 500+"))))</f>
        <v>3) Rs 100-199</v>
      </c>
      <c r="O1890" s="0" t="n">
        <f aca="false">G1890*E1890/1000</f>
        <v>1.2</v>
      </c>
    </row>
    <row r="1891" customFormat="false" ht="15" hidden="false" customHeight="false" outlineLevel="0" collapsed="false">
      <c r="A1891" s="0" t="s">
        <v>113</v>
      </c>
      <c r="B1891" s="0" t="s">
        <v>893</v>
      </c>
      <c r="C1891" s="0" t="n">
        <v>335</v>
      </c>
      <c r="D1891" s="0" t="n">
        <v>11</v>
      </c>
      <c r="E1891" s="0" t="n">
        <v>6</v>
      </c>
      <c r="F1891" s="0" t="n">
        <v>298</v>
      </c>
      <c r="G1891" s="0" t="n">
        <v>500</v>
      </c>
      <c r="H1891" s="0" t="s">
        <v>145</v>
      </c>
      <c r="I1891" s="0" t="n">
        <v>500</v>
      </c>
      <c r="J1891" s="0" t="n">
        <f aca="false">F1891*E1891</f>
        <v>1788</v>
      </c>
      <c r="K1891" s="0" t="str">
        <f aca="false">IF(G1891&lt;1000,"1-Low",IF(G1891&lt;5000,"2-Medium","3-Bulk"))</f>
        <v>1-Low</v>
      </c>
      <c r="L1891" s="0" t="str">
        <f aca="false">IF(H1891="TRUE","Out of stock","In stock")</f>
        <v>In stock</v>
      </c>
      <c r="M1891" s="0" t="str">
        <f aca="false">IF(D1891&lt;5,"1) Under 5%",IF(D1891&lt;10,"2) 5-9%",IF(D1891&lt;15,"3) 10-14%",IF(D1891&lt;25,"4) 15-24%","5) 25%+"))))</f>
        <v>3) 10-14%</v>
      </c>
      <c r="N1891" s="0" t="str">
        <f aca="false">IF(F1891&lt;50,"1) Under Rs 50",IF(F1891&lt;100,"2) Rs 50-99",IF(F1891&lt;200,"3) Rs 100-199",IF(F1891&lt;500,"4) Rs 200-499","5) Rs 500+"))))</f>
        <v>4) Rs 200-499</v>
      </c>
      <c r="O1891" s="0" t="n">
        <f aca="false">G1891*E1891/1000</f>
        <v>3</v>
      </c>
    </row>
    <row r="1892" customFormat="false" ht="15" hidden="false" customHeight="false" outlineLevel="0" collapsed="false">
      <c r="A1892" s="0" t="s">
        <v>113</v>
      </c>
      <c r="B1892" s="0" t="s">
        <v>894</v>
      </c>
      <c r="C1892" s="0" t="n">
        <v>119</v>
      </c>
      <c r="D1892" s="0" t="n">
        <v>6</v>
      </c>
      <c r="E1892" s="0" t="n">
        <v>6</v>
      </c>
      <c r="F1892" s="0" t="n">
        <v>111</v>
      </c>
      <c r="G1892" s="0" t="n">
        <v>360</v>
      </c>
      <c r="H1892" s="0" t="s">
        <v>145</v>
      </c>
      <c r="I1892" s="0" t="n">
        <v>360</v>
      </c>
      <c r="J1892" s="0" t="n">
        <f aca="false">F1892*E1892</f>
        <v>666</v>
      </c>
      <c r="K1892" s="0" t="str">
        <f aca="false">IF(G1892&lt;1000,"1-Low",IF(G1892&lt;5000,"2-Medium","3-Bulk"))</f>
        <v>1-Low</v>
      </c>
      <c r="L1892" s="0" t="str">
        <f aca="false">IF(H1892="TRUE","Out of stock","In stock")</f>
        <v>In stock</v>
      </c>
      <c r="M1892" s="0" t="str">
        <f aca="false">IF(D1892&lt;5,"1) Under 5%",IF(D1892&lt;10,"2) 5-9%",IF(D1892&lt;15,"3) 10-14%",IF(D1892&lt;25,"4) 15-24%","5) 25%+"))))</f>
        <v>2) 5-9%</v>
      </c>
      <c r="N1892" s="0" t="str">
        <f aca="false">IF(F1892&lt;50,"1) Under Rs 50",IF(F1892&lt;100,"2) Rs 50-99",IF(F1892&lt;200,"3) Rs 100-199",IF(F1892&lt;500,"4) Rs 200-499","5) Rs 500+"))))</f>
        <v>3) Rs 100-199</v>
      </c>
      <c r="O1892" s="0" t="n">
        <f aca="false">G1892*E1892/1000</f>
        <v>2.16</v>
      </c>
    </row>
    <row r="1893" customFormat="false" ht="15" hidden="false" customHeight="false" outlineLevel="0" collapsed="false">
      <c r="A1893" s="0" t="s">
        <v>113</v>
      </c>
      <c r="B1893" s="0" t="s">
        <v>895</v>
      </c>
      <c r="C1893" s="0" t="n">
        <v>149</v>
      </c>
      <c r="D1893" s="0" t="n">
        <v>8</v>
      </c>
      <c r="E1893" s="0" t="n">
        <v>6</v>
      </c>
      <c r="F1893" s="0" t="n">
        <v>137</v>
      </c>
      <c r="G1893" s="0" t="n">
        <v>300</v>
      </c>
      <c r="H1893" s="0" t="s">
        <v>145</v>
      </c>
      <c r="I1893" s="0" t="n">
        <v>300</v>
      </c>
      <c r="J1893" s="0" t="n">
        <f aca="false">F1893*E1893</f>
        <v>822</v>
      </c>
      <c r="K1893" s="0" t="str">
        <f aca="false">IF(G1893&lt;1000,"1-Low",IF(G1893&lt;5000,"2-Medium","3-Bulk"))</f>
        <v>1-Low</v>
      </c>
      <c r="L1893" s="0" t="str">
        <f aca="false">IF(H1893="TRUE","Out of stock","In stock")</f>
        <v>In stock</v>
      </c>
      <c r="M1893" s="0" t="str">
        <f aca="false">IF(D1893&lt;5,"1) Under 5%",IF(D1893&lt;10,"2) 5-9%",IF(D1893&lt;15,"3) 10-14%",IF(D1893&lt;25,"4) 15-24%","5) 25%+"))))</f>
        <v>2) 5-9%</v>
      </c>
      <c r="N1893" s="0" t="str">
        <f aca="false">IF(F1893&lt;50,"1) Under Rs 50",IF(F1893&lt;100,"2) Rs 50-99",IF(F1893&lt;200,"3) Rs 100-199",IF(F1893&lt;500,"4) Rs 200-499","5) Rs 500+"))))</f>
        <v>3) Rs 100-199</v>
      </c>
      <c r="O1893" s="0" t="n">
        <f aca="false">G1893*E1893/1000</f>
        <v>1.8</v>
      </c>
    </row>
    <row r="1894" customFormat="false" ht="15" hidden="false" customHeight="false" outlineLevel="0" collapsed="false">
      <c r="A1894" s="0" t="s">
        <v>113</v>
      </c>
      <c r="B1894" s="0" t="s">
        <v>896</v>
      </c>
      <c r="C1894" s="0" t="n">
        <v>130</v>
      </c>
      <c r="D1894" s="0" t="n">
        <v>0</v>
      </c>
      <c r="E1894" s="0" t="n">
        <v>5</v>
      </c>
      <c r="F1894" s="0" t="n">
        <v>130</v>
      </c>
      <c r="G1894" s="0" t="n">
        <v>200</v>
      </c>
      <c r="H1894" s="0" t="s">
        <v>145</v>
      </c>
      <c r="I1894" s="0" t="n">
        <v>200</v>
      </c>
      <c r="J1894" s="0" t="n">
        <f aca="false">F1894*E1894</f>
        <v>650</v>
      </c>
      <c r="K1894" s="0" t="str">
        <f aca="false">IF(G1894&lt;1000,"1-Low",IF(G1894&lt;5000,"2-Medium","3-Bulk"))</f>
        <v>1-Low</v>
      </c>
      <c r="L1894" s="0" t="str">
        <f aca="false">IF(H1894="TRUE","Out of stock","In stock")</f>
        <v>In stock</v>
      </c>
      <c r="M1894" s="0" t="str">
        <f aca="false">IF(D1894&lt;5,"1) Under 5%",IF(D1894&lt;10,"2) 5-9%",IF(D1894&lt;15,"3) 10-14%",IF(D1894&lt;25,"4) 15-24%","5) 25%+"))))</f>
        <v>1) Under 5%</v>
      </c>
      <c r="N1894" s="0" t="str">
        <f aca="false">IF(F1894&lt;50,"1) Under Rs 50",IF(F1894&lt;100,"2) Rs 50-99",IF(F1894&lt;200,"3) Rs 100-199",IF(F1894&lt;500,"4) Rs 200-499","5) Rs 500+"))))</f>
        <v>3) Rs 100-199</v>
      </c>
      <c r="O1894" s="0" t="n">
        <f aca="false">G1894*E1894/1000</f>
        <v>1</v>
      </c>
    </row>
    <row r="1895" customFormat="false" ht="15" hidden="false" customHeight="false" outlineLevel="0" collapsed="false">
      <c r="A1895" s="0" t="s">
        <v>113</v>
      </c>
      <c r="B1895" s="0" t="s">
        <v>897</v>
      </c>
      <c r="C1895" s="0" t="n">
        <v>55</v>
      </c>
      <c r="D1895" s="0" t="n">
        <v>3</v>
      </c>
      <c r="E1895" s="0" t="n">
        <v>1</v>
      </c>
      <c r="F1895" s="0" t="n">
        <v>53</v>
      </c>
      <c r="G1895" s="0" t="n">
        <v>43</v>
      </c>
      <c r="H1895" s="0" t="s">
        <v>145</v>
      </c>
      <c r="I1895" s="0" t="n">
        <v>43</v>
      </c>
      <c r="J1895" s="0" t="n">
        <f aca="false">F1895*E1895</f>
        <v>53</v>
      </c>
      <c r="K1895" s="0" t="str">
        <f aca="false">IF(G1895&lt;1000,"1-Low",IF(G1895&lt;5000,"2-Medium","3-Bulk"))</f>
        <v>1-Low</v>
      </c>
      <c r="L1895" s="0" t="str">
        <f aca="false">IF(H1895="TRUE","Out of stock","In stock")</f>
        <v>In stock</v>
      </c>
      <c r="M1895" s="0" t="str">
        <f aca="false">IF(D1895&lt;5,"1) Under 5%",IF(D1895&lt;10,"2) 5-9%",IF(D1895&lt;15,"3) 10-14%",IF(D1895&lt;25,"4) 15-24%","5) 25%+"))))</f>
        <v>1) Under 5%</v>
      </c>
      <c r="N1895" s="0" t="str">
        <f aca="false">IF(F1895&lt;50,"1) Under Rs 50",IF(F1895&lt;100,"2) Rs 50-99",IF(F1895&lt;200,"3) Rs 100-199",IF(F1895&lt;500,"4) Rs 200-499","5) Rs 500+"))))</f>
        <v>2) Rs 50-99</v>
      </c>
      <c r="O1895" s="0" t="n">
        <f aca="false">G1895*E1895/1000</f>
        <v>0.043</v>
      </c>
    </row>
    <row r="1896" customFormat="false" ht="15" hidden="false" customHeight="false" outlineLevel="0" collapsed="false">
      <c r="A1896" s="0" t="s">
        <v>113</v>
      </c>
      <c r="B1896" s="0" t="s">
        <v>755</v>
      </c>
      <c r="C1896" s="0" t="n">
        <v>99</v>
      </c>
      <c r="D1896" s="0" t="n">
        <v>5</v>
      </c>
      <c r="E1896" s="0" t="n">
        <v>6</v>
      </c>
      <c r="F1896" s="0" t="n">
        <v>94</v>
      </c>
      <c r="G1896" s="0" t="n">
        <v>200</v>
      </c>
      <c r="H1896" s="0" t="s">
        <v>145</v>
      </c>
      <c r="I1896" s="0" t="n">
        <v>200</v>
      </c>
      <c r="J1896" s="0" t="n">
        <f aca="false">F1896*E1896</f>
        <v>564</v>
      </c>
      <c r="K1896" s="0" t="str">
        <f aca="false">IF(G1896&lt;1000,"1-Low",IF(G1896&lt;5000,"2-Medium","3-Bulk"))</f>
        <v>1-Low</v>
      </c>
      <c r="L1896" s="0" t="str">
        <f aca="false">IF(H1896="TRUE","Out of stock","In stock")</f>
        <v>In stock</v>
      </c>
      <c r="M1896" s="0" t="str">
        <f aca="false">IF(D1896&lt;5,"1) Under 5%",IF(D1896&lt;10,"2) 5-9%",IF(D1896&lt;15,"3) 10-14%",IF(D1896&lt;25,"4) 15-24%","5) 25%+"))))</f>
        <v>2) 5-9%</v>
      </c>
      <c r="N1896" s="0" t="str">
        <f aca="false">IF(F1896&lt;50,"1) Under Rs 50",IF(F1896&lt;100,"2) Rs 50-99",IF(F1896&lt;200,"3) Rs 100-199",IF(F1896&lt;500,"4) Rs 200-499","5) Rs 500+"))))</f>
        <v>2) Rs 50-99</v>
      </c>
      <c r="O1896" s="0" t="n">
        <f aca="false">G1896*E1896/1000</f>
        <v>1.2</v>
      </c>
    </row>
    <row r="1897" customFormat="false" ht="15" hidden="false" customHeight="false" outlineLevel="0" collapsed="false">
      <c r="A1897" s="0" t="s">
        <v>113</v>
      </c>
      <c r="B1897" s="0" t="s">
        <v>758</v>
      </c>
      <c r="C1897" s="0" t="n">
        <v>215</v>
      </c>
      <c r="D1897" s="0" t="n">
        <v>9</v>
      </c>
      <c r="E1897" s="0" t="n">
        <v>6</v>
      </c>
      <c r="F1897" s="0" t="n">
        <v>194</v>
      </c>
      <c r="G1897" s="0" t="n">
        <v>325</v>
      </c>
      <c r="H1897" s="0" t="s">
        <v>145</v>
      </c>
      <c r="I1897" s="0" t="n">
        <v>325</v>
      </c>
      <c r="J1897" s="0" t="n">
        <f aca="false">F1897*E1897</f>
        <v>1164</v>
      </c>
      <c r="K1897" s="0" t="str">
        <f aca="false">IF(G1897&lt;1000,"1-Low",IF(G1897&lt;5000,"2-Medium","3-Bulk"))</f>
        <v>1-Low</v>
      </c>
      <c r="L1897" s="0" t="str">
        <f aca="false">IF(H1897="TRUE","Out of stock","In stock")</f>
        <v>In stock</v>
      </c>
      <c r="M1897" s="0" t="str">
        <f aca="false">IF(D1897&lt;5,"1) Under 5%",IF(D1897&lt;10,"2) 5-9%",IF(D1897&lt;15,"3) 10-14%",IF(D1897&lt;25,"4) 15-24%","5) 25%+"))))</f>
        <v>2) 5-9%</v>
      </c>
      <c r="N1897" s="0" t="str">
        <f aca="false">IF(F1897&lt;50,"1) Under Rs 50",IF(F1897&lt;100,"2) Rs 50-99",IF(F1897&lt;200,"3) Rs 100-199",IF(F1897&lt;500,"4) Rs 200-499","5) Rs 500+"))))</f>
        <v>3) Rs 100-199</v>
      </c>
      <c r="O1897" s="0" t="n">
        <f aca="false">G1897*E1897/1000</f>
        <v>1.95</v>
      </c>
    </row>
    <row r="1898" customFormat="false" ht="15" hidden="false" customHeight="false" outlineLevel="0" collapsed="false">
      <c r="A1898" s="0" t="s">
        <v>113</v>
      </c>
      <c r="B1898" s="0" t="s">
        <v>439</v>
      </c>
      <c r="C1898" s="0" t="n">
        <v>205</v>
      </c>
      <c r="D1898" s="0" t="n">
        <v>5</v>
      </c>
      <c r="E1898" s="0" t="n">
        <v>1</v>
      </c>
      <c r="F1898" s="0" t="n">
        <v>194</v>
      </c>
      <c r="G1898" s="0" t="n">
        <v>250</v>
      </c>
      <c r="H1898" s="0" t="s">
        <v>145</v>
      </c>
      <c r="I1898" s="0" t="n">
        <v>250</v>
      </c>
      <c r="J1898" s="0" t="n">
        <f aca="false">F1898*E1898</f>
        <v>194</v>
      </c>
      <c r="K1898" s="0" t="str">
        <f aca="false">IF(G1898&lt;1000,"1-Low",IF(G1898&lt;5000,"2-Medium","3-Bulk"))</f>
        <v>1-Low</v>
      </c>
      <c r="L1898" s="0" t="str">
        <f aca="false">IF(H1898="TRUE","Out of stock","In stock")</f>
        <v>In stock</v>
      </c>
      <c r="M1898" s="0" t="str">
        <f aca="false">IF(D1898&lt;5,"1) Under 5%",IF(D1898&lt;10,"2) 5-9%",IF(D1898&lt;15,"3) 10-14%",IF(D1898&lt;25,"4) 15-24%","5) 25%+"))))</f>
        <v>2) 5-9%</v>
      </c>
      <c r="N1898" s="0" t="str">
        <f aca="false">IF(F1898&lt;50,"1) Under Rs 50",IF(F1898&lt;100,"2) Rs 50-99",IF(F1898&lt;200,"3) Rs 100-199",IF(F1898&lt;500,"4) Rs 200-499","5) Rs 500+"))))</f>
        <v>3) Rs 100-199</v>
      </c>
      <c r="O1898" s="0" t="n">
        <f aca="false">G1898*E1898/1000</f>
        <v>0.25</v>
      </c>
    </row>
    <row r="1899" customFormat="false" ht="15" hidden="false" customHeight="false" outlineLevel="0" collapsed="false">
      <c r="A1899" s="0" t="s">
        <v>113</v>
      </c>
      <c r="B1899" s="0" t="s">
        <v>898</v>
      </c>
      <c r="C1899" s="0" t="n">
        <v>165</v>
      </c>
      <c r="D1899" s="0" t="n">
        <v>9</v>
      </c>
      <c r="E1899" s="0" t="n">
        <v>1</v>
      </c>
      <c r="F1899" s="0" t="n">
        <v>149</v>
      </c>
      <c r="G1899" s="0" t="n">
        <v>500</v>
      </c>
      <c r="H1899" s="0" t="s">
        <v>145</v>
      </c>
      <c r="I1899" s="0" t="n">
        <v>500</v>
      </c>
      <c r="J1899" s="0" t="n">
        <f aca="false">F1899*E1899</f>
        <v>149</v>
      </c>
      <c r="K1899" s="0" t="str">
        <f aca="false">IF(G1899&lt;1000,"1-Low",IF(G1899&lt;5000,"2-Medium","3-Bulk"))</f>
        <v>1-Low</v>
      </c>
      <c r="L1899" s="0" t="str">
        <f aca="false">IF(H1899="TRUE","Out of stock","In stock")</f>
        <v>In stock</v>
      </c>
      <c r="M1899" s="0" t="str">
        <f aca="false">IF(D1899&lt;5,"1) Under 5%",IF(D1899&lt;10,"2) 5-9%",IF(D1899&lt;15,"3) 10-14%",IF(D1899&lt;25,"4) 15-24%","5) 25%+"))))</f>
        <v>2) 5-9%</v>
      </c>
      <c r="N1899" s="0" t="str">
        <f aca="false">IF(F1899&lt;50,"1) Under Rs 50",IF(F1899&lt;100,"2) Rs 50-99",IF(F1899&lt;200,"3) Rs 100-199",IF(F1899&lt;500,"4) Rs 200-499","5) Rs 500+"))))</f>
        <v>3) Rs 100-199</v>
      </c>
      <c r="O1899" s="0" t="n">
        <f aca="false">G1899*E1899/1000</f>
        <v>0.5</v>
      </c>
    </row>
    <row r="1900" customFormat="false" ht="15" hidden="false" customHeight="false" outlineLevel="0" collapsed="false">
      <c r="A1900" s="0" t="s">
        <v>113</v>
      </c>
      <c r="B1900" s="0" t="s">
        <v>899</v>
      </c>
      <c r="C1900" s="0" t="n">
        <v>89</v>
      </c>
      <c r="D1900" s="0" t="n">
        <v>0</v>
      </c>
      <c r="E1900" s="0" t="n">
        <v>5</v>
      </c>
      <c r="F1900" s="0" t="n">
        <v>89</v>
      </c>
      <c r="G1900" s="0" t="n">
        <v>480</v>
      </c>
      <c r="H1900" s="0" t="s">
        <v>145</v>
      </c>
      <c r="I1900" s="0" t="n">
        <v>480</v>
      </c>
      <c r="J1900" s="0" t="n">
        <f aca="false">F1900*E1900</f>
        <v>445</v>
      </c>
      <c r="K1900" s="0" t="str">
        <f aca="false">IF(G1900&lt;1000,"1-Low",IF(G1900&lt;5000,"2-Medium","3-Bulk"))</f>
        <v>1-Low</v>
      </c>
      <c r="L1900" s="0" t="str">
        <f aca="false">IF(H1900="TRUE","Out of stock","In stock")</f>
        <v>In stock</v>
      </c>
      <c r="M1900" s="0" t="str">
        <f aca="false">IF(D1900&lt;5,"1) Under 5%",IF(D1900&lt;10,"2) 5-9%",IF(D1900&lt;15,"3) 10-14%",IF(D1900&lt;25,"4) 15-24%","5) 25%+"))))</f>
        <v>1) Under 5%</v>
      </c>
      <c r="N1900" s="0" t="str">
        <f aca="false">IF(F1900&lt;50,"1) Under Rs 50",IF(F1900&lt;100,"2) Rs 50-99",IF(F1900&lt;200,"3) Rs 100-199",IF(F1900&lt;500,"4) Rs 200-499","5) Rs 500+"))))</f>
        <v>2) Rs 50-99</v>
      </c>
      <c r="O1900" s="0" t="n">
        <f aca="false">G1900*E1900/1000</f>
        <v>2.4</v>
      </c>
    </row>
    <row r="1901" customFormat="false" ht="15" hidden="false" customHeight="false" outlineLevel="0" collapsed="false">
      <c r="A1901" s="0" t="s">
        <v>113</v>
      </c>
      <c r="B1901" s="0" t="s">
        <v>114</v>
      </c>
      <c r="C1901" s="0" t="n">
        <v>650</v>
      </c>
      <c r="D1901" s="0" t="n">
        <v>0</v>
      </c>
      <c r="E1901" s="0" t="n">
        <v>6</v>
      </c>
      <c r="F1901" s="0" t="n">
        <v>650</v>
      </c>
      <c r="G1901" s="0" t="n">
        <v>400</v>
      </c>
      <c r="H1901" s="0" t="s">
        <v>145</v>
      </c>
      <c r="I1901" s="0" t="n">
        <v>400</v>
      </c>
      <c r="J1901" s="0" t="n">
        <f aca="false">F1901*E1901</f>
        <v>3900</v>
      </c>
      <c r="K1901" s="0" t="str">
        <f aca="false">IF(G1901&lt;1000,"1-Low",IF(G1901&lt;5000,"2-Medium","3-Bulk"))</f>
        <v>1-Low</v>
      </c>
      <c r="L1901" s="0" t="str">
        <f aca="false">IF(H1901="TRUE","Out of stock","In stock")</f>
        <v>In stock</v>
      </c>
      <c r="M1901" s="0" t="str">
        <f aca="false">IF(D1901&lt;5,"1) Under 5%",IF(D1901&lt;10,"2) 5-9%",IF(D1901&lt;15,"3) 10-14%",IF(D1901&lt;25,"4) 15-24%","5) 25%+"))))</f>
        <v>1) Under 5%</v>
      </c>
      <c r="N1901" s="0" t="str">
        <f aca="false">IF(F1901&lt;50,"1) Under Rs 50",IF(F1901&lt;100,"2) Rs 50-99",IF(F1901&lt;200,"3) Rs 100-199",IF(F1901&lt;500,"4) Rs 200-499","5) Rs 500+"))))</f>
        <v>5) Rs 500+</v>
      </c>
      <c r="O1901" s="0" t="n">
        <f aca="false">G1901*E1901/1000</f>
        <v>2.4</v>
      </c>
    </row>
    <row r="1902" customFormat="false" ht="15" hidden="false" customHeight="false" outlineLevel="0" collapsed="false">
      <c r="A1902" s="0" t="s">
        <v>113</v>
      </c>
      <c r="B1902" s="0" t="s">
        <v>426</v>
      </c>
      <c r="C1902" s="0" t="n">
        <v>96</v>
      </c>
      <c r="D1902" s="0" t="n">
        <v>15</v>
      </c>
      <c r="E1902" s="0" t="n">
        <v>6</v>
      </c>
      <c r="F1902" s="0" t="n">
        <v>81</v>
      </c>
      <c r="G1902" s="0" t="n">
        <v>280</v>
      </c>
      <c r="H1902" s="0" t="s">
        <v>145</v>
      </c>
      <c r="I1902" s="0" t="n">
        <v>280</v>
      </c>
      <c r="J1902" s="0" t="n">
        <f aca="false">F1902*E1902</f>
        <v>486</v>
      </c>
      <c r="K1902" s="0" t="str">
        <f aca="false">IF(G1902&lt;1000,"1-Low",IF(G1902&lt;5000,"2-Medium","3-Bulk"))</f>
        <v>1-Low</v>
      </c>
      <c r="L1902" s="0" t="str">
        <f aca="false">IF(H1902="TRUE","Out of stock","In stock")</f>
        <v>In stock</v>
      </c>
      <c r="M1902" s="0" t="str">
        <f aca="false">IF(D1902&lt;5,"1) Under 5%",IF(D1902&lt;10,"2) 5-9%",IF(D1902&lt;15,"3) 10-14%",IF(D1902&lt;25,"4) 15-24%","5) 25%+"))))</f>
        <v>4) 15-24%</v>
      </c>
      <c r="N1902" s="0" t="str">
        <f aca="false">IF(F1902&lt;50,"1) Under Rs 50",IF(F1902&lt;100,"2) Rs 50-99",IF(F1902&lt;200,"3) Rs 100-199",IF(F1902&lt;500,"4) Rs 200-499","5) Rs 500+"))))</f>
        <v>2) Rs 50-99</v>
      </c>
      <c r="O1902" s="0" t="n">
        <f aca="false">G1902*E1902/1000</f>
        <v>1.68</v>
      </c>
    </row>
    <row r="1903" customFormat="false" ht="15" hidden="false" customHeight="false" outlineLevel="0" collapsed="false">
      <c r="A1903" s="0" t="s">
        <v>113</v>
      </c>
      <c r="B1903" s="0" t="s">
        <v>900</v>
      </c>
      <c r="C1903" s="0" t="n">
        <v>120</v>
      </c>
      <c r="D1903" s="0" t="n">
        <v>7</v>
      </c>
      <c r="E1903" s="0" t="n">
        <v>6</v>
      </c>
      <c r="F1903" s="0" t="n">
        <v>111</v>
      </c>
      <c r="G1903" s="0" t="n">
        <v>400</v>
      </c>
      <c r="H1903" s="0" t="s">
        <v>145</v>
      </c>
      <c r="I1903" s="0" t="n">
        <v>400</v>
      </c>
      <c r="J1903" s="0" t="n">
        <f aca="false">F1903*E1903</f>
        <v>666</v>
      </c>
      <c r="K1903" s="0" t="str">
        <f aca="false">IF(G1903&lt;1000,"1-Low",IF(G1903&lt;5000,"2-Medium","3-Bulk"))</f>
        <v>1-Low</v>
      </c>
      <c r="L1903" s="0" t="str">
        <f aca="false">IF(H1903="TRUE","Out of stock","In stock")</f>
        <v>In stock</v>
      </c>
      <c r="M1903" s="0" t="str">
        <f aca="false">IF(D1903&lt;5,"1) Under 5%",IF(D1903&lt;10,"2) 5-9%",IF(D1903&lt;15,"3) 10-14%",IF(D1903&lt;25,"4) 15-24%","5) 25%+"))))</f>
        <v>2) 5-9%</v>
      </c>
      <c r="N1903" s="0" t="str">
        <f aca="false">IF(F1903&lt;50,"1) Under Rs 50",IF(F1903&lt;100,"2) Rs 50-99",IF(F1903&lt;200,"3) Rs 100-199",IF(F1903&lt;500,"4) Rs 200-499","5) Rs 500+"))))</f>
        <v>3) Rs 100-199</v>
      </c>
      <c r="O1903" s="0" t="n">
        <f aca="false">G1903*E1903/1000</f>
        <v>2.4</v>
      </c>
    </row>
    <row r="1904" customFormat="false" ht="15" hidden="false" customHeight="false" outlineLevel="0" collapsed="false">
      <c r="A1904" s="0" t="s">
        <v>113</v>
      </c>
      <c r="B1904" s="0" t="s">
        <v>901</v>
      </c>
      <c r="C1904" s="0" t="n">
        <v>330</v>
      </c>
      <c r="D1904" s="0" t="n">
        <v>10</v>
      </c>
      <c r="E1904" s="0" t="n">
        <v>1</v>
      </c>
      <c r="F1904" s="0" t="n">
        <v>294</v>
      </c>
      <c r="G1904" s="0" t="n">
        <v>450</v>
      </c>
      <c r="H1904" s="0" t="s">
        <v>145</v>
      </c>
      <c r="I1904" s="0" t="n">
        <v>450</v>
      </c>
      <c r="J1904" s="0" t="n">
        <f aca="false">F1904*E1904</f>
        <v>294</v>
      </c>
      <c r="K1904" s="0" t="str">
        <f aca="false">IF(G1904&lt;1000,"1-Low",IF(G1904&lt;5000,"2-Medium","3-Bulk"))</f>
        <v>1-Low</v>
      </c>
      <c r="L1904" s="0" t="str">
        <f aca="false">IF(H1904="TRUE","Out of stock","In stock")</f>
        <v>In stock</v>
      </c>
      <c r="M1904" s="0" t="str">
        <f aca="false">IF(D1904&lt;5,"1) Under 5%",IF(D1904&lt;10,"2) 5-9%",IF(D1904&lt;15,"3) 10-14%",IF(D1904&lt;25,"4) 15-24%","5) 25%+"))))</f>
        <v>3) 10-14%</v>
      </c>
      <c r="N1904" s="0" t="str">
        <f aca="false">IF(F1904&lt;50,"1) Under Rs 50",IF(F1904&lt;100,"2) Rs 50-99",IF(F1904&lt;200,"3) Rs 100-199",IF(F1904&lt;500,"4) Rs 200-499","5) Rs 500+"))))</f>
        <v>4) Rs 200-499</v>
      </c>
      <c r="O1904" s="0" t="n">
        <f aca="false">G1904*E1904/1000</f>
        <v>0.45</v>
      </c>
    </row>
    <row r="1905" customFormat="false" ht="15" hidden="false" customHeight="false" outlineLevel="0" collapsed="false">
      <c r="A1905" s="0" t="s">
        <v>113</v>
      </c>
      <c r="B1905" s="0" t="s">
        <v>902</v>
      </c>
      <c r="C1905" s="0" t="n">
        <v>130</v>
      </c>
      <c r="D1905" s="0" t="n">
        <v>10</v>
      </c>
      <c r="E1905" s="0" t="n">
        <v>6</v>
      </c>
      <c r="F1905" s="0" t="n">
        <v>117</v>
      </c>
      <c r="G1905" s="0" t="n">
        <v>250</v>
      </c>
      <c r="H1905" s="0" t="s">
        <v>145</v>
      </c>
      <c r="I1905" s="0" t="n">
        <v>250</v>
      </c>
      <c r="J1905" s="0" t="n">
        <f aca="false">F1905*E1905</f>
        <v>702</v>
      </c>
      <c r="K1905" s="0" t="str">
        <f aca="false">IF(G1905&lt;1000,"1-Low",IF(G1905&lt;5000,"2-Medium","3-Bulk"))</f>
        <v>1-Low</v>
      </c>
      <c r="L1905" s="0" t="str">
        <f aca="false">IF(H1905="TRUE","Out of stock","In stock")</f>
        <v>In stock</v>
      </c>
      <c r="M1905" s="0" t="str">
        <f aca="false">IF(D1905&lt;5,"1) Under 5%",IF(D1905&lt;10,"2) 5-9%",IF(D1905&lt;15,"3) 10-14%",IF(D1905&lt;25,"4) 15-24%","5) 25%+"))))</f>
        <v>3) 10-14%</v>
      </c>
      <c r="N1905" s="0" t="str">
        <f aca="false">IF(F1905&lt;50,"1) Under Rs 50",IF(F1905&lt;100,"2) Rs 50-99",IF(F1905&lt;200,"3) Rs 100-199",IF(F1905&lt;500,"4) Rs 200-499","5) Rs 500+"))))</f>
        <v>3) Rs 100-199</v>
      </c>
      <c r="O1905" s="0" t="n">
        <f aca="false">G1905*E1905/1000</f>
        <v>1.5</v>
      </c>
    </row>
    <row r="1906" customFormat="false" ht="15" hidden="false" customHeight="false" outlineLevel="0" collapsed="false">
      <c r="A1906" s="0" t="s">
        <v>113</v>
      </c>
      <c r="B1906" s="0" t="s">
        <v>903</v>
      </c>
      <c r="C1906" s="0" t="n">
        <v>32</v>
      </c>
      <c r="D1906" s="0" t="n">
        <v>0</v>
      </c>
      <c r="E1906" s="0" t="n">
        <v>3</v>
      </c>
      <c r="F1906" s="0" t="n">
        <v>32</v>
      </c>
      <c r="G1906" s="0" t="n">
        <v>150</v>
      </c>
      <c r="H1906" s="0" t="s">
        <v>145</v>
      </c>
      <c r="I1906" s="0" t="n">
        <v>150</v>
      </c>
      <c r="J1906" s="0" t="n">
        <f aca="false">F1906*E1906</f>
        <v>96</v>
      </c>
      <c r="K1906" s="0" t="str">
        <f aca="false">IF(G1906&lt;1000,"1-Low",IF(G1906&lt;5000,"2-Medium","3-Bulk"))</f>
        <v>1-Low</v>
      </c>
      <c r="L1906" s="0" t="str">
        <f aca="false">IF(H1906="TRUE","Out of stock","In stock")</f>
        <v>In stock</v>
      </c>
      <c r="M1906" s="0" t="str">
        <f aca="false">IF(D1906&lt;5,"1) Under 5%",IF(D1906&lt;10,"2) 5-9%",IF(D1906&lt;15,"3) 10-14%",IF(D1906&lt;25,"4) 15-24%","5) 25%+"))))</f>
        <v>1) Under 5%</v>
      </c>
      <c r="N1906" s="0" t="str">
        <f aca="false">IF(F1906&lt;50,"1) Under Rs 50",IF(F1906&lt;100,"2) Rs 50-99",IF(F1906&lt;200,"3) Rs 100-199",IF(F1906&lt;500,"4) Rs 200-499","5) Rs 500+"))))</f>
        <v>1) Under Rs 50</v>
      </c>
      <c r="O1906" s="0" t="n">
        <f aca="false">G1906*E1906/1000</f>
        <v>0.45</v>
      </c>
    </row>
    <row r="1907" customFormat="false" ht="15" hidden="false" customHeight="false" outlineLevel="0" collapsed="false">
      <c r="A1907" s="0" t="s">
        <v>113</v>
      </c>
      <c r="B1907" s="0" t="s">
        <v>904</v>
      </c>
      <c r="C1907" s="0" t="n">
        <v>60</v>
      </c>
      <c r="D1907" s="0" t="n">
        <v>20</v>
      </c>
      <c r="E1907" s="0" t="n">
        <v>6</v>
      </c>
      <c r="F1907" s="0" t="n">
        <v>48</v>
      </c>
      <c r="G1907" s="0" t="n">
        <v>40</v>
      </c>
      <c r="H1907" s="0" t="s">
        <v>145</v>
      </c>
      <c r="I1907" s="0" t="n">
        <v>40</v>
      </c>
      <c r="J1907" s="0" t="n">
        <f aca="false">F1907*E1907</f>
        <v>288</v>
      </c>
      <c r="K1907" s="0" t="str">
        <f aca="false">IF(G1907&lt;1000,"1-Low",IF(G1907&lt;5000,"2-Medium","3-Bulk"))</f>
        <v>1-Low</v>
      </c>
      <c r="L1907" s="0" t="str">
        <f aca="false">IF(H1907="TRUE","Out of stock","In stock")</f>
        <v>In stock</v>
      </c>
      <c r="M1907" s="0" t="str">
        <f aca="false">IF(D1907&lt;5,"1) Under 5%",IF(D1907&lt;10,"2) 5-9%",IF(D1907&lt;15,"3) 10-14%",IF(D1907&lt;25,"4) 15-24%","5) 25%+"))))</f>
        <v>4) 15-24%</v>
      </c>
      <c r="N1907" s="0" t="str">
        <f aca="false">IF(F1907&lt;50,"1) Under Rs 50",IF(F1907&lt;100,"2) Rs 50-99",IF(F1907&lt;200,"3) Rs 100-199",IF(F1907&lt;500,"4) Rs 200-499","5) Rs 500+"))))</f>
        <v>1) Under Rs 50</v>
      </c>
      <c r="O1907" s="0" t="n">
        <f aca="false">G1907*E1907/1000</f>
        <v>0.24</v>
      </c>
    </row>
    <row r="1908" customFormat="false" ht="15" hidden="false" customHeight="false" outlineLevel="0" collapsed="false">
      <c r="A1908" s="0" t="s">
        <v>113</v>
      </c>
      <c r="B1908" s="0" t="s">
        <v>270</v>
      </c>
      <c r="C1908" s="0" t="n">
        <v>195</v>
      </c>
      <c r="D1908" s="0" t="n">
        <v>12</v>
      </c>
      <c r="E1908" s="0" t="n">
        <v>2</v>
      </c>
      <c r="F1908" s="0" t="n">
        <v>171</v>
      </c>
      <c r="G1908" s="0" t="n">
        <v>500</v>
      </c>
      <c r="H1908" s="0" t="s">
        <v>145</v>
      </c>
      <c r="I1908" s="0" t="n">
        <v>500</v>
      </c>
      <c r="J1908" s="0" t="n">
        <f aca="false">F1908*E1908</f>
        <v>342</v>
      </c>
      <c r="K1908" s="0" t="str">
        <f aca="false">IF(G1908&lt;1000,"1-Low",IF(G1908&lt;5000,"2-Medium","3-Bulk"))</f>
        <v>1-Low</v>
      </c>
      <c r="L1908" s="0" t="str">
        <f aca="false">IF(H1908="TRUE","Out of stock","In stock")</f>
        <v>In stock</v>
      </c>
      <c r="M1908" s="0" t="str">
        <f aca="false">IF(D1908&lt;5,"1) Under 5%",IF(D1908&lt;10,"2) 5-9%",IF(D1908&lt;15,"3) 10-14%",IF(D1908&lt;25,"4) 15-24%","5) 25%+"))))</f>
        <v>3) 10-14%</v>
      </c>
      <c r="N1908" s="0" t="str">
        <f aca="false">IF(F1908&lt;50,"1) Under Rs 50",IF(F1908&lt;100,"2) Rs 50-99",IF(F1908&lt;200,"3) Rs 100-199",IF(F1908&lt;500,"4) Rs 200-499","5) Rs 500+"))))</f>
        <v>3) Rs 100-199</v>
      </c>
      <c r="O1908" s="0" t="n">
        <f aca="false">G1908*E1908/1000</f>
        <v>1</v>
      </c>
    </row>
    <row r="1909" customFormat="false" ht="15" hidden="false" customHeight="false" outlineLevel="0" collapsed="false">
      <c r="A1909" s="0" t="s">
        <v>113</v>
      </c>
      <c r="B1909" s="0" t="s">
        <v>905</v>
      </c>
      <c r="C1909" s="0" t="n">
        <v>80</v>
      </c>
      <c r="D1909" s="0" t="n">
        <v>10</v>
      </c>
      <c r="E1909" s="0" t="n">
        <v>3</v>
      </c>
      <c r="F1909" s="0" t="n">
        <v>72</v>
      </c>
      <c r="G1909" s="0" t="n">
        <v>320</v>
      </c>
      <c r="H1909" s="0" t="s">
        <v>145</v>
      </c>
      <c r="I1909" s="0" t="n">
        <v>320</v>
      </c>
      <c r="J1909" s="0" t="n">
        <f aca="false">F1909*E1909</f>
        <v>216</v>
      </c>
      <c r="K1909" s="0" t="str">
        <f aca="false">IF(G1909&lt;1000,"1-Low",IF(G1909&lt;5000,"2-Medium","3-Bulk"))</f>
        <v>1-Low</v>
      </c>
      <c r="L1909" s="0" t="str">
        <f aca="false">IF(H1909="TRUE","Out of stock","In stock")</f>
        <v>In stock</v>
      </c>
      <c r="M1909" s="0" t="str">
        <f aca="false">IF(D1909&lt;5,"1) Under 5%",IF(D1909&lt;10,"2) 5-9%",IF(D1909&lt;15,"3) 10-14%",IF(D1909&lt;25,"4) 15-24%","5) 25%+"))))</f>
        <v>3) 10-14%</v>
      </c>
      <c r="N1909" s="0" t="str">
        <f aca="false">IF(F1909&lt;50,"1) Under Rs 50",IF(F1909&lt;100,"2) Rs 50-99",IF(F1909&lt;200,"3) Rs 100-199",IF(F1909&lt;500,"4) Rs 200-499","5) Rs 500+"))))</f>
        <v>2) Rs 50-99</v>
      </c>
      <c r="O1909" s="0" t="n">
        <f aca="false">G1909*E1909/1000</f>
        <v>0.96</v>
      </c>
    </row>
    <row r="1910" customFormat="false" ht="15" hidden="false" customHeight="false" outlineLevel="0" collapsed="false">
      <c r="A1910" s="0" t="s">
        <v>113</v>
      </c>
      <c r="B1910" s="0" t="s">
        <v>906</v>
      </c>
      <c r="C1910" s="0" t="n">
        <v>40</v>
      </c>
      <c r="D1910" s="0" t="n">
        <v>0</v>
      </c>
      <c r="E1910" s="0" t="n">
        <v>4</v>
      </c>
      <c r="F1910" s="0" t="n">
        <v>40</v>
      </c>
      <c r="G1910" s="0" t="n">
        <v>46</v>
      </c>
      <c r="H1910" s="0" t="s">
        <v>145</v>
      </c>
      <c r="I1910" s="0" t="n">
        <v>46</v>
      </c>
      <c r="J1910" s="0" t="n">
        <f aca="false">F1910*E1910</f>
        <v>160</v>
      </c>
      <c r="K1910" s="0" t="str">
        <f aca="false">IF(G1910&lt;1000,"1-Low",IF(G1910&lt;5000,"2-Medium","3-Bulk"))</f>
        <v>1-Low</v>
      </c>
      <c r="L1910" s="0" t="str">
        <f aca="false">IF(H1910="TRUE","Out of stock","In stock")</f>
        <v>In stock</v>
      </c>
      <c r="M1910" s="0" t="str">
        <f aca="false">IF(D1910&lt;5,"1) Under 5%",IF(D1910&lt;10,"2) 5-9%",IF(D1910&lt;15,"3) 10-14%",IF(D1910&lt;25,"4) 15-24%","5) 25%+"))))</f>
        <v>1) Under 5%</v>
      </c>
      <c r="N1910" s="0" t="str">
        <f aca="false">IF(F1910&lt;50,"1) Under Rs 50",IF(F1910&lt;100,"2) Rs 50-99",IF(F1910&lt;200,"3) Rs 100-199",IF(F1910&lt;500,"4) Rs 200-499","5) Rs 500+"))))</f>
        <v>1) Under Rs 50</v>
      </c>
      <c r="O1910" s="0" t="n">
        <f aca="false">G1910*E1910/1000</f>
        <v>0.184</v>
      </c>
    </row>
    <row r="1911" customFormat="false" ht="15" hidden="false" customHeight="false" outlineLevel="0" collapsed="false">
      <c r="A1911" s="0" t="s">
        <v>113</v>
      </c>
      <c r="B1911" s="0" t="s">
        <v>907</v>
      </c>
      <c r="C1911" s="0" t="n">
        <v>200</v>
      </c>
      <c r="D1911" s="0" t="n">
        <v>25</v>
      </c>
      <c r="E1911" s="0" t="n">
        <v>1</v>
      </c>
      <c r="F1911" s="0" t="n">
        <v>150</v>
      </c>
      <c r="G1911" s="0" t="n">
        <v>180</v>
      </c>
      <c r="H1911" s="0" t="s">
        <v>145</v>
      </c>
      <c r="I1911" s="0" t="n">
        <v>180</v>
      </c>
      <c r="J1911" s="0" t="n">
        <f aca="false">F1911*E1911</f>
        <v>150</v>
      </c>
      <c r="K1911" s="0" t="str">
        <f aca="false">IF(G1911&lt;1000,"1-Low",IF(G1911&lt;5000,"2-Medium","3-Bulk"))</f>
        <v>1-Low</v>
      </c>
      <c r="L1911" s="0" t="str">
        <f aca="false">IF(H1911="TRUE","Out of stock","In stock")</f>
        <v>In stock</v>
      </c>
      <c r="M1911" s="0" t="str">
        <f aca="false">IF(D1911&lt;5,"1) Under 5%",IF(D1911&lt;10,"2) 5-9%",IF(D1911&lt;15,"3) 10-14%",IF(D1911&lt;25,"4) 15-24%","5) 25%+"))))</f>
        <v>5) 25%+</v>
      </c>
      <c r="N1911" s="0" t="str">
        <f aca="false">IF(F1911&lt;50,"1) Under Rs 50",IF(F1911&lt;100,"2) Rs 50-99",IF(F1911&lt;200,"3) Rs 100-199",IF(F1911&lt;500,"4) Rs 200-499","5) Rs 500+"))))</f>
        <v>3) Rs 100-199</v>
      </c>
      <c r="O1911" s="0" t="n">
        <f aca="false">G1911*E1911/1000</f>
        <v>0.18</v>
      </c>
    </row>
    <row r="1912" customFormat="false" ht="15" hidden="false" customHeight="false" outlineLevel="0" collapsed="false">
      <c r="A1912" s="0" t="s">
        <v>113</v>
      </c>
      <c r="B1912" s="0" t="s">
        <v>120</v>
      </c>
      <c r="C1912" s="0" t="n">
        <v>550</v>
      </c>
      <c r="D1912" s="0" t="n">
        <v>5</v>
      </c>
      <c r="E1912" s="0" t="n">
        <v>3</v>
      </c>
      <c r="F1912" s="0" t="n">
        <v>520</v>
      </c>
      <c r="G1912" s="0" t="n">
        <v>1000</v>
      </c>
      <c r="H1912" s="0" t="s">
        <v>145</v>
      </c>
      <c r="I1912" s="0" t="n">
        <v>1</v>
      </c>
      <c r="J1912" s="0" t="n">
        <f aca="false">F1912*E1912</f>
        <v>1560</v>
      </c>
      <c r="K1912" s="0" t="str">
        <f aca="false">IF(G1912&lt;1000,"1-Low",IF(G1912&lt;5000,"2-Medium","3-Bulk"))</f>
        <v>2-Medium</v>
      </c>
      <c r="L1912" s="0" t="str">
        <f aca="false">IF(H1912="TRUE","Out of stock","In stock")</f>
        <v>In stock</v>
      </c>
      <c r="M1912" s="0" t="str">
        <f aca="false">IF(D1912&lt;5,"1) Under 5%",IF(D1912&lt;10,"2) 5-9%",IF(D1912&lt;15,"3) 10-14%",IF(D1912&lt;25,"4) 15-24%","5) 25%+"))))</f>
        <v>2) 5-9%</v>
      </c>
      <c r="N1912" s="0" t="str">
        <f aca="false">IF(F1912&lt;50,"1) Under Rs 50",IF(F1912&lt;100,"2) Rs 50-99",IF(F1912&lt;200,"3) Rs 100-199",IF(F1912&lt;500,"4) Rs 200-499","5) Rs 500+"))))</f>
        <v>5) Rs 500+</v>
      </c>
      <c r="O1912" s="0" t="n">
        <f aca="false">G1912*E1912/1000</f>
        <v>3</v>
      </c>
    </row>
    <row r="1913" customFormat="false" ht="15" hidden="false" customHeight="false" outlineLevel="0" collapsed="false">
      <c r="A1913" s="0" t="s">
        <v>113</v>
      </c>
      <c r="B1913" s="0" t="s">
        <v>908</v>
      </c>
      <c r="C1913" s="0" t="n">
        <v>330</v>
      </c>
      <c r="D1913" s="0" t="n">
        <v>10</v>
      </c>
      <c r="E1913" s="0" t="n">
        <v>3</v>
      </c>
      <c r="F1913" s="0" t="n">
        <v>294</v>
      </c>
      <c r="G1913" s="0" t="n">
        <v>450</v>
      </c>
      <c r="H1913" s="0" t="s">
        <v>145</v>
      </c>
      <c r="I1913" s="0" t="n">
        <v>450</v>
      </c>
      <c r="J1913" s="0" t="n">
        <f aca="false">F1913*E1913</f>
        <v>882</v>
      </c>
      <c r="K1913" s="0" t="str">
        <f aca="false">IF(G1913&lt;1000,"1-Low",IF(G1913&lt;5000,"2-Medium","3-Bulk"))</f>
        <v>1-Low</v>
      </c>
      <c r="L1913" s="0" t="str">
        <f aca="false">IF(H1913="TRUE","Out of stock","In stock")</f>
        <v>In stock</v>
      </c>
      <c r="M1913" s="0" t="str">
        <f aca="false">IF(D1913&lt;5,"1) Under 5%",IF(D1913&lt;10,"2) 5-9%",IF(D1913&lt;15,"3) 10-14%",IF(D1913&lt;25,"4) 15-24%","5) 25%+"))))</f>
        <v>3) 10-14%</v>
      </c>
      <c r="N1913" s="0" t="str">
        <f aca="false">IF(F1913&lt;50,"1) Under Rs 50",IF(F1913&lt;100,"2) Rs 50-99",IF(F1913&lt;200,"3) Rs 100-199",IF(F1913&lt;500,"4) Rs 200-499","5) Rs 500+"))))</f>
        <v>4) Rs 200-499</v>
      </c>
      <c r="O1913" s="0" t="n">
        <f aca="false">G1913*E1913/1000</f>
        <v>1.35</v>
      </c>
    </row>
    <row r="1914" customFormat="false" ht="15" hidden="false" customHeight="false" outlineLevel="0" collapsed="false">
      <c r="A1914" s="0" t="s">
        <v>113</v>
      </c>
      <c r="B1914" s="0" t="s">
        <v>909</v>
      </c>
      <c r="C1914" s="0" t="n">
        <v>160</v>
      </c>
      <c r="D1914" s="0" t="n">
        <v>20</v>
      </c>
      <c r="E1914" s="0" t="n">
        <v>4</v>
      </c>
      <c r="F1914" s="0" t="n">
        <v>128</v>
      </c>
      <c r="G1914" s="0" t="n">
        <v>180</v>
      </c>
      <c r="H1914" s="0" t="s">
        <v>145</v>
      </c>
      <c r="I1914" s="0" t="n">
        <v>180</v>
      </c>
      <c r="J1914" s="0" t="n">
        <f aca="false">F1914*E1914</f>
        <v>512</v>
      </c>
      <c r="K1914" s="0" t="str">
        <f aca="false">IF(G1914&lt;1000,"1-Low",IF(G1914&lt;5000,"2-Medium","3-Bulk"))</f>
        <v>1-Low</v>
      </c>
      <c r="L1914" s="0" t="str">
        <f aca="false">IF(H1914="TRUE","Out of stock","In stock")</f>
        <v>In stock</v>
      </c>
      <c r="M1914" s="0" t="str">
        <f aca="false">IF(D1914&lt;5,"1) Under 5%",IF(D1914&lt;10,"2) 5-9%",IF(D1914&lt;15,"3) 10-14%",IF(D1914&lt;25,"4) 15-24%","5) 25%+"))))</f>
        <v>4) 15-24%</v>
      </c>
      <c r="N1914" s="0" t="str">
        <f aca="false">IF(F1914&lt;50,"1) Under Rs 50",IF(F1914&lt;100,"2) Rs 50-99",IF(F1914&lt;200,"3) Rs 100-199",IF(F1914&lt;500,"4) Rs 200-499","5) Rs 500+"))))</f>
        <v>3) Rs 100-199</v>
      </c>
      <c r="O1914" s="0" t="n">
        <f aca="false">G1914*E1914/1000</f>
        <v>0.72</v>
      </c>
    </row>
    <row r="1915" customFormat="false" ht="15" hidden="false" customHeight="false" outlineLevel="0" collapsed="false">
      <c r="A1915" s="0" t="s">
        <v>113</v>
      </c>
      <c r="B1915" s="0" t="s">
        <v>910</v>
      </c>
      <c r="C1915" s="0" t="n">
        <v>15</v>
      </c>
      <c r="D1915" s="0" t="n">
        <v>0</v>
      </c>
      <c r="E1915" s="0" t="n">
        <v>3</v>
      </c>
      <c r="F1915" s="0" t="n">
        <v>15</v>
      </c>
      <c r="G1915" s="0" t="n">
        <v>60</v>
      </c>
      <c r="H1915" s="0" t="s">
        <v>145</v>
      </c>
      <c r="I1915" s="0" t="n">
        <v>60</v>
      </c>
      <c r="J1915" s="0" t="n">
        <f aca="false">F1915*E1915</f>
        <v>45</v>
      </c>
      <c r="K1915" s="0" t="str">
        <f aca="false">IF(G1915&lt;1000,"1-Low",IF(G1915&lt;5000,"2-Medium","3-Bulk"))</f>
        <v>1-Low</v>
      </c>
      <c r="L1915" s="0" t="str">
        <f aca="false">IF(H1915="TRUE","Out of stock","In stock")</f>
        <v>In stock</v>
      </c>
      <c r="M1915" s="0" t="str">
        <f aca="false">IF(D1915&lt;5,"1) Under 5%",IF(D1915&lt;10,"2) 5-9%",IF(D1915&lt;15,"3) 10-14%",IF(D1915&lt;25,"4) 15-24%","5) 25%+"))))</f>
        <v>1) Under 5%</v>
      </c>
      <c r="N1915" s="0" t="str">
        <f aca="false">IF(F1915&lt;50,"1) Under Rs 50",IF(F1915&lt;100,"2) Rs 50-99",IF(F1915&lt;200,"3) Rs 100-199",IF(F1915&lt;500,"4) Rs 200-499","5) Rs 500+"))))</f>
        <v>1) Under Rs 50</v>
      </c>
      <c r="O1915" s="0" t="n">
        <f aca="false">G1915*E1915/1000</f>
        <v>0.18</v>
      </c>
    </row>
    <row r="1916" customFormat="false" ht="15" hidden="false" customHeight="false" outlineLevel="0" collapsed="false">
      <c r="A1916" s="0" t="s">
        <v>113</v>
      </c>
      <c r="B1916" s="0" t="s">
        <v>911</v>
      </c>
      <c r="C1916" s="0" t="n">
        <v>125</v>
      </c>
      <c r="D1916" s="0" t="n">
        <v>9</v>
      </c>
      <c r="E1916" s="0" t="n">
        <v>6</v>
      </c>
      <c r="F1916" s="0" t="n">
        <v>113</v>
      </c>
      <c r="G1916" s="0" t="n">
        <v>400</v>
      </c>
      <c r="H1916" s="0" t="s">
        <v>145</v>
      </c>
      <c r="I1916" s="0" t="n">
        <v>500</v>
      </c>
      <c r="J1916" s="0" t="n">
        <f aca="false">F1916*E1916</f>
        <v>678</v>
      </c>
      <c r="K1916" s="0" t="str">
        <f aca="false">IF(G1916&lt;1000,"1-Low",IF(G1916&lt;5000,"2-Medium","3-Bulk"))</f>
        <v>1-Low</v>
      </c>
      <c r="L1916" s="0" t="str">
        <f aca="false">IF(H1916="TRUE","Out of stock","In stock")</f>
        <v>In stock</v>
      </c>
      <c r="M1916" s="0" t="str">
        <f aca="false">IF(D1916&lt;5,"1) Under 5%",IF(D1916&lt;10,"2) 5-9%",IF(D1916&lt;15,"3) 10-14%",IF(D1916&lt;25,"4) 15-24%","5) 25%+"))))</f>
        <v>2) 5-9%</v>
      </c>
      <c r="N1916" s="0" t="str">
        <f aca="false">IF(F1916&lt;50,"1) Under Rs 50",IF(F1916&lt;100,"2) Rs 50-99",IF(F1916&lt;200,"3) Rs 100-199",IF(F1916&lt;500,"4) Rs 200-499","5) Rs 500+"))))</f>
        <v>3) Rs 100-199</v>
      </c>
      <c r="O1916" s="0" t="n">
        <f aca="false">G1916*E1916/1000</f>
        <v>2.4</v>
      </c>
    </row>
    <row r="1917" customFormat="false" ht="15" hidden="false" customHeight="false" outlineLevel="0" collapsed="false">
      <c r="A1917" s="0" t="s">
        <v>113</v>
      </c>
      <c r="B1917" s="0" t="s">
        <v>450</v>
      </c>
      <c r="C1917" s="0" t="n">
        <v>160</v>
      </c>
      <c r="D1917" s="0" t="n">
        <v>10</v>
      </c>
      <c r="E1917" s="0" t="n">
        <v>3</v>
      </c>
      <c r="F1917" s="0" t="n">
        <v>144</v>
      </c>
      <c r="G1917" s="0" t="n">
        <v>250</v>
      </c>
      <c r="H1917" s="0" t="s">
        <v>145</v>
      </c>
      <c r="I1917" s="0" t="n">
        <v>250</v>
      </c>
      <c r="J1917" s="0" t="n">
        <f aca="false">F1917*E1917</f>
        <v>432</v>
      </c>
      <c r="K1917" s="0" t="str">
        <f aca="false">IF(G1917&lt;1000,"1-Low",IF(G1917&lt;5000,"2-Medium","3-Bulk"))</f>
        <v>1-Low</v>
      </c>
      <c r="L1917" s="0" t="str">
        <f aca="false">IF(H1917="TRUE","Out of stock","In stock")</f>
        <v>In stock</v>
      </c>
      <c r="M1917" s="0" t="str">
        <f aca="false">IF(D1917&lt;5,"1) Under 5%",IF(D1917&lt;10,"2) 5-9%",IF(D1917&lt;15,"3) 10-14%",IF(D1917&lt;25,"4) 15-24%","5) 25%+"))))</f>
        <v>3) 10-14%</v>
      </c>
      <c r="N1917" s="0" t="str">
        <f aca="false">IF(F1917&lt;50,"1) Under Rs 50",IF(F1917&lt;100,"2) Rs 50-99",IF(F1917&lt;200,"3) Rs 100-199",IF(F1917&lt;500,"4) Rs 200-499","5) Rs 500+"))))</f>
        <v>3) Rs 100-199</v>
      </c>
      <c r="O1917" s="0" t="n">
        <f aca="false">G1917*E1917/1000</f>
        <v>0.75</v>
      </c>
    </row>
    <row r="1918" customFormat="false" ht="15" hidden="false" customHeight="false" outlineLevel="0" collapsed="false">
      <c r="A1918" s="0" t="s">
        <v>113</v>
      </c>
      <c r="B1918" s="0" t="s">
        <v>912</v>
      </c>
      <c r="C1918" s="0" t="n">
        <v>175</v>
      </c>
      <c r="D1918" s="0" t="n">
        <v>20</v>
      </c>
      <c r="E1918" s="0" t="n">
        <v>6</v>
      </c>
      <c r="F1918" s="0" t="n">
        <v>140</v>
      </c>
      <c r="G1918" s="0" t="n">
        <v>180</v>
      </c>
      <c r="H1918" s="0" t="s">
        <v>145</v>
      </c>
      <c r="I1918" s="0" t="n">
        <v>180</v>
      </c>
      <c r="J1918" s="0" t="n">
        <f aca="false">F1918*E1918</f>
        <v>840</v>
      </c>
      <c r="K1918" s="0" t="str">
        <f aca="false">IF(G1918&lt;1000,"1-Low",IF(G1918&lt;5000,"2-Medium","3-Bulk"))</f>
        <v>1-Low</v>
      </c>
      <c r="L1918" s="0" t="str">
        <f aca="false">IF(H1918="TRUE","Out of stock","In stock")</f>
        <v>In stock</v>
      </c>
      <c r="M1918" s="0" t="str">
        <f aca="false">IF(D1918&lt;5,"1) Under 5%",IF(D1918&lt;10,"2) 5-9%",IF(D1918&lt;15,"3) 10-14%",IF(D1918&lt;25,"4) 15-24%","5) 25%+"))))</f>
        <v>4) 15-24%</v>
      </c>
      <c r="N1918" s="0" t="str">
        <f aca="false">IF(F1918&lt;50,"1) Under Rs 50",IF(F1918&lt;100,"2) Rs 50-99",IF(F1918&lt;200,"3) Rs 100-199",IF(F1918&lt;500,"4) Rs 200-499","5) Rs 500+"))))</f>
        <v>3) Rs 100-199</v>
      </c>
      <c r="O1918" s="0" t="n">
        <f aca="false">G1918*E1918/1000</f>
        <v>1.08</v>
      </c>
    </row>
    <row r="1919" customFormat="false" ht="15" hidden="false" customHeight="false" outlineLevel="0" collapsed="false">
      <c r="A1919" s="0" t="s">
        <v>113</v>
      </c>
      <c r="B1919" s="0" t="s">
        <v>913</v>
      </c>
      <c r="C1919" s="0" t="n">
        <v>170</v>
      </c>
      <c r="D1919" s="0" t="n">
        <v>10</v>
      </c>
      <c r="E1919" s="0" t="n">
        <v>1</v>
      </c>
      <c r="F1919" s="0" t="n">
        <v>153</v>
      </c>
      <c r="G1919" s="0" t="n">
        <v>1000</v>
      </c>
      <c r="H1919" s="0" t="s">
        <v>145</v>
      </c>
      <c r="I1919" s="0" t="n">
        <v>1</v>
      </c>
      <c r="J1919" s="0" t="n">
        <f aca="false">F1919*E1919</f>
        <v>153</v>
      </c>
      <c r="K1919" s="0" t="str">
        <f aca="false">IF(G1919&lt;1000,"1-Low",IF(G1919&lt;5000,"2-Medium","3-Bulk"))</f>
        <v>2-Medium</v>
      </c>
      <c r="L1919" s="0" t="str">
        <f aca="false">IF(H1919="TRUE","Out of stock","In stock")</f>
        <v>In stock</v>
      </c>
      <c r="M1919" s="0" t="str">
        <f aca="false">IF(D1919&lt;5,"1) Under 5%",IF(D1919&lt;10,"2) 5-9%",IF(D1919&lt;15,"3) 10-14%",IF(D1919&lt;25,"4) 15-24%","5) 25%+"))))</f>
        <v>3) 10-14%</v>
      </c>
      <c r="N1919" s="0" t="str">
        <f aca="false">IF(F1919&lt;50,"1) Under Rs 50",IF(F1919&lt;100,"2) Rs 50-99",IF(F1919&lt;200,"3) Rs 100-199",IF(F1919&lt;500,"4) Rs 200-499","5) Rs 500+"))))</f>
        <v>3) Rs 100-199</v>
      </c>
      <c r="O1919" s="0" t="n">
        <f aca="false">G1919*E1919/1000</f>
        <v>1</v>
      </c>
    </row>
    <row r="1920" customFormat="false" ht="15" hidden="false" customHeight="false" outlineLevel="0" collapsed="false">
      <c r="A1920" s="0" t="s">
        <v>113</v>
      </c>
      <c r="B1920" s="0" t="s">
        <v>914</v>
      </c>
      <c r="C1920" s="0" t="n">
        <v>15</v>
      </c>
      <c r="D1920" s="0" t="n">
        <v>0</v>
      </c>
      <c r="E1920" s="0" t="n">
        <v>3</v>
      </c>
      <c r="F1920" s="0" t="n">
        <v>15</v>
      </c>
      <c r="G1920" s="0" t="n">
        <v>15</v>
      </c>
      <c r="H1920" s="0" t="s">
        <v>145</v>
      </c>
      <c r="I1920" s="0" t="n">
        <v>15</v>
      </c>
      <c r="J1920" s="0" t="n">
        <f aca="false">F1920*E1920</f>
        <v>45</v>
      </c>
      <c r="K1920" s="0" t="str">
        <f aca="false">IF(G1920&lt;1000,"1-Low",IF(G1920&lt;5000,"2-Medium","3-Bulk"))</f>
        <v>1-Low</v>
      </c>
      <c r="L1920" s="0" t="str">
        <f aca="false">IF(H1920="TRUE","Out of stock","In stock")</f>
        <v>In stock</v>
      </c>
      <c r="M1920" s="0" t="str">
        <f aca="false">IF(D1920&lt;5,"1) Under 5%",IF(D1920&lt;10,"2) 5-9%",IF(D1920&lt;15,"3) 10-14%",IF(D1920&lt;25,"4) 15-24%","5) 25%+"))))</f>
        <v>1) Under 5%</v>
      </c>
      <c r="N1920" s="0" t="str">
        <f aca="false">IF(F1920&lt;50,"1) Under Rs 50",IF(F1920&lt;100,"2) Rs 50-99",IF(F1920&lt;200,"3) Rs 100-199",IF(F1920&lt;500,"4) Rs 200-499","5) Rs 500+"))))</f>
        <v>1) Under Rs 50</v>
      </c>
      <c r="O1920" s="0" t="n">
        <f aca="false">G1920*E1920/1000</f>
        <v>0.045</v>
      </c>
    </row>
    <row r="1921" customFormat="false" ht="15" hidden="false" customHeight="false" outlineLevel="0" collapsed="false">
      <c r="A1921" s="0" t="s">
        <v>113</v>
      </c>
      <c r="B1921" s="0" t="s">
        <v>129</v>
      </c>
      <c r="C1921" s="0" t="n">
        <v>499</v>
      </c>
      <c r="D1921" s="0" t="n">
        <v>11</v>
      </c>
      <c r="E1921" s="0" t="n">
        <v>6</v>
      </c>
      <c r="F1921" s="0" t="n">
        <v>444</v>
      </c>
      <c r="G1921" s="0" t="n">
        <v>1200</v>
      </c>
      <c r="H1921" s="0" t="s">
        <v>145</v>
      </c>
      <c r="I1921" s="0" t="n">
        <v>1</v>
      </c>
      <c r="J1921" s="0" t="n">
        <f aca="false">F1921*E1921</f>
        <v>2664</v>
      </c>
      <c r="K1921" s="0" t="str">
        <f aca="false">IF(G1921&lt;1000,"1-Low",IF(G1921&lt;5000,"2-Medium","3-Bulk"))</f>
        <v>2-Medium</v>
      </c>
      <c r="L1921" s="0" t="str">
        <f aca="false">IF(H1921="TRUE","Out of stock","In stock")</f>
        <v>In stock</v>
      </c>
      <c r="M1921" s="0" t="str">
        <f aca="false">IF(D1921&lt;5,"1) Under 5%",IF(D1921&lt;10,"2) 5-9%",IF(D1921&lt;15,"3) 10-14%",IF(D1921&lt;25,"4) 15-24%","5) 25%+"))))</f>
        <v>3) 10-14%</v>
      </c>
      <c r="N1921" s="0" t="str">
        <f aca="false">IF(F1921&lt;50,"1) Under Rs 50",IF(F1921&lt;100,"2) Rs 50-99",IF(F1921&lt;200,"3) Rs 100-199",IF(F1921&lt;500,"4) Rs 200-499","5) Rs 500+"))))</f>
        <v>4) Rs 200-499</v>
      </c>
      <c r="O1921" s="0" t="n">
        <f aca="false">G1921*E1921/1000</f>
        <v>7.2</v>
      </c>
    </row>
    <row r="1922" customFormat="false" ht="15" hidden="false" customHeight="false" outlineLevel="0" collapsed="false">
      <c r="A1922" s="0" t="s">
        <v>113</v>
      </c>
      <c r="B1922" s="0" t="s">
        <v>911</v>
      </c>
      <c r="C1922" s="0" t="n">
        <v>149</v>
      </c>
      <c r="D1922" s="0" t="n">
        <v>26</v>
      </c>
      <c r="E1922" s="0" t="n">
        <v>4</v>
      </c>
      <c r="F1922" s="0" t="n">
        <v>109</v>
      </c>
      <c r="G1922" s="0" t="n">
        <v>500</v>
      </c>
      <c r="H1922" s="0" t="s">
        <v>145</v>
      </c>
      <c r="I1922" s="0" t="n">
        <v>500</v>
      </c>
      <c r="J1922" s="0" t="n">
        <f aca="false">F1922*E1922</f>
        <v>436</v>
      </c>
      <c r="K1922" s="0" t="str">
        <f aca="false">IF(G1922&lt;1000,"1-Low",IF(G1922&lt;5000,"2-Medium","3-Bulk"))</f>
        <v>1-Low</v>
      </c>
      <c r="L1922" s="0" t="str">
        <f aca="false">IF(H1922="TRUE","Out of stock","In stock")</f>
        <v>In stock</v>
      </c>
      <c r="M1922" s="0" t="str">
        <f aca="false">IF(D1922&lt;5,"1) Under 5%",IF(D1922&lt;10,"2) 5-9%",IF(D1922&lt;15,"3) 10-14%",IF(D1922&lt;25,"4) 15-24%","5) 25%+"))))</f>
        <v>5) 25%+</v>
      </c>
      <c r="N1922" s="0" t="str">
        <f aca="false">IF(F1922&lt;50,"1) Under Rs 50",IF(F1922&lt;100,"2) Rs 50-99",IF(F1922&lt;200,"3) Rs 100-199",IF(F1922&lt;500,"4) Rs 200-499","5) Rs 500+"))))</f>
        <v>3) Rs 100-199</v>
      </c>
      <c r="O1922" s="0" t="n">
        <f aca="false">G1922*E1922/1000</f>
        <v>2</v>
      </c>
    </row>
    <row r="1923" customFormat="false" ht="15" hidden="false" customHeight="false" outlineLevel="0" collapsed="false">
      <c r="A1923" s="0" t="s">
        <v>113</v>
      </c>
      <c r="B1923" s="0" t="s">
        <v>915</v>
      </c>
      <c r="C1923" s="0" t="n">
        <v>60</v>
      </c>
      <c r="D1923" s="0" t="n">
        <v>0</v>
      </c>
      <c r="E1923" s="0" t="n">
        <v>6</v>
      </c>
      <c r="F1923" s="0" t="n">
        <v>60</v>
      </c>
      <c r="G1923" s="0" t="n">
        <v>240</v>
      </c>
      <c r="H1923" s="0" t="s">
        <v>145</v>
      </c>
      <c r="I1923" s="0" t="n">
        <v>240</v>
      </c>
      <c r="J1923" s="0" t="n">
        <f aca="false">F1923*E1923</f>
        <v>360</v>
      </c>
      <c r="K1923" s="0" t="str">
        <f aca="false">IF(G1923&lt;1000,"1-Low",IF(G1923&lt;5000,"2-Medium","3-Bulk"))</f>
        <v>1-Low</v>
      </c>
      <c r="L1923" s="0" t="str">
        <f aca="false">IF(H1923="TRUE","Out of stock","In stock")</f>
        <v>In stock</v>
      </c>
      <c r="M1923" s="0" t="str">
        <f aca="false">IF(D1923&lt;5,"1) Under 5%",IF(D1923&lt;10,"2) 5-9%",IF(D1923&lt;15,"3) 10-14%",IF(D1923&lt;25,"4) 15-24%","5) 25%+"))))</f>
        <v>1) Under 5%</v>
      </c>
      <c r="N1923" s="0" t="str">
        <f aca="false">IF(F1923&lt;50,"1) Under Rs 50",IF(F1923&lt;100,"2) Rs 50-99",IF(F1923&lt;200,"3) Rs 100-199",IF(F1923&lt;500,"4) Rs 200-499","5) Rs 500+"))))</f>
        <v>2) Rs 50-99</v>
      </c>
      <c r="O1923" s="0" t="n">
        <f aca="false">G1923*E1923/1000</f>
        <v>1.44</v>
      </c>
    </row>
    <row r="1924" customFormat="false" ht="15" hidden="false" customHeight="false" outlineLevel="0" collapsed="false">
      <c r="A1924" s="0" t="s">
        <v>113</v>
      </c>
      <c r="B1924" s="0" t="s">
        <v>127</v>
      </c>
      <c r="C1924" s="0" t="n">
        <v>310</v>
      </c>
      <c r="D1924" s="0" t="n">
        <v>6</v>
      </c>
      <c r="E1924" s="0" t="n">
        <v>6</v>
      </c>
      <c r="F1924" s="0" t="n">
        <v>290</v>
      </c>
      <c r="G1924" s="0" t="n">
        <v>875</v>
      </c>
      <c r="H1924" s="0" t="s">
        <v>145</v>
      </c>
      <c r="I1924" s="0" t="n">
        <v>875</v>
      </c>
      <c r="J1924" s="0" t="n">
        <f aca="false">F1924*E1924</f>
        <v>1740</v>
      </c>
      <c r="K1924" s="0" t="str">
        <f aca="false">IF(G1924&lt;1000,"1-Low",IF(G1924&lt;5000,"2-Medium","3-Bulk"))</f>
        <v>1-Low</v>
      </c>
      <c r="L1924" s="0" t="str">
        <f aca="false">IF(H1924="TRUE","Out of stock","In stock")</f>
        <v>In stock</v>
      </c>
      <c r="M1924" s="0" t="str">
        <f aca="false">IF(D1924&lt;5,"1) Under 5%",IF(D1924&lt;10,"2) 5-9%",IF(D1924&lt;15,"3) 10-14%",IF(D1924&lt;25,"4) 15-24%","5) 25%+"))))</f>
        <v>2) 5-9%</v>
      </c>
      <c r="N1924" s="0" t="str">
        <f aca="false">IF(F1924&lt;50,"1) Under Rs 50",IF(F1924&lt;100,"2) Rs 50-99",IF(F1924&lt;200,"3) Rs 100-199",IF(F1924&lt;500,"4) Rs 200-499","5) Rs 500+"))))</f>
        <v>4) Rs 200-499</v>
      </c>
      <c r="O1924" s="0" t="n">
        <f aca="false">G1924*E1924/1000</f>
        <v>5.25</v>
      </c>
    </row>
    <row r="1925" customFormat="false" ht="15" hidden="false" customHeight="false" outlineLevel="0" collapsed="false">
      <c r="A1925" s="0" t="s">
        <v>113</v>
      </c>
      <c r="B1925" s="0" t="s">
        <v>458</v>
      </c>
      <c r="C1925" s="0" t="n">
        <v>60</v>
      </c>
      <c r="D1925" s="0" t="n">
        <v>0</v>
      </c>
      <c r="E1925" s="0" t="n">
        <v>4</v>
      </c>
      <c r="F1925" s="0" t="n">
        <v>60</v>
      </c>
      <c r="G1925" s="0" t="n">
        <v>240</v>
      </c>
      <c r="H1925" s="0" t="s">
        <v>145</v>
      </c>
      <c r="I1925" s="0" t="n">
        <v>240</v>
      </c>
      <c r="J1925" s="0" t="n">
        <f aca="false">F1925*E1925</f>
        <v>240</v>
      </c>
      <c r="K1925" s="0" t="str">
        <f aca="false">IF(G1925&lt;1000,"1-Low",IF(G1925&lt;5000,"2-Medium","3-Bulk"))</f>
        <v>1-Low</v>
      </c>
      <c r="L1925" s="0" t="str">
        <f aca="false">IF(H1925="TRUE","Out of stock","In stock")</f>
        <v>In stock</v>
      </c>
      <c r="M1925" s="0" t="str">
        <f aca="false">IF(D1925&lt;5,"1) Under 5%",IF(D1925&lt;10,"2) 5-9%",IF(D1925&lt;15,"3) 10-14%",IF(D1925&lt;25,"4) 15-24%","5) 25%+"))))</f>
        <v>1) Under 5%</v>
      </c>
      <c r="N1925" s="0" t="str">
        <f aca="false">IF(F1925&lt;50,"1) Under Rs 50",IF(F1925&lt;100,"2) Rs 50-99",IF(F1925&lt;200,"3) Rs 100-199",IF(F1925&lt;500,"4) Rs 200-499","5) Rs 500+"))))</f>
        <v>2) Rs 50-99</v>
      </c>
      <c r="O1925" s="0" t="n">
        <f aca="false">G1925*E1925/1000</f>
        <v>0.96</v>
      </c>
    </row>
    <row r="1926" customFormat="false" ht="15" hidden="false" customHeight="false" outlineLevel="0" collapsed="false">
      <c r="A1926" s="0" t="s">
        <v>113</v>
      </c>
      <c r="B1926" s="0" t="s">
        <v>916</v>
      </c>
      <c r="C1926" s="0" t="n">
        <v>330</v>
      </c>
      <c r="D1926" s="0" t="n">
        <v>6</v>
      </c>
      <c r="E1926" s="0" t="n">
        <v>6</v>
      </c>
      <c r="F1926" s="0" t="n">
        <v>310</v>
      </c>
      <c r="G1926" s="0" t="n">
        <v>460</v>
      </c>
      <c r="H1926" s="0" t="s">
        <v>145</v>
      </c>
      <c r="I1926" s="0" t="n">
        <v>460</v>
      </c>
      <c r="J1926" s="0" t="n">
        <f aca="false">F1926*E1926</f>
        <v>1860</v>
      </c>
      <c r="K1926" s="0" t="str">
        <f aca="false">IF(G1926&lt;1000,"1-Low",IF(G1926&lt;5000,"2-Medium","3-Bulk"))</f>
        <v>1-Low</v>
      </c>
      <c r="L1926" s="0" t="str">
        <f aca="false">IF(H1926="TRUE","Out of stock","In stock")</f>
        <v>In stock</v>
      </c>
      <c r="M1926" s="0" t="str">
        <f aca="false">IF(D1926&lt;5,"1) Under 5%",IF(D1926&lt;10,"2) 5-9%",IF(D1926&lt;15,"3) 10-14%",IF(D1926&lt;25,"4) 15-24%","5) 25%+"))))</f>
        <v>2) 5-9%</v>
      </c>
      <c r="N1926" s="0" t="str">
        <f aca="false">IF(F1926&lt;50,"1) Under Rs 50",IF(F1926&lt;100,"2) Rs 50-99",IF(F1926&lt;200,"3) Rs 100-199",IF(F1926&lt;500,"4) Rs 200-499","5) Rs 500+"))))</f>
        <v>4) Rs 200-499</v>
      </c>
      <c r="O1926" s="0" t="n">
        <f aca="false">G1926*E1926/1000</f>
        <v>2.76</v>
      </c>
    </row>
    <row r="1927" customFormat="false" ht="15" hidden="false" customHeight="false" outlineLevel="0" collapsed="false">
      <c r="A1927" s="0" t="s">
        <v>113</v>
      </c>
      <c r="B1927" s="0" t="s">
        <v>917</v>
      </c>
      <c r="C1927" s="0" t="n">
        <v>292</v>
      </c>
      <c r="D1927" s="0" t="n">
        <v>0</v>
      </c>
      <c r="E1927" s="0" t="n">
        <v>6</v>
      </c>
      <c r="F1927" s="0" t="n">
        <v>292</v>
      </c>
      <c r="G1927" s="0" t="n">
        <v>300</v>
      </c>
      <c r="H1927" s="0" t="s">
        <v>145</v>
      </c>
      <c r="I1927" s="0" t="n">
        <v>300</v>
      </c>
      <c r="J1927" s="0" t="n">
        <f aca="false">F1927*E1927</f>
        <v>1752</v>
      </c>
      <c r="K1927" s="0" t="str">
        <f aca="false">IF(G1927&lt;1000,"1-Low",IF(G1927&lt;5000,"2-Medium","3-Bulk"))</f>
        <v>1-Low</v>
      </c>
      <c r="L1927" s="0" t="str">
        <f aca="false">IF(H1927="TRUE","Out of stock","In stock")</f>
        <v>In stock</v>
      </c>
      <c r="M1927" s="0" t="str">
        <f aca="false">IF(D1927&lt;5,"1) Under 5%",IF(D1927&lt;10,"2) 5-9%",IF(D1927&lt;15,"3) 10-14%",IF(D1927&lt;25,"4) 15-24%","5) 25%+"))))</f>
        <v>1) Under 5%</v>
      </c>
      <c r="N1927" s="0" t="str">
        <f aca="false">IF(F1927&lt;50,"1) Under Rs 50",IF(F1927&lt;100,"2) Rs 50-99",IF(F1927&lt;200,"3) Rs 100-199",IF(F1927&lt;500,"4) Rs 200-499","5) Rs 500+"))))</f>
        <v>4) Rs 200-499</v>
      </c>
      <c r="O1927" s="0" t="n">
        <f aca="false">G1927*E1927/1000</f>
        <v>1.8</v>
      </c>
    </row>
    <row r="1928" customFormat="false" ht="15" hidden="false" customHeight="false" outlineLevel="0" collapsed="false">
      <c r="A1928" s="0" t="s">
        <v>113</v>
      </c>
      <c r="B1928" s="0" t="s">
        <v>918</v>
      </c>
      <c r="C1928" s="0" t="n">
        <v>25</v>
      </c>
      <c r="D1928" s="0" t="n">
        <v>0</v>
      </c>
      <c r="E1928" s="0" t="n">
        <v>6</v>
      </c>
      <c r="F1928" s="0" t="n">
        <v>25</v>
      </c>
      <c r="G1928" s="0" t="n">
        <v>60</v>
      </c>
      <c r="H1928" s="0" t="s">
        <v>145</v>
      </c>
      <c r="I1928" s="0" t="n">
        <v>60</v>
      </c>
      <c r="J1928" s="0" t="n">
        <f aca="false">F1928*E1928</f>
        <v>150</v>
      </c>
      <c r="K1928" s="0" t="str">
        <f aca="false">IF(G1928&lt;1000,"1-Low",IF(G1928&lt;5000,"2-Medium","3-Bulk"))</f>
        <v>1-Low</v>
      </c>
      <c r="L1928" s="0" t="str">
        <f aca="false">IF(H1928="TRUE","Out of stock","In stock")</f>
        <v>In stock</v>
      </c>
      <c r="M1928" s="0" t="str">
        <f aca="false">IF(D1928&lt;5,"1) Under 5%",IF(D1928&lt;10,"2) 5-9%",IF(D1928&lt;15,"3) 10-14%",IF(D1928&lt;25,"4) 15-24%","5) 25%+"))))</f>
        <v>1) Under 5%</v>
      </c>
      <c r="N1928" s="0" t="str">
        <f aca="false">IF(F1928&lt;50,"1) Under Rs 50",IF(F1928&lt;100,"2) Rs 50-99",IF(F1928&lt;200,"3) Rs 100-199",IF(F1928&lt;500,"4) Rs 200-499","5) Rs 500+"))))</f>
        <v>1) Under Rs 50</v>
      </c>
      <c r="O1928" s="0" t="n">
        <f aca="false">G1928*E1928/1000</f>
        <v>0.36</v>
      </c>
    </row>
    <row r="1929" customFormat="false" ht="15" hidden="false" customHeight="false" outlineLevel="0" collapsed="false">
      <c r="A1929" s="0" t="s">
        <v>113</v>
      </c>
      <c r="B1929" s="0" t="s">
        <v>899</v>
      </c>
      <c r="C1929" s="0" t="n">
        <v>68</v>
      </c>
      <c r="D1929" s="0" t="n">
        <v>10</v>
      </c>
      <c r="E1929" s="0" t="n">
        <v>5</v>
      </c>
      <c r="F1929" s="0" t="n">
        <v>61</v>
      </c>
      <c r="G1929" s="0" t="n">
        <v>360</v>
      </c>
      <c r="H1929" s="0" t="s">
        <v>145</v>
      </c>
      <c r="I1929" s="0" t="n">
        <v>360</v>
      </c>
      <c r="J1929" s="0" t="n">
        <f aca="false">F1929*E1929</f>
        <v>305</v>
      </c>
      <c r="K1929" s="0" t="str">
        <f aca="false">IF(G1929&lt;1000,"1-Low",IF(G1929&lt;5000,"2-Medium","3-Bulk"))</f>
        <v>1-Low</v>
      </c>
      <c r="L1929" s="0" t="str">
        <f aca="false">IF(H1929="TRUE","Out of stock","In stock")</f>
        <v>In stock</v>
      </c>
      <c r="M1929" s="0" t="str">
        <f aca="false">IF(D1929&lt;5,"1) Under 5%",IF(D1929&lt;10,"2) 5-9%",IF(D1929&lt;15,"3) 10-14%",IF(D1929&lt;25,"4) 15-24%","5) 25%+"))))</f>
        <v>3) 10-14%</v>
      </c>
      <c r="N1929" s="0" t="str">
        <f aca="false">IF(F1929&lt;50,"1) Under Rs 50",IF(F1929&lt;100,"2) Rs 50-99",IF(F1929&lt;200,"3) Rs 100-199",IF(F1929&lt;500,"4) Rs 200-499","5) Rs 500+"))))</f>
        <v>2) Rs 50-99</v>
      </c>
      <c r="O1929" s="0" t="n">
        <f aca="false">G1929*E1929/1000</f>
        <v>1.8</v>
      </c>
    </row>
    <row r="1930" customFormat="false" ht="15" hidden="false" customHeight="false" outlineLevel="0" collapsed="false">
      <c r="A1930" s="0" t="s">
        <v>113</v>
      </c>
      <c r="B1930" s="0" t="s">
        <v>919</v>
      </c>
      <c r="C1930" s="0" t="n">
        <v>55</v>
      </c>
      <c r="D1930" s="0" t="n">
        <v>0</v>
      </c>
      <c r="E1930" s="0" t="n">
        <v>6</v>
      </c>
      <c r="F1930" s="0" t="n">
        <v>55</v>
      </c>
      <c r="G1930" s="0" t="n">
        <v>53</v>
      </c>
      <c r="H1930" s="0" t="s">
        <v>145</v>
      </c>
      <c r="I1930" s="0" t="n">
        <v>53</v>
      </c>
      <c r="J1930" s="0" t="n">
        <f aca="false">F1930*E1930</f>
        <v>330</v>
      </c>
      <c r="K1930" s="0" t="str">
        <f aca="false">IF(G1930&lt;1000,"1-Low",IF(G1930&lt;5000,"2-Medium","3-Bulk"))</f>
        <v>1-Low</v>
      </c>
      <c r="L1930" s="0" t="str">
        <f aca="false">IF(H1930="TRUE","Out of stock","In stock")</f>
        <v>In stock</v>
      </c>
      <c r="M1930" s="0" t="str">
        <f aca="false">IF(D1930&lt;5,"1) Under 5%",IF(D1930&lt;10,"2) 5-9%",IF(D1930&lt;15,"3) 10-14%",IF(D1930&lt;25,"4) 15-24%","5) 25%+"))))</f>
        <v>1) Under 5%</v>
      </c>
      <c r="N1930" s="0" t="str">
        <f aca="false">IF(F1930&lt;50,"1) Under Rs 50",IF(F1930&lt;100,"2) Rs 50-99",IF(F1930&lt;200,"3) Rs 100-199",IF(F1930&lt;500,"4) Rs 200-499","5) Rs 500+"))))</f>
        <v>2) Rs 50-99</v>
      </c>
      <c r="O1930" s="0" t="n">
        <f aca="false">G1930*E1930/1000</f>
        <v>0.318</v>
      </c>
    </row>
    <row r="1931" customFormat="false" ht="15" hidden="false" customHeight="false" outlineLevel="0" collapsed="false">
      <c r="A1931" s="0" t="s">
        <v>113</v>
      </c>
      <c r="B1931" s="0" t="s">
        <v>122</v>
      </c>
      <c r="C1931" s="0" t="n">
        <v>295</v>
      </c>
      <c r="D1931" s="0" t="n">
        <v>9</v>
      </c>
      <c r="E1931" s="0" t="n">
        <v>6</v>
      </c>
      <c r="F1931" s="0" t="n">
        <v>266</v>
      </c>
      <c r="G1931" s="0" t="n">
        <v>360</v>
      </c>
      <c r="H1931" s="0" t="s">
        <v>145</v>
      </c>
      <c r="I1931" s="0" t="n">
        <v>360</v>
      </c>
      <c r="J1931" s="0" t="n">
        <f aca="false">F1931*E1931</f>
        <v>1596</v>
      </c>
      <c r="K1931" s="0" t="str">
        <f aca="false">IF(G1931&lt;1000,"1-Low",IF(G1931&lt;5000,"2-Medium","3-Bulk"))</f>
        <v>1-Low</v>
      </c>
      <c r="L1931" s="0" t="str">
        <f aca="false">IF(H1931="TRUE","Out of stock","In stock")</f>
        <v>In stock</v>
      </c>
      <c r="M1931" s="0" t="str">
        <f aca="false">IF(D1931&lt;5,"1) Under 5%",IF(D1931&lt;10,"2) 5-9%",IF(D1931&lt;15,"3) 10-14%",IF(D1931&lt;25,"4) 15-24%","5) 25%+"))))</f>
        <v>2) 5-9%</v>
      </c>
      <c r="N1931" s="0" t="str">
        <f aca="false">IF(F1931&lt;50,"1) Under Rs 50",IF(F1931&lt;100,"2) Rs 50-99",IF(F1931&lt;200,"3) Rs 100-199",IF(F1931&lt;500,"4) Rs 200-499","5) Rs 500+"))))</f>
        <v>4) Rs 200-499</v>
      </c>
      <c r="O1931" s="0" t="n">
        <f aca="false">G1931*E1931/1000</f>
        <v>2.16</v>
      </c>
    </row>
    <row r="1932" customFormat="false" ht="15" hidden="false" customHeight="false" outlineLevel="0" collapsed="false">
      <c r="A1932" s="0" t="s">
        <v>113</v>
      </c>
      <c r="B1932" s="0" t="s">
        <v>920</v>
      </c>
      <c r="C1932" s="0" t="n">
        <v>425</v>
      </c>
      <c r="D1932" s="0" t="n">
        <v>9</v>
      </c>
      <c r="E1932" s="0" t="n">
        <v>1</v>
      </c>
      <c r="F1932" s="0" t="n">
        <v>383</v>
      </c>
      <c r="G1932" s="0" t="n">
        <v>1000</v>
      </c>
      <c r="H1932" s="0" t="s">
        <v>145</v>
      </c>
      <c r="I1932" s="0" t="n">
        <v>1</v>
      </c>
      <c r="J1932" s="0" t="n">
        <f aca="false">F1932*E1932</f>
        <v>383</v>
      </c>
      <c r="K1932" s="0" t="str">
        <f aca="false">IF(G1932&lt;1000,"1-Low",IF(G1932&lt;5000,"2-Medium","3-Bulk"))</f>
        <v>2-Medium</v>
      </c>
      <c r="L1932" s="0" t="str">
        <f aca="false">IF(H1932="TRUE","Out of stock","In stock")</f>
        <v>In stock</v>
      </c>
      <c r="M1932" s="0" t="str">
        <f aca="false">IF(D1932&lt;5,"1) Under 5%",IF(D1932&lt;10,"2) 5-9%",IF(D1932&lt;15,"3) 10-14%",IF(D1932&lt;25,"4) 15-24%","5) 25%+"))))</f>
        <v>2) 5-9%</v>
      </c>
      <c r="N1932" s="0" t="str">
        <f aca="false">IF(F1932&lt;50,"1) Under Rs 50",IF(F1932&lt;100,"2) Rs 50-99",IF(F1932&lt;200,"3) Rs 100-199",IF(F1932&lt;500,"4) Rs 200-499","5) Rs 500+"))))</f>
        <v>4) Rs 200-499</v>
      </c>
      <c r="O1932" s="0" t="n">
        <f aca="false">G1932*E1932/1000</f>
        <v>1</v>
      </c>
    </row>
    <row r="1933" customFormat="false" ht="15" hidden="false" customHeight="false" outlineLevel="0" collapsed="false">
      <c r="A1933" s="0" t="s">
        <v>113</v>
      </c>
      <c r="B1933" s="0" t="s">
        <v>921</v>
      </c>
      <c r="C1933" s="0" t="n">
        <v>170</v>
      </c>
      <c r="D1933" s="0" t="n">
        <v>5</v>
      </c>
      <c r="E1933" s="0" t="n">
        <v>4</v>
      </c>
      <c r="F1933" s="0" t="n">
        <v>160</v>
      </c>
      <c r="G1933" s="0" t="n">
        <v>385</v>
      </c>
      <c r="H1933" s="0" t="s">
        <v>145</v>
      </c>
      <c r="I1933" s="0" t="n">
        <v>385</v>
      </c>
      <c r="J1933" s="0" t="n">
        <f aca="false">F1933*E1933</f>
        <v>640</v>
      </c>
      <c r="K1933" s="0" t="str">
        <f aca="false">IF(G1933&lt;1000,"1-Low",IF(G1933&lt;5000,"2-Medium","3-Bulk"))</f>
        <v>1-Low</v>
      </c>
      <c r="L1933" s="0" t="str">
        <f aca="false">IF(H1933="TRUE","Out of stock","In stock")</f>
        <v>In stock</v>
      </c>
      <c r="M1933" s="0" t="str">
        <f aca="false">IF(D1933&lt;5,"1) Under 5%",IF(D1933&lt;10,"2) 5-9%",IF(D1933&lt;15,"3) 10-14%",IF(D1933&lt;25,"4) 15-24%","5) 25%+"))))</f>
        <v>2) 5-9%</v>
      </c>
      <c r="N1933" s="0" t="str">
        <f aca="false">IF(F1933&lt;50,"1) Under Rs 50",IF(F1933&lt;100,"2) Rs 50-99",IF(F1933&lt;200,"3) Rs 100-199",IF(F1933&lt;500,"4) Rs 200-499","5) Rs 500+"))))</f>
        <v>3) Rs 100-199</v>
      </c>
      <c r="O1933" s="0" t="n">
        <f aca="false">G1933*E1933/1000</f>
        <v>1.54</v>
      </c>
    </row>
    <row r="1934" customFormat="false" ht="15" hidden="false" customHeight="false" outlineLevel="0" collapsed="false">
      <c r="A1934" s="0" t="s">
        <v>113</v>
      </c>
      <c r="B1934" s="0" t="s">
        <v>128</v>
      </c>
      <c r="C1934" s="0" t="n">
        <v>290</v>
      </c>
      <c r="D1934" s="0" t="n">
        <v>20</v>
      </c>
      <c r="E1934" s="0" t="n">
        <v>6</v>
      </c>
      <c r="F1934" s="0" t="n">
        <v>232</v>
      </c>
      <c r="G1934" s="0" t="n">
        <v>1200</v>
      </c>
      <c r="H1934" s="0" t="s">
        <v>145</v>
      </c>
      <c r="I1934" s="0" t="n">
        <v>1200</v>
      </c>
      <c r="J1934" s="0" t="n">
        <f aca="false">F1934*E1934</f>
        <v>1392</v>
      </c>
      <c r="K1934" s="0" t="str">
        <f aca="false">IF(G1934&lt;1000,"1-Low",IF(G1934&lt;5000,"2-Medium","3-Bulk"))</f>
        <v>2-Medium</v>
      </c>
      <c r="L1934" s="0" t="str">
        <f aca="false">IF(H1934="TRUE","Out of stock","In stock")</f>
        <v>In stock</v>
      </c>
      <c r="M1934" s="0" t="str">
        <f aca="false">IF(D1934&lt;5,"1) Under 5%",IF(D1934&lt;10,"2) 5-9%",IF(D1934&lt;15,"3) 10-14%",IF(D1934&lt;25,"4) 15-24%","5) 25%+"))))</f>
        <v>4) 15-24%</v>
      </c>
      <c r="N1934" s="0" t="str">
        <f aca="false">IF(F1934&lt;50,"1) Under Rs 50",IF(F1934&lt;100,"2) Rs 50-99",IF(F1934&lt;200,"3) Rs 100-199",IF(F1934&lt;500,"4) Rs 200-499","5) Rs 500+"))))</f>
        <v>4) Rs 200-499</v>
      </c>
      <c r="O1934" s="0" t="n">
        <f aca="false">G1934*E1934/1000</f>
        <v>7.2</v>
      </c>
    </row>
    <row r="1935" customFormat="false" ht="15" hidden="false" customHeight="false" outlineLevel="0" collapsed="false">
      <c r="A1935" s="0" t="s">
        <v>113</v>
      </c>
      <c r="B1935" s="0" t="s">
        <v>922</v>
      </c>
      <c r="C1935" s="0" t="n">
        <v>15</v>
      </c>
      <c r="D1935" s="0" t="n">
        <v>0</v>
      </c>
      <c r="E1935" s="0" t="n">
        <v>5</v>
      </c>
      <c r="F1935" s="0" t="n">
        <v>15</v>
      </c>
      <c r="G1935" s="0" t="n">
        <v>15</v>
      </c>
      <c r="H1935" s="0" t="s">
        <v>145</v>
      </c>
      <c r="I1935" s="0" t="n">
        <v>15</v>
      </c>
      <c r="J1935" s="0" t="n">
        <f aca="false">F1935*E1935</f>
        <v>75</v>
      </c>
      <c r="K1935" s="0" t="str">
        <f aca="false">IF(G1935&lt;1000,"1-Low",IF(G1935&lt;5000,"2-Medium","3-Bulk"))</f>
        <v>1-Low</v>
      </c>
      <c r="L1935" s="0" t="str">
        <f aca="false">IF(H1935="TRUE","Out of stock","In stock")</f>
        <v>In stock</v>
      </c>
      <c r="M1935" s="0" t="str">
        <f aca="false">IF(D1935&lt;5,"1) Under 5%",IF(D1935&lt;10,"2) 5-9%",IF(D1935&lt;15,"3) 10-14%",IF(D1935&lt;25,"4) 15-24%","5) 25%+"))))</f>
        <v>1) Under 5%</v>
      </c>
      <c r="N1935" s="0" t="str">
        <f aca="false">IF(F1935&lt;50,"1) Under Rs 50",IF(F1935&lt;100,"2) Rs 50-99",IF(F1935&lt;200,"3) Rs 100-199",IF(F1935&lt;500,"4) Rs 200-499","5) Rs 500+"))))</f>
        <v>1) Under Rs 50</v>
      </c>
      <c r="O1935" s="0" t="n">
        <f aca="false">G1935*E1935/1000</f>
        <v>0.075</v>
      </c>
    </row>
    <row r="1936" customFormat="false" ht="15" hidden="false" customHeight="false" outlineLevel="0" collapsed="false">
      <c r="A1936" s="0" t="s">
        <v>113</v>
      </c>
      <c r="B1936" s="0" t="s">
        <v>923</v>
      </c>
      <c r="C1936" s="0" t="n">
        <v>261</v>
      </c>
      <c r="D1936" s="0" t="n">
        <v>0</v>
      </c>
      <c r="E1936" s="0" t="n">
        <v>6</v>
      </c>
      <c r="F1936" s="0" t="n">
        <v>261</v>
      </c>
      <c r="G1936" s="0" t="n">
        <v>300</v>
      </c>
      <c r="H1936" s="0" t="s">
        <v>145</v>
      </c>
      <c r="I1936" s="0" t="n">
        <v>300</v>
      </c>
      <c r="J1936" s="0" t="n">
        <f aca="false">F1936*E1936</f>
        <v>1566</v>
      </c>
      <c r="K1936" s="0" t="str">
        <f aca="false">IF(G1936&lt;1000,"1-Low",IF(G1936&lt;5000,"2-Medium","3-Bulk"))</f>
        <v>1-Low</v>
      </c>
      <c r="L1936" s="0" t="str">
        <f aca="false">IF(H1936="TRUE","Out of stock","In stock")</f>
        <v>In stock</v>
      </c>
      <c r="M1936" s="0" t="str">
        <f aca="false">IF(D1936&lt;5,"1) Under 5%",IF(D1936&lt;10,"2) 5-9%",IF(D1936&lt;15,"3) 10-14%",IF(D1936&lt;25,"4) 15-24%","5) 25%+"))))</f>
        <v>1) Under 5%</v>
      </c>
      <c r="N1936" s="0" t="str">
        <f aca="false">IF(F1936&lt;50,"1) Under Rs 50",IF(F1936&lt;100,"2) Rs 50-99",IF(F1936&lt;200,"3) Rs 100-199",IF(F1936&lt;500,"4) Rs 200-499","5) Rs 500+"))))</f>
        <v>4) Rs 200-499</v>
      </c>
      <c r="O1936" s="0" t="n">
        <f aca="false">G1936*E1936/1000</f>
        <v>1.8</v>
      </c>
    </row>
    <row r="1937" customFormat="false" ht="15" hidden="false" customHeight="false" outlineLevel="0" collapsed="false">
      <c r="A1937" s="0" t="s">
        <v>113</v>
      </c>
      <c r="B1937" s="0" t="s">
        <v>924</v>
      </c>
      <c r="C1937" s="0" t="n">
        <v>660</v>
      </c>
      <c r="D1937" s="0" t="n">
        <v>40</v>
      </c>
      <c r="E1937" s="0" t="n">
        <v>4</v>
      </c>
      <c r="F1937" s="0" t="n">
        <v>396</v>
      </c>
      <c r="G1937" s="0" t="n">
        <v>1200</v>
      </c>
      <c r="H1937" s="0" t="s">
        <v>145</v>
      </c>
      <c r="I1937" s="0" t="n">
        <v>1</v>
      </c>
      <c r="J1937" s="0" t="n">
        <f aca="false">F1937*E1937</f>
        <v>1584</v>
      </c>
      <c r="K1937" s="0" t="str">
        <f aca="false">IF(G1937&lt;1000,"1-Low",IF(G1937&lt;5000,"2-Medium","3-Bulk"))</f>
        <v>2-Medium</v>
      </c>
      <c r="L1937" s="0" t="str">
        <f aca="false">IF(H1937="TRUE","Out of stock","In stock")</f>
        <v>In stock</v>
      </c>
      <c r="M1937" s="0" t="str">
        <f aca="false">IF(D1937&lt;5,"1) Under 5%",IF(D1937&lt;10,"2) 5-9%",IF(D1937&lt;15,"3) 10-14%",IF(D1937&lt;25,"4) 15-24%","5) 25%+"))))</f>
        <v>5) 25%+</v>
      </c>
      <c r="N1937" s="0" t="str">
        <f aca="false">IF(F1937&lt;50,"1) Under Rs 50",IF(F1937&lt;100,"2) Rs 50-99",IF(F1937&lt;200,"3) Rs 100-199",IF(F1937&lt;500,"4) Rs 200-499","5) Rs 500+"))))</f>
        <v>4) Rs 200-499</v>
      </c>
      <c r="O1937" s="0" t="n">
        <f aca="false">G1937*E1937/1000</f>
        <v>4.8</v>
      </c>
    </row>
    <row r="1938" customFormat="false" ht="15" hidden="false" customHeight="false" outlineLevel="0" collapsed="false">
      <c r="A1938" s="0" t="s">
        <v>113</v>
      </c>
      <c r="B1938" s="0" t="s">
        <v>925</v>
      </c>
      <c r="C1938" s="0" t="n">
        <v>170</v>
      </c>
      <c r="D1938" s="0" t="n">
        <v>4</v>
      </c>
      <c r="E1938" s="0" t="n">
        <v>2</v>
      </c>
      <c r="F1938" s="0" t="n">
        <v>162</v>
      </c>
      <c r="G1938" s="0" t="n">
        <v>210</v>
      </c>
      <c r="H1938" s="0" t="s">
        <v>145</v>
      </c>
      <c r="I1938" s="0" t="n">
        <v>210</v>
      </c>
      <c r="J1938" s="0" t="n">
        <f aca="false">F1938*E1938</f>
        <v>324</v>
      </c>
      <c r="K1938" s="0" t="str">
        <f aca="false">IF(G1938&lt;1000,"1-Low",IF(G1938&lt;5000,"2-Medium","3-Bulk"))</f>
        <v>1-Low</v>
      </c>
      <c r="L1938" s="0" t="str">
        <f aca="false">IF(H1938="TRUE","Out of stock","In stock")</f>
        <v>In stock</v>
      </c>
      <c r="M1938" s="0" t="str">
        <f aca="false">IF(D1938&lt;5,"1) Under 5%",IF(D1938&lt;10,"2) 5-9%",IF(D1938&lt;15,"3) 10-14%",IF(D1938&lt;25,"4) 15-24%","5) 25%+"))))</f>
        <v>1) Under 5%</v>
      </c>
      <c r="N1938" s="0" t="str">
        <f aca="false">IF(F1938&lt;50,"1) Under Rs 50",IF(F1938&lt;100,"2) Rs 50-99",IF(F1938&lt;200,"3) Rs 100-199",IF(F1938&lt;500,"4) Rs 200-499","5) Rs 500+"))))</f>
        <v>3) Rs 100-199</v>
      </c>
      <c r="O1938" s="0" t="n">
        <f aca="false">G1938*E1938/1000</f>
        <v>0.42</v>
      </c>
    </row>
    <row r="1939" customFormat="false" ht="15" hidden="false" customHeight="false" outlineLevel="0" collapsed="false">
      <c r="A1939" s="0" t="s">
        <v>113</v>
      </c>
      <c r="B1939" s="0" t="s">
        <v>764</v>
      </c>
      <c r="C1939" s="0" t="n">
        <v>229</v>
      </c>
      <c r="D1939" s="0" t="n">
        <v>10</v>
      </c>
      <c r="E1939" s="0" t="n">
        <v>6</v>
      </c>
      <c r="F1939" s="0" t="n">
        <v>206</v>
      </c>
      <c r="G1939" s="0" t="n">
        <v>400</v>
      </c>
      <c r="H1939" s="0" t="s">
        <v>145</v>
      </c>
      <c r="I1939" s="0" t="n">
        <v>400</v>
      </c>
      <c r="J1939" s="0" t="n">
        <f aca="false">F1939*E1939</f>
        <v>1236</v>
      </c>
      <c r="K1939" s="0" t="str">
        <f aca="false">IF(G1939&lt;1000,"1-Low",IF(G1939&lt;5000,"2-Medium","3-Bulk"))</f>
        <v>1-Low</v>
      </c>
      <c r="L1939" s="0" t="str">
        <f aca="false">IF(H1939="TRUE","Out of stock","In stock")</f>
        <v>In stock</v>
      </c>
      <c r="M1939" s="0" t="str">
        <f aca="false">IF(D1939&lt;5,"1) Under 5%",IF(D1939&lt;10,"2) 5-9%",IF(D1939&lt;15,"3) 10-14%",IF(D1939&lt;25,"4) 15-24%","5) 25%+"))))</f>
        <v>3) 10-14%</v>
      </c>
      <c r="N1939" s="0" t="str">
        <f aca="false">IF(F1939&lt;50,"1) Under Rs 50",IF(F1939&lt;100,"2) Rs 50-99",IF(F1939&lt;200,"3) Rs 100-199",IF(F1939&lt;500,"4) Rs 200-499","5) Rs 500+"))))</f>
        <v>4) Rs 200-499</v>
      </c>
      <c r="O1939" s="0" t="n">
        <f aca="false">G1939*E1939/1000</f>
        <v>2.4</v>
      </c>
    </row>
    <row r="1940" customFormat="false" ht="15" hidden="false" customHeight="false" outlineLevel="0" collapsed="false">
      <c r="A1940" s="0" t="s">
        <v>113</v>
      </c>
      <c r="B1940" s="0" t="s">
        <v>926</v>
      </c>
      <c r="C1940" s="0" t="n">
        <v>130</v>
      </c>
      <c r="D1940" s="0" t="n">
        <v>30</v>
      </c>
      <c r="E1940" s="0" t="n">
        <v>6</v>
      </c>
      <c r="F1940" s="0" t="n">
        <v>91</v>
      </c>
      <c r="G1940" s="0" t="n">
        <v>285</v>
      </c>
      <c r="H1940" s="0" t="s">
        <v>145</v>
      </c>
      <c r="I1940" s="0" t="n">
        <v>285</v>
      </c>
      <c r="J1940" s="0" t="n">
        <f aca="false">F1940*E1940</f>
        <v>546</v>
      </c>
      <c r="K1940" s="0" t="str">
        <f aca="false">IF(G1940&lt;1000,"1-Low",IF(G1940&lt;5000,"2-Medium","3-Bulk"))</f>
        <v>1-Low</v>
      </c>
      <c r="L1940" s="0" t="str">
        <f aca="false">IF(H1940="TRUE","Out of stock","In stock")</f>
        <v>In stock</v>
      </c>
      <c r="M1940" s="0" t="str">
        <f aca="false">IF(D1940&lt;5,"1) Under 5%",IF(D1940&lt;10,"2) 5-9%",IF(D1940&lt;15,"3) 10-14%",IF(D1940&lt;25,"4) 15-24%","5) 25%+"))))</f>
        <v>5) 25%+</v>
      </c>
      <c r="N1940" s="0" t="str">
        <f aca="false">IF(F1940&lt;50,"1) Under Rs 50",IF(F1940&lt;100,"2) Rs 50-99",IF(F1940&lt;200,"3) Rs 100-199",IF(F1940&lt;500,"4) Rs 200-499","5) Rs 500+"))))</f>
        <v>2) Rs 50-99</v>
      </c>
      <c r="O1940" s="0" t="n">
        <f aca="false">G1940*E1940/1000</f>
        <v>1.71</v>
      </c>
    </row>
    <row r="1941" customFormat="false" ht="15" hidden="false" customHeight="false" outlineLevel="0" collapsed="false">
      <c r="A1941" s="0" t="s">
        <v>113</v>
      </c>
      <c r="B1941" s="0" t="s">
        <v>927</v>
      </c>
      <c r="C1941" s="0" t="n">
        <v>99</v>
      </c>
      <c r="D1941" s="0" t="n">
        <v>11</v>
      </c>
      <c r="E1941" s="0" t="n">
        <v>6</v>
      </c>
      <c r="F1941" s="0" t="n">
        <v>88</v>
      </c>
      <c r="G1941" s="0" t="n">
        <v>175</v>
      </c>
      <c r="H1941" s="0" t="s">
        <v>145</v>
      </c>
      <c r="I1941" s="0" t="n">
        <v>175</v>
      </c>
      <c r="J1941" s="0" t="n">
        <f aca="false">F1941*E1941</f>
        <v>528</v>
      </c>
      <c r="K1941" s="0" t="str">
        <f aca="false">IF(G1941&lt;1000,"1-Low",IF(G1941&lt;5000,"2-Medium","3-Bulk"))</f>
        <v>1-Low</v>
      </c>
      <c r="L1941" s="0" t="str">
        <f aca="false">IF(H1941="TRUE","Out of stock","In stock")</f>
        <v>In stock</v>
      </c>
      <c r="M1941" s="0" t="str">
        <f aca="false">IF(D1941&lt;5,"1) Under 5%",IF(D1941&lt;10,"2) 5-9%",IF(D1941&lt;15,"3) 10-14%",IF(D1941&lt;25,"4) 15-24%","5) 25%+"))))</f>
        <v>3) 10-14%</v>
      </c>
      <c r="N1941" s="0" t="str">
        <f aca="false">IF(F1941&lt;50,"1) Under Rs 50",IF(F1941&lt;100,"2) Rs 50-99",IF(F1941&lt;200,"3) Rs 100-199",IF(F1941&lt;500,"4) Rs 200-499","5) Rs 500+"))))</f>
        <v>2) Rs 50-99</v>
      </c>
      <c r="O1941" s="0" t="n">
        <f aca="false">G1941*E1941/1000</f>
        <v>1.05</v>
      </c>
    </row>
    <row r="1942" customFormat="false" ht="15" hidden="false" customHeight="false" outlineLevel="0" collapsed="false">
      <c r="A1942" s="0" t="s">
        <v>113</v>
      </c>
      <c r="B1942" s="0" t="s">
        <v>928</v>
      </c>
      <c r="C1942" s="0" t="n">
        <v>169</v>
      </c>
      <c r="D1942" s="0" t="n">
        <v>5</v>
      </c>
      <c r="E1942" s="0" t="n">
        <v>4</v>
      </c>
      <c r="F1942" s="0" t="n">
        <v>160</v>
      </c>
      <c r="G1942" s="0" t="n">
        <v>250</v>
      </c>
      <c r="H1942" s="0" t="s">
        <v>145</v>
      </c>
      <c r="I1942" s="0" t="n">
        <v>250</v>
      </c>
      <c r="J1942" s="0" t="n">
        <f aca="false">F1942*E1942</f>
        <v>640</v>
      </c>
      <c r="K1942" s="0" t="str">
        <f aca="false">IF(G1942&lt;1000,"1-Low",IF(G1942&lt;5000,"2-Medium","3-Bulk"))</f>
        <v>1-Low</v>
      </c>
      <c r="L1942" s="0" t="str">
        <f aca="false">IF(H1942="TRUE","Out of stock","In stock")</f>
        <v>In stock</v>
      </c>
      <c r="M1942" s="0" t="str">
        <f aca="false">IF(D1942&lt;5,"1) Under 5%",IF(D1942&lt;10,"2) 5-9%",IF(D1942&lt;15,"3) 10-14%",IF(D1942&lt;25,"4) 15-24%","5) 25%+"))))</f>
        <v>2) 5-9%</v>
      </c>
      <c r="N1942" s="0" t="str">
        <f aca="false">IF(F1942&lt;50,"1) Under Rs 50",IF(F1942&lt;100,"2) Rs 50-99",IF(F1942&lt;200,"3) Rs 100-199",IF(F1942&lt;500,"4) Rs 200-499","5) Rs 500+"))))</f>
        <v>3) Rs 100-199</v>
      </c>
      <c r="O1942" s="0" t="n">
        <f aca="false">G1942*E1942/1000</f>
        <v>1</v>
      </c>
    </row>
    <row r="1943" customFormat="false" ht="15" hidden="false" customHeight="false" outlineLevel="0" collapsed="false">
      <c r="A1943" s="0" t="s">
        <v>113</v>
      </c>
      <c r="B1943" s="0" t="s">
        <v>929</v>
      </c>
      <c r="C1943" s="0" t="n">
        <v>179</v>
      </c>
      <c r="D1943" s="0" t="n">
        <v>0</v>
      </c>
      <c r="E1943" s="0" t="n">
        <v>6</v>
      </c>
      <c r="F1943" s="0" t="n">
        <v>179</v>
      </c>
      <c r="G1943" s="0" t="n">
        <v>450</v>
      </c>
      <c r="H1943" s="0" t="s">
        <v>145</v>
      </c>
      <c r="I1943" s="0" t="n">
        <v>450</v>
      </c>
      <c r="J1943" s="0" t="n">
        <f aca="false">F1943*E1943</f>
        <v>1074</v>
      </c>
      <c r="K1943" s="0" t="str">
        <f aca="false">IF(G1943&lt;1000,"1-Low",IF(G1943&lt;5000,"2-Medium","3-Bulk"))</f>
        <v>1-Low</v>
      </c>
      <c r="L1943" s="0" t="str">
        <f aca="false">IF(H1943="TRUE","Out of stock","In stock")</f>
        <v>In stock</v>
      </c>
      <c r="M1943" s="0" t="str">
        <f aca="false">IF(D1943&lt;5,"1) Under 5%",IF(D1943&lt;10,"2) 5-9%",IF(D1943&lt;15,"3) 10-14%",IF(D1943&lt;25,"4) 15-24%","5) 25%+"))))</f>
        <v>1) Under 5%</v>
      </c>
      <c r="N1943" s="0" t="str">
        <f aca="false">IF(F1943&lt;50,"1) Under Rs 50",IF(F1943&lt;100,"2) Rs 50-99",IF(F1943&lt;200,"3) Rs 100-199",IF(F1943&lt;500,"4) Rs 200-499","5) Rs 500+"))))</f>
        <v>3) Rs 100-199</v>
      </c>
      <c r="O1943" s="0" t="n">
        <f aca="false">G1943*E1943/1000</f>
        <v>2.7</v>
      </c>
    </row>
    <row r="1944" customFormat="false" ht="15" hidden="false" customHeight="false" outlineLevel="0" collapsed="false">
      <c r="A1944" s="0" t="s">
        <v>113</v>
      </c>
      <c r="B1944" s="0" t="s">
        <v>930</v>
      </c>
      <c r="C1944" s="0" t="n">
        <v>149</v>
      </c>
      <c r="D1944" s="0" t="n">
        <v>8</v>
      </c>
      <c r="E1944" s="0" t="n">
        <v>6</v>
      </c>
      <c r="F1944" s="0" t="n">
        <v>137</v>
      </c>
      <c r="G1944" s="0" t="n">
        <v>330</v>
      </c>
      <c r="H1944" s="0" t="s">
        <v>145</v>
      </c>
      <c r="I1944" s="0" t="n">
        <v>330</v>
      </c>
      <c r="J1944" s="0" t="n">
        <f aca="false">F1944*E1944</f>
        <v>822</v>
      </c>
      <c r="K1944" s="0" t="str">
        <f aca="false">IF(G1944&lt;1000,"1-Low",IF(G1944&lt;5000,"2-Medium","3-Bulk"))</f>
        <v>1-Low</v>
      </c>
      <c r="L1944" s="0" t="str">
        <f aca="false">IF(H1944="TRUE","Out of stock","In stock")</f>
        <v>In stock</v>
      </c>
      <c r="M1944" s="0" t="str">
        <f aca="false">IF(D1944&lt;5,"1) Under 5%",IF(D1944&lt;10,"2) 5-9%",IF(D1944&lt;15,"3) 10-14%",IF(D1944&lt;25,"4) 15-24%","5) 25%+"))))</f>
        <v>2) 5-9%</v>
      </c>
      <c r="N1944" s="0" t="str">
        <f aca="false">IF(F1944&lt;50,"1) Under Rs 50",IF(F1944&lt;100,"2) Rs 50-99",IF(F1944&lt;200,"3) Rs 100-199",IF(F1944&lt;500,"4) Rs 200-499","5) Rs 500+"))))</f>
        <v>3) Rs 100-199</v>
      </c>
      <c r="O1944" s="0" t="n">
        <f aca="false">G1944*E1944/1000</f>
        <v>1.98</v>
      </c>
    </row>
    <row r="1945" customFormat="false" ht="15" hidden="false" customHeight="false" outlineLevel="0" collapsed="false">
      <c r="A1945" s="0" t="s">
        <v>113</v>
      </c>
      <c r="B1945" s="0" t="s">
        <v>931</v>
      </c>
      <c r="C1945" s="0" t="n">
        <v>60</v>
      </c>
      <c r="D1945" s="0" t="n">
        <v>20</v>
      </c>
      <c r="E1945" s="0" t="n">
        <v>6</v>
      </c>
      <c r="F1945" s="0" t="n">
        <v>48</v>
      </c>
      <c r="G1945" s="0" t="n">
        <v>40</v>
      </c>
      <c r="H1945" s="0" t="s">
        <v>145</v>
      </c>
      <c r="I1945" s="0" t="n">
        <v>40</v>
      </c>
      <c r="J1945" s="0" t="n">
        <f aca="false">F1945*E1945</f>
        <v>288</v>
      </c>
      <c r="K1945" s="0" t="str">
        <f aca="false">IF(G1945&lt;1000,"1-Low",IF(G1945&lt;5000,"2-Medium","3-Bulk"))</f>
        <v>1-Low</v>
      </c>
      <c r="L1945" s="0" t="str">
        <f aca="false">IF(H1945="TRUE","Out of stock","In stock")</f>
        <v>In stock</v>
      </c>
      <c r="M1945" s="0" t="str">
        <f aca="false">IF(D1945&lt;5,"1) Under 5%",IF(D1945&lt;10,"2) 5-9%",IF(D1945&lt;15,"3) 10-14%",IF(D1945&lt;25,"4) 15-24%","5) 25%+"))))</f>
        <v>4) 15-24%</v>
      </c>
      <c r="N1945" s="0" t="str">
        <f aca="false">IF(F1945&lt;50,"1) Under Rs 50",IF(F1945&lt;100,"2) Rs 50-99",IF(F1945&lt;200,"3) Rs 100-199",IF(F1945&lt;500,"4) Rs 200-499","5) Rs 500+"))))</f>
        <v>1) Under Rs 50</v>
      </c>
      <c r="O1945" s="0" t="n">
        <f aca="false">G1945*E1945/1000</f>
        <v>0.24</v>
      </c>
    </row>
    <row r="1946" customFormat="false" ht="15" hidden="false" customHeight="false" outlineLevel="0" collapsed="false">
      <c r="A1946" s="0" t="s">
        <v>113</v>
      </c>
      <c r="B1946" s="0" t="s">
        <v>932</v>
      </c>
      <c r="C1946" s="0" t="n">
        <v>325</v>
      </c>
      <c r="D1946" s="0" t="n">
        <v>20</v>
      </c>
      <c r="E1946" s="0" t="n">
        <v>6</v>
      </c>
      <c r="F1946" s="0" t="n">
        <v>260</v>
      </c>
      <c r="G1946" s="0" t="n">
        <v>350</v>
      </c>
      <c r="H1946" s="0" t="s">
        <v>145</v>
      </c>
      <c r="I1946" s="0" t="n">
        <v>350</v>
      </c>
      <c r="J1946" s="0" t="n">
        <f aca="false">F1946*E1946</f>
        <v>1560</v>
      </c>
      <c r="K1946" s="0" t="str">
        <f aca="false">IF(G1946&lt;1000,"1-Low",IF(G1946&lt;5000,"2-Medium","3-Bulk"))</f>
        <v>1-Low</v>
      </c>
      <c r="L1946" s="0" t="str">
        <f aca="false">IF(H1946="TRUE","Out of stock","In stock")</f>
        <v>In stock</v>
      </c>
      <c r="M1946" s="0" t="str">
        <f aca="false">IF(D1946&lt;5,"1) Under 5%",IF(D1946&lt;10,"2) 5-9%",IF(D1946&lt;15,"3) 10-14%",IF(D1946&lt;25,"4) 15-24%","5) 25%+"))))</f>
        <v>4) 15-24%</v>
      </c>
      <c r="N1946" s="0" t="str">
        <f aca="false">IF(F1946&lt;50,"1) Under Rs 50",IF(F1946&lt;100,"2) Rs 50-99",IF(F1946&lt;200,"3) Rs 100-199",IF(F1946&lt;500,"4) Rs 200-499","5) Rs 500+"))))</f>
        <v>4) Rs 200-499</v>
      </c>
      <c r="O1946" s="0" t="n">
        <f aca="false">G1946*E1946/1000</f>
        <v>2.1</v>
      </c>
    </row>
    <row r="1947" customFormat="false" ht="15" hidden="false" customHeight="false" outlineLevel="0" collapsed="false">
      <c r="A1947" s="0" t="s">
        <v>113</v>
      </c>
      <c r="B1947" s="0" t="s">
        <v>933</v>
      </c>
      <c r="C1947" s="0" t="n">
        <v>150</v>
      </c>
      <c r="D1947" s="0" t="n">
        <v>14</v>
      </c>
      <c r="E1947" s="0" t="n">
        <v>5</v>
      </c>
      <c r="F1947" s="0" t="n">
        <v>128</v>
      </c>
      <c r="G1947" s="0" t="n">
        <v>114</v>
      </c>
      <c r="H1947" s="0" t="s">
        <v>145</v>
      </c>
      <c r="I1947" s="0" t="n">
        <v>114</v>
      </c>
      <c r="J1947" s="0" t="n">
        <f aca="false">F1947*E1947</f>
        <v>640</v>
      </c>
      <c r="K1947" s="0" t="str">
        <f aca="false">IF(G1947&lt;1000,"1-Low",IF(G1947&lt;5000,"2-Medium","3-Bulk"))</f>
        <v>1-Low</v>
      </c>
      <c r="L1947" s="0" t="str">
        <f aca="false">IF(H1947="TRUE","Out of stock","In stock")</f>
        <v>In stock</v>
      </c>
      <c r="M1947" s="0" t="str">
        <f aca="false">IF(D1947&lt;5,"1) Under 5%",IF(D1947&lt;10,"2) 5-9%",IF(D1947&lt;15,"3) 10-14%",IF(D1947&lt;25,"4) 15-24%","5) 25%+"))))</f>
        <v>3) 10-14%</v>
      </c>
      <c r="N1947" s="0" t="str">
        <f aca="false">IF(F1947&lt;50,"1) Under Rs 50",IF(F1947&lt;100,"2) Rs 50-99",IF(F1947&lt;200,"3) Rs 100-199",IF(F1947&lt;500,"4) Rs 200-499","5) Rs 500+"))))</f>
        <v>3) Rs 100-199</v>
      </c>
      <c r="O1947" s="0" t="n">
        <f aca="false">G1947*E1947/1000</f>
        <v>0.57</v>
      </c>
    </row>
    <row r="1948" customFormat="false" ht="15" hidden="false" customHeight="false" outlineLevel="0" collapsed="false">
      <c r="A1948" s="0" t="s">
        <v>113</v>
      </c>
      <c r="B1948" s="0" t="s">
        <v>934</v>
      </c>
      <c r="C1948" s="0" t="n">
        <v>210</v>
      </c>
      <c r="D1948" s="0" t="n">
        <v>8</v>
      </c>
      <c r="E1948" s="0" t="n">
        <v>5</v>
      </c>
      <c r="F1948" s="0" t="n">
        <v>192</v>
      </c>
      <c r="G1948" s="0" t="n">
        <v>435</v>
      </c>
      <c r="H1948" s="0" t="s">
        <v>145</v>
      </c>
      <c r="I1948" s="0" t="n">
        <v>435</v>
      </c>
      <c r="J1948" s="0" t="n">
        <f aca="false">F1948*E1948</f>
        <v>960</v>
      </c>
      <c r="K1948" s="0" t="str">
        <f aca="false">IF(G1948&lt;1000,"1-Low",IF(G1948&lt;5000,"2-Medium","3-Bulk"))</f>
        <v>1-Low</v>
      </c>
      <c r="L1948" s="0" t="str">
        <f aca="false">IF(H1948="TRUE","Out of stock","In stock")</f>
        <v>In stock</v>
      </c>
      <c r="M1948" s="0" t="str">
        <f aca="false">IF(D1948&lt;5,"1) Under 5%",IF(D1948&lt;10,"2) 5-9%",IF(D1948&lt;15,"3) 10-14%",IF(D1948&lt;25,"4) 15-24%","5) 25%+"))))</f>
        <v>2) 5-9%</v>
      </c>
      <c r="N1948" s="0" t="str">
        <f aca="false">IF(F1948&lt;50,"1) Under Rs 50",IF(F1948&lt;100,"2) Rs 50-99",IF(F1948&lt;200,"3) Rs 100-199",IF(F1948&lt;500,"4) Rs 200-499","5) Rs 500+"))))</f>
        <v>3) Rs 100-199</v>
      </c>
      <c r="O1948" s="0" t="n">
        <f aca="false">G1948*E1948/1000</f>
        <v>2.175</v>
      </c>
    </row>
    <row r="1949" customFormat="false" ht="15" hidden="false" customHeight="false" outlineLevel="0" collapsed="false">
      <c r="A1949" s="0" t="s">
        <v>113</v>
      </c>
      <c r="B1949" s="0" t="s">
        <v>935</v>
      </c>
      <c r="C1949" s="0" t="n">
        <v>280</v>
      </c>
      <c r="D1949" s="0" t="n">
        <v>50</v>
      </c>
      <c r="E1949" s="0" t="n">
        <v>5</v>
      </c>
      <c r="F1949" s="0" t="n">
        <v>140</v>
      </c>
      <c r="G1949" s="0" t="n">
        <v>175</v>
      </c>
      <c r="H1949" s="0" t="s">
        <v>145</v>
      </c>
      <c r="I1949" s="0" t="n">
        <v>175</v>
      </c>
      <c r="J1949" s="0" t="n">
        <f aca="false">F1949*E1949</f>
        <v>700</v>
      </c>
      <c r="K1949" s="0" t="str">
        <f aca="false">IF(G1949&lt;1000,"1-Low",IF(G1949&lt;5000,"2-Medium","3-Bulk"))</f>
        <v>1-Low</v>
      </c>
      <c r="L1949" s="0" t="str">
        <f aca="false">IF(H1949="TRUE","Out of stock","In stock")</f>
        <v>In stock</v>
      </c>
      <c r="M1949" s="0" t="str">
        <f aca="false">IF(D1949&lt;5,"1) Under 5%",IF(D1949&lt;10,"2) 5-9%",IF(D1949&lt;15,"3) 10-14%",IF(D1949&lt;25,"4) 15-24%","5) 25%+"))))</f>
        <v>5) 25%+</v>
      </c>
      <c r="N1949" s="0" t="str">
        <f aca="false">IF(F1949&lt;50,"1) Under Rs 50",IF(F1949&lt;100,"2) Rs 50-99",IF(F1949&lt;200,"3) Rs 100-199",IF(F1949&lt;500,"4) Rs 200-499","5) Rs 500+"))))</f>
        <v>3) Rs 100-199</v>
      </c>
      <c r="O1949" s="0" t="n">
        <f aca="false">G1949*E1949/1000</f>
        <v>0.875</v>
      </c>
    </row>
    <row r="1950" customFormat="false" ht="15" hidden="false" customHeight="false" outlineLevel="0" collapsed="false">
      <c r="A1950" s="0" t="s">
        <v>113</v>
      </c>
      <c r="B1950" s="0" t="s">
        <v>936</v>
      </c>
      <c r="C1950" s="0" t="n">
        <v>50</v>
      </c>
      <c r="D1950" s="0" t="n">
        <v>10</v>
      </c>
      <c r="E1950" s="0" t="n">
        <v>6</v>
      </c>
      <c r="F1950" s="0" t="n">
        <v>45</v>
      </c>
      <c r="G1950" s="0" t="n">
        <v>100</v>
      </c>
      <c r="H1950" s="0" t="s">
        <v>145</v>
      </c>
      <c r="I1950" s="0" t="n">
        <v>100</v>
      </c>
      <c r="J1950" s="0" t="n">
        <f aca="false">F1950*E1950</f>
        <v>270</v>
      </c>
      <c r="K1950" s="0" t="str">
        <f aca="false">IF(G1950&lt;1000,"1-Low",IF(G1950&lt;5000,"2-Medium","3-Bulk"))</f>
        <v>1-Low</v>
      </c>
      <c r="L1950" s="0" t="str">
        <f aca="false">IF(H1950="TRUE","Out of stock","In stock")</f>
        <v>In stock</v>
      </c>
      <c r="M1950" s="0" t="str">
        <f aca="false">IF(D1950&lt;5,"1) Under 5%",IF(D1950&lt;10,"2) 5-9%",IF(D1950&lt;15,"3) 10-14%",IF(D1950&lt;25,"4) 15-24%","5) 25%+"))))</f>
        <v>3) 10-14%</v>
      </c>
      <c r="N1950" s="0" t="str">
        <f aca="false">IF(F1950&lt;50,"1) Under Rs 50",IF(F1950&lt;100,"2) Rs 50-99",IF(F1950&lt;200,"3) Rs 100-199",IF(F1950&lt;500,"4) Rs 200-499","5) Rs 500+"))))</f>
        <v>1) Under Rs 50</v>
      </c>
      <c r="O1950" s="0" t="n">
        <f aca="false">G1950*E1950/1000</f>
        <v>0.6</v>
      </c>
    </row>
    <row r="1951" customFormat="false" ht="15" hidden="false" customHeight="false" outlineLevel="0" collapsed="false">
      <c r="A1951" s="0" t="s">
        <v>113</v>
      </c>
      <c r="B1951" s="0" t="s">
        <v>937</v>
      </c>
      <c r="C1951" s="0" t="n">
        <v>80</v>
      </c>
      <c r="D1951" s="0" t="n">
        <v>10</v>
      </c>
      <c r="E1951" s="0" t="n">
        <v>6</v>
      </c>
      <c r="F1951" s="0" t="n">
        <v>72</v>
      </c>
      <c r="G1951" s="0" t="n">
        <v>280</v>
      </c>
      <c r="H1951" s="0" t="s">
        <v>145</v>
      </c>
      <c r="I1951" s="0" t="n">
        <v>280</v>
      </c>
      <c r="J1951" s="0" t="n">
        <f aca="false">F1951*E1951</f>
        <v>432</v>
      </c>
      <c r="K1951" s="0" t="str">
        <f aca="false">IF(G1951&lt;1000,"1-Low",IF(G1951&lt;5000,"2-Medium","3-Bulk"))</f>
        <v>1-Low</v>
      </c>
      <c r="L1951" s="0" t="str">
        <f aca="false">IF(H1951="TRUE","Out of stock","In stock")</f>
        <v>In stock</v>
      </c>
      <c r="M1951" s="0" t="str">
        <f aca="false">IF(D1951&lt;5,"1) Under 5%",IF(D1951&lt;10,"2) 5-9%",IF(D1951&lt;15,"3) 10-14%",IF(D1951&lt;25,"4) 15-24%","5) 25%+"))))</f>
        <v>3) 10-14%</v>
      </c>
      <c r="N1951" s="0" t="str">
        <f aca="false">IF(F1951&lt;50,"1) Under Rs 50",IF(F1951&lt;100,"2) Rs 50-99",IF(F1951&lt;200,"3) Rs 100-199",IF(F1951&lt;500,"4) Rs 200-499","5) Rs 500+"))))</f>
        <v>2) Rs 50-99</v>
      </c>
      <c r="O1951" s="0" t="n">
        <f aca="false">G1951*E1951/1000</f>
        <v>1.68</v>
      </c>
    </row>
    <row r="1952" customFormat="false" ht="15" hidden="false" customHeight="false" outlineLevel="0" collapsed="false">
      <c r="A1952" s="0" t="s">
        <v>113</v>
      </c>
      <c r="B1952" s="0" t="s">
        <v>474</v>
      </c>
      <c r="C1952" s="0" t="n">
        <v>195</v>
      </c>
      <c r="D1952" s="0" t="n">
        <v>12</v>
      </c>
      <c r="E1952" s="0" t="n">
        <v>6</v>
      </c>
      <c r="F1952" s="0" t="n">
        <v>171</v>
      </c>
      <c r="G1952" s="0" t="n">
        <v>500</v>
      </c>
      <c r="H1952" s="0" t="s">
        <v>145</v>
      </c>
      <c r="I1952" s="0" t="n">
        <v>500</v>
      </c>
      <c r="J1952" s="0" t="n">
        <f aca="false">F1952*E1952</f>
        <v>1026</v>
      </c>
      <c r="K1952" s="0" t="str">
        <f aca="false">IF(G1952&lt;1000,"1-Low",IF(G1952&lt;5000,"2-Medium","3-Bulk"))</f>
        <v>1-Low</v>
      </c>
      <c r="L1952" s="0" t="str">
        <f aca="false">IF(H1952="TRUE","Out of stock","In stock")</f>
        <v>In stock</v>
      </c>
      <c r="M1952" s="0" t="str">
        <f aca="false">IF(D1952&lt;5,"1) Under 5%",IF(D1952&lt;10,"2) 5-9%",IF(D1952&lt;15,"3) 10-14%",IF(D1952&lt;25,"4) 15-24%","5) 25%+"))))</f>
        <v>3) 10-14%</v>
      </c>
      <c r="N1952" s="0" t="str">
        <f aca="false">IF(F1952&lt;50,"1) Under Rs 50",IF(F1952&lt;100,"2) Rs 50-99",IF(F1952&lt;200,"3) Rs 100-199",IF(F1952&lt;500,"4) Rs 200-499","5) Rs 500+"))))</f>
        <v>3) Rs 100-199</v>
      </c>
      <c r="O1952" s="0" t="n">
        <f aca="false">G1952*E1952/1000</f>
        <v>3</v>
      </c>
    </row>
    <row r="1953" customFormat="false" ht="15" hidden="false" customHeight="false" outlineLevel="0" collapsed="false">
      <c r="A1953" s="0" t="s">
        <v>113</v>
      </c>
      <c r="B1953" s="0" t="s">
        <v>473</v>
      </c>
      <c r="C1953" s="0" t="n">
        <v>60</v>
      </c>
      <c r="D1953" s="0" t="n">
        <v>0</v>
      </c>
      <c r="E1953" s="0" t="n">
        <v>4</v>
      </c>
      <c r="F1953" s="0" t="n">
        <v>60</v>
      </c>
      <c r="G1953" s="0" t="n">
        <v>240</v>
      </c>
      <c r="H1953" s="0" t="s">
        <v>145</v>
      </c>
      <c r="I1953" s="0" t="n">
        <v>240</v>
      </c>
      <c r="J1953" s="0" t="n">
        <f aca="false">F1953*E1953</f>
        <v>240</v>
      </c>
      <c r="K1953" s="0" t="str">
        <f aca="false">IF(G1953&lt;1000,"1-Low",IF(G1953&lt;5000,"2-Medium","3-Bulk"))</f>
        <v>1-Low</v>
      </c>
      <c r="L1953" s="0" t="str">
        <f aca="false">IF(H1953="TRUE","Out of stock","In stock")</f>
        <v>In stock</v>
      </c>
      <c r="M1953" s="0" t="str">
        <f aca="false">IF(D1953&lt;5,"1) Under 5%",IF(D1953&lt;10,"2) 5-9%",IF(D1953&lt;15,"3) 10-14%",IF(D1953&lt;25,"4) 15-24%","5) 25%+"))))</f>
        <v>1) Under 5%</v>
      </c>
      <c r="N1953" s="0" t="str">
        <f aca="false">IF(F1953&lt;50,"1) Under Rs 50",IF(F1953&lt;100,"2) Rs 50-99",IF(F1953&lt;200,"3) Rs 100-199",IF(F1953&lt;500,"4) Rs 200-499","5) Rs 500+"))))</f>
        <v>2) Rs 50-99</v>
      </c>
      <c r="O1953" s="0" t="n">
        <f aca="false">G1953*E1953/1000</f>
        <v>0.96</v>
      </c>
    </row>
    <row r="1954" customFormat="false" ht="15" hidden="false" customHeight="false" outlineLevel="0" collapsed="false">
      <c r="A1954" s="0" t="s">
        <v>113</v>
      </c>
      <c r="B1954" s="0" t="s">
        <v>938</v>
      </c>
      <c r="C1954" s="0" t="n">
        <v>200</v>
      </c>
      <c r="D1954" s="0" t="n">
        <v>30</v>
      </c>
      <c r="E1954" s="0" t="n">
        <v>1</v>
      </c>
      <c r="F1954" s="0" t="n">
        <v>140</v>
      </c>
      <c r="G1954" s="0" t="n">
        <v>285</v>
      </c>
      <c r="H1954" s="0" t="s">
        <v>145</v>
      </c>
      <c r="I1954" s="0" t="n">
        <v>285</v>
      </c>
      <c r="J1954" s="0" t="n">
        <f aca="false">F1954*E1954</f>
        <v>140</v>
      </c>
      <c r="K1954" s="0" t="str">
        <f aca="false">IF(G1954&lt;1000,"1-Low",IF(G1954&lt;5000,"2-Medium","3-Bulk"))</f>
        <v>1-Low</v>
      </c>
      <c r="L1954" s="0" t="str">
        <f aca="false">IF(H1954="TRUE","Out of stock","In stock")</f>
        <v>In stock</v>
      </c>
      <c r="M1954" s="0" t="str">
        <f aca="false">IF(D1954&lt;5,"1) Under 5%",IF(D1954&lt;10,"2) 5-9%",IF(D1954&lt;15,"3) 10-14%",IF(D1954&lt;25,"4) 15-24%","5) 25%+"))))</f>
        <v>5) 25%+</v>
      </c>
      <c r="N1954" s="0" t="str">
        <f aca="false">IF(F1954&lt;50,"1) Under Rs 50",IF(F1954&lt;100,"2) Rs 50-99",IF(F1954&lt;200,"3) Rs 100-199",IF(F1954&lt;500,"4) Rs 200-499","5) Rs 500+"))))</f>
        <v>3) Rs 100-199</v>
      </c>
      <c r="O1954" s="0" t="n">
        <f aca="false">G1954*E1954/1000</f>
        <v>0.285</v>
      </c>
    </row>
    <row r="1955" customFormat="false" ht="15" hidden="false" customHeight="false" outlineLevel="0" collapsed="false">
      <c r="A1955" s="0" t="s">
        <v>113</v>
      </c>
      <c r="B1955" s="0" t="s">
        <v>939</v>
      </c>
      <c r="C1955" s="0" t="n">
        <v>190</v>
      </c>
      <c r="D1955" s="0" t="n">
        <v>0</v>
      </c>
      <c r="E1955" s="0" t="n">
        <v>6</v>
      </c>
      <c r="F1955" s="0" t="n">
        <v>190</v>
      </c>
      <c r="G1955" s="0" t="n">
        <v>300</v>
      </c>
      <c r="H1955" s="0" t="s">
        <v>145</v>
      </c>
      <c r="I1955" s="0" t="n">
        <v>300</v>
      </c>
      <c r="J1955" s="0" t="n">
        <f aca="false">F1955*E1955</f>
        <v>1140</v>
      </c>
      <c r="K1955" s="0" t="str">
        <f aca="false">IF(G1955&lt;1000,"1-Low",IF(G1955&lt;5000,"2-Medium","3-Bulk"))</f>
        <v>1-Low</v>
      </c>
      <c r="L1955" s="0" t="str">
        <f aca="false">IF(H1955="TRUE","Out of stock","In stock")</f>
        <v>In stock</v>
      </c>
      <c r="M1955" s="0" t="str">
        <f aca="false">IF(D1955&lt;5,"1) Under 5%",IF(D1955&lt;10,"2) 5-9%",IF(D1955&lt;15,"3) 10-14%",IF(D1955&lt;25,"4) 15-24%","5) 25%+"))))</f>
        <v>1) Under 5%</v>
      </c>
      <c r="N1955" s="0" t="str">
        <f aca="false">IF(F1955&lt;50,"1) Under Rs 50",IF(F1955&lt;100,"2) Rs 50-99",IF(F1955&lt;200,"3) Rs 100-199",IF(F1955&lt;500,"4) Rs 200-499","5) Rs 500+"))))</f>
        <v>3) Rs 100-199</v>
      </c>
      <c r="O1955" s="0" t="n">
        <f aca="false">G1955*E1955/1000</f>
        <v>1.8</v>
      </c>
    </row>
    <row r="1956" customFormat="false" ht="15" hidden="false" customHeight="false" outlineLevel="0" collapsed="false">
      <c r="A1956" s="0" t="s">
        <v>113</v>
      </c>
      <c r="B1956" s="0" t="s">
        <v>940</v>
      </c>
      <c r="C1956" s="0" t="n">
        <v>119</v>
      </c>
      <c r="D1956" s="0" t="n">
        <v>5</v>
      </c>
      <c r="E1956" s="0" t="n">
        <v>6</v>
      </c>
      <c r="F1956" s="0" t="n">
        <v>113</v>
      </c>
      <c r="G1956" s="0" t="n">
        <v>400</v>
      </c>
      <c r="H1956" s="0" t="s">
        <v>145</v>
      </c>
      <c r="I1956" s="0" t="n">
        <v>400</v>
      </c>
      <c r="J1956" s="0" t="n">
        <f aca="false">F1956*E1956</f>
        <v>678</v>
      </c>
      <c r="K1956" s="0" t="str">
        <f aca="false">IF(G1956&lt;1000,"1-Low",IF(G1956&lt;5000,"2-Medium","3-Bulk"))</f>
        <v>1-Low</v>
      </c>
      <c r="L1956" s="0" t="str">
        <f aca="false">IF(H1956="TRUE","Out of stock","In stock")</f>
        <v>In stock</v>
      </c>
      <c r="M1956" s="0" t="str">
        <f aca="false">IF(D1956&lt;5,"1) Under 5%",IF(D1956&lt;10,"2) 5-9%",IF(D1956&lt;15,"3) 10-14%",IF(D1956&lt;25,"4) 15-24%","5) 25%+"))))</f>
        <v>2) 5-9%</v>
      </c>
      <c r="N1956" s="0" t="str">
        <f aca="false">IF(F1956&lt;50,"1) Under Rs 50",IF(F1956&lt;100,"2) Rs 50-99",IF(F1956&lt;200,"3) Rs 100-199",IF(F1956&lt;500,"4) Rs 200-499","5) Rs 500+"))))</f>
        <v>3) Rs 100-199</v>
      </c>
      <c r="O1956" s="0" t="n">
        <f aca="false">G1956*E1956/1000</f>
        <v>2.4</v>
      </c>
    </row>
    <row r="1957" customFormat="false" ht="15" hidden="false" customHeight="false" outlineLevel="0" collapsed="false">
      <c r="A1957" s="0" t="s">
        <v>113</v>
      </c>
      <c r="B1957" s="0" t="s">
        <v>941</v>
      </c>
      <c r="C1957" s="0" t="n">
        <v>170</v>
      </c>
      <c r="D1957" s="0" t="n">
        <v>4</v>
      </c>
      <c r="E1957" s="0" t="n">
        <v>4</v>
      </c>
      <c r="F1957" s="0" t="n">
        <v>162</v>
      </c>
      <c r="G1957" s="0" t="n">
        <v>340</v>
      </c>
      <c r="H1957" s="0" t="s">
        <v>145</v>
      </c>
      <c r="I1957" s="0" t="n">
        <v>340</v>
      </c>
      <c r="J1957" s="0" t="n">
        <f aca="false">F1957*E1957</f>
        <v>648</v>
      </c>
      <c r="K1957" s="0" t="str">
        <f aca="false">IF(G1957&lt;1000,"1-Low",IF(G1957&lt;5000,"2-Medium","3-Bulk"))</f>
        <v>1-Low</v>
      </c>
      <c r="L1957" s="0" t="str">
        <f aca="false">IF(H1957="TRUE","Out of stock","In stock")</f>
        <v>In stock</v>
      </c>
      <c r="M1957" s="0" t="str">
        <f aca="false">IF(D1957&lt;5,"1) Under 5%",IF(D1957&lt;10,"2) 5-9%",IF(D1957&lt;15,"3) 10-14%",IF(D1957&lt;25,"4) 15-24%","5) 25%+"))))</f>
        <v>1) Under 5%</v>
      </c>
      <c r="N1957" s="0" t="str">
        <f aca="false">IF(F1957&lt;50,"1) Under Rs 50",IF(F1957&lt;100,"2) Rs 50-99",IF(F1957&lt;200,"3) Rs 100-199",IF(F1957&lt;500,"4) Rs 200-499","5) Rs 500+"))))</f>
        <v>3) Rs 100-199</v>
      </c>
      <c r="O1957" s="0" t="n">
        <f aca="false">G1957*E1957/1000</f>
        <v>1.36</v>
      </c>
    </row>
    <row r="1958" customFormat="false" ht="15" hidden="false" customHeight="false" outlineLevel="0" collapsed="false">
      <c r="A1958" s="0" t="s">
        <v>113</v>
      </c>
      <c r="B1958" s="0" t="s">
        <v>942</v>
      </c>
      <c r="C1958" s="0" t="n">
        <v>60</v>
      </c>
      <c r="D1958" s="0" t="n">
        <v>15</v>
      </c>
      <c r="E1958" s="0" t="n">
        <v>1</v>
      </c>
      <c r="F1958" s="0" t="n">
        <v>51</v>
      </c>
      <c r="G1958" s="0" t="n">
        <v>70</v>
      </c>
      <c r="H1958" s="0" t="s">
        <v>145</v>
      </c>
      <c r="I1958" s="0" t="n">
        <v>70</v>
      </c>
      <c r="J1958" s="0" t="n">
        <f aca="false">F1958*E1958</f>
        <v>51</v>
      </c>
      <c r="K1958" s="0" t="str">
        <f aca="false">IF(G1958&lt;1000,"1-Low",IF(G1958&lt;5000,"2-Medium","3-Bulk"))</f>
        <v>1-Low</v>
      </c>
      <c r="L1958" s="0" t="str">
        <f aca="false">IF(H1958="TRUE","Out of stock","In stock")</f>
        <v>In stock</v>
      </c>
      <c r="M1958" s="0" t="str">
        <f aca="false">IF(D1958&lt;5,"1) Under 5%",IF(D1958&lt;10,"2) 5-9%",IF(D1958&lt;15,"3) 10-14%",IF(D1958&lt;25,"4) 15-24%","5) 25%+"))))</f>
        <v>4) 15-24%</v>
      </c>
      <c r="N1958" s="0" t="str">
        <f aca="false">IF(F1958&lt;50,"1) Under Rs 50",IF(F1958&lt;100,"2) Rs 50-99",IF(F1958&lt;200,"3) Rs 100-199",IF(F1958&lt;500,"4) Rs 200-499","5) Rs 500+"))))</f>
        <v>2) Rs 50-99</v>
      </c>
      <c r="O1958" s="0" t="n">
        <f aca="false">G1958*E1958/1000</f>
        <v>0.07</v>
      </c>
    </row>
    <row r="1959" customFormat="false" ht="15" hidden="false" customHeight="false" outlineLevel="0" collapsed="false">
      <c r="A1959" s="0" t="s">
        <v>113</v>
      </c>
      <c r="B1959" s="0" t="s">
        <v>943</v>
      </c>
      <c r="C1959" s="0" t="n">
        <v>55</v>
      </c>
      <c r="D1959" s="0" t="n">
        <v>0</v>
      </c>
      <c r="E1959" s="0" t="n">
        <v>3</v>
      </c>
      <c r="F1959" s="0" t="n">
        <v>55</v>
      </c>
      <c r="G1959" s="0" t="n">
        <v>55</v>
      </c>
      <c r="H1959" s="0" t="s">
        <v>145</v>
      </c>
      <c r="I1959" s="0" t="n">
        <v>55</v>
      </c>
      <c r="J1959" s="0" t="n">
        <f aca="false">F1959*E1959</f>
        <v>165</v>
      </c>
      <c r="K1959" s="0" t="str">
        <f aca="false">IF(G1959&lt;1000,"1-Low",IF(G1959&lt;5000,"2-Medium","3-Bulk"))</f>
        <v>1-Low</v>
      </c>
      <c r="L1959" s="0" t="str">
        <f aca="false">IF(H1959="TRUE","Out of stock","In stock")</f>
        <v>In stock</v>
      </c>
      <c r="M1959" s="0" t="str">
        <f aca="false">IF(D1959&lt;5,"1) Under 5%",IF(D1959&lt;10,"2) 5-9%",IF(D1959&lt;15,"3) 10-14%",IF(D1959&lt;25,"4) 15-24%","5) 25%+"))))</f>
        <v>1) Under 5%</v>
      </c>
      <c r="N1959" s="0" t="str">
        <f aca="false">IF(F1959&lt;50,"1) Under Rs 50",IF(F1959&lt;100,"2) Rs 50-99",IF(F1959&lt;200,"3) Rs 100-199",IF(F1959&lt;500,"4) Rs 200-499","5) Rs 500+"))))</f>
        <v>2) Rs 50-99</v>
      </c>
      <c r="O1959" s="0" t="n">
        <f aca="false">G1959*E1959/1000</f>
        <v>0.165</v>
      </c>
    </row>
    <row r="1960" customFormat="false" ht="15" hidden="false" customHeight="false" outlineLevel="0" collapsed="false">
      <c r="A1960" s="0" t="s">
        <v>113</v>
      </c>
      <c r="B1960" s="0" t="s">
        <v>944</v>
      </c>
      <c r="C1960" s="0" t="n">
        <v>85</v>
      </c>
      <c r="D1960" s="0" t="n">
        <v>10</v>
      </c>
      <c r="E1960" s="0" t="n">
        <v>6</v>
      </c>
      <c r="F1960" s="0" t="n">
        <v>76</v>
      </c>
      <c r="G1960" s="0" t="n">
        <v>250</v>
      </c>
      <c r="H1960" s="0" t="s">
        <v>145</v>
      </c>
      <c r="I1960" s="0" t="n">
        <v>250</v>
      </c>
      <c r="J1960" s="0" t="n">
        <f aca="false">F1960*E1960</f>
        <v>456</v>
      </c>
      <c r="K1960" s="0" t="str">
        <f aca="false">IF(G1960&lt;1000,"1-Low",IF(G1960&lt;5000,"2-Medium","3-Bulk"))</f>
        <v>1-Low</v>
      </c>
      <c r="L1960" s="0" t="str">
        <f aca="false">IF(H1960="TRUE","Out of stock","In stock")</f>
        <v>In stock</v>
      </c>
      <c r="M1960" s="0" t="str">
        <f aca="false">IF(D1960&lt;5,"1) Under 5%",IF(D1960&lt;10,"2) 5-9%",IF(D1960&lt;15,"3) 10-14%",IF(D1960&lt;25,"4) 15-24%","5) 25%+"))))</f>
        <v>3) 10-14%</v>
      </c>
      <c r="N1960" s="0" t="str">
        <f aca="false">IF(F1960&lt;50,"1) Under Rs 50",IF(F1960&lt;100,"2) Rs 50-99",IF(F1960&lt;200,"3) Rs 100-199",IF(F1960&lt;500,"4) Rs 200-499","5) Rs 500+"))))</f>
        <v>2) Rs 50-99</v>
      </c>
      <c r="O1960" s="0" t="n">
        <f aca="false">G1960*E1960/1000</f>
        <v>1.5</v>
      </c>
    </row>
    <row r="1961" customFormat="false" ht="15" hidden="false" customHeight="false" outlineLevel="0" collapsed="false">
      <c r="A1961" s="0" t="s">
        <v>113</v>
      </c>
      <c r="B1961" s="0" t="s">
        <v>120</v>
      </c>
      <c r="C1961" s="0" t="n">
        <v>370</v>
      </c>
      <c r="D1961" s="0" t="n">
        <v>12</v>
      </c>
      <c r="E1961" s="0" t="n">
        <v>3</v>
      </c>
      <c r="F1961" s="0" t="n">
        <v>324</v>
      </c>
      <c r="G1961" s="0" t="n">
        <v>650</v>
      </c>
      <c r="H1961" s="0" t="s">
        <v>145</v>
      </c>
      <c r="I1961" s="0" t="n">
        <v>650</v>
      </c>
      <c r="J1961" s="0" t="n">
        <f aca="false">F1961*E1961</f>
        <v>972</v>
      </c>
      <c r="K1961" s="0" t="str">
        <f aca="false">IF(G1961&lt;1000,"1-Low",IF(G1961&lt;5000,"2-Medium","3-Bulk"))</f>
        <v>1-Low</v>
      </c>
      <c r="L1961" s="0" t="str">
        <f aca="false">IF(H1961="TRUE","Out of stock","In stock")</f>
        <v>In stock</v>
      </c>
      <c r="M1961" s="0" t="str">
        <f aca="false">IF(D1961&lt;5,"1) Under 5%",IF(D1961&lt;10,"2) 5-9%",IF(D1961&lt;15,"3) 10-14%",IF(D1961&lt;25,"4) 15-24%","5) 25%+"))))</f>
        <v>3) 10-14%</v>
      </c>
      <c r="N1961" s="0" t="str">
        <f aca="false">IF(F1961&lt;50,"1) Under Rs 50",IF(F1961&lt;100,"2) Rs 50-99",IF(F1961&lt;200,"3) Rs 100-199",IF(F1961&lt;500,"4) Rs 200-499","5) Rs 500+"))))</f>
        <v>4) Rs 200-499</v>
      </c>
      <c r="O1961" s="0" t="n">
        <f aca="false">G1961*E1961/1000</f>
        <v>1.95</v>
      </c>
    </row>
    <row r="1962" customFormat="false" ht="15" hidden="false" customHeight="false" outlineLevel="0" collapsed="false">
      <c r="A1962" s="0" t="s">
        <v>113</v>
      </c>
      <c r="B1962" s="0" t="s">
        <v>945</v>
      </c>
      <c r="C1962" s="0" t="n">
        <v>160</v>
      </c>
      <c r="D1962" s="0" t="n">
        <v>30</v>
      </c>
      <c r="E1962" s="0" t="n">
        <v>4</v>
      </c>
      <c r="F1962" s="0" t="n">
        <v>112</v>
      </c>
      <c r="G1962" s="0" t="n">
        <v>285</v>
      </c>
      <c r="H1962" s="0" t="s">
        <v>145</v>
      </c>
      <c r="I1962" s="0" t="n">
        <v>285</v>
      </c>
      <c r="J1962" s="0" t="n">
        <f aca="false">F1962*E1962</f>
        <v>448</v>
      </c>
      <c r="K1962" s="0" t="str">
        <f aca="false">IF(G1962&lt;1000,"1-Low",IF(G1962&lt;5000,"2-Medium","3-Bulk"))</f>
        <v>1-Low</v>
      </c>
      <c r="L1962" s="0" t="str">
        <f aca="false">IF(H1962="TRUE","Out of stock","In stock")</f>
        <v>In stock</v>
      </c>
      <c r="M1962" s="0" t="str">
        <f aca="false">IF(D1962&lt;5,"1) Under 5%",IF(D1962&lt;10,"2) 5-9%",IF(D1962&lt;15,"3) 10-14%",IF(D1962&lt;25,"4) 15-24%","5) 25%+"))))</f>
        <v>5) 25%+</v>
      </c>
      <c r="N1962" s="0" t="str">
        <f aca="false">IF(F1962&lt;50,"1) Under Rs 50",IF(F1962&lt;100,"2) Rs 50-99",IF(F1962&lt;200,"3) Rs 100-199",IF(F1962&lt;500,"4) Rs 200-499","5) Rs 500+"))))</f>
        <v>3) Rs 100-199</v>
      </c>
      <c r="O1962" s="0" t="n">
        <f aca="false">G1962*E1962/1000</f>
        <v>1.14</v>
      </c>
    </row>
    <row r="1963" customFormat="false" ht="15" hidden="false" customHeight="false" outlineLevel="0" collapsed="false">
      <c r="A1963" s="0" t="s">
        <v>113</v>
      </c>
      <c r="B1963" s="0" t="s">
        <v>946</v>
      </c>
      <c r="C1963" s="0" t="n">
        <v>30</v>
      </c>
      <c r="D1963" s="0" t="n">
        <v>0</v>
      </c>
      <c r="E1963" s="0" t="n">
        <v>5</v>
      </c>
      <c r="F1963" s="0" t="n">
        <v>30</v>
      </c>
      <c r="G1963" s="0" t="n">
        <v>150</v>
      </c>
      <c r="H1963" s="0" t="s">
        <v>145</v>
      </c>
      <c r="I1963" s="0" t="n">
        <v>150</v>
      </c>
      <c r="J1963" s="0" t="n">
        <f aca="false">F1963*E1963</f>
        <v>150</v>
      </c>
      <c r="K1963" s="0" t="str">
        <f aca="false">IF(G1963&lt;1000,"1-Low",IF(G1963&lt;5000,"2-Medium","3-Bulk"))</f>
        <v>1-Low</v>
      </c>
      <c r="L1963" s="0" t="str">
        <f aca="false">IF(H1963="TRUE","Out of stock","In stock")</f>
        <v>In stock</v>
      </c>
      <c r="M1963" s="0" t="str">
        <f aca="false">IF(D1963&lt;5,"1) Under 5%",IF(D1963&lt;10,"2) 5-9%",IF(D1963&lt;15,"3) 10-14%",IF(D1963&lt;25,"4) 15-24%","5) 25%+"))))</f>
        <v>1) Under 5%</v>
      </c>
      <c r="N1963" s="0" t="str">
        <f aca="false">IF(F1963&lt;50,"1) Under Rs 50",IF(F1963&lt;100,"2) Rs 50-99",IF(F1963&lt;200,"3) Rs 100-199",IF(F1963&lt;500,"4) Rs 200-499","5) Rs 500+"))))</f>
        <v>1) Under Rs 50</v>
      </c>
      <c r="O1963" s="0" t="n">
        <f aca="false">G1963*E1963/1000</f>
        <v>0.75</v>
      </c>
    </row>
    <row r="1964" customFormat="false" ht="15" hidden="false" customHeight="false" outlineLevel="0" collapsed="false">
      <c r="A1964" s="0" t="s">
        <v>113</v>
      </c>
      <c r="B1964" s="0" t="s">
        <v>947</v>
      </c>
      <c r="C1964" s="0" t="n">
        <v>60</v>
      </c>
      <c r="D1964" s="0" t="n">
        <v>10</v>
      </c>
      <c r="E1964" s="0" t="n">
        <v>2</v>
      </c>
      <c r="F1964" s="0" t="n">
        <v>54</v>
      </c>
      <c r="G1964" s="0" t="n">
        <v>100</v>
      </c>
      <c r="H1964" s="0" t="s">
        <v>145</v>
      </c>
      <c r="I1964" s="0" t="n">
        <v>100</v>
      </c>
      <c r="J1964" s="0" t="n">
        <f aca="false">F1964*E1964</f>
        <v>108</v>
      </c>
      <c r="K1964" s="0" t="str">
        <f aca="false">IF(G1964&lt;1000,"1-Low",IF(G1964&lt;5000,"2-Medium","3-Bulk"))</f>
        <v>1-Low</v>
      </c>
      <c r="L1964" s="0" t="str">
        <f aca="false">IF(H1964="TRUE","Out of stock","In stock")</f>
        <v>In stock</v>
      </c>
      <c r="M1964" s="0" t="str">
        <f aca="false">IF(D1964&lt;5,"1) Under 5%",IF(D1964&lt;10,"2) 5-9%",IF(D1964&lt;15,"3) 10-14%",IF(D1964&lt;25,"4) 15-24%","5) 25%+"))))</f>
        <v>3) 10-14%</v>
      </c>
      <c r="N1964" s="0" t="str">
        <f aca="false">IF(F1964&lt;50,"1) Under Rs 50",IF(F1964&lt;100,"2) Rs 50-99",IF(F1964&lt;200,"3) Rs 100-199",IF(F1964&lt;500,"4) Rs 200-499","5) Rs 500+"))))</f>
        <v>2) Rs 50-99</v>
      </c>
      <c r="O1964" s="0" t="n">
        <f aca="false">G1964*E1964/1000</f>
        <v>0.2</v>
      </c>
    </row>
    <row r="1965" customFormat="false" ht="15" hidden="false" customHeight="false" outlineLevel="0" collapsed="false">
      <c r="A1965" s="0" t="s">
        <v>113</v>
      </c>
      <c r="B1965" s="0" t="s">
        <v>766</v>
      </c>
      <c r="C1965" s="0" t="n">
        <v>235</v>
      </c>
      <c r="D1965" s="0" t="n">
        <v>20</v>
      </c>
      <c r="E1965" s="0" t="n">
        <v>5</v>
      </c>
      <c r="F1965" s="0" t="n">
        <v>188</v>
      </c>
      <c r="G1965" s="0" t="n">
        <v>325</v>
      </c>
      <c r="H1965" s="0" t="s">
        <v>145</v>
      </c>
      <c r="I1965" s="0" t="n">
        <v>325</v>
      </c>
      <c r="J1965" s="0" t="n">
        <f aca="false">F1965*E1965</f>
        <v>940</v>
      </c>
      <c r="K1965" s="0" t="str">
        <f aca="false">IF(G1965&lt;1000,"1-Low",IF(G1965&lt;5000,"2-Medium","3-Bulk"))</f>
        <v>1-Low</v>
      </c>
      <c r="L1965" s="0" t="str">
        <f aca="false">IF(H1965="TRUE","Out of stock","In stock")</f>
        <v>In stock</v>
      </c>
      <c r="M1965" s="0" t="str">
        <f aca="false">IF(D1965&lt;5,"1) Under 5%",IF(D1965&lt;10,"2) 5-9%",IF(D1965&lt;15,"3) 10-14%",IF(D1965&lt;25,"4) 15-24%","5) 25%+"))))</f>
        <v>4) 15-24%</v>
      </c>
      <c r="N1965" s="0" t="str">
        <f aca="false">IF(F1965&lt;50,"1) Under Rs 50",IF(F1965&lt;100,"2) Rs 50-99",IF(F1965&lt;200,"3) Rs 100-199",IF(F1965&lt;500,"4) Rs 200-499","5) Rs 500+"))))</f>
        <v>3) Rs 100-199</v>
      </c>
      <c r="O1965" s="0" t="n">
        <f aca="false">G1965*E1965/1000</f>
        <v>1.625</v>
      </c>
    </row>
    <row r="1966" customFormat="false" ht="15" hidden="false" customHeight="false" outlineLevel="0" collapsed="false">
      <c r="A1966" s="0" t="s">
        <v>113</v>
      </c>
      <c r="B1966" s="0" t="s">
        <v>948</v>
      </c>
      <c r="C1966" s="0" t="n">
        <v>55</v>
      </c>
      <c r="D1966" s="0" t="n">
        <v>9</v>
      </c>
      <c r="E1966" s="0" t="n">
        <v>4</v>
      </c>
      <c r="F1966" s="0" t="n">
        <v>50</v>
      </c>
      <c r="G1966" s="0" t="n">
        <v>200</v>
      </c>
      <c r="H1966" s="0" t="s">
        <v>145</v>
      </c>
      <c r="I1966" s="0" t="n">
        <v>200</v>
      </c>
      <c r="J1966" s="0" t="n">
        <f aca="false">F1966*E1966</f>
        <v>200</v>
      </c>
      <c r="K1966" s="0" t="str">
        <f aca="false">IF(G1966&lt;1000,"1-Low",IF(G1966&lt;5000,"2-Medium","3-Bulk"))</f>
        <v>1-Low</v>
      </c>
      <c r="L1966" s="0" t="str">
        <f aca="false">IF(H1966="TRUE","Out of stock","In stock")</f>
        <v>In stock</v>
      </c>
      <c r="M1966" s="0" t="str">
        <f aca="false">IF(D1966&lt;5,"1) Under 5%",IF(D1966&lt;10,"2) 5-9%",IF(D1966&lt;15,"3) 10-14%",IF(D1966&lt;25,"4) 15-24%","5) 25%+"))))</f>
        <v>2) 5-9%</v>
      </c>
      <c r="N1966" s="0" t="str">
        <f aca="false">IF(F1966&lt;50,"1) Under Rs 50",IF(F1966&lt;100,"2) Rs 50-99",IF(F1966&lt;200,"3) Rs 100-199",IF(F1966&lt;500,"4) Rs 200-499","5) Rs 500+"))))</f>
        <v>2) Rs 50-99</v>
      </c>
      <c r="O1966" s="0" t="n">
        <f aca="false">G1966*E1966/1000</f>
        <v>0.8</v>
      </c>
    </row>
    <row r="1967" customFormat="false" ht="15" hidden="false" customHeight="false" outlineLevel="0" collapsed="false">
      <c r="A1967" s="0" t="s">
        <v>113</v>
      </c>
      <c r="B1967" s="0" t="s">
        <v>949</v>
      </c>
      <c r="C1967" s="0" t="n">
        <v>330</v>
      </c>
      <c r="D1967" s="0" t="n">
        <v>10</v>
      </c>
      <c r="E1967" s="0" t="n">
        <v>6</v>
      </c>
      <c r="F1967" s="0" t="n">
        <v>294</v>
      </c>
      <c r="G1967" s="0" t="n">
        <v>680</v>
      </c>
      <c r="H1967" s="0" t="s">
        <v>145</v>
      </c>
      <c r="I1967" s="0" t="n">
        <v>680</v>
      </c>
      <c r="J1967" s="0" t="n">
        <f aca="false">F1967*E1967</f>
        <v>1764</v>
      </c>
      <c r="K1967" s="0" t="str">
        <f aca="false">IF(G1967&lt;1000,"1-Low",IF(G1967&lt;5000,"2-Medium","3-Bulk"))</f>
        <v>1-Low</v>
      </c>
      <c r="L1967" s="0" t="str">
        <f aca="false">IF(H1967="TRUE","Out of stock","In stock")</f>
        <v>In stock</v>
      </c>
      <c r="M1967" s="0" t="str">
        <f aca="false">IF(D1967&lt;5,"1) Under 5%",IF(D1967&lt;10,"2) 5-9%",IF(D1967&lt;15,"3) 10-14%",IF(D1967&lt;25,"4) 15-24%","5) 25%+"))))</f>
        <v>3) 10-14%</v>
      </c>
      <c r="N1967" s="0" t="str">
        <f aca="false">IF(F1967&lt;50,"1) Under Rs 50",IF(F1967&lt;100,"2) Rs 50-99",IF(F1967&lt;200,"3) Rs 100-199",IF(F1967&lt;500,"4) Rs 200-499","5) Rs 500+"))))</f>
        <v>4) Rs 200-499</v>
      </c>
      <c r="O1967" s="0" t="n">
        <f aca="false">G1967*E1967/1000</f>
        <v>4.08</v>
      </c>
    </row>
    <row r="1968" customFormat="false" ht="15" hidden="false" customHeight="false" outlineLevel="0" collapsed="false">
      <c r="A1968" s="0" t="s">
        <v>113</v>
      </c>
      <c r="B1968" s="0" t="s">
        <v>950</v>
      </c>
      <c r="C1968" s="0" t="n">
        <v>120</v>
      </c>
      <c r="D1968" s="0" t="n">
        <v>5</v>
      </c>
      <c r="E1968" s="0" t="n">
        <v>1</v>
      </c>
      <c r="F1968" s="0" t="n">
        <v>114</v>
      </c>
      <c r="G1968" s="0" t="n">
        <v>400</v>
      </c>
      <c r="H1968" s="0" t="s">
        <v>145</v>
      </c>
      <c r="I1968" s="0" t="n">
        <v>400</v>
      </c>
      <c r="J1968" s="0" t="n">
        <f aca="false">F1968*E1968</f>
        <v>114</v>
      </c>
      <c r="K1968" s="0" t="str">
        <f aca="false">IF(G1968&lt;1000,"1-Low",IF(G1968&lt;5000,"2-Medium","3-Bulk"))</f>
        <v>1-Low</v>
      </c>
      <c r="L1968" s="0" t="str">
        <f aca="false">IF(H1968="TRUE","Out of stock","In stock")</f>
        <v>In stock</v>
      </c>
      <c r="M1968" s="0" t="str">
        <f aca="false">IF(D1968&lt;5,"1) Under 5%",IF(D1968&lt;10,"2) 5-9%",IF(D1968&lt;15,"3) 10-14%",IF(D1968&lt;25,"4) 15-24%","5) 25%+"))))</f>
        <v>2) 5-9%</v>
      </c>
      <c r="N1968" s="0" t="str">
        <f aca="false">IF(F1968&lt;50,"1) Under Rs 50",IF(F1968&lt;100,"2) Rs 50-99",IF(F1968&lt;200,"3) Rs 100-199",IF(F1968&lt;500,"4) Rs 200-499","5) Rs 500+"))))</f>
        <v>3) Rs 100-199</v>
      </c>
      <c r="O1968" s="0" t="n">
        <f aca="false">G1968*E1968/1000</f>
        <v>0.4</v>
      </c>
    </row>
    <row r="1969" customFormat="false" ht="15" hidden="false" customHeight="false" outlineLevel="0" collapsed="false">
      <c r="A1969" s="0" t="s">
        <v>113</v>
      </c>
      <c r="B1969" s="0" t="s">
        <v>951</v>
      </c>
      <c r="C1969" s="0" t="n">
        <v>110</v>
      </c>
      <c r="D1969" s="0" t="n">
        <v>30</v>
      </c>
      <c r="E1969" s="0" t="n">
        <v>2</v>
      </c>
      <c r="F1969" s="0" t="n">
        <v>77</v>
      </c>
      <c r="G1969" s="0" t="n">
        <v>285</v>
      </c>
      <c r="H1969" s="0" t="s">
        <v>145</v>
      </c>
      <c r="I1969" s="0" t="n">
        <v>285</v>
      </c>
      <c r="J1969" s="0" t="n">
        <f aca="false">F1969*E1969</f>
        <v>154</v>
      </c>
      <c r="K1969" s="0" t="str">
        <f aca="false">IF(G1969&lt;1000,"1-Low",IF(G1969&lt;5000,"2-Medium","3-Bulk"))</f>
        <v>1-Low</v>
      </c>
      <c r="L1969" s="0" t="str">
        <f aca="false">IF(H1969="TRUE","Out of stock","In stock")</f>
        <v>In stock</v>
      </c>
      <c r="M1969" s="0" t="str">
        <f aca="false">IF(D1969&lt;5,"1) Under 5%",IF(D1969&lt;10,"2) 5-9%",IF(D1969&lt;15,"3) 10-14%",IF(D1969&lt;25,"4) 15-24%","5) 25%+"))))</f>
        <v>5) 25%+</v>
      </c>
      <c r="N1969" s="0" t="str">
        <f aca="false">IF(F1969&lt;50,"1) Under Rs 50",IF(F1969&lt;100,"2) Rs 50-99",IF(F1969&lt;200,"3) Rs 100-199",IF(F1969&lt;500,"4) Rs 200-499","5) Rs 500+"))))</f>
        <v>2) Rs 50-99</v>
      </c>
      <c r="O1969" s="0" t="n">
        <f aca="false">G1969*E1969/1000</f>
        <v>0.57</v>
      </c>
    </row>
    <row r="1970" customFormat="false" ht="15" hidden="false" customHeight="false" outlineLevel="0" collapsed="false">
      <c r="A1970" s="0" t="s">
        <v>113</v>
      </c>
      <c r="B1970" s="0" t="s">
        <v>952</v>
      </c>
      <c r="C1970" s="0" t="n">
        <v>275</v>
      </c>
      <c r="D1970" s="0" t="n">
        <v>14</v>
      </c>
      <c r="E1970" s="0" t="n">
        <v>5</v>
      </c>
      <c r="F1970" s="0" t="n">
        <v>234</v>
      </c>
      <c r="G1970" s="0" t="n">
        <v>200</v>
      </c>
      <c r="H1970" s="0" t="s">
        <v>145</v>
      </c>
      <c r="I1970" s="0" t="n">
        <v>200</v>
      </c>
      <c r="J1970" s="0" t="n">
        <f aca="false">F1970*E1970</f>
        <v>1170</v>
      </c>
      <c r="K1970" s="0" t="str">
        <f aca="false">IF(G1970&lt;1000,"1-Low",IF(G1970&lt;5000,"2-Medium","3-Bulk"))</f>
        <v>1-Low</v>
      </c>
      <c r="L1970" s="0" t="str">
        <f aca="false">IF(H1970="TRUE","Out of stock","In stock")</f>
        <v>In stock</v>
      </c>
      <c r="M1970" s="0" t="str">
        <f aca="false">IF(D1970&lt;5,"1) Under 5%",IF(D1970&lt;10,"2) 5-9%",IF(D1970&lt;15,"3) 10-14%",IF(D1970&lt;25,"4) 15-24%","5) 25%+"))))</f>
        <v>3) 10-14%</v>
      </c>
      <c r="N1970" s="0" t="str">
        <f aca="false">IF(F1970&lt;50,"1) Under Rs 50",IF(F1970&lt;100,"2) Rs 50-99",IF(F1970&lt;200,"3) Rs 100-199",IF(F1970&lt;500,"4) Rs 200-499","5) Rs 500+"))))</f>
        <v>4) Rs 200-499</v>
      </c>
      <c r="O1970" s="0" t="n">
        <f aca="false">G1970*E1970/1000</f>
        <v>1</v>
      </c>
    </row>
    <row r="1971" customFormat="false" ht="15" hidden="false" customHeight="false" outlineLevel="0" collapsed="false">
      <c r="A1971" s="0" t="s">
        <v>113</v>
      </c>
      <c r="B1971" s="0" t="s">
        <v>953</v>
      </c>
      <c r="C1971" s="0" t="n">
        <v>55</v>
      </c>
      <c r="D1971" s="0" t="n">
        <v>0</v>
      </c>
      <c r="E1971" s="0" t="n">
        <v>6</v>
      </c>
      <c r="F1971" s="0" t="n">
        <v>55</v>
      </c>
      <c r="G1971" s="0" t="n">
        <v>55</v>
      </c>
      <c r="H1971" s="0" t="s">
        <v>145</v>
      </c>
      <c r="I1971" s="0" t="n">
        <v>55</v>
      </c>
      <c r="J1971" s="0" t="n">
        <f aca="false">F1971*E1971</f>
        <v>330</v>
      </c>
      <c r="K1971" s="0" t="str">
        <f aca="false">IF(G1971&lt;1000,"1-Low",IF(G1971&lt;5000,"2-Medium","3-Bulk"))</f>
        <v>1-Low</v>
      </c>
      <c r="L1971" s="0" t="str">
        <f aca="false">IF(H1971="TRUE","Out of stock","In stock")</f>
        <v>In stock</v>
      </c>
      <c r="M1971" s="0" t="str">
        <f aca="false">IF(D1971&lt;5,"1) Under 5%",IF(D1971&lt;10,"2) 5-9%",IF(D1971&lt;15,"3) 10-14%",IF(D1971&lt;25,"4) 15-24%","5) 25%+"))))</f>
        <v>1) Under 5%</v>
      </c>
      <c r="N1971" s="0" t="str">
        <f aca="false">IF(F1971&lt;50,"1) Under Rs 50",IF(F1971&lt;100,"2) Rs 50-99",IF(F1971&lt;200,"3) Rs 100-199",IF(F1971&lt;500,"4) Rs 200-499","5) Rs 500+"))))</f>
        <v>2) Rs 50-99</v>
      </c>
      <c r="O1971" s="0" t="n">
        <f aca="false">G1971*E1971/1000</f>
        <v>0.33</v>
      </c>
    </row>
    <row r="1972" customFormat="false" ht="15" hidden="false" customHeight="false" outlineLevel="0" collapsed="false">
      <c r="A1972" s="0" t="s">
        <v>113</v>
      </c>
      <c r="B1972" s="0" t="s">
        <v>502</v>
      </c>
      <c r="C1972" s="0" t="n">
        <v>80</v>
      </c>
      <c r="D1972" s="0" t="n">
        <v>0</v>
      </c>
      <c r="E1972" s="0" t="n">
        <v>1</v>
      </c>
      <c r="F1972" s="0" t="n">
        <v>80</v>
      </c>
      <c r="G1972" s="0" t="n">
        <v>280</v>
      </c>
      <c r="H1972" s="0" t="s">
        <v>145</v>
      </c>
      <c r="I1972" s="0" t="n">
        <v>280</v>
      </c>
      <c r="J1972" s="0" t="n">
        <f aca="false">F1972*E1972</f>
        <v>80</v>
      </c>
      <c r="K1972" s="0" t="str">
        <f aca="false">IF(G1972&lt;1000,"1-Low",IF(G1972&lt;5000,"2-Medium","3-Bulk"))</f>
        <v>1-Low</v>
      </c>
      <c r="L1972" s="0" t="str">
        <f aca="false">IF(H1972="TRUE","Out of stock","In stock")</f>
        <v>In stock</v>
      </c>
      <c r="M1972" s="0" t="str">
        <f aca="false">IF(D1972&lt;5,"1) Under 5%",IF(D1972&lt;10,"2) 5-9%",IF(D1972&lt;15,"3) 10-14%",IF(D1972&lt;25,"4) 15-24%","5) 25%+"))))</f>
        <v>1) Under 5%</v>
      </c>
      <c r="N1972" s="0" t="str">
        <f aca="false">IF(F1972&lt;50,"1) Under Rs 50",IF(F1972&lt;100,"2) Rs 50-99",IF(F1972&lt;200,"3) Rs 100-199",IF(F1972&lt;500,"4) Rs 200-499","5) Rs 500+"))))</f>
        <v>2) Rs 50-99</v>
      </c>
      <c r="O1972" s="0" t="n">
        <f aca="false">G1972*E1972/1000</f>
        <v>0.28</v>
      </c>
    </row>
    <row r="1973" customFormat="false" ht="15" hidden="false" customHeight="false" outlineLevel="0" collapsed="false">
      <c r="A1973" s="0" t="s">
        <v>113</v>
      </c>
      <c r="B1973" s="0" t="s">
        <v>954</v>
      </c>
      <c r="C1973" s="0" t="n">
        <v>225</v>
      </c>
      <c r="D1973" s="0" t="n">
        <v>15</v>
      </c>
      <c r="E1973" s="0" t="n">
        <v>5</v>
      </c>
      <c r="F1973" s="0" t="n">
        <v>191</v>
      </c>
      <c r="G1973" s="0" t="n">
        <v>190</v>
      </c>
      <c r="H1973" s="0" t="s">
        <v>145</v>
      </c>
      <c r="I1973" s="0" t="n">
        <v>190</v>
      </c>
      <c r="J1973" s="0" t="n">
        <f aca="false">F1973*E1973</f>
        <v>955</v>
      </c>
      <c r="K1973" s="0" t="str">
        <f aca="false">IF(G1973&lt;1000,"1-Low",IF(G1973&lt;5000,"2-Medium","3-Bulk"))</f>
        <v>1-Low</v>
      </c>
      <c r="L1973" s="0" t="str">
        <f aca="false">IF(H1973="TRUE","Out of stock","In stock")</f>
        <v>In stock</v>
      </c>
      <c r="M1973" s="0" t="str">
        <f aca="false">IF(D1973&lt;5,"1) Under 5%",IF(D1973&lt;10,"2) 5-9%",IF(D1973&lt;15,"3) 10-14%",IF(D1973&lt;25,"4) 15-24%","5) 25%+"))))</f>
        <v>4) 15-24%</v>
      </c>
      <c r="N1973" s="0" t="str">
        <f aca="false">IF(F1973&lt;50,"1) Under Rs 50",IF(F1973&lt;100,"2) Rs 50-99",IF(F1973&lt;200,"3) Rs 100-199",IF(F1973&lt;500,"4) Rs 200-499","5) Rs 500+"))))</f>
        <v>3) Rs 100-199</v>
      </c>
      <c r="O1973" s="0" t="n">
        <f aca="false">G1973*E1973/1000</f>
        <v>0.95</v>
      </c>
    </row>
    <row r="1974" customFormat="false" ht="15" hidden="false" customHeight="false" outlineLevel="0" collapsed="false">
      <c r="A1974" s="0" t="s">
        <v>113</v>
      </c>
      <c r="B1974" s="0" t="s">
        <v>955</v>
      </c>
      <c r="C1974" s="0" t="n">
        <v>65</v>
      </c>
      <c r="D1974" s="0" t="n">
        <v>6</v>
      </c>
      <c r="E1974" s="0" t="n">
        <v>6</v>
      </c>
      <c r="F1974" s="0" t="n">
        <v>61</v>
      </c>
      <c r="G1974" s="0" t="n">
        <v>200</v>
      </c>
      <c r="H1974" s="0" t="s">
        <v>145</v>
      </c>
      <c r="I1974" s="0" t="n">
        <v>200</v>
      </c>
      <c r="J1974" s="0" t="n">
        <f aca="false">F1974*E1974</f>
        <v>366</v>
      </c>
      <c r="K1974" s="0" t="str">
        <f aca="false">IF(G1974&lt;1000,"1-Low",IF(G1974&lt;5000,"2-Medium","3-Bulk"))</f>
        <v>1-Low</v>
      </c>
      <c r="L1974" s="0" t="str">
        <f aca="false">IF(H1974="TRUE","Out of stock","In stock")</f>
        <v>In stock</v>
      </c>
      <c r="M1974" s="0" t="str">
        <f aca="false">IF(D1974&lt;5,"1) Under 5%",IF(D1974&lt;10,"2) 5-9%",IF(D1974&lt;15,"3) 10-14%",IF(D1974&lt;25,"4) 15-24%","5) 25%+"))))</f>
        <v>2) 5-9%</v>
      </c>
      <c r="N1974" s="0" t="str">
        <f aca="false">IF(F1974&lt;50,"1) Under Rs 50",IF(F1974&lt;100,"2) Rs 50-99",IF(F1974&lt;200,"3) Rs 100-199",IF(F1974&lt;500,"4) Rs 200-499","5) Rs 500+"))))</f>
        <v>2) Rs 50-99</v>
      </c>
      <c r="O1974" s="0" t="n">
        <f aca="false">G1974*E1974/1000</f>
        <v>1.2</v>
      </c>
    </row>
    <row r="1975" customFormat="false" ht="15" hidden="false" customHeight="false" outlineLevel="0" collapsed="false">
      <c r="A1975" s="0" t="s">
        <v>113</v>
      </c>
      <c r="B1975" s="0" t="s">
        <v>956</v>
      </c>
      <c r="C1975" s="0" t="n">
        <v>42</v>
      </c>
      <c r="D1975" s="0" t="n">
        <v>0</v>
      </c>
      <c r="E1975" s="0" t="n">
        <v>2</v>
      </c>
      <c r="F1975" s="0" t="n">
        <v>42</v>
      </c>
      <c r="G1975" s="0" t="n">
        <v>400</v>
      </c>
      <c r="H1975" s="0" t="s">
        <v>145</v>
      </c>
      <c r="I1975" s="0" t="n">
        <v>400</v>
      </c>
      <c r="J1975" s="0" t="n">
        <f aca="false">F1975*E1975</f>
        <v>84</v>
      </c>
      <c r="K1975" s="0" t="str">
        <f aca="false">IF(G1975&lt;1000,"1-Low",IF(G1975&lt;5000,"2-Medium","3-Bulk"))</f>
        <v>1-Low</v>
      </c>
      <c r="L1975" s="0" t="str">
        <f aca="false">IF(H1975="TRUE","Out of stock","In stock")</f>
        <v>In stock</v>
      </c>
      <c r="M1975" s="0" t="str">
        <f aca="false">IF(D1975&lt;5,"1) Under 5%",IF(D1975&lt;10,"2) 5-9%",IF(D1975&lt;15,"3) 10-14%",IF(D1975&lt;25,"4) 15-24%","5) 25%+"))))</f>
        <v>1) Under 5%</v>
      </c>
      <c r="N1975" s="0" t="str">
        <f aca="false">IF(F1975&lt;50,"1) Under Rs 50",IF(F1975&lt;100,"2) Rs 50-99",IF(F1975&lt;200,"3) Rs 100-199",IF(F1975&lt;500,"4) Rs 200-499","5) Rs 500+"))))</f>
        <v>1) Under Rs 50</v>
      </c>
      <c r="O1975" s="0" t="n">
        <f aca="false">G1975*E1975/1000</f>
        <v>0.8</v>
      </c>
    </row>
    <row r="1976" customFormat="false" ht="15" hidden="false" customHeight="false" outlineLevel="0" collapsed="false">
      <c r="A1976" s="0" t="s">
        <v>113</v>
      </c>
      <c r="B1976" s="0" t="s">
        <v>957</v>
      </c>
      <c r="C1976" s="0" t="n">
        <v>275</v>
      </c>
      <c r="D1976" s="0" t="n">
        <v>14</v>
      </c>
      <c r="E1976" s="0" t="n">
        <v>4</v>
      </c>
      <c r="F1976" s="0" t="n">
        <v>234</v>
      </c>
      <c r="G1976" s="0" t="n">
        <v>200</v>
      </c>
      <c r="H1976" s="0" t="s">
        <v>145</v>
      </c>
      <c r="I1976" s="0" t="n">
        <v>200</v>
      </c>
      <c r="J1976" s="0" t="n">
        <f aca="false">F1976*E1976</f>
        <v>936</v>
      </c>
      <c r="K1976" s="0" t="str">
        <f aca="false">IF(G1976&lt;1000,"1-Low",IF(G1976&lt;5000,"2-Medium","3-Bulk"))</f>
        <v>1-Low</v>
      </c>
      <c r="L1976" s="0" t="str">
        <f aca="false">IF(H1976="TRUE","Out of stock","In stock")</f>
        <v>In stock</v>
      </c>
      <c r="M1976" s="0" t="str">
        <f aca="false">IF(D1976&lt;5,"1) Under 5%",IF(D1976&lt;10,"2) 5-9%",IF(D1976&lt;15,"3) 10-14%",IF(D1976&lt;25,"4) 15-24%","5) 25%+"))))</f>
        <v>3) 10-14%</v>
      </c>
      <c r="N1976" s="0" t="str">
        <f aca="false">IF(F1976&lt;50,"1) Under Rs 50",IF(F1976&lt;100,"2) Rs 50-99",IF(F1976&lt;200,"3) Rs 100-199",IF(F1976&lt;500,"4) Rs 200-499","5) Rs 500+"))))</f>
        <v>4) Rs 200-499</v>
      </c>
      <c r="O1976" s="0" t="n">
        <f aca="false">G1976*E1976/1000</f>
        <v>0.8</v>
      </c>
    </row>
    <row r="1977" customFormat="false" ht="15" hidden="false" customHeight="false" outlineLevel="0" collapsed="false">
      <c r="A1977" s="0" t="s">
        <v>113</v>
      </c>
      <c r="B1977" s="0" t="s">
        <v>770</v>
      </c>
      <c r="C1977" s="0" t="n">
        <v>99</v>
      </c>
      <c r="D1977" s="0" t="n">
        <v>5</v>
      </c>
      <c r="E1977" s="0" t="n">
        <v>6</v>
      </c>
      <c r="F1977" s="0" t="n">
        <v>94</v>
      </c>
      <c r="G1977" s="0" t="n">
        <v>200</v>
      </c>
      <c r="H1977" s="0" t="s">
        <v>145</v>
      </c>
      <c r="I1977" s="0" t="n">
        <v>200</v>
      </c>
      <c r="J1977" s="0" t="n">
        <f aca="false">F1977*E1977</f>
        <v>564</v>
      </c>
      <c r="K1977" s="0" t="str">
        <f aca="false">IF(G1977&lt;1000,"1-Low",IF(G1977&lt;5000,"2-Medium","3-Bulk"))</f>
        <v>1-Low</v>
      </c>
      <c r="L1977" s="0" t="str">
        <f aca="false">IF(H1977="TRUE","Out of stock","In stock")</f>
        <v>In stock</v>
      </c>
      <c r="M1977" s="0" t="str">
        <f aca="false">IF(D1977&lt;5,"1) Under 5%",IF(D1977&lt;10,"2) 5-9%",IF(D1977&lt;15,"3) 10-14%",IF(D1977&lt;25,"4) 15-24%","5) 25%+"))))</f>
        <v>2) 5-9%</v>
      </c>
      <c r="N1977" s="0" t="str">
        <f aca="false">IF(F1977&lt;50,"1) Under Rs 50",IF(F1977&lt;100,"2) Rs 50-99",IF(F1977&lt;200,"3) Rs 100-199",IF(F1977&lt;500,"4) Rs 200-499","5) Rs 500+"))))</f>
        <v>2) Rs 50-99</v>
      </c>
      <c r="O1977" s="0" t="n">
        <f aca="false">G1977*E1977/1000</f>
        <v>1.2</v>
      </c>
    </row>
    <row r="1978" customFormat="false" ht="15" hidden="false" customHeight="false" outlineLevel="0" collapsed="false">
      <c r="A1978" s="0" t="s">
        <v>113</v>
      </c>
      <c r="B1978" s="0" t="s">
        <v>958</v>
      </c>
      <c r="C1978" s="0" t="n">
        <v>135</v>
      </c>
      <c r="D1978" s="0" t="n">
        <v>9</v>
      </c>
      <c r="E1978" s="0" t="n">
        <v>2</v>
      </c>
      <c r="F1978" s="0" t="n">
        <v>122</v>
      </c>
      <c r="G1978" s="0" t="n">
        <v>300</v>
      </c>
      <c r="H1978" s="0" t="s">
        <v>145</v>
      </c>
      <c r="I1978" s="0" t="n">
        <v>300</v>
      </c>
      <c r="J1978" s="0" t="n">
        <f aca="false">F1978*E1978</f>
        <v>244</v>
      </c>
      <c r="K1978" s="0" t="str">
        <f aca="false">IF(G1978&lt;1000,"1-Low",IF(G1978&lt;5000,"2-Medium","3-Bulk"))</f>
        <v>1-Low</v>
      </c>
      <c r="L1978" s="0" t="str">
        <f aca="false">IF(H1978="TRUE","Out of stock","In stock")</f>
        <v>In stock</v>
      </c>
      <c r="M1978" s="0" t="str">
        <f aca="false">IF(D1978&lt;5,"1) Under 5%",IF(D1978&lt;10,"2) 5-9%",IF(D1978&lt;15,"3) 10-14%",IF(D1978&lt;25,"4) 15-24%","5) 25%+"))))</f>
        <v>2) 5-9%</v>
      </c>
      <c r="N1978" s="0" t="str">
        <f aca="false">IF(F1978&lt;50,"1) Under Rs 50",IF(F1978&lt;100,"2) Rs 50-99",IF(F1978&lt;200,"3) Rs 100-199",IF(F1978&lt;500,"4) Rs 200-499","5) Rs 500+"))))</f>
        <v>3) Rs 100-199</v>
      </c>
      <c r="O1978" s="0" t="n">
        <f aca="false">G1978*E1978/1000</f>
        <v>0.6</v>
      </c>
    </row>
    <row r="1979" customFormat="false" ht="15" hidden="false" customHeight="false" outlineLevel="0" collapsed="false">
      <c r="A1979" s="0" t="s">
        <v>113</v>
      </c>
      <c r="B1979" s="0" t="s">
        <v>959</v>
      </c>
      <c r="C1979" s="0" t="n">
        <v>340</v>
      </c>
      <c r="D1979" s="0" t="n">
        <v>0</v>
      </c>
      <c r="E1979" s="0" t="n">
        <v>2</v>
      </c>
      <c r="F1979" s="0" t="n">
        <v>340</v>
      </c>
      <c r="G1979" s="0" t="n">
        <v>400</v>
      </c>
      <c r="H1979" s="0" t="s">
        <v>145</v>
      </c>
      <c r="I1979" s="0" t="n">
        <v>400</v>
      </c>
      <c r="J1979" s="0" t="n">
        <f aca="false">F1979*E1979</f>
        <v>680</v>
      </c>
      <c r="K1979" s="0" t="str">
        <f aca="false">IF(G1979&lt;1000,"1-Low",IF(G1979&lt;5000,"2-Medium","3-Bulk"))</f>
        <v>1-Low</v>
      </c>
      <c r="L1979" s="0" t="str">
        <f aca="false">IF(H1979="TRUE","Out of stock","In stock")</f>
        <v>In stock</v>
      </c>
      <c r="M1979" s="0" t="str">
        <f aca="false">IF(D1979&lt;5,"1) Under 5%",IF(D1979&lt;10,"2) 5-9%",IF(D1979&lt;15,"3) 10-14%",IF(D1979&lt;25,"4) 15-24%","5) 25%+"))))</f>
        <v>1) Under 5%</v>
      </c>
      <c r="N1979" s="0" t="str">
        <f aca="false">IF(F1979&lt;50,"1) Under Rs 50",IF(F1979&lt;100,"2) Rs 50-99",IF(F1979&lt;200,"3) Rs 100-199",IF(F1979&lt;500,"4) Rs 200-499","5) Rs 500+"))))</f>
        <v>4) Rs 200-499</v>
      </c>
      <c r="O1979" s="0" t="n">
        <f aca="false">G1979*E1979/1000</f>
        <v>0.8</v>
      </c>
    </row>
    <row r="1980" customFormat="false" ht="15" hidden="false" customHeight="false" outlineLevel="0" collapsed="false">
      <c r="A1980" s="0" t="s">
        <v>113</v>
      </c>
      <c r="B1980" s="0" t="s">
        <v>960</v>
      </c>
      <c r="C1980" s="0" t="n">
        <v>190</v>
      </c>
      <c r="D1980" s="0" t="n">
        <v>10</v>
      </c>
      <c r="E1980" s="0" t="n">
        <v>6</v>
      </c>
      <c r="F1980" s="0" t="n">
        <v>171</v>
      </c>
      <c r="G1980" s="0" t="n">
        <v>375</v>
      </c>
      <c r="H1980" s="0" t="s">
        <v>145</v>
      </c>
      <c r="I1980" s="0" t="n">
        <v>375</v>
      </c>
      <c r="J1980" s="0" t="n">
        <f aca="false">F1980*E1980</f>
        <v>1026</v>
      </c>
      <c r="K1980" s="0" t="str">
        <f aca="false">IF(G1980&lt;1000,"1-Low",IF(G1980&lt;5000,"2-Medium","3-Bulk"))</f>
        <v>1-Low</v>
      </c>
      <c r="L1980" s="0" t="str">
        <f aca="false">IF(H1980="TRUE","Out of stock","In stock")</f>
        <v>In stock</v>
      </c>
      <c r="M1980" s="0" t="str">
        <f aca="false">IF(D1980&lt;5,"1) Under 5%",IF(D1980&lt;10,"2) 5-9%",IF(D1980&lt;15,"3) 10-14%",IF(D1980&lt;25,"4) 15-24%","5) 25%+"))))</f>
        <v>3) 10-14%</v>
      </c>
      <c r="N1980" s="0" t="str">
        <f aca="false">IF(F1980&lt;50,"1) Under Rs 50",IF(F1980&lt;100,"2) Rs 50-99",IF(F1980&lt;200,"3) Rs 100-199",IF(F1980&lt;500,"4) Rs 200-499","5) Rs 500+"))))</f>
        <v>3) Rs 100-199</v>
      </c>
      <c r="O1980" s="0" t="n">
        <f aca="false">G1980*E1980/1000</f>
        <v>2.25</v>
      </c>
    </row>
    <row r="1981" customFormat="false" ht="15" hidden="false" customHeight="false" outlineLevel="0" collapsed="false">
      <c r="A1981" s="0" t="s">
        <v>113</v>
      </c>
      <c r="B1981" s="0" t="s">
        <v>961</v>
      </c>
      <c r="C1981" s="0" t="n">
        <v>104</v>
      </c>
      <c r="D1981" s="0" t="n">
        <v>20</v>
      </c>
      <c r="E1981" s="0" t="n">
        <v>3</v>
      </c>
      <c r="F1981" s="0" t="n">
        <v>83</v>
      </c>
      <c r="G1981" s="0" t="n">
        <v>500</v>
      </c>
      <c r="H1981" s="0" t="s">
        <v>145</v>
      </c>
      <c r="I1981" s="0" t="n">
        <v>500</v>
      </c>
      <c r="J1981" s="0" t="n">
        <f aca="false">F1981*E1981</f>
        <v>249</v>
      </c>
      <c r="K1981" s="0" t="str">
        <f aca="false">IF(G1981&lt;1000,"1-Low",IF(G1981&lt;5000,"2-Medium","3-Bulk"))</f>
        <v>1-Low</v>
      </c>
      <c r="L1981" s="0" t="str">
        <f aca="false">IF(H1981="TRUE","Out of stock","In stock")</f>
        <v>In stock</v>
      </c>
      <c r="M1981" s="0" t="str">
        <f aca="false">IF(D1981&lt;5,"1) Under 5%",IF(D1981&lt;10,"2) 5-9%",IF(D1981&lt;15,"3) 10-14%",IF(D1981&lt;25,"4) 15-24%","5) 25%+"))))</f>
        <v>4) 15-24%</v>
      </c>
      <c r="N1981" s="0" t="str">
        <f aca="false">IF(F1981&lt;50,"1) Under Rs 50",IF(F1981&lt;100,"2) Rs 50-99",IF(F1981&lt;200,"3) Rs 100-199",IF(F1981&lt;500,"4) Rs 200-499","5) Rs 500+"))))</f>
        <v>2) Rs 50-99</v>
      </c>
      <c r="O1981" s="0" t="n">
        <f aca="false">G1981*E1981/1000</f>
        <v>1.5</v>
      </c>
    </row>
    <row r="1982" customFormat="false" ht="15" hidden="false" customHeight="false" outlineLevel="0" collapsed="false">
      <c r="A1982" s="0" t="s">
        <v>113</v>
      </c>
      <c r="B1982" s="0" t="s">
        <v>507</v>
      </c>
      <c r="C1982" s="0" t="n">
        <v>250</v>
      </c>
      <c r="D1982" s="0" t="n">
        <v>40</v>
      </c>
      <c r="E1982" s="0" t="n">
        <v>6</v>
      </c>
      <c r="F1982" s="0" t="n">
        <v>149</v>
      </c>
      <c r="G1982" s="0" t="n">
        <v>500</v>
      </c>
      <c r="H1982" s="0" t="s">
        <v>145</v>
      </c>
      <c r="I1982" s="0" t="n">
        <v>500</v>
      </c>
      <c r="J1982" s="0" t="n">
        <f aca="false">F1982*E1982</f>
        <v>894</v>
      </c>
      <c r="K1982" s="0" t="str">
        <f aca="false">IF(G1982&lt;1000,"1-Low",IF(G1982&lt;5000,"2-Medium","3-Bulk"))</f>
        <v>1-Low</v>
      </c>
      <c r="L1982" s="0" t="str">
        <f aca="false">IF(H1982="TRUE","Out of stock","In stock")</f>
        <v>In stock</v>
      </c>
      <c r="M1982" s="0" t="str">
        <f aca="false">IF(D1982&lt;5,"1) Under 5%",IF(D1982&lt;10,"2) 5-9%",IF(D1982&lt;15,"3) 10-14%",IF(D1982&lt;25,"4) 15-24%","5) 25%+"))))</f>
        <v>5) 25%+</v>
      </c>
      <c r="N1982" s="0" t="str">
        <f aca="false">IF(F1982&lt;50,"1) Under Rs 50",IF(F1982&lt;100,"2) Rs 50-99",IF(F1982&lt;200,"3) Rs 100-199",IF(F1982&lt;500,"4) Rs 200-499","5) Rs 500+"))))</f>
        <v>3) Rs 100-199</v>
      </c>
      <c r="O1982" s="0" t="n">
        <f aca="false">G1982*E1982/1000</f>
        <v>3</v>
      </c>
    </row>
    <row r="1983" customFormat="false" ht="15" hidden="false" customHeight="false" outlineLevel="0" collapsed="false">
      <c r="A1983" s="0" t="s">
        <v>113</v>
      </c>
      <c r="B1983" s="0" t="s">
        <v>768</v>
      </c>
      <c r="C1983" s="0" t="n">
        <v>169</v>
      </c>
      <c r="D1983" s="0" t="n">
        <v>7</v>
      </c>
      <c r="E1983" s="0" t="n">
        <v>1</v>
      </c>
      <c r="F1983" s="0" t="n">
        <v>156</v>
      </c>
      <c r="G1983" s="0" t="n">
        <v>400</v>
      </c>
      <c r="H1983" s="0" t="s">
        <v>145</v>
      </c>
      <c r="I1983" s="0" t="n">
        <v>400</v>
      </c>
      <c r="J1983" s="0" t="n">
        <f aca="false">F1983*E1983</f>
        <v>156</v>
      </c>
      <c r="K1983" s="0" t="str">
        <f aca="false">IF(G1983&lt;1000,"1-Low",IF(G1983&lt;5000,"2-Medium","3-Bulk"))</f>
        <v>1-Low</v>
      </c>
      <c r="L1983" s="0" t="str">
        <f aca="false">IF(H1983="TRUE","Out of stock","In stock")</f>
        <v>In stock</v>
      </c>
      <c r="M1983" s="0" t="str">
        <f aca="false">IF(D1983&lt;5,"1) Under 5%",IF(D1983&lt;10,"2) 5-9%",IF(D1983&lt;15,"3) 10-14%",IF(D1983&lt;25,"4) 15-24%","5) 25%+"))))</f>
        <v>2) 5-9%</v>
      </c>
      <c r="N1983" s="0" t="str">
        <f aca="false">IF(F1983&lt;50,"1) Under Rs 50",IF(F1983&lt;100,"2) Rs 50-99",IF(F1983&lt;200,"3) Rs 100-199",IF(F1983&lt;500,"4) Rs 200-499","5) Rs 500+"))))</f>
        <v>3) Rs 100-199</v>
      </c>
      <c r="O1983" s="0" t="n">
        <f aca="false">G1983*E1983/1000</f>
        <v>0.4</v>
      </c>
    </row>
    <row r="1984" customFormat="false" ht="15" hidden="false" customHeight="false" outlineLevel="0" collapsed="false">
      <c r="A1984" s="0" t="s">
        <v>113</v>
      </c>
      <c r="B1984" s="0" t="s">
        <v>962</v>
      </c>
      <c r="C1984" s="0" t="n">
        <v>60</v>
      </c>
      <c r="D1984" s="0" t="n">
        <v>0</v>
      </c>
      <c r="E1984" s="0" t="n">
        <v>4</v>
      </c>
      <c r="F1984" s="0" t="n">
        <v>60</v>
      </c>
      <c r="G1984" s="0" t="n">
        <v>50</v>
      </c>
      <c r="H1984" s="0" t="s">
        <v>145</v>
      </c>
      <c r="I1984" s="0" t="n">
        <v>50</v>
      </c>
      <c r="J1984" s="0" t="n">
        <f aca="false">F1984*E1984</f>
        <v>240</v>
      </c>
      <c r="K1984" s="0" t="str">
        <f aca="false">IF(G1984&lt;1000,"1-Low",IF(G1984&lt;5000,"2-Medium","3-Bulk"))</f>
        <v>1-Low</v>
      </c>
      <c r="L1984" s="0" t="str">
        <f aca="false">IF(H1984="TRUE","Out of stock","In stock")</f>
        <v>In stock</v>
      </c>
      <c r="M1984" s="0" t="str">
        <f aca="false">IF(D1984&lt;5,"1) Under 5%",IF(D1984&lt;10,"2) 5-9%",IF(D1984&lt;15,"3) 10-14%",IF(D1984&lt;25,"4) 15-24%","5) 25%+"))))</f>
        <v>1) Under 5%</v>
      </c>
      <c r="N1984" s="0" t="str">
        <f aca="false">IF(F1984&lt;50,"1) Under Rs 50",IF(F1984&lt;100,"2) Rs 50-99",IF(F1984&lt;200,"3) Rs 100-199",IF(F1984&lt;500,"4) Rs 200-499","5) Rs 500+"))))</f>
        <v>2) Rs 50-99</v>
      </c>
      <c r="O1984" s="0" t="n">
        <f aca="false">G1984*E1984/1000</f>
        <v>0.2</v>
      </c>
    </row>
    <row r="1985" customFormat="false" ht="15" hidden="false" customHeight="false" outlineLevel="0" collapsed="false">
      <c r="A1985" s="0" t="s">
        <v>113</v>
      </c>
      <c r="B1985" s="0" t="s">
        <v>963</v>
      </c>
      <c r="C1985" s="0" t="n">
        <v>325</v>
      </c>
      <c r="D1985" s="0" t="n">
        <v>0</v>
      </c>
      <c r="E1985" s="0" t="n">
        <v>6</v>
      </c>
      <c r="F1985" s="0" t="n">
        <v>325</v>
      </c>
      <c r="G1985" s="0" t="n">
        <v>500</v>
      </c>
      <c r="H1985" s="0" t="s">
        <v>145</v>
      </c>
      <c r="I1985" s="0" t="n">
        <v>500</v>
      </c>
      <c r="J1985" s="0" t="n">
        <f aca="false">F1985*E1985</f>
        <v>1950</v>
      </c>
      <c r="K1985" s="0" t="str">
        <f aca="false">IF(G1985&lt;1000,"1-Low",IF(G1985&lt;5000,"2-Medium","3-Bulk"))</f>
        <v>1-Low</v>
      </c>
      <c r="L1985" s="0" t="str">
        <f aca="false">IF(H1985="TRUE","Out of stock","In stock")</f>
        <v>In stock</v>
      </c>
      <c r="M1985" s="0" t="str">
        <f aca="false">IF(D1985&lt;5,"1) Under 5%",IF(D1985&lt;10,"2) 5-9%",IF(D1985&lt;15,"3) 10-14%",IF(D1985&lt;25,"4) 15-24%","5) 25%+"))))</f>
        <v>1) Under 5%</v>
      </c>
      <c r="N1985" s="0" t="str">
        <f aca="false">IF(F1985&lt;50,"1) Under Rs 50",IF(F1985&lt;100,"2) Rs 50-99",IF(F1985&lt;200,"3) Rs 100-199",IF(F1985&lt;500,"4) Rs 200-499","5) Rs 500+"))))</f>
        <v>4) Rs 200-499</v>
      </c>
      <c r="O1985" s="0" t="n">
        <f aca="false">G1985*E1985/1000</f>
        <v>3</v>
      </c>
    </row>
    <row r="1986" customFormat="false" ht="15" hidden="false" customHeight="false" outlineLevel="0" collapsed="false">
      <c r="A1986" s="0" t="s">
        <v>113</v>
      </c>
      <c r="B1986" s="0" t="s">
        <v>964</v>
      </c>
      <c r="C1986" s="0" t="n">
        <v>99</v>
      </c>
      <c r="D1986" s="0" t="n">
        <v>0</v>
      </c>
      <c r="E1986" s="0" t="n">
        <v>3</v>
      </c>
      <c r="F1986" s="0" t="n">
        <v>99</v>
      </c>
      <c r="G1986" s="0" t="n">
        <v>400</v>
      </c>
      <c r="H1986" s="0" t="s">
        <v>145</v>
      </c>
      <c r="I1986" s="0" t="n">
        <v>400</v>
      </c>
      <c r="J1986" s="0" t="n">
        <f aca="false">F1986*E1986</f>
        <v>297</v>
      </c>
      <c r="K1986" s="0" t="str">
        <f aca="false">IF(G1986&lt;1000,"1-Low",IF(G1986&lt;5000,"2-Medium","3-Bulk"))</f>
        <v>1-Low</v>
      </c>
      <c r="L1986" s="0" t="str">
        <f aca="false">IF(H1986="TRUE","Out of stock","In stock")</f>
        <v>In stock</v>
      </c>
      <c r="M1986" s="0" t="str">
        <f aca="false">IF(D1986&lt;5,"1) Under 5%",IF(D1986&lt;10,"2) 5-9%",IF(D1986&lt;15,"3) 10-14%",IF(D1986&lt;25,"4) 15-24%","5) 25%+"))))</f>
        <v>1) Under 5%</v>
      </c>
      <c r="N1986" s="0" t="str">
        <f aca="false">IF(F1986&lt;50,"1) Under Rs 50",IF(F1986&lt;100,"2) Rs 50-99",IF(F1986&lt;200,"3) Rs 100-199",IF(F1986&lt;500,"4) Rs 200-499","5) Rs 500+"))))</f>
        <v>2) Rs 50-99</v>
      </c>
      <c r="O1986" s="0" t="n">
        <f aca="false">G1986*E1986/1000</f>
        <v>1.2</v>
      </c>
    </row>
    <row r="1987" customFormat="false" ht="15" hidden="false" customHeight="false" outlineLevel="0" collapsed="false">
      <c r="A1987" s="0" t="s">
        <v>113</v>
      </c>
      <c r="B1987" s="0" t="s">
        <v>965</v>
      </c>
      <c r="C1987" s="0" t="n">
        <v>225</v>
      </c>
      <c r="D1987" s="0" t="n">
        <v>15</v>
      </c>
      <c r="E1987" s="0" t="n">
        <v>6</v>
      </c>
      <c r="F1987" s="0" t="n">
        <v>191</v>
      </c>
      <c r="G1987" s="0" t="n">
        <v>200</v>
      </c>
      <c r="H1987" s="0" t="s">
        <v>145</v>
      </c>
      <c r="I1987" s="0" t="n">
        <v>200</v>
      </c>
      <c r="J1987" s="0" t="n">
        <f aca="false">F1987*E1987</f>
        <v>1146</v>
      </c>
      <c r="K1987" s="0" t="str">
        <f aca="false">IF(G1987&lt;1000,"1-Low",IF(G1987&lt;5000,"2-Medium","3-Bulk"))</f>
        <v>1-Low</v>
      </c>
      <c r="L1987" s="0" t="str">
        <f aca="false">IF(H1987="TRUE","Out of stock","In stock")</f>
        <v>In stock</v>
      </c>
      <c r="M1987" s="0" t="str">
        <f aca="false">IF(D1987&lt;5,"1) Under 5%",IF(D1987&lt;10,"2) 5-9%",IF(D1987&lt;15,"3) 10-14%",IF(D1987&lt;25,"4) 15-24%","5) 25%+"))))</f>
        <v>4) 15-24%</v>
      </c>
      <c r="N1987" s="0" t="str">
        <f aca="false">IF(F1987&lt;50,"1) Under Rs 50",IF(F1987&lt;100,"2) Rs 50-99",IF(F1987&lt;200,"3) Rs 100-199",IF(F1987&lt;500,"4) Rs 200-499","5) Rs 500+"))))</f>
        <v>3) Rs 100-199</v>
      </c>
      <c r="O1987" s="0" t="n">
        <f aca="false">G1987*E1987/1000</f>
        <v>1.2</v>
      </c>
    </row>
    <row r="1988" customFormat="false" ht="15" hidden="false" customHeight="false" outlineLevel="0" collapsed="false">
      <c r="A1988" s="0" t="s">
        <v>113</v>
      </c>
      <c r="B1988" s="0" t="s">
        <v>966</v>
      </c>
      <c r="C1988" s="0" t="n">
        <v>295</v>
      </c>
      <c r="D1988" s="0" t="n">
        <v>0</v>
      </c>
      <c r="E1988" s="0" t="n">
        <v>3</v>
      </c>
      <c r="F1988" s="0" t="n">
        <v>295</v>
      </c>
      <c r="G1988" s="0" t="n">
        <v>350</v>
      </c>
      <c r="H1988" s="0" t="s">
        <v>145</v>
      </c>
      <c r="I1988" s="0" t="n">
        <v>350</v>
      </c>
      <c r="J1988" s="0" t="n">
        <f aca="false">F1988*E1988</f>
        <v>885</v>
      </c>
      <c r="K1988" s="0" t="str">
        <f aca="false">IF(G1988&lt;1000,"1-Low",IF(G1988&lt;5000,"2-Medium","3-Bulk"))</f>
        <v>1-Low</v>
      </c>
      <c r="L1988" s="0" t="str">
        <f aca="false">IF(H1988="TRUE","Out of stock","In stock")</f>
        <v>In stock</v>
      </c>
      <c r="M1988" s="0" t="str">
        <f aca="false">IF(D1988&lt;5,"1) Under 5%",IF(D1988&lt;10,"2) 5-9%",IF(D1988&lt;15,"3) 10-14%",IF(D1988&lt;25,"4) 15-24%","5) 25%+"))))</f>
        <v>1) Under 5%</v>
      </c>
      <c r="N1988" s="0" t="str">
        <f aca="false">IF(F1988&lt;50,"1) Under Rs 50",IF(F1988&lt;100,"2) Rs 50-99",IF(F1988&lt;200,"3) Rs 100-199",IF(F1988&lt;500,"4) Rs 200-499","5) Rs 500+"))))</f>
        <v>4) Rs 200-499</v>
      </c>
      <c r="O1988" s="0" t="n">
        <f aca="false">G1988*E1988/1000</f>
        <v>1.05</v>
      </c>
    </row>
    <row r="1989" customFormat="false" ht="15" hidden="false" customHeight="false" outlineLevel="0" collapsed="false">
      <c r="A1989" s="0" t="s">
        <v>113</v>
      </c>
      <c r="B1989" s="0" t="s">
        <v>967</v>
      </c>
      <c r="C1989" s="0" t="n">
        <v>25</v>
      </c>
      <c r="D1989" s="0" t="n">
        <v>0</v>
      </c>
      <c r="E1989" s="0" t="n">
        <v>6</v>
      </c>
      <c r="F1989" s="0" t="n">
        <v>25</v>
      </c>
      <c r="G1989" s="0" t="n">
        <v>65</v>
      </c>
      <c r="H1989" s="0" t="s">
        <v>145</v>
      </c>
      <c r="I1989" s="0" t="n">
        <v>65</v>
      </c>
      <c r="J1989" s="0" t="n">
        <f aca="false">F1989*E1989</f>
        <v>150</v>
      </c>
      <c r="K1989" s="0" t="str">
        <f aca="false">IF(G1989&lt;1000,"1-Low",IF(G1989&lt;5000,"2-Medium","3-Bulk"))</f>
        <v>1-Low</v>
      </c>
      <c r="L1989" s="0" t="str">
        <f aca="false">IF(H1989="TRUE","Out of stock","In stock")</f>
        <v>In stock</v>
      </c>
      <c r="M1989" s="0" t="str">
        <f aca="false">IF(D1989&lt;5,"1) Under 5%",IF(D1989&lt;10,"2) 5-9%",IF(D1989&lt;15,"3) 10-14%",IF(D1989&lt;25,"4) 15-24%","5) 25%+"))))</f>
        <v>1) Under 5%</v>
      </c>
      <c r="N1989" s="0" t="str">
        <f aca="false">IF(F1989&lt;50,"1) Under Rs 50",IF(F1989&lt;100,"2) Rs 50-99",IF(F1989&lt;200,"3) Rs 100-199",IF(F1989&lt;500,"4) Rs 200-499","5) Rs 500+"))))</f>
        <v>1) Under Rs 50</v>
      </c>
      <c r="O1989" s="0" t="n">
        <f aca="false">G1989*E1989/1000</f>
        <v>0.39</v>
      </c>
    </row>
    <row r="1990" customFormat="false" ht="15" hidden="false" customHeight="false" outlineLevel="0" collapsed="false">
      <c r="A1990" s="0" t="s">
        <v>113</v>
      </c>
      <c r="B1990" s="0" t="s">
        <v>968</v>
      </c>
      <c r="C1990" s="0" t="n">
        <v>91</v>
      </c>
      <c r="D1990" s="0" t="n">
        <v>0</v>
      </c>
      <c r="E1990" s="0" t="n">
        <v>5</v>
      </c>
      <c r="F1990" s="0" t="n">
        <v>91</v>
      </c>
      <c r="G1990" s="0" t="n">
        <v>360</v>
      </c>
      <c r="H1990" s="0" t="s">
        <v>145</v>
      </c>
      <c r="I1990" s="0" t="n">
        <v>360</v>
      </c>
      <c r="J1990" s="0" t="n">
        <f aca="false">F1990*E1990</f>
        <v>455</v>
      </c>
      <c r="K1990" s="0" t="str">
        <f aca="false">IF(G1990&lt;1000,"1-Low",IF(G1990&lt;5000,"2-Medium","3-Bulk"))</f>
        <v>1-Low</v>
      </c>
      <c r="L1990" s="0" t="str">
        <f aca="false">IF(H1990="TRUE","Out of stock","In stock")</f>
        <v>In stock</v>
      </c>
      <c r="M1990" s="0" t="str">
        <f aca="false">IF(D1990&lt;5,"1) Under 5%",IF(D1990&lt;10,"2) 5-9%",IF(D1990&lt;15,"3) 10-14%",IF(D1990&lt;25,"4) 15-24%","5) 25%+"))))</f>
        <v>1) Under 5%</v>
      </c>
      <c r="N1990" s="0" t="str">
        <f aca="false">IF(F1990&lt;50,"1) Under Rs 50",IF(F1990&lt;100,"2) Rs 50-99",IF(F1990&lt;200,"3) Rs 100-199",IF(F1990&lt;500,"4) Rs 200-499","5) Rs 500+"))))</f>
        <v>2) Rs 50-99</v>
      </c>
      <c r="O1990" s="0" t="n">
        <f aca="false">G1990*E1990/1000</f>
        <v>1.8</v>
      </c>
    </row>
    <row r="1991" customFormat="false" ht="15" hidden="false" customHeight="false" outlineLevel="0" collapsed="false">
      <c r="A1991" s="0" t="s">
        <v>113</v>
      </c>
      <c r="B1991" s="0" t="s">
        <v>969</v>
      </c>
      <c r="C1991" s="0" t="n">
        <v>220</v>
      </c>
      <c r="D1991" s="0" t="n">
        <v>6</v>
      </c>
      <c r="E1991" s="0" t="n">
        <v>5</v>
      </c>
      <c r="F1991" s="0" t="n">
        <v>205</v>
      </c>
      <c r="G1991" s="0" t="n">
        <v>425</v>
      </c>
      <c r="H1991" s="0" t="s">
        <v>145</v>
      </c>
      <c r="I1991" s="0" t="n">
        <v>425</v>
      </c>
      <c r="J1991" s="0" t="n">
        <f aca="false">F1991*E1991</f>
        <v>1025</v>
      </c>
      <c r="K1991" s="0" t="str">
        <f aca="false">IF(G1991&lt;1000,"1-Low",IF(G1991&lt;5000,"2-Medium","3-Bulk"))</f>
        <v>1-Low</v>
      </c>
      <c r="L1991" s="0" t="str">
        <f aca="false">IF(H1991="TRUE","Out of stock","In stock")</f>
        <v>In stock</v>
      </c>
      <c r="M1991" s="0" t="str">
        <f aca="false">IF(D1991&lt;5,"1) Under 5%",IF(D1991&lt;10,"2) 5-9%",IF(D1991&lt;15,"3) 10-14%",IF(D1991&lt;25,"4) 15-24%","5) 25%+"))))</f>
        <v>2) 5-9%</v>
      </c>
      <c r="N1991" s="0" t="str">
        <f aca="false">IF(F1991&lt;50,"1) Under Rs 50",IF(F1991&lt;100,"2) Rs 50-99",IF(F1991&lt;200,"3) Rs 100-199",IF(F1991&lt;500,"4) Rs 200-499","5) Rs 500+"))))</f>
        <v>4) Rs 200-499</v>
      </c>
      <c r="O1991" s="0" t="n">
        <f aca="false">G1991*E1991/1000</f>
        <v>2.125</v>
      </c>
    </row>
    <row r="1992" customFormat="false" ht="15" hidden="false" customHeight="false" outlineLevel="0" collapsed="false">
      <c r="A1992" s="0" t="s">
        <v>113</v>
      </c>
      <c r="B1992" s="0" t="s">
        <v>970</v>
      </c>
      <c r="C1992" s="0" t="n">
        <v>150</v>
      </c>
      <c r="D1992" s="0" t="n">
        <v>0</v>
      </c>
      <c r="E1992" s="0" t="n">
        <v>3</v>
      </c>
      <c r="F1992" s="0" t="n">
        <v>150</v>
      </c>
      <c r="G1992" s="0" t="n">
        <v>250</v>
      </c>
      <c r="H1992" s="0" t="s">
        <v>145</v>
      </c>
      <c r="I1992" s="0" t="n">
        <v>250</v>
      </c>
      <c r="J1992" s="0" t="n">
        <f aca="false">F1992*E1992</f>
        <v>450</v>
      </c>
      <c r="K1992" s="0" t="str">
        <f aca="false">IF(G1992&lt;1000,"1-Low",IF(G1992&lt;5000,"2-Medium","3-Bulk"))</f>
        <v>1-Low</v>
      </c>
      <c r="L1992" s="0" t="str">
        <f aca="false">IF(H1992="TRUE","Out of stock","In stock")</f>
        <v>In stock</v>
      </c>
      <c r="M1992" s="0" t="str">
        <f aca="false">IF(D1992&lt;5,"1) Under 5%",IF(D1992&lt;10,"2) 5-9%",IF(D1992&lt;15,"3) 10-14%",IF(D1992&lt;25,"4) 15-24%","5) 25%+"))))</f>
        <v>1) Under 5%</v>
      </c>
      <c r="N1992" s="0" t="str">
        <f aca="false">IF(F1992&lt;50,"1) Under Rs 50",IF(F1992&lt;100,"2) Rs 50-99",IF(F1992&lt;200,"3) Rs 100-199",IF(F1992&lt;500,"4) Rs 200-499","5) Rs 500+"))))</f>
        <v>3) Rs 100-199</v>
      </c>
      <c r="O1992" s="0" t="n">
        <f aca="false">G1992*E1992/1000</f>
        <v>0.75</v>
      </c>
    </row>
    <row r="1993" customFormat="false" ht="15" hidden="false" customHeight="false" outlineLevel="0" collapsed="false">
      <c r="A1993" s="0" t="s">
        <v>113</v>
      </c>
      <c r="B1993" s="0" t="s">
        <v>962</v>
      </c>
      <c r="C1993" s="0" t="n">
        <v>150</v>
      </c>
      <c r="D1993" s="0" t="n">
        <v>14</v>
      </c>
      <c r="E1993" s="0" t="n">
        <v>3</v>
      </c>
      <c r="F1993" s="0" t="n">
        <v>128</v>
      </c>
      <c r="G1993" s="0" t="n">
        <v>114</v>
      </c>
      <c r="H1993" s="0" t="s">
        <v>145</v>
      </c>
      <c r="I1993" s="0" t="n">
        <v>114</v>
      </c>
      <c r="J1993" s="0" t="n">
        <f aca="false">F1993*E1993</f>
        <v>384</v>
      </c>
      <c r="K1993" s="0" t="str">
        <f aca="false">IF(G1993&lt;1000,"1-Low",IF(G1993&lt;5000,"2-Medium","3-Bulk"))</f>
        <v>1-Low</v>
      </c>
      <c r="L1993" s="0" t="str">
        <f aca="false">IF(H1993="TRUE","Out of stock","In stock")</f>
        <v>In stock</v>
      </c>
      <c r="M1993" s="0" t="str">
        <f aca="false">IF(D1993&lt;5,"1) Under 5%",IF(D1993&lt;10,"2) 5-9%",IF(D1993&lt;15,"3) 10-14%",IF(D1993&lt;25,"4) 15-24%","5) 25%+"))))</f>
        <v>3) 10-14%</v>
      </c>
      <c r="N1993" s="0" t="str">
        <f aca="false">IF(F1993&lt;50,"1) Under Rs 50",IF(F1993&lt;100,"2) Rs 50-99",IF(F1993&lt;200,"3) Rs 100-199",IF(F1993&lt;500,"4) Rs 200-499","5) Rs 500+"))))</f>
        <v>3) Rs 100-199</v>
      </c>
      <c r="O1993" s="0" t="n">
        <f aca="false">G1993*E1993/1000</f>
        <v>0.342</v>
      </c>
    </row>
    <row r="1994" customFormat="false" ht="15" hidden="false" customHeight="false" outlineLevel="0" collapsed="false">
      <c r="A1994" s="0" t="s">
        <v>113</v>
      </c>
      <c r="B1994" s="0" t="s">
        <v>971</v>
      </c>
      <c r="C1994" s="0" t="n">
        <v>330</v>
      </c>
      <c r="D1994" s="0" t="n">
        <v>10</v>
      </c>
      <c r="E1994" s="0" t="n">
        <v>6</v>
      </c>
      <c r="F1994" s="0" t="n">
        <v>297</v>
      </c>
      <c r="G1994" s="0" t="n">
        <v>400</v>
      </c>
      <c r="H1994" s="0" t="s">
        <v>145</v>
      </c>
      <c r="I1994" s="0" t="n">
        <v>400</v>
      </c>
      <c r="J1994" s="0" t="n">
        <f aca="false">F1994*E1994</f>
        <v>1782</v>
      </c>
      <c r="K1994" s="0" t="str">
        <f aca="false">IF(G1994&lt;1000,"1-Low",IF(G1994&lt;5000,"2-Medium","3-Bulk"))</f>
        <v>1-Low</v>
      </c>
      <c r="L1994" s="0" t="str">
        <f aca="false">IF(H1994="TRUE","Out of stock","In stock")</f>
        <v>In stock</v>
      </c>
      <c r="M1994" s="0" t="str">
        <f aca="false">IF(D1994&lt;5,"1) Under 5%",IF(D1994&lt;10,"2) 5-9%",IF(D1994&lt;15,"3) 10-14%",IF(D1994&lt;25,"4) 15-24%","5) 25%+"))))</f>
        <v>3) 10-14%</v>
      </c>
      <c r="N1994" s="0" t="str">
        <f aca="false">IF(F1994&lt;50,"1) Under Rs 50",IF(F1994&lt;100,"2) Rs 50-99",IF(F1994&lt;200,"3) Rs 100-199",IF(F1994&lt;500,"4) Rs 200-499","5) Rs 500+"))))</f>
        <v>4) Rs 200-499</v>
      </c>
      <c r="O1994" s="0" t="n">
        <f aca="false">G1994*E1994/1000</f>
        <v>2.4</v>
      </c>
    </row>
    <row r="1995" customFormat="false" ht="15" hidden="false" customHeight="false" outlineLevel="0" collapsed="false">
      <c r="A1995" s="0" t="s">
        <v>113</v>
      </c>
      <c r="B1995" s="0" t="s">
        <v>536</v>
      </c>
      <c r="C1995" s="0" t="n">
        <v>276</v>
      </c>
      <c r="D1995" s="0" t="n">
        <v>10</v>
      </c>
      <c r="E1995" s="0" t="n">
        <v>6</v>
      </c>
      <c r="F1995" s="0" t="n">
        <v>248</v>
      </c>
      <c r="G1995" s="0" t="n">
        <v>1500</v>
      </c>
      <c r="H1995" s="0" t="s">
        <v>145</v>
      </c>
      <c r="I1995" s="0" t="n">
        <v>1</v>
      </c>
      <c r="J1995" s="0" t="n">
        <f aca="false">F1995*E1995</f>
        <v>1488</v>
      </c>
      <c r="K1995" s="0" t="str">
        <f aca="false">IF(G1995&lt;1000,"1-Low",IF(G1995&lt;5000,"2-Medium","3-Bulk"))</f>
        <v>2-Medium</v>
      </c>
      <c r="L1995" s="0" t="str">
        <f aca="false">IF(H1995="TRUE","Out of stock","In stock")</f>
        <v>In stock</v>
      </c>
      <c r="M1995" s="0" t="str">
        <f aca="false">IF(D1995&lt;5,"1) Under 5%",IF(D1995&lt;10,"2) 5-9%",IF(D1995&lt;15,"3) 10-14%",IF(D1995&lt;25,"4) 15-24%","5) 25%+"))))</f>
        <v>3) 10-14%</v>
      </c>
      <c r="N1995" s="0" t="str">
        <f aca="false">IF(F1995&lt;50,"1) Under Rs 50",IF(F1995&lt;100,"2) Rs 50-99",IF(F1995&lt;200,"3) Rs 100-199",IF(F1995&lt;500,"4) Rs 200-499","5) Rs 500+"))))</f>
        <v>4) Rs 200-499</v>
      </c>
      <c r="O1995" s="0" t="n">
        <f aca="false">G1995*E1995/1000</f>
        <v>9</v>
      </c>
    </row>
    <row r="1996" customFormat="false" ht="15" hidden="false" customHeight="false" outlineLevel="0" collapsed="false">
      <c r="A1996" s="0" t="s">
        <v>113</v>
      </c>
      <c r="B1996" s="0" t="s">
        <v>972</v>
      </c>
      <c r="C1996" s="0" t="n">
        <v>295</v>
      </c>
      <c r="D1996" s="0" t="n">
        <v>0</v>
      </c>
      <c r="E1996" s="0" t="n">
        <v>6</v>
      </c>
      <c r="F1996" s="0" t="n">
        <v>295</v>
      </c>
      <c r="G1996" s="0" t="n">
        <v>24</v>
      </c>
      <c r="H1996" s="0" t="s">
        <v>145</v>
      </c>
      <c r="I1996" s="0" t="n">
        <v>24</v>
      </c>
      <c r="J1996" s="0" t="n">
        <f aca="false">F1996*E1996</f>
        <v>1770</v>
      </c>
      <c r="K1996" s="0" t="str">
        <f aca="false">IF(G1996&lt;1000,"1-Low",IF(G1996&lt;5000,"2-Medium","3-Bulk"))</f>
        <v>1-Low</v>
      </c>
      <c r="L1996" s="0" t="str">
        <f aca="false">IF(H1996="TRUE","Out of stock","In stock")</f>
        <v>In stock</v>
      </c>
      <c r="M1996" s="0" t="str">
        <f aca="false">IF(D1996&lt;5,"1) Under 5%",IF(D1996&lt;10,"2) 5-9%",IF(D1996&lt;15,"3) 10-14%",IF(D1996&lt;25,"4) 15-24%","5) 25%+"))))</f>
        <v>1) Under 5%</v>
      </c>
      <c r="N1996" s="0" t="str">
        <f aca="false">IF(F1996&lt;50,"1) Under Rs 50",IF(F1996&lt;100,"2) Rs 50-99",IF(F1996&lt;200,"3) Rs 100-199",IF(F1996&lt;500,"4) Rs 200-499","5) Rs 500+"))))</f>
        <v>4) Rs 200-499</v>
      </c>
      <c r="O1996" s="0" t="n">
        <f aca="false">G1996*E1996/1000</f>
        <v>0.144</v>
      </c>
    </row>
    <row r="1997" customFormat="false" ht="15" hidden="false" customHeight="false" outlineLevel="0" collapsed="false">
      <c r="A1997" s="0" t="s">
        <v>113</v>
      </c>
      <c r="B1997" s="0" t="s">
        <v>973</v>
      </c>
      <c r="C1997" s="0" t="n">
        <v>149</v>
      </c>
      <c r="D1997" s="0" t="n">
        <v>8</v>
      </c>
      <c r="E1997" s="0" t="n">
        <v>5</v>
      </c>
      <c r="F1997" s="0" t="n">
        <v>137</v>
      </c>
      <c r="G1997" s="0" t="n">
        <v>320</v>
      </c>
      <c r="H1997" s="0" t="s">
        <v>145</v>
      </c>
      <c r="I1997" s="0" t="n">
        <v>320</v>
      </c>
      <c r="J1997" s="0" t="n">
        <f aca="false">F1997*E1997</f>
        <v>685</v>
      </c>
      <c r="K1997" s="0" t="str">
        <f aca="false">IF(G1997&lt;1000,"1-Low",IF(G1997&lt;5000,"2-Medium","3-Bulk"))</f>
        <v>1-Low</v>
      </c>
      <c r="L1997" s="0" t="str">
        <f aca="false">IF(H1997="TRUE","Out of stock","In stock")</f>
        <v>In stock</v>
      </c>
      <c r="M1997" s="0" t="str">
        <f aca="false">IF(D1997&lt;5,"1) Under 5%",IF(D1997&lt;10,"2) 5-9%",IF(D1997&lt;15,"3) 10-14%",IF(D1997&lt;25,"4) 15-24%","5) 25%+"))))</f>
        <v>2) 5-9%</v>
      </c>
      <c r="N1997" s="0" t="str">
        <f aca="false">IF(F1997&lt;50,"1) Under Rs 50",IF(F1997&lt;100,"2) Rs 50-99",IF(F1997&lt;200,"3) Rs 100-199",IF(F1997&lt;500,"4) Rs 200-499","5) Rs 500+"))))</f>
        <v>3) Rs 100-199</v>
      </c>
      <c r="O1997" s="0" t="n">
        <f aca="false">G1997*E1997/1000</f>
        <v>1.6</v>
      </c>
    </row>
    <row r="1998" customFormat="false" ht="15" hidden="false" customHeight="false" outlineLevel="0" collapsed="false">
      <c r="A1998" s="0" t="s">
        <v>113</v>
      </c>
      <c r="B1998" s="0" t="s">
        <v>946</v>
      </c>
      <c r="C1998" s="0" t="n">
        <v>115</v>
      </c>
      <c r="D1998" s="0" t="n">
        <v>0</v>
      </c>
      <c r="E1998" s="0" t="n">
        <v>6</v>
      </c>
      <c r="F1998" s="0" t="n">
        <v>115</v>
      </c>
      <c r="G1998" s="0" t="n">
        <v>600</v>
      </c>
      <c r="H1998" s="0" t="s">
        <v>145</v>
      </c>
      <c r="I1998" s="0" t="n">
        <v>600</v>
      </c>
      <c r="J1998" s="0" t="n">
        <f aca="false">F1998*E1998</f>
        <v>690</v>
      </c>
      <c r="K1998" s="0" t="str">
        <f aca="false">IF(G1998&lt;1000,"1-Low",IF(G1998&lt;5000,"2-Medium","3-Bulk"))</f>
        <v>1-Low</v>
      </c>
      <c r="L1998" s="0" t="str">
        <f aca="false">IF(H1998="TRUE","Out of stock","In stock")</f>
        <v>In stock</v>
      </c>
      <c r="M1998" s="0" t="str">
        <f aca="false">IF(D1998&lt;5,"1) Under 5%",IF(D1998&lt;10,"2) 5-9%",IF(D1998&lt;15,"3) 10-14%",IF(D1998&lt;25,"4) 15-24%","5) 25%+"))))</f>
        <v>1) Under 5%</v>
      </c>
      <c r="N1998" s="0" t="str">
        <f aca="false">IF(F1998&lt;50,"1) Under Rs 50",IF(F1998&lt;100,"2) Rs 50-99",IF(F1998&lt;200,"3) Rs 100-199",IF(F1998&lt;500,"4) Rs 200-499","5) Rs 500+"))))</f>
        <v>3) Rs 100-199</v>
      </c>
      <c r="O1998" s="0" t="n">
        <f aca="false">G1998*E1998/1000</f>
        <v>3.6</v>
      </c>
    </row>
    <row r="1999" customFormat="false" ht="15" hidden="false" customHeight="false" outlineLevel="0" collapsed="false">
      <c r="A1999" s="0" t="s">
        <v>113</v>
      </c>
      <c r="B1999" s="0" t="s">
        <v>974</v>
      </c>
      <c r="C1999" s="0" t="n">
        <v>280</v>
      </c>
      <c r="D1999" s="0" t="n">
        <v>50</v>
      </c>
      <c r="E1999" s="0" t="n">
        <v>5</v>
      </c>
      <c r="F1999" s="0" t="n">
        <v>140</v>
      </c>
      <c r="G1999" s="0" t="n">
        <v>175</v>
      </c>
      <c r="H1999" s="0" t="s">
        <v>145</v>
      </c>
      <c r="I1999" s="0" t="n">
        <v>175</v>
      </c>
      <c r="J1999" s="0" t="n">
        <f aca="false">F1999*E1999</f>
        <v>700</v>
      </c>
      <c r="K1999" s="0" t="str">
        <f aca="false">IF(G1999&lt;1000,"1-Low",IF(G1999&lt;5000,"2-Medium","3-Bulk"))</f>
        <v>1-Low</v>
      </c>
      <c r="L1999" s="0" t="str">
        <f aca="false">IF(H1999="TRUE","Out of stock","In stock")</f>
        <v>In stock</v>
      </c>
      <c r="M1999" s="0" t="str">
        <f aca="false">IF(D1999&lt;5,"1) Under 5%",IF(D1999&lt;10,"2) 5-9%",IF(D1999&lt;15,"3) 10-14%",IF(D1999&lt;25,"4) 15-24%","5) 25%+"))))</f>
        <v>5) 25%+</v>
      </c>
      <c r="N1999" s="0" t="str">
        <f aca="false">IF(F1999&lt;50,"1) Under Rs 50",IF(F1999&lt;100,"2) Rs 50-99",IF(F1999&lt;200,"3) Rs 100-199",IF(F1999&lt;500,"4) Rs 200-499","5) Rs 500+"))))</f>
        <v>3) Rs 100-199</v>
      </c>
      <c r="O1999" s="0" t="n">
        <f aca="false">G1999*E1999/1000</f>
        <v>0.875</v>
      </c>
    </row>
    <row r="2000" customFormat="false" ht="15" hidden="false" customHeight="false" outlineLevel="0" collapsed="false">
      <c r="A2000" s="0" t="s">
        <v>113</v>
      </c>
      <c r="B2000" s="0" t="s">
        <v>975</v>
      </c>
      <c r="C2000" s="0" t="n">
        <v>179</v>
      </c>
      <c r="D2000" s="0" t="n">
        <v>0</v>
      </c>
      <c r="E2000" s="0" t="n">
        <v>6</v>
      </c>
      <c r="F2000" s="0" t="n">
        <v>179</v>
      </c>
      <c r="G2000" s="0" t="n">
        <v>450</v>
      </c>
      <c r="H2000" s="0" t="s">
        <v>145</v>
      </c>
      <c r="I2000" s="0" t="n">
        <v>450</v>
      </c>
      <c r="J2000" s="0" t="n">
        <f aca="false">F2000*E2000</f>
        <v>1074</v>
      </c>
      <c r="K2000" s="0" t="str">
        <f aca="false">IF(G2000&lt;1000,"1-Low",IF(G2000&lt;5000,"2-Medium","3-Bulk"))</f>
        <v>1-Low</v>
      </c>
      <c r="L2000" s="0" t="str">
        <f aca="false">IF(H2000="TRUE","Out of stock","In stock")</f>
        <v>In stock</v>
      </c>
      <c r="M2000" s="0" t="str">
        <f aca="false">IF(D2000&lt;5,"1) Under 5%",IF(D2000&lt;10,"2) 5-9%",IF(D2000&lt;15,"3) 10-14%",IF(D2000&lt;25,"4) 15-24%","5) 25%+"))))</f>
        <v>1) Under 5%</v>
      </c>
      <c r="N2000" s="0" t="str">
        <f aca="false">IF(F2000&lt;50,"1) Under Rs 50",IF(F2000&lt;100,"2) Rs 50-99",IF(F2000&lt;200,"3) Rs 100-199",IF(F2000&lt;500,"4) Rs 200-499","5) Rs 500+"))))</f>
        <v>3) Rs 100-199</v>
      </c>
      <c r="O2000" s="0" t="n">
        <f aca="false">G2000*E2000/1000</f>
        <v>2.7</v>
      </c>
    </row>
    <row r="2001" customFormat="false" ht="15" hidden="false" customHeight="false" outlineLevel="0" collapsed="false">
      <c r="A2001" s="0" t="s">
        <v>113</v>
      </c>
      <c r="B2001" s="0" t="s">
        <v>976</v>
      </c>
      <c r="C2001" s="0" t="n">
        <v>140</v>
      </c>
      <c r="D2001" s="0" t="n">
        <v>10</v>
      </c>
      <c r="E2001" s="0" t="n">
        <v>3</v>
      </c>
      <c r="F2001" s="0" t="n">
        <v>126</v>
      </c>
      <c r="G2001" s="0" t="n">
        <v>500</v>
      </c>
      <c r="H2001" s="0" t="s">
        <v>145</v>
      </c>
      <c r="I2001" s="0" t="n">
        <v>500</v>
      </c>
      <c r="J2001" s="0" t="n">
        <f aca="false">F2001*E2001</f>
        <v>378</v>
      </c>
      <c r="K2001" s="0" t="str">
        <f aca="false">IF(G2001&lt;1000,"1-Low",IF(G2001&lt;5000,"2-Medium","3-Bulk"))</f>
        <v>1-Low</v>
      </c>
      <c r="L2001" s="0" t="str">
        <f aca="false">IF(H2001="TRUE","Out of stock","In stock")</f>
        <v>In stock</v>
      </c>
      <c r="M2001" s="0" t="str">
        <f aca="false">IF(D2001&lt;5,"1) Under 5%",IF(D2001&lt;10,"2) 5-9%",IF(D2001&lt;15,"3) 10-14%",IF(D2001&lt;25,"4) 15-24%","5) 25%+"))))</f>
        <v>3) 10-14%</v>
      </c>
      <c r="N2001" s="0" t="str">
        <f aca="false">IF(F2001&lt;50,"1) Under Rs 50",IF(F2001&lt;100,"2) Rs 50-99",IF(F2001&lt;200,"3) Rs 100-199",IF(F2001&lt;500,"4) Rs 200-499","5) Rs 500+"))))</f>
        <v>3) Rs 100-199</v>
      </c>
      <c r="O2001" s="0" t="n">
        <f aca="false">G2001*E2001/1000</f>
        <v>1.5</v>
      </c>
    </row>
    <row r="2002" customFormat="false" ht="15" hidden="false" customHeight="false" outlineLevel="0" collapsed="false">
      <c r="A2002" s="0" t="s">
        <v>113</v>
      </c>
      <c r="B2002" s="0" t="s">
        <v>977</v>
      </c>
      <c r="C2002" s="0" t="n">
        <v>320</v>
      </c>
      <c r="D2002" s="0" t="n">
        <v>0</v>
      </c>
      <c r="E2002" s="0" t="n">
        <v>6</v>
      </c>
      <c r="F2002" s="0" t="n">
        <v>320</v>
      </c>
      <c r="G2002" s="0" t="n">
        <v>500</v>
      </c>
      <c r="H2002" s="0" t="s">
        <v>145</v>
      </c>
      <c r="I2002" s="0" t="n">
        <v>500</v>
      </c>
      <c r="J2002" s="0" t="n">
        <f aca="false">F2002*E2002</f>
        <v>1920</v>
      </c>
      <c r="K2002" s="0" t="str">
        <f aca="false">IF(G2002&lt;1000,"1-Low",IF(G2002&lt;5000,"2-Medium","3-Bulk"))</f>
        <v>1-Low</v>
      </c>
      <c r="L2002" s="0" t="str">
        <f aca="false">IF(H2002="TRUE","Out of stock","In stock")</f>
        <v>In stock</v>
      </c>
      <c r="M2002" s="0" t="str">
        <f aca="false">IF(D2002&lt;5,"1) Under 5%",IF(D2002&lt;10,"2) 5-9%",IF(D2002&lt;15,"3) 10-14%",IF(D2002&lt;25,"4) 15-24%","5) 25%+"))))</f>
        <v>1) Under 5%</v>
      </c>
      <c r="N2002" s="0" t="str">
        <f aca="false">IF(F2002&lt;50,"1) Under Rs 50",IF(F2002&lt;100,"2) Rs 50-99",IF(F2002&lt;200,"3) Rs 100-199",IF(F2002&lt;500,"4) Rs 200-499","5) Rs 500+"))))</f>
        <v>4) Rs 200-499</v>
      </c>
      <c r="O2002" s="0" t="n">
        <f aca="false">G2002*E2002/1000</f>
        <v>3</v>
      </c>
    </row>
    <row r="2003" customFormat="false" ht="15" hidden="false" customHeight="false" outlineLevel="0" collapsed="false">
      <c r="A2003" s="0" t="s">
        <v>113</v>
      </c>
      <c r="B2003" s="0" t="s">
        <v>525</v>
      </c>
      <c r="C2003" s="0" t="n">
        <v>250</v>
      </c>
      <c r="D2003" s="0" t="n">
        <v>0</v>
      </c>
      <c r="E2003" s="0" t="n">
        <v>5</v>
      </c>
      <c r="F2003" s="0" t="n">
        <v>250</v>
      </c>
      <c r="G2003" s="0" t="n">
        <v>500</v>
      </c>
      <c r="H2003" s="0" t="s">
        <v>145</v>
      </c>
      <c r="I2003" s="0" t="n">
        <v>500</v>
      </c>
      <c r="J2003" s="0" t="n">
        <f aca="false">F2003*E2003</f>
        <v>1250</v>
      </c>
      <c r="K2003" s="0" t="str">
        <f aca="false">IF(G2003&lt;1000,"1-Low",IF(G2003&lt;5000,"2-Medium","3-Bulk"))</f>
        <v>1-Low</v>
      </c>
      <c r="L2003" s="0" t="str">
        <f aca="false">IF(H2003="TRUE","Out of stock","In stock")</f>
        <v>In stock</v>
      </c>
      <c r="M2003" s="0" t="str">
        <f aca="false">IF(D2003&lt;5,"1) Under 5%",IF(D2003&lt;10,"2) 5-9%",IF(D2003&lt;15,"3) 10-14%",IF(D2003&lt;25,"4) 15-24%","5) 25%+"))))</f>
        <v>1) Under 5%</v>
      </c>
      <c r="N2003" s="0" t="str">
        <f aca="false">IF(F2003&lt;50,"1) Under Rs 50",IF(F2003&lt;100,"2) Rs 50-99",IF(F2003&lt;200,"3) Rs 100-199",IF(F2003&lt;500,"4) Rs 200-499","5) Rs 500+"))))</f>
        <v>4) Rs 200-499</v>
      </c>
      <c r="O2003" s="0" t="n">
        <f aca="false">G2003*E2003/1000</f>
        <v>2.5</v>
      </c>
    </row>
    <row r="2004" customFormat="false" ht="15" hidden="false" customHeight="false" outlineLevel="0" collapsed="false">
      <c r="A2004" s="0" t="s">
        <v>113</v>
      </c>
      <c r="B2004" s="0" t="s">
        <v>902</v>
      </c>
      <c r="C2004" s="0" t="n">
        <v>299</v>
      </c>
      <c r="D2004" s="0" t="n">
        <v>10</v>
      </c>
      <c r="E2004" s="0" t="n">
        <v>4</v>
      </c>
      <c r="F2004" s="0" t="n">
        <v>269</v>
      </c>
      <c r="G2004" s="0" t="n">
        <v>700</v>
      </c>
      <c r="H2004" s="0" t="s">
        <v>145</v>
      </c>
      <c r="I2004" s="0" t="n">
        <v>700</v>
      </c>
      <c r="J2004" s="0" t="n">
        <f aca="false">F2004*E2004</f>
        <v>1076</v>
      </c>
      <c r="K2004" s="0" t="str">
        <f aca="false">IF(G2004&lt;1000,"1-Low",IF(G2004&lt;5000,"2-Medium","3-Bulk"))</f>
        <v>1-Low</v>
      </c>
      <c r="L2004" s="0" t="str">
        <f aca="false">IF(H2004="TRUE","Out of stock","In stock")</f>
        <v>In stock</v>
      </c>
      <c r="M2004" s="0" t="str">
        <f aca="false">IF(D2004&lt;5,"1) Under 5%",IF(D2004&lt;10,"2) 5-9%",IF(D2004&lt;15,"3) 10-14%",IF(D2004&lt;25,"4) 15-24%","5) 25%+"))))</f>
        <v>3) 10-14%</v>
      </c>
      <c r="N2004" s="0" t="str">
        <f aca="false">IF(F2004&lt;50,"1) Under Rs 50",IF(F2004&lt;100,"2) Rs 50-99",IF(F2004&lt;200,"3) Rs 100-199",IF(F2004&lt;500,"4) Rs 200-499","5) Rs 500+"))))</f>
        <v>4) Rs 200-499</v>
      </c>
      <c r="O2004" s="0" t="n">
        <f aca="false">G2004*E2004/1000</f>
        <v>2.8</v>
      </c>
    </row>
    <row r="2005" customFormat="false" ht="15" hidden="false" customHeight="false" outlineLevel="0" collapsed="false">
      <c r="A2005" s="0" t="s">
        <v>113</v>
      </c>
      <c r="B2005" s="0" t="s">
        <v>978</v>
      </c>
      <c r="C2005" s="0" t="n">
        <v>620</v>
      </c>
      <c r="D2005" s="0" t="n">
        <v>0</v>
      </c>
      <c r="E2005" s="0" t="n">
        <v>1</v>
      </c>
      <c r="F2005" s="0" t="n">
        <v>620</v>
      </c>
      <c r="G2005" s="0" t="n">
        <v>400</v>
      </c>
      <c r="H2005" s="0" t="s">
        <v>145</v>
      </c>
      <c r="I2005" s="0" t="n">
        <v>400</v>
      </c>
      <c r="J2005" s="0" t="n">
        <f aca="false">F2005*E2005</f>
        <v>620</v>
      </c>
      <c r="K2005" s="0" t="str">
        <f aca="false">IF(G2005&lt;1000,"1-Low",IF(G2005&lt;5000,"2-Medium","3-Bulk"))</f>
        <v>1-Low</v>
      </c>
      <c r="L2005" s="0" t="str">
        <f aca="false">IF(H2005="TRUE","Out of stock","In stock")</f>
        <v>In stock</v>
      </c>
      <c r="M2005" s="0" t="str">
        <f aca="false">IF(D2005&lt;5,"1) Under 5%",IF(D2005&lt;10,"2) 5-9%",IF(D2005&lt;15,"3) 10-14%",IF(D2005&lt;25,"4) 15-24%","5) 25%+"))))</f>
        <v>1) Under 5%</v>
      </c>
      <c r="N2005" s="0" t="str">
        <f aca="false">IF(F2005&lt;50,"1) Under Rs 50",IF(F2005&lt;100,"2) Rs 50-99",IF(F2005&lt;200,"3) Rs 100-199",IF(F2005&lt;500,"4) Rs 200-499","5) Rs 500+"))))</f>
        <v>5) Rs 500+</v>
      </c>
      <c r="O2005" s="0" t="n">
        <f aca="false">G2005*E2005/1000</f>
        <v>0.4</v>
      </c>
    </row>
    <row r="2006" customFormat="false" ht="15" hidden="false" customHeight="false" outlineLevel="0" collapsed="false">
      <c r="A2006" s="0" t="s">
        <v>113</v>
      </c>
      <c r="B2006" s="0" t="s">
        <v>979</v>
      </c>
      <c r="C2006" s="0" t="n">
        <v>99</v>
      </c>
      <c r="D2006" s="0" t="n">
        <v>20</v>
      </c>
      <c r="E2006" s="0" t="n">
        <v>6</v>
      </c>
      <c r="F2006" s="0" t="n">
        <v>79</v>
      </c>
      <c r="G2006" s="0" t="n">
        <v>500</v>
      </c>
      <c r="H2006" s="0" t="s">
        <v>145</v>
      </c>
      <c r="I2006" s="0" t="n">
        <v>500</v>
      </c>
      <c r="J2006" s="0" t="n">
        <f aca="false">F2006*E2006</f>
        <v>474</v>
      </c>
      <c r="K2006" s="0" t="str">
        <f aca="false">IF(G2006&lt;1000,"1-Low",IF(G2006&lt;5000,"2-Medium","3-Bulk"))</f>
        <v>1-Low</v>
      </c>
      <c r="L2006" s="0" t="str">
        <f aca="false">IF(H2006="TRUE","Out of stock","In stock")</f>
        <v>In stock</v>
      </c>
      <c r="M2006" s="0" t="str">
        <f aca="false">IF(D2006&lt;5,"1) Under 5%",IF(D2006&lt;10,"2) 5-9%",IF(D2006&lt;15,"3) 10-14%",IF(D2006&lt;25,"4) 15-24%","5) 25%+"))))</f>
        <v>4) 15-24%</v>
      </c>
      <c r="N2006" s="0" t="str">
        <f aca="false">IF(F2006&lt;50,"1) Under Rs 50",IF(F2006&lt;100,"2) Rs 50-99",IF(F2006&lt;200,"3) Rs 100-199",IF(F2006&lt;500,"4) Rs 200-499","5) Rs 500+"))))</f>
        <v>2) Rs 50-99</v>
      </c>
      <c r="O2006" s="0" t="n">
        <f aca="false">G2006*E2006/1000</f>
        <v>3</v>
      </c>
    </row>
    <row r="2007" customFormat="false" ht="15" hidden="false" customHeight="false" outlineLevel="0" collapsed="false">
      <c r="A2007" s="0" t="s">
        <v>113</v>
      </c>
      <c r="B2007" s="0" t="s">
        <v>980</v>
      </c>
      <c r="C2007" s="0" t="n">
        <v>85</v>
      </c>
      <c r="D2007" s="0" t="n">
        <v>4</v>
      </c>
      <c r="E2007" s="0" t="n">
        <v>1</v>
      </c>
      <c r="F2007" s="0" t="n">
        <v>81</v>
      </c>
      <c r="G2007" s="0" t="n">
        <v>680</v>
      </c>
      <c r="H2007" s="0" t="s">
        <v>145</v>
      </c>
      <c r="I2007" s="0" t="n">
        <v>680</v>
      </c>
      <c r="J2007" s="0" t="n">
        <f aca="false">F2007*E2007</f>
        <v>81</v>
      </c>
      <c r="K2007" s="0" t="str">
        <f aca="false">IF(G2007&lt;1000,"1-Low",IF(G2007&lt;5000,"2-Medium","3-Bulk"))</f>
        <v>1-Low</v>
      </c>
      <c r="L2007" s="0" t="str">
        <f aca="false">IF(H2007="TRUE","Out of stock","In stock")</f>
        <v>In stock</v>
      </c>
      <c r="M2007" s="0" t="str">
        <f aca="false">IF(D2007&lt;5,"1) Under 5%",IF(D2007&lt;10,"2) 5-9%",IF(D2007&lt;15,"3) 10-14%",IF(D2007&lt;25,"4) 15-24%","5) 25%+"))))</f>
        <v>1) Under 5%</v>
      </c>
      <c r="N2007" s="0" t="str">
        <f aca="false">IF(F2007&lt;50,"1) Under Rs 50",IF(F2007&lt;100,"2) Rs 50-99",IF(F2007&lt;200,"3) Rs 100-199",IF(F2007&lt;500,"4) Rs 200-499","5) Rs 500+"))))</f>
        <v>2) Rs 50-99</v>
      </c>
      <c r="O2007" s="0" t="n">
        <f aca="false">G2007*E2007/1000</f>
        <v>0.68</v>
      </c>
    </row>
    <row r="2008" customFormat="false" ht="15" hidden="false" customHeight="false" outlineLevel="0" collapsed="false">
      <c r="A2008" s="0" t="s">
        <v>113</v>
      </c>
      <c r="B2008" s="0" t="s">
        <v>981</v>
      </c>
      <c r="C2008" s="0" t="n">
        <v>55</v>
      </c>
      <c r="D2008" s="0" t="n">
        <v>0</v>
      </c>
      <c r="E2008" s="0" t="n">
        <v>1</v>
      </c>
      <c r="F2008" s="0" t="n">
        <v>55</v>
      </c>
      <c r="G2008" s="0" t="n">
        <v>400</v>
      </c>
      <c r="H2008" s="0" t="s">
        <v>145</v>
      </c>
      <c r="I2008" s="0" t="n">
        <v>400</v>
      </c>
      <c r="J2008" s="0" t="n">
        <f aca="false">F2008*E2008</f>
        <v>55</v>
      </c>
      <c r="K2008" s="0" t="str">
        <f aca="false">IF(G2008&lt;1000,"1-Low",IF(G2008&lt;5000,"2-Medium","3-Bulk"))</f>
        <v>1-Low</v>
      </c>
      <c r="L2008" s="0" t="str">
        <f aca="false">IF(H2008="TRUE","Out of stock","In stock")</f>
        <v>In stock</v>
      </c>
      <c r="M2008" s="0" t="str">
        <f aca="false">IF(D2008&lt;5,"1) Under 5%",IF(D2008&lt;10,"2) 5-9%",IF(D2008&lt;15,"3) 10-14%",IF(D2008&lt;25,"4) 15-24%","5) 25%+"))))</f>
        <v>1) Under 5%</v>
      </c>
      <c r="N2008" s="0" t="str">
        <f aca="false">IF(F2008&lt;50,"1) Under Rs 50",IF(F2008&lt;100,"2) Rs 50-99",IF(F2008&lt;200,"3) Rs 100-199",IF(F2008&lt;500,"4) Rs 200-499","5) Rs 500+"))))</f>
        <v>2) Rs 50-99</v>
      </c>
      <c r="O2008" s="0" t="n">
        <f aca="false">G2008*E2008/1000</f>
        <v>0.4</v>
      </c>
    </row>
    <row r="2009" customFormat="false" ht="15" hidden="false" customHeight="false" outlineLevel="0" collapsed="false">
      <c r="A2009" s="0" t="s">
        <v>113</v>
      </c>
      <c r="B2009" s="0" t="s">
        <v>982</v>
      </c>
      <c r="C2009" s="0" t="n">
        <v>120</v>
      </c>
      <c r="D2009" s="0" t="n">
        <v>10</v>
      </c>
      <c r="E2009" s="0" t="n">
        <v>4</v>
      </c>
      <c r="F2009" s="0" t="n">
        <v>108</v>
      </c>
      <c r="G2009" s="0" t="n">
        <v>400</v>
      </c>
      <c r="H2009" s="0" t="s">
        <v>145</v>
      </c>
      <c r="I2009" s="0" t="n">
        <v>400</v>
      </c>
      <c r="J2009" s="0" t="n">
        <f aca="false">F2009*E2009</f>
        <v>432</v>
      </c>
      <c r="K2009" s="0" t="str">
        <f aca="false">IF(G2009&lt;1000,"1-Low",IF(G2009&lt;5000,"2-Medium","3-Bulk"))</f>
        <v>1-Low</v>
      </c>
      <c r="L2009" s="0" t="str">
        <f aca="false">IF(H2009="TRUE","Out of stock","In stock")</f>
        <v>In stock</v>
      </c>
      <c r="M2009" s="0" t="str">
        <f aca="false">IF(D2009&lt;5,"1) Under 5%",IF(D2009&lt;10,"2) 5-9%",IF(D2009&lt;15,"3) 10-14%",IF(D2009&lt;25,"4) 15-24%","5) 25%+"))))</f>
        <v>3) 10-14%</v>
      </c>
      <c r="N2009" s="0" t="str">
        <f aca="false">IF(F2009&lt;50,"1) Under Rs 50",IF(F2009&lt;100,"2) Rs 50-99",IF(F2009&lt;200,"3) Rs 100-199",IF(F2009&lt;500,"4) Rs 200-499","5) Rs 500+"))))</f>
        <v>3) Rs 100-199</v>
      </c>
      <c r="O2009" s="0" t="n">
        <f aca="false">G2009*E2009/1000</f>
        <v>1.6</v>
      </c>
    </row>
    <row r="2010" customFormat="false" ht="15" hidden="false" customHeight="false" outlineLevel="0" collapsed="false">
      <c r="A2010" s="0" t="s">
        <v>113</v>
      </c>
      <c r="B2010" s="0" t="s">
        <v>983</v>
      </c>
      <c r="C2010" s="0" t="n">
        <v>114</v>
      </c>
      <c r="D2010" s="0" t="n">
        <v>0</v>
      </c>
      <c r="E2010" s="0" t="n">
        <v>6</v>
      </c>
      <c r="F2010" s="0" t="n">
        <v>114</v>
      </c>
      <c r="G2010" s="0" t="n">
        <v>480</v>
      </c>
      <c r="H2010" s="0" t="s">
        <v>145</v>
      </c>
      <c r="I2010" s="0" t="n">
        <v>480</v>
      </c>
      <c r="J2010" s="0" t="n">
        <f aca="false">F2010*E2010</f>
        <v>684</v>
      </c>
      <c r="K2010" s="0" t="str">
        <f aca="false">IF(G2010&lt;1000,"1-Low",IF(G2010&lt;5000,"2-Medium","3-Bulk"))</f>
        <v>1-Low</v>
      </c>
      <c r="L2010" s="0" t="str">
        <f aca="false">IF(H2010="TRUE","Out of stock","In stock")</f>
        <v>In stock</v>
      </c>
      <c r="M2010" s="0" t="str">
        <f aca="false">IF(D2010&lt;5,"1) Under 5%",IF(D2010&lt;10,"2) 5-9%",IF(D2010&lt;15,"3) 10-14%",IF(D2010&lt;25,"4) 15-24%","5) 25%+"))))</f>
        <v>1) Under 5%</v>
      </c>
      <c r="N2010" s="0" t="str">
        <f aca="false">IF(F2010&lt;50,"1) Under Rs 50",IF(F2010&lt;100,"2) Rs 50-99",IF(F2010&lt;200,"3) Rs 100-199",IF(F2010&lt;500,"4) Rs 200-499","5) Rs 500+"))))</f>
        <v>3) Rs 100-199</v>
      </c>
      <c r="O2010" s="0" t="n">
        <f aca="false">G2010*E2010/1000</f>
        <v>2.88</v>
      </c>
    </row>
    <row r="2011" customFormat="false" ht="15" hidden="false" customHeight="false" outlineLevel="0" collapsed="false">
      <c r="A2011" s="0" t="s">
        <v>113</v>
      </c>
      <c r="B2011" s="0" t="s">
        <v>984</v>
      </c>
      <c r="C2011" s="0" t="n">
        <v>290</v>
      </c>
      <c r="D2011" s="0" t="n">
        <v>7</v>
      </c>
      <c r="E2011" s="0" t="n">
        <v>5</v>
      </c>
      <c r="F2011" s="0" t="n">
        <v>267</v>
      </c>
      <c r="G2011" s="0" t="n">
        <v>630</v>
      </c>
      <c r="H2011" s="0" t="s">
        <v>145</v>
      </c>
      <c r="I2011" s="0" t="n">
        <v>630</v>
      </c>
      <c r="J2011" s="0" t="n">
        <f aca="false">F2011*E2011</f>
        <v>1335</v>
      </c>
      <c r="K2011" s="0" t="str">
        <f aca="false">IF(G2011&lt;1000,"1-Low",IF(G2011&lt;5000,"2-Medium","3-Bulk"))</f>
        <v>1-Low</v>
      </c>
      <c r="L2011" s="0" t="str">
        <f aca="false">IF(H2011="TRUE","Out of stock","In stock")</f>
        <v>In stock</v>
      </c>
      <c r="M2011" s="0" t="str">
        <f aca="false">IF(D2011&lt;5,"1) Under 5%",IF(D2011&lt;10,"2) 5-9%",IF(D2011&lt;15,"3) 10-14%",IF(D2011&lt;25,"4) 15-24%","5) 25%+"))))</f>
        <v>2) 5-9%</v>
      </c>
      <c r="N2011" s="0" t="str">
        <f aca="false">IF(F2011&lt;50,"1) Under Rs 50",IF(F2011&lt;100,"2) Rs 50-99",IF(F2011&lt;200,"3) Rs 100-199",IF(F2011&lt;500,"4) Rs 200-499","5) Rs 500+"))))</f>
        <v>4) Rs 200-499</v>
      </c>
      <c r="O2011" s="0" t="n">
        <f aca="false">G2011*E2011/1000</f>
        <v>3.15</v>
      </c>
    </row>
    <row r="2012" customFormat="false" ht="15" hidden="false" customHeight="false" outlineLevel="0" collapsed="false">
      <c r="A2012" s="0" t="s">
        <v>113</v>
      </c>
      <c r="B2012" s="0" t="s">
        <v>985</v>
      </c>
      <c r="C2012" s="0" t="n">
        <v>130</v>
      </c>
      <c r="D2012" s="0" t="n">
        <v>4</v>
      </c>
      <c r="E2012" s="0" t="n">
        <v>4</v>
      </c>
      <c r="F2012" s="0" t="n">
        <v>124</v>
      </c>
      <c r="G2012" s="0" t="n">
        <v>230</v>
      </c>
      <c r="H2012" s="0" t="s">
        <v>145</v>
      </c>
      <c r="I2012" s="0" t="n">
        <v>230</v>
      </c>
      <c r="J2012" s="0" t="n">
        <f aca="false">F2012*E2012</f>
        <v>496</v>
      </c>
      <c r="K2012" s="0" t="str">
        <f aca="false">IF(G2012&lt;1000,"1-Low",IF(G2012&lt;5000,"2-Medium","3-Bulk"))</f>
        <v>1-Low</v>
      </c>
      <c r="L2012" s="0" t="str">
        <f aca="false">IF(H2012="TRUE","Out of stock","In stock")</f>
        <v>In stock</v>
      </c>
      <c r="M2012" s="0" t="str">
        <f aca="false">IF(D2012&lt;5,"1) Under 5%",IF(D2012&lt;10,"2) 5-9%",IF(D2012&lt;15,"3) 10-14%",IF(D2012&lt;25,"4) 15-24%","5) 25%+"))))</f>
        <v>1) Under 5%</v>
      </c>
      <c r="N2012" s="0" t="str">
        <f aca="false">IF(F2012&lt;50,"1) Under Rs 50",IF(F2012&lt;100,"2) Rs 50-99",IF(F2012&lt;200,"3) Rs 100-199",IF(F2012&lt;500,"4) Rs 200-499","5) Rs 500+"))))</f>
        <v>3) Rs 100-199</v>
      </c>
      <c r="O2012" s="0" t="n">
        <f aca="false">G2012*E2012/1000</f>
        <v>0.92</v>
      </c>
    </row>
    <row r="2013" customFormat="false" ht="15" hidden="false" customHeight="false" outlineLevel="0" collapsed="false">
      <c r="A2013" s="0" t="s">
        <v>113</v>
      </c>
      <c r="B2013" s="0" t="s">
        <v>986</v>
      </c>
      <c r="C2013" s="0" t="n">
        <v>185</v>
      </c>
      <c r="D2013" s="0" t="n">
        <v>10</v>
      </c>
      <c r="E2013" s="0" t="n">
        <v>5</v>
      </c>
      <c r="F2013" s="0" t="n">
        <v>165</v>
      </c>
      <c r="G2013" s="0" t="n">
        <v>250</v>
      </c>
      <c r="H2013" s="0" t="s">
        <v>145</v>
      </c>
      <c r="I2013" s="0" t="n">
        <v>250</v>
      </c>
      <c r="J2013" s="0" t="n">
        <f aca="false">F2013*E2013</f>
        <v>825</v>
      </c>
      <c r="K2013" s="0" t="str">
        <f aca="false">IF(G2013&lt;1000,"1-Low",IF(G2013&lt;5000,"2-Medium","3-Bulk"))</f>
        <v>1-Low</v>
      </c>
      <c r="L2013" s="0" t="str">
        <f aca="false">IF(H2013="TRUE","Out of stock","In stock")</f>
        <v>In stock</v>
      </c>
      <c r="M2013" s="0" t="str">
        <f aca="false">IF(D2013&lt;5,"1) Under 5%",IF(D2013&lt;10,"2) 5-9%",IF(D2013&lt;15,"3) 10-14%",IF(D2013&lt;25,"4) 15-24%","5) 25%+"))))</f>
        <v>3) 10-14%</v>
      </c>
      <c r="N2013" s="0" t="str">
        <f aca="false">IF(F2013&lt;50,"1) Under Rs 50",IF(F2013&lt;100,"2) Rs 50-99",IF(F2013&lt;200,"3) Rs 100-199",IF(F2013&lt;500,"4) Rs 200-499","5) Rs 500+"))))</f>
        <v>3) Rs 100-199</v>
      </c>
      <c r="O2013" s="0" t="n">
        <f aca="false">G2013*E2013/1000</f>
        <v>1.25</v>
      </c>
    </row>
    <row r="2014" customFormat="false" ht="15" hidden="false" customHeight="false" outlineLevel="0" collapsed="false">
      <c r="A2014" s="0" t="s">
        <v>113</v>
      </c>
      <c r="B2014" s="0" t="s">
        <v>987</v>
      </c>
      <c r="C2014" s="0" t="n">
        <v>595</v>
      </c>
      <c r="D2014" s="0" t="n">
        <v>9</v>
      </c>
      <c r="E2014" s="0" t="n">
        <v>2</v>
      </c>
      <c r="F2014" s="0" t="n">
        <v>536</v>
      </c>
      <c r="G2014" s="0" t="n">
        <v>500</v>
      </c>
      <c r="H2014" s="0" t="s">
        <v>145</v>
      </c>
      <c r="I2014" s="0" t="n">
        <v>500</v>
      </c>
      <c r="J2014" s="0" t="n">
        <f aca="false">F2014*E2014</f>
        <v>1072</v>
      </c>
      <c r="K2014" s="0" t="str">
        <f aca="false">IF(G2014&lt;1000,"1-Low",IF(G2014&lt;5000,"2-Medium","3-Bulk"))</f>
        <v>1-Low</v>
      </c>
      <c r="L2014" s="0" t="str">
        <f aca="false">IF(H2014="TRUE","Out of stock","In stock")</f>
        <v>In stock</v>
      </c>
      <c r="M2014" s="0" t="str">
        <f aca="false">IF(D2014&lt;5,"1) Under 5%",IF(D2014&lt;10,"2) 5-9%",IF(D2014&lt;15,"3) 10-14%",IF(D2014&lt;25,"4) 15-24%","5) 25%+"))))</f>
        <v>2) 5-9%</v>
      </c>
      <c r="N2014" s="0" t="str">
        <f aca="false">IF(F2014&lt;50,"1) Under Rs 50",IF(F2014&lt;100,"2) Rs 50-99",IF(F2014&lt;200,"3) Rs 100-199",IF(F2014&lt;500,"4) Rs 200-499","5) Rs 500+"))))</f>
        <v>5) Rs 500+</v>
      </c>
      <c r="O2014" s="0" t="n">
        <f aca="false">G2014*E2014/1000</f>
        <v>1</v>
      </c>
    </row>
    <row r="2015" customFormat="false" ht="15" hidden="false" customHeight="false" outlineLevel="0" collapsed="false">
      <c r="A2015" s="0" t="s">
        <v>113</v>
      </c>
      <c r="B2015" s="0" t="s">
        <v>562</v>
      </c>
      <c r="C2015" s="0" t="n">
        <v>195</v>
      </c>
      <c r="D2015" s="0" t="n">
        <v>9</v>
      </c>
      <c r="E2015" s="0" t="n">
        <v>5</v>
      </c>
      <c r="F2015" s="0" t="n">
        <v>176</v>
      </c>
      <c r="G2015" s="0" t="n">
        <v>500</v>
      </c>
      <c r="H2015" s="0" t="s">
        <v>145</v>
      </c>
      <c r="I2015" s="0" t="n">
        <v>500</v>
      </c>
      <c r="J2015" s="0" t="n">
        <f aca="false">F2015*E2015</f>
        <v>880</v>
      </c>
      <c r="K2015" s="0" t="str">
        <f aca="false">IF(G2015&lt;1000,"1-Low",IF(G2015&lt;5000,"2-Medium","3-Bulk"))</f>
        <v>1-Low</v>
      </c>
      <c r="L2015" s="0" t="str">
        <f aca="false">IF(H2015="TRUE","Out of stock","In stock")</f>
        <v>In stock</v>
      </c>
      <c r="M2015" s="0" t="str">
        <f aca="false">IF(D2015&lt;5,"1) Under 5%",IF(D2015&lt;10,"2) 5-9%",IF(D2015&lt;15,"3) 10-14%",IF(D2015&lt;25,"4) 15-24%","5) 25%+"))))</f>
        <v>2) 5-9%</v>
      </c>
      <c r="N2015" s="0" t="str">
        <f aca="false">IF(F2015&lt;50,"1) Under Rs 50",IF(F2015&lt;100,"2) Rs 50-99",IF(F2015&lt;200,"3) Rs 100-199",IF(F2015&lt;500,"4) Rs 200-499","5) Rs 500+"))))</f>
        <v>3) Rs 100-199</v>
      </c>
      <c r="O2015" s="0" t="n">
        <f aca="false">G2015*E2015/1000</f>
        <v>2.5</v>
      </c>
    </row>
    <row r="2016" customFormat="false" ht="15" hidden="false" customHeight="false" outlineLevel="0" collapsed="false">
      <c r="A2016" s="0" t="s">
        <v>113</v>
      </c>
      <c r="B2016" s="0" t="s">
        <v>988</v>
      </c>
      <c r="C2016" s="0" t="n">
        <v>200</v>
      </c>
      <c r="D2016" s="0" t="n">
        <v>0</v>
      </c>
      <c r="E2016" s="0" t="n">
        <v>5</v>
      </c>
      <c r="F2016" s="0" t="n">
        <v>200</v>
      </c>
      <c r="G2016" s="0" t="n">
        <v>130</v>
      </c>
      <c r="H2016" s="0" t="s">
        <v>145</v>
      </c>
      <c r="I2016" s="0" t="n">
        <v>130</v>
      </c>
      <c r="J2016" s="0" t="n">
        <f aca="false">F2016*E2016</f>
        <v>1000</v>
      </c>
      <c r="K2016" s="0" t="str">
        <f aca="false">IF(G2016&lt;1000,"1-Low",IF(G2016&lt;5000,"2-Medium","3-Bulk"))</f>
        <v>1-Low</v>
      </c>
      <c r="L2016" s="0" t="str">
        <f aca="false">IF(H2016="TRUE","Out of stock","In stock")</f>
        <v>In stock</v>
      </c>
      <c r="M2016" s="0" t="str">
        <f aca="false">IF(D2016&lt;5,"1) Under 5%",IF(D2016&lt;10,"2) 5-9%",IF(D2016&lt;15,"3) 10-14%",IF(D2016&lt;25,"4) 15-24%","5) 25%+"))))</f>
        <v>1) Under 5%</v>
      </c>
      <c r="N2016" s="0" t="str">
        <f aca="false">IF(F2016&lt;50,"1) Under Rs 50",IF(F2016&lt;100,"2) Rs 50-99",IF(F2016&lt;200,"3) Rs 100-199",IF(F2016&lt;500,"4) Rs 200-499","5) Rs 500+"))))</f>
        <v>4) Rs 200-499</v>
      </c>
      <c r="O2016" s="0" t="n">
        <f aca="false">G2016*E2016/1000</f>
        <v>0.65</v>
      </c>
    </row>
    <row r="2017" customFormat="false" ht="15" hidden="false" customHeight="false" outlineLevel="0" collapsed="false">
      <c r="A2017" s="0" t="s">
        <v>113</v>
      </c>
      <c r="B2017" s="0" t="s">
        <v>989</v>
      </c>
      <c r="C2017" s="0" t="n">
        <v>499</v>
      </c>
      <c r="D2017" s="0" t="n">
        <v>0</v>
      </c>
      <c r="E2017" s="0" t="n">
        <v>5</v>
      </c>
      <c r="F2017" s="0" t="n">
        <v>499</v>
      </c>
      <c r="G2017" s="0" t="n">
        <v>750</v>
      </c>
      <c r="H2017" s="0" t="s">
        <v>145</v>
      </c>
      <c r="I2017" s="0" t="n">
        <v>750</v>
      </c>
      <c r="J2017" s="0" t="n">
        <f aca="false">F2017*E2017</f>
        <v>2495</v>
      </c>
      <c r="K2017" s="0" t="str">
        <f aca="false">IF(G2017&lt;1000,"1-Low",IF(G2017&lt;5000,"2-Medium","3-Bulk"))</f>
        <v>1-Low</v>
      </c>
      <c r="L2017" s="0" t="str">
        <f aca="false">IF(H2017="TRUE","Out of stock","In stock")</f>
        <v>In stock</v>
      </c>
      <c r="M2017" s="0" t="str">
        <f aca="false">IF(D2017&lt;5,"1) Under 5%",IF(D2017&lt;10,"2) 5-9%",IF(D2017&lt;15,"3) 10-14%",IF(D2017&lt;25,"4) 15-24%","5) 25%+"))))</f>
        <v>1) Under 5%</v>
      </c>
      <c r="N2017" s="0" t="str">
        <f aca="false">IF(F2017&lt;50,"1) Under Rs 50",IF(F2017&lt;100,"2) Rs 50-99",IF(F2017&lt;200,"3) Rs 100-199",IF(F2017&lt;500,"4) Rs 200-499","5) Rs 500+"))))</f>
        <v>4) Rs 200-499</v>
      </c>
      <c r="O2017" s="0" t="n">
        <f aca="false">G2017*E2017/1000</f>
        <v>3.75</v>
      </c>
    </row>
    <row r="2018" customFormat="false" ht="15" hidden="false" customHeight="false" outlineLevel="0" collapsed="false">
      <c r="A2018" s="0" t="s">
        <v>113</v>
      </c>
      <c r="B2018" s="0" t="s">
        <v>990</v>
      </c>
      <c r="C2018" s="0" t="n">
        <v>110</v>
      </c>
      <c r="D2018" s="0" t="n">
        <v>30</v>
      </c>
      <c r="E2018" s="0" t="n">
        <v>6</v>
      </c>
      <c r="F2018" s="0" t="n">
        <v>77</v>
      </c>
      <c r="G2018" s="0" t="n">
        <v>285</v>
      </c>
      <c r="H2018" s="0" t="s">
        <v>145</v>
      </c>
      <c r="I2018" s="0" t="n">
        <v>285</v>
      </c>
      <c r="J2018" s="0" t="n">
        <f aca="false">F2018*E2018</f>
        <v>462</v>
      </c>
      <c r="K2018" s="0" t="str">
        <f aca="false">IF(G2018&lt;1000,"1-Low",IF(G2018&lt;5000,"2-Medium","3-Bulk"))</f>
        <v>1-Low</v>
      </c>
      <c r="L2018" s="0" t="str">
        <f aca="false">IF(H2018="TRUE","Out of stock","In stock")</f>
        <v>In stock</v>
      </c>
      <c r="M2018" s="0" t="str">
        <f aca="false">IF(D2018&lt;5,"1) Under 5%",IF(D2018&lt;10,"2) 5-9%",IF(D2018&lt;15,"3) 10-14%",IF(D2018&lt;25,"4) 15-24%","5) 25%+"))))</f>
        <v>5) 25%+</v>
      </c>
      <c r="N2018" s="0" t="str">
        <f aca="false">IF(F2018&lt;50,"1) Under Rs 50",IF(F2018&lt;100,"2) Rs 50-99",IF(F2018&lt;200,"3) Rs 100-199",IF(F2018&lt;500,"4) Rs 200-499","5) Rs 500+"))))</f>
        <v>2) Rs 50-99</v>
      </c>
      <c r="O2018" s="0" t="n">
        <f aca="false">G2018*E2018/1000</f>
        <v>1.71</v>
      </c>
    </row>
    <row r="2019" customFormat="false" ht="15" hidden="false" customHeight="false" outlineLevel="0" collapsed="false">
      <c r="A2019" s="0" t="s">
        <v>113</v>
      </c>
      <c r="B2019" s="0" t="s">
        <v>991</v>
      </c>
      <c r="C2019" s="0" t="n">
        <v>169</v>
      </c>
      <c r="D2019" s="0" t="n">
        <v>5</v>
      </c>
      <c r="E2019" s="0" t="n">
        <v>6</v>
      </c>
      <c r="F2019" s="0" t="n">
        <v>160</v>
      </c>
      <c r="G2019" s="0" t="n">
        <v>250</v>
      </c>
      <c r="H2019" s="0" t="s">
        <v>145</v>
      </c>
      <c r="I2019" s="0" t="n">
        <v>250</v>
      </c>
      <c r="J2019" s="0" t="n">
        <f aca="false">F2019*E2019</f>
        <v>960</v>
      </c>
      <c r="K2019" s="0" t="str">
        <f aca="false">IF(G2019&lt;1000,"1-Low",IF(G2019&lt;5000,"2-Medium","3-Bulk"))</f>
        <v>1-Low</v>
      </c>
      <c r="L2019" s="0" t="str">
        <f aca="false">IF(H2019="TRUE","Out of stock","In stock")</f>
        <v>In stock</v>
      </c>
      <c r="M2019" s="0" t="str">
        <f aca="false">IF(D2019&lt;5,"1) Under 5%",IF(D2019&lt;10,"2) 5-9%",IF(D2019&lt;15,"3) 10-14%",IF(D2019&lt;25,"4) 15-24%","5) 25%+"))))</f>
        <v>2) 5-9%</v>
      </c>
      <c r="N2019" s="0" t="str">
        <f aca="false">IF(F2019&lt;50,"1) Under Rs 50",IF(F2019&lt;100,"2) Rs 50-99",IF(F2019&lt;200,"3) Rs 100-199",IF(F2019&lt;500,"4) Rs 200-499","5) Rs 500+"))))</f>
        <v>3) Rs 100-199</v>
      </c>
      <c r="O2019" s="0" t="n">
        <f aca="false">G2019*E2019/1000</f>
        <v>1.5</v>
      </c>
    </row>
    <row r="2020" customFormat="false" ht="15" hidden="false" customHeight="false" outlineLevel="0" collapsed="false">
      <c r="A2020" s="0" t="s">
        <v>113</v>
      </c>
      <c r="B2020" s="0" t="s">
        <v>992</v>
      </c>
      <c r="C2020" s="0" t="n">
        <v>325</v>
      </c>
      <c r="D2020" s="0" t="n">
        <v>15</v>
      </c>
      <c r="E2020" s="0" t="n">
        <v>6</v>
      </c>
      <c r="F2020" s="0" t="n">
        <v>276</v>
      </c>
      <c r="G2020" s="0" t="n">
        <v>200</v>
      </c>
      <c r="H2020" s="0" t="s">
        <v>145</v>
      </c>
      <c r="I2020" s="0" t="n">
        <v>200</v>
      </c>
      <c r="J2020" s="0" t="n">
        <f aca="false">F2020*E2020</f>
        <v>1656</v>
      </c>
      <c r="K2020" s="0" t="str">
        <f aca="false">IF(G2020&lt;1000,"1-Low",IF(G2020&lt;5000,"2-Medium","3-Bulk"))</f>
        <v>1-Low</v>
      </c>
      <c r="L2020" s="0" t="str">
        <f aca="false">IF(H2020="TRUE","Out of stock","In stock")</f>
        <v>In stock</v>
      </c>
      <c r="M2020" s="0" t="str">
        <f aca="false">IF(D2020&lt;5,"1) Under 5%",IF(D2020&lt;10,"2) 5-9%",IF(D2020&lt;15,"3) 10-14%",IF(D2020&lt;25,"4) 15-24%","5) 25%+"))))</f>
        <v>4) 15-24%</v>
      </c>
      <c r="N2020" s="0" t="str">
        <f aca="false">IF(F2020&lt;50,"1) Under Rs 50",IF(F2020&lt;100,"2) Rs 50-99",IF(F2020&lt;200,"3) Rs 100-199",IF(F2020&lt;500,"4) Rs 200-499","5) Rs 500+"))))</f>
        <v>4) Rs 200-499</v>
      </c>
      <c r="O2020" s="0" t="n">
        <f aca="false">G2020*E2020/1000</f>
        <v>1.2</v>
      </c>
    </row>
    <row r="2021" customFormat="false" ht="15" hidden="false" customHeight="false" outlineLevel="0" collapsed="false">
      <c r="A2021" s="0" t="s">
        <v>113</v>
      </c>
      <c r="B2021" s="0" t="s">
        <v>993</v>
      </c>
      <c r="C2021" s="0" t="n">
        <v>410</v>
      </c>
      <c r="D2021" s="0" t="n">
        <v>0</v>
      </c>
      <c r="E2021" s="0" t="n">
        <v>1</v>
      </c>
      <c r="F2021" s="0" t="n">
        <v>410</v>
      </c>
      <c r="G2021" s="0" t="n">
        <v>1200</v>
      </c>
      <c r="H2021" s="0" t="s">
        <v>145</v>
      </c>
      <c r="I2021" s="0" t="n">
        <v>1</v>
      </c>
      <c r="J2021" s="0" t="n">
        <f aca="false">F2021*E2021</f>
        <v>410</v>
      </c>
      <c r="K2021" s="0" t="str">
        <f aca="false">IF(G2021&lt;1000,"1-Low",IF(G2021&lt;5000,"2-Medium","3-Bulk"))</f>
        <v>2-Medium</v>
      </c>
      <c r="L2021" s="0" t="str">
        <f aca="false">IF(H2021="TRUE","Out of stock","In stock")</f>
        <v>In stock</v>
      </c>
      <c r="M2021" s="0" t="str">
        <f aca="false">IF(D2021&lt;5,"1) Under 5%",IF(D2021&lt;10,"2) 5-9%",IF(D2021&lt;15,"3) 10-14%",IF(D2021&lt;25,"4) 15-24%","5) 25%+"))))</f>
        <v>1) Under 5%</v>
      </c>
      <c r="N2021" s="0" t="str">
        <f aca="false">IF(F2021&lt;50,"1) Under Rs 50",IF(F2021&lt;100,"2) Rs 50-99",IF(F2021&lt;200,"3) Rs 100-199",IF(F2021&lt;500,"4) Rs 200-499","5) Rs 500+"))))</f>
        <v>4) Rs 200-499</v>
      </c>
      <c r="O2021" s="0" t="n">
        <f aca="false">G2021*E2021/1000</f>
        <v>1.2</v>
      </c>
    </row>
    <row r="2022" customFormat="false" ht="15" hidden="false" customHeight="false" outlineLevel="0" collapsed="false">
      <c r="A2022" s="0" t="s">
        <v>113</v>
      </c>
      <c r="B2022" s="0" t="s">
        <v>994</v>
      </c>
      <c r="C2022" s="0" t="n">
        <v>200</v>
      </c>
      <c r="D2022" s="0" t="n">
        <v>30</v>
      </c>
      <c r="E2022" s="0" t="n">
        <v>4</v>
      </c>
      <c r="F2022" s="0" t="n">
        <v>140</v>
      </c>
      <c r="G2022" s="0" t="n">
        <v>285</v>
      </c>
      <c r="H2022" s="0" t="s">
        <v>145</v>
      </c>
      <c r="I2022" s="0" t="n">
        <v>285</v>
      </c>
      <c r="J2022" s="0" t="n">
        <f aca="false">F2022*E2022</f>
        <v>560</v>
      </c>
      <c r="K2022" s="0" t="str">
        <f aca="false">IF(G2022&lt;1000,"1-Low",IF(G2022&lt;5000,"2-Medium","3-Bulk"))</f>
        <v>1-Low</v>
      </c>
      <c r="L2022" s="0" t="str">
        <f aca="false">IF(H2022="TRUE","Out of stock","In stock")</f>
        <v>In stock</v>
      </c>
      <c r="M2022" s="0" t="str">
        <f aca="false">IF(D2022&lt;5,"1) Under 5%",IF(D2022&lt;10,"2) 5-9%",IF(D2022&lt;15,"3) 10-14%",IF(D2022&lt;25,"4) 15-24%","5) 25%+"))))</f>
        <v>5) 25%+</v>
      </c>
      <c r="N2022" s="0" t="str">
        <f aca="false">IF(F2022&lt;50,"1) Under Rs 50",IF(F2022&lt;100,"2) Rs 50-99",IF(F2022&lt;200,"3) Rs 100-199",IF(F2022&lt;500,"4) Rs 200-499","5) Rs 500+"))))</f>
        <v>3) Rs 100-199</v>
      </c>
      <c r="O2022" s="0" t="n">
        <f aca="false">G2022*E2022/1000</f>
        <v>1.14</v>
      </c>
    </row>
    <row r="2023" customFormat="false" ht="15" hidden="false" customHeight="false" outlineLevel="0" collapsed="false">
      <c r="A2023" s="0" t="s">
        <v>113</v>
      </c>
      <c r="B2023" s="0" t="s">
        <v>995</v>
      </c>
      <c r="C2023" s="0" t="n">
        <v>299</v>
      </c>
      <c r="D2023" s="0" t="n">
        <v>10</v>
      </c>
      <c r="E2023" s="0" t="n">
        <v>6</v>
      </c>
      <c r="F2023" s="0" t="n">
        <v>269</v>
      </c>
      <c r="G2023" s="0" t="n">
        <v>400</v>
      </c>
      <c r="H2023" s="0" t="s">
        <v>145</v>
      </c>
      <c r="I2023" s="0" t="n">
        <v>400</v>
      </c>
      <c r="J2023" s="0" t="n">
        <f aca="false">F2023*E2023</f>
        <v>1614</v>
      </c>
      <c r="K2023" s="0" t="str">
        <f aca="false">IF(G2023&lt;1000,"1-Low",IF(G2023&lt;5000,"2-Medium","3-Bulk"))</f>
        <v>1-Low</v>
      </c>
      <c r="L2023" s="0" t="str">
        <f aca="false">IF(H2023="TRUE","Out of stock","In stock")</f>
        <v>In stock</v>
      </c>
      <c r="M2023" s="0" t="str">
        <f aca="false">IF(D2023&lt;5,"1) Under 5%",IF(D2023&lt;10,"2) 5-9%",IF(D2023&lt;15,"3) 10-14%",IF(D2023&lt;25,"4) 15-24%","5) 25%+"))))</f>
        <v>3) 10-14%</v>
      </c>
      <c r="N2023" s="0" t="str">
        <f aca="false">IF(F2023&lt;50,"1) Under Rs 50",IF(F2023&lt;100,"2) Rs 50-99",IF(F2023&lt;200,"3) Rs 100-199",IF(F2023&lt;500,"4) Rs 200-499","5) Rs 500+"))))</f>
        <v>4) Rs 200-499</v>
      </c>
      <c r="O2023" s="0" t="n">
        <f aca="false">G2023*E2023/1000</f>
        <v>2.4</v>
      </c>
    </row>
    <row r="2024" customFormat="false" ht="15" hidden="false" customHeight="false" outlineLevel="0" collapsed="false">
      <c r="A2024" s="0" t="s">
        <v>113</v>
      </c>
      <c r="B2024" s="0" t="s">
        <v>996</v>
      </c>
      <c r="C2024" s="0" t="n">
        <v>40</v>
      </c>
      <c r="D2024" s="0" t="n">
        <v>0</v>
      </c>
      <c r="E2024" s="0" t="n">
        <v>6</v>
      </c>
      <c r="F2024" s="0" t="n">
        <v>40</v>
      </c>
      <c r="G2024" s="0" t="n">
        <v>46</v>
      </c>
      <c r="H2024" s="0" t="s">
        <v>145</v>
      </c>
      <c r="I2024" s="0" t="n">
        <v>46</v>
      </c>
      <c r="J2024" s="0" t="n">
        <f aca="false">F2024*E2024</f>
        <v>240</v>
      </c>
      <c r="K2024" s="0" t="str">
        <f aca="false">IF(G2024&lt;1000,"1-Low",IF(G2024&lt;5000,"2-Medium","3-Bulk"))</f>
        <v>1-Low</v>
      </c>
      <c r="L2024" s="0" t="str">
        <f aca="false">IF(H2024="TRUE","Out of stock","In stock")</f>
        <v>In stock</v>
      </c>
      <c r="M2024" s="0" t="str">
        <f aca="false">IF(D2024&lt;5,"1) Under 5%",IF(D2024&lt;10,"2) 5-9%",IF(D2024&lt;15,"3) 10-14%",IF(D2024&lt;25,"4) 15-24%","5) 25%+"))))</f>
        <v>1) Under 5%</v>
      </c>
      <c r="N2024" s="0" t="str">
        <f aca="false">IF(F2024&lt;50,"1) Under Rs 50",IF(F2024&lt;100,"2) Rs 50-99",IF(F2024&lt;200,"3) Rs 100-199",IF(F2024&lt;500,"4) Rs 200-499","5) Rs 500+"))))</f>
        <v>1) Under Rs 50</v>
      </c>
      <c r="O2024" s="0" t="n">
        <f aca="false">G2024*E2024/1000</f>
        <v>0.276</v>
      </c>
    </row>
    <row r="2025" customFormat="false" ht="15" hidden="false" customHeight="false" outlineLevel="0" collapsed="false">
      <c r="A2025" s="0" t="s">
        <v>113</v>
      </c>
      <c r="B2025" s="0" t="s">
        <v>997</v>
      </c>
      <c r="C2025" s="0" t="n">
        <v>425</v>
      </c>
      <c r="D2025" s="0" t="n">
        <v>9</v>
      </c>
      <c r="E2025" s="0" t="n">
        <v>3</v>
      </c>
      <c r="F2025" s="0" t="n">
        <v>383</v>
      </c>
      <c r="G2025" s="0" t="n">
        <v>750</v>
      </c>
      <c r="H2025" s="0" t="s">
        <v>145</v>
      </c>
      <c r="I2025" s="0" t="n">
        <v>750</v>
      </c>
      <c r="J2025" s="0" t="n">
        <f aca="false">F2025*E2025</f>
        <v>1149</v>
      </c>
      <c r="K2025" s="0" t="str">
        <f aca="false">IF(G2025&lt;1000,"1-Low",IF(G2025&lt;5000,"2-Medium","3-Bulk"))</f>
        <v>1-Low</v>
      </c>
      <c r="L2025" s="0" t="str">
        <f aca="false">IF(H2025="TRUE","Out of stock","In stock")</f>
        <v>In stock</v>
      </c>
      <c r="M2025" s="0" t="str">
        <f aca="false">IF(D2025&lt;5,"1) Under 5%",IF(D2025&lt;10,"2) 5-9%",IF(D2025&lt;15,"3) 10-14%",IF(D2025&lt;25,"4) 15-24%","5) 25%+"))))</f>
        <v>2) 5-9%</v>
      </c>
      <c r="N2025" s="0" t="str">
        <f aca="false">IF(F2025&lt;50,"1) Under Rs 50",IF(F2025&lt;100,"2) Rs 50-99",IF(F2025&lt;200,"3) Rs 100-199",IF(F2025&lt;500,"4) Rs 200-499","5) Rs 500+"))))</f>
        <v>4) Rs 200-499</v>
      </c>
      <c r="O2025" s="0" t="n">
        <f aca="false">G2025*E2025/1000</f>
        <v>2.25</v>
      </c>
    </row>
    <row r="2026" customFormat="false" ht="15" hidden="false" customHeight="false" outlineLevel="0" collapsed="false">
      <c r="A2026" s="0" t="s">
        <v>113</v>
      </c>
      <c r="B2026" s="0" t="s">
        <v>564</v>
      </c>
      <c r="C2026" s="0" t="n">
        <v>110</v>
      </c>
      <c r="D2026" s="0" t="n">
        <v>30</v>
      </c>
      <c r="E2026" s="0" t="n">
        <v>6</v>
      </c>
      <c r="F2026" s="0" t="n">
        <v>77</v>
      </c>
      <c r="G2026" s="0" t="n">
        <v>285</v>
      </c>
      <c r="H2026" s="0" t="s">
        <v>145</v>
      </c>
      <c r="I2026" s="0" t="n">
        <v>285</v>
      </c>
      <c r="J2026" s="0" t="n">
        <f aca="false">F2026*E2026</f>
        <v>462</v>
      </c>
      <c r="K2026" s="0" t="str">
        <f aca="false">IF(G2026&lt;1000,"1-Low",IF(G2026&lt;5000,"2-Medium","3-Bulk"))</f>
        <v>1-Low</v>
      </c>
      <c r="L2026" s="0" t="str">
        <f aca="false">IF(H2026="TRUE","Out of stock","In stock")</f>
        <v>In stock</v>
      </c>
      <c r="M2026" s="0" t="str">
        <f aca="false">IF(D2026&lt;5,"1) Under 5%",IF(D2026&lt;10,"2) 5-9%",IF(D2026&lt;15,"3) 10-14%",IF(D2026&lt;25,"4) 15-24%","5) 25%+"))))</f>
        <v>5) 25%+</v>
      </c>
      <c r="N2026" s="0" t="str">
        <f aca="false">IF(F2026&lt;50,"1) Under Rs 50",IF(F2026&lt;100,"2) Rs 50-99",IF(F2026&lt;200,"3) Rs 100-199",IF(F2026&lt;500,"4) Rs 200-499","5) Rs 500+"))))</f>
        <v>2) Rs 50-99</v>
      </c>
      <c r="O2026" s="0" t="n">
        <f aca="false">G2026*E2026/1000</f>
        <v>1.71</v>
      </c>
    </row>
    <row r="2027" customFormat="false" ht="15" hidden="false" customHeight="false" outlineLevel="0" collapsed="false">
      <c r="A2027" s="0" t="s">
        <v>113</v>
      </c>
      <c r="B2027" s="0" t="s">
        <v>772</v>
      </c>
      <c r="C2027" s="0" t="n">
        <v>215</v>
      </c>
      <c r="D2027" s="0" t="n">
        <v>20</v>
      </c>
      <c r="E2027" s="0" t="n">
        <v>6</v>
      </c>
      <c r="F2027" s="0" t="n">
        <v>172</v>
      </c>
      <c r="G2027" s="0" t="n">
        <v>325</v>
      </c>
      <c r="H2027" s="0" t="s">
        <v>145</v>
      </c>
      <c r="I2027" s="0" t="n">
        <v>325</v>
      </c>
      <c r="J2027" s="0" t="n">
        <f aca="false">F2027*E2027</f>
        <v>1032</v>
      </c>
      <c r="K2027" s="0" t="str">
        <f aca="false">IF(G2027&lt;1000,"1-Low",IF(G2027&lt;5000,"2-Medium","3-Bulk"))</f>
        <v>1-Low</v>
      </c>
      <c r="L2027" s="0" t="str">
        <f aca="false">IF(H2027="TRUE","Out of stock","In stock")</f>
        <v>In stock</v>
      </c>
      <c r="M2027" s="0" t="str">
        <f aca="false">IF(D2027&lt;5,"1) Under 5%",IF(D2027&lt;10,"2) 5-9%",IF(D2027&lt;15,"3) 10-14%",IF(D2027&lt;25,"4) 15-24%","5) 25%+"))))</f>
        <v>4) 15-24%</v>
      </c>
      <c r="N2027" s="0" t="str">
        <f aca="false">IF(F2027&lt;50,"1) Under Rs 50",IF(F2027&lt;100,"2) Rs 50-99",IF(F2027&lt;200,"3) Rs 100-199",IF(F2027&lt;500,"4) Rs 200-499","5) Rs 500+"))))</f>
        <v>3) Rs 100-199</v>
      </c>
      <c r="O2027" s="0" t="n">
        <f aca="false">G2027*E2027/1000</f>
        <v>1.95</v>
      </c>
    </row>
    <row r="2028" customFormat="false" ht="15" hidden="false" customHeight="false" outlineLevel="0" collapsed="false">
      <c r="A2028" s="0" t="s">
        <v>113</v>
      </c>
      <c r="B2028" s="0" t="s">
        <v>998</v>
      </c>
      <c r="C2028" s="0" t="n">
        <v>230</v>
      </c>
      <c r="D2028" s="0" t="n">
        <v>0</v>
      </c>
      <c r="E2028" s="0" t="n">
        <v>6</v>
      </c>
      <c r="F2028" s="0" t="n">
        <v>230</v>
      </c>
      <c r="G2028" s="0" t="n">
        <v>241</v>
      </c>
      <c r="H2028" s="0" t="s">
        <v>145</v>
      </c>
      <c r="I2028" s="0" t="n">
        <v>241</v>
      </c>
      <c r="J2028" s="0" t="n">
        <f aca="false">F2028*E2028</f>
        <v>1380</v>
      </c>
      <c r="K2028" s="0" t="str">
        <f aca="false">IF(G2028&lt;1000,"1-Low",IF(G2028&lt;5000,"2-Medium","3-Bulk"))</f>
        <v>1-Low</v>
      </c>
      <c r="L2028" s="0" t="str">
        <f aca="false">IF(H2028="TRUE","Out of stock","In stock")</f>
        <v>In stock</v>
      </c>
      <c r="M2028" s="0" t="str">
        <f aca="false">IF(D2028&lt;5,"1) Under 5%",IF(D2028&lt;10,"2) 5-9%",IF(D2028&lt;15,"3) 10-14%",IF(D2028&lt;25,"4) 15-24%","5) 25%+"))))</f>
        <v>1) Under 5%</v>
      </c>
      <c r="N2028" s="0" t="str">
        <f aca="false">IF(F2028&lt;50,"1) Under Rs 50",IF(F2028&lt;100,"2) Rs 50-99",IF(F2028&lt;200,"3) Rs 100-199",IF(F2028&lt;500,"4) Rs 200-499","5) Rs 500+"))))</f>
        <v>4) Rs 200-499</v>
      </c>
      <c r="O2028" s="0" t="n">
        <f aca="false">G2028*E2028/1000</f>
        <v>1.446</v>
      </c>
    </row>
    <row r="2029" customFormat="false" ht="15" hidden="false" customHeight="false" outlineLevel="0" collapsed="false">
      <c r="A2029" s="0" t="s">
        <v>113</v>
      </c>
      <c r="B2029" s="0" t="s">
        <v>980</v>
      </c>
      <c r="C2029" s="0" t="n">
        <v>105</v>
      </c>
      <c r="D2029" s="0" t="n">
        <v>0</v>
      </c>
      <c r="E2029" s="0" t="n">
        <v>6</v>
      </c>
      <c r="F2029" s="0" t="n">
        <v>105</v>
      </c>
      <c r="G2029" s="0" t="n">
        <v>425</v>
      </c>
      <c r="H2029" s="0" t="s">
        <v>145</v>
      </c>
      <c r="I2029" s="0" t="n">
        <v>425</v>
      </c>
      <c r="J2029" s="0" t="n">
        <f aca="false">F2029*E2029</f>
        <v>630</v>
      </c>
      <c r="K2029" s="0" t="str">
        <f aca="false">IF(G2029&lt;1000,"1-Low",IF(G2029&lt;5000,"2-Medium","3-Bulk"))</f>
        <v>1-Low</v>
      </c>
      <c r="L2029" s="0" t="str">
        <f aca="false">IF(H2029="TRUE","Out of stock","In stock")</f>
        <v>In stock</v>
      </c>
      <c r="M2029" s="0" t="str">
        <f aca="false">IF(D2029&lt;5,"1) Under 5%",IF(D2029&lt;10,"2) 5-9%",IF(D2029&lt;15,"3) 10-14%",IF(D2029&lt;25,"4) 15-24%","5) 25%+"))))</f>
        <v>1) Under 5%</v>
      </c>
      <c r="N2029" s="0" t="str">
        <f aca="false">IF(F2029&lt;50,"1) Under Rs 50",IF(F2029&lt;100,"2) Rs 50-99",IF(F2029&lt;200,"3) Rs 100-199",IF(F2029&lt;500,"4) Rs 200-499","5) Rs 500+"))))</f>
        <v>3) Rs 100-199</v>
      </c>
      <c r="O2029" s="0" t="n">
        <f aca="false">G2029*E2029/1000</f>
        <v>2.55</v>
      </c>
    </row>
    <row r="2030" customFormat="false" ht="15" hidden="false" customHeight="false" outlineLevel="0" collapsed="false">
      <c r="A2030" s="0" t="s">
        <v>113</v>
      </c>
      <c r="B2030" s="0" t="s">
        <v>999</v>
      </c>
      <c r="C2030" s="0" t="n">
        <v>595</v>
      </c>
      <c r="D2030" s="0" t="n">
        <v>0</v>
      </c>
      <c r="E2030" s="0" t="n">
        <v>1</v>
      </c>
      <c r="F2030" s="0" t="n">
        <v>595</v>
      </c>
      <c r="G2030" s="0" t="n">
        <v>1000</v>
      </c>
      <c r="H2030" s="0" t="s">
        <v>145</v>
      </c>
      <c r="I2030" s="0" t="n">
        <v>1</v>
      </c>
      <c r="J2030" s="0" t="n">
        <f aca="false">F2030*E2030</f>
        <v>595</v>
      </c>
      <c r="K2030" s="0" t="str">
        <f aca="false">IF(G2030&lt;1000,"1-Low",IF(G2030&lt;5000,"2-Medium","3-Bulk"))</f>
        <v>2-Medium</v>
      </c>
      <c r="L2030" s="0" t="str">
        <f aca="false">IF(H2030="TRUE","Out of stock","In stock")</f>
        <v>In stock</v>
      </c>
      <c r="M2030" s="0" t="str">
        <f aca="false">IF(D2030&lt;5,"1) Under 5%",IF(D2030&lt;10,"2) 5-9%",IF(D2030&lt;15,"3) 10-14%",IF(D2030&lt;25,"4) 15-24%","5) 25%+"))))</f>
        <v>1) Under 5%</v>
      </c>
      <c r="N2030" s="0" t="str">
        <f aca="false">IF(F2030&lt;50,"1) Under Rs 50",IF(F2030&lt;100,"2) Rs 50-99",IF(F2030&lt;200,"3) Rs 100-199",IF(F2030&lt;500,"4) Rs 200-499","5) Rs 500+"))))</f>
        <v>5) Rs 500+</v>
      </c>
      <c r="O2030" s="0" t="n">
        <f aca="false">G2030*E2030/1000</f>
        <v>1</v>
      </c>
    </row>
    <row r="2031" customFormat="false" ht="15" hidden="false" customHeight="false" outlineLevel="0" collapsed="false">
      <c r="A2031" s="0" t="s">
        <v>113</v>
      </c>
      <c r="B2031" s="0" t="s">
        <v>1000</v>
      </c>
      <c r="C2031" s="0" t="n">
        <v>15</v>
      </c>
      <c r="D2031" s="0" t="n">
        <v>0</v>
      </c>
      <c r="E2031" s="0" t="n">
        <v>3</v>
      </c>
      <c r="F2031" s="0" t="n">
        <v>15</v>
      </c>
      <c r="G2031" s="0" t="n">
        <v>20</v>
      </c>
      <c r="H2031" s="0" t="s">
        <v>145</v>
      </c>
      <c r="I2031" s="0" t="n">
        <v>20</v>
      </c>
      <c r="J2031" s="0" t="n">
        <f aca="false">F2031*E2031</f>
        <v>45</v>
      </c>
      <c r="K2031" s="0" t="str">
        <f aca="false">IF(G2031&lt;1000,"1-Low",IF(G2031&lt;5000,"2-Medium","3-Bulk"))</f>
        <v>1-Low</v>
      </c>
      <c r="L2031" s="0" t="str">
        <f aca="false">IF(H2031="TRUE","Out of stock","In stock")</f>
        <v>In stock</v>
      </c>
      <c r="M2031" s="0" t="str">
        <f aca="false">IF(D2031&lt;5,"1) Under 5%",IF(D2031&lt;10,"2) 5-9%",IF(D2031&lt;15,"3) 10-14%",IF(D2031&lt;25,"4) 15-24%","5) 25%+"))))</f>
        <v>1) Under 5%</v>
      </c>
      <c r="N2031" s="0" t="str">
        <f aca="false">IF(F2031&lt;50,"1) Under Rs 50",IF(F2031&lt;100,"2) Rs 50-99",IF(F2031&lt;200,"3) Rs 100-199",IF(F2031&lt;500,"4) Rs 200-499","5) Rs 500+"))))</f>
        <v>1) Under Rs 50</v>
      </c>
      <c r="O2031" s="0" t="n">
        <f aca="false">G2031*E2031/1000</f>
        <v>0.06</v>
      </c>
    </row>
    <row r="2032" customFormat="false" ht="15" hidden="false" customHeight="false" outlineLevel="0" collapsed="false">
      <c r="A2032" s="0" t="s">
        <v>113</v>
      </c>
      <c r="B2032" s="0" t="s">
        <v>1001</v>
      </c>
      <c r="C2032" s="0" t="n">
        <v>140</v>
      </c>
      <c r="D2032" s="0" t="n">
        <v>5</v>
      </c>
      <c r="E2032" s="0" t="n">
        <v>1</v>
      </c>
      <c r="F2032" s="0" t="n">
        <v>133</v>
      </c>
      <c r="G2032" s="0" t="n">
        <v>290</v>
      </c>
      <c r="H2032" s="0" t="s">
        <v>145</v>
      </c>
      <c r="I2032" s="0" t="n">
        <v>290</v>
      </c>
      <c r="J2032" s="0" t="n">
        <f aca="false">F2032*E2032</f>
        <v>133</v>
      </c>
      <c r="K2032" s="0" t="str">
        <f aca="false">IF(G2032&lt;1000,"1-Low",IF(G2032&lt;5000,"2-Medium","3-Bulk"))</f>
        <v>1-Low</v>
      </c>
      <c r="L2032" s="0" t="str">
        <f aca="false">IF(H2032="TRUE","Out of stock","In stock")</f>
        <v>In stock</v>
      </c>
      <c r="M2032" s="0" t="str">
        <f aca="false">IF(D2032&lt;5,"1) Under 5%",IF(D2032&lt;10,"2) 5-9%",IF(D2032&lt;15,"3) 10-14%",IF(D2032&lt;25,"4) 15-24%","5) 25%+"))))</f>
        <v>2) 5-9%</v>
      </c>
      <c r="N2032" s="0" t="str">
        <f aca="false">IF(F2032&lt;50,"1) Under Rs 50",IF(F2032&lt;100,"2) Rs 50-99",IF(F2032&lt;200,"3) Rs 100-199",IF(F2032&lt;500,"4) Rs 200-499","5) Rs 500+"))))</f>
        <v>3) Rs 100-199</v>
      </c>
      <c r="O2032" s="0" t="n">
        <f aca="false">G2032*E2032/1000</f>
        <v>0.29</v>
      </c>
    </row>
    <row r="2033" customFormat="false" ht="15" hidden="false" customHeight="false" outlineLevel="0" collapsed="false">
      <c r="A2033" s="0" t="s">
        <v>113</v>
      </c>
      <c r="B2033" s="0" t="s">
        <v>1002</v>
      </c>
      <c r="C2033" s="0" t="n">
        <v>280</v>
      </c>
      <c r="D2033" s="0" t="n">
        <v>50</v>
      </c>
      <c r="E2033" s="0" t="n">
        <v>5</v>
      </c>
      <c r="F2033" s="0" t="n">
        <v>140</v>
      </c>
      <c r="G2033" s="0" t="n">
        <v>175</v>
      </c>
      <c r="H2033" s="0" t="s">
        <v>145</v>
      </c>
      <c r="I2033" s="0" t="n">
        <v>175</v>
      </c>
      <c r="J2033" s="0" t="n">
        <f aca="false">F2033*E2033</f>
        <v>700</v>
      </c>
      <c r="K2033" s="0" t="str">
        <f aca="false">IF(G2033&lt;1000,"1-Low",IF(G2033&lt;5000,"2-Medium","3-Bulk"))</f>
        <v>1-Low</v>
      </c>
      <c r="L2033" s="0" t="str">
        <f aca="false">IF(H2033="TRUE","Out of stock","In stock")</f>
        <v>In stock</v>
      </c>
      <c r="M2033" s="0" t="str">
        <f aca="false">IF(D2033&lt;5,"1) Under 5%",IF(D2033&lt;10,"2) 5-9%",IF(D2033&lt;15,"3) 10-14%",IF(D2033&lt;25,"4) 15-24%","5) 25%+"))))</f>
        <v>5) 25%+</v>
      </c>
      <c r="N2033" s="0" t="str">
        <f aca="false">IF(F2033&lt;50,"1) Under Rs 50",IF(F2033&lt;100,"2) Rs 50-99",IF(F2033&lt;200,"3) Rs 100-199",IF(F2033&lt;500,"4) Rs 200-499","5) Rs 500+"))))</f>
        <v>3) Rs 100-199</v>
      </c>
      <c r="O2033" s="0" t="n">
        <f aca="false">G2033*E2033/1000</f>
        <v>0.875</v>
      </c>
    </row>
    <row r="2034" customFormat="false" ht="15" hidden="false" customHeight="false" outlineLevel="0" collapsed="false">
      <c r="A2034" s="0" t="s">
        <v>113</v>
      </c>
      <c r="B2034" s="0" t="s">
        <v>1003</v>
      </c>
      <c r="C2034" s="0" t="n">
        <v>175</v>
      </c>
      <c r="D2034" s="0" t="n">
        <v>4</v>
      </c>
      <c r="E2034" s="0" t="n">
        <v>6</v>
      </c>
      <c r="F2034" s="0" t="n">
        <v>167</v>
      </c>
      <c r="G2034" s="0" t="n">
        <v>150</v>
      </c>
      <c r="H2034" s="0" t="s">
        <v>145</v>
      </c>
      <c r="I2034" s="0" t="n">
        <v>150</v>
      </c>
      <c r="J2034" s="0" t="n">
        <f aca="false">F2034*E2034</f>
        <v>1002</v>
      </c>
      <c r="K2034" s="0" t="str">
        <f aca="false">IF(G2034&lt;1000,"1-Low",IF(G2034&lt;5000,"2-Medium","3-Bulk"))</f>
        <v>1-Low</v>
      </c>
      <c r="L2034" s="0" t="str">
        <f aca="false">IF(H2034="TRUE","Out of stock","In stock")</f>
        <v>In stock</v>
      </c>
      <c r="M2034" s="0" t="str">
        <f aca="false">IF(D2034&lt;5,"1) Under 5%",IF(D2034&lt;10,"2) 5-9%",IF(D2034&lt;15,"3) 10-14%",IF(D2034&lt;25,"4) 15-24%","5) 25%+"))))</f>
        <v>1) Under 5%</v>
      </c>
      <c r="N2034" s="0" t="str">
        <f aca="false">IF(F2034&lt;50,"1) Under Rs 50",IF(F2034&lt;100,"2) Rs 50-99",IF(F2034&lt;200,"3) Rs 100-199",IF(F2034&lt;500,"4) Rs 200-499","5) Rs 500+"))))</f>
        <v>3) Rs 100-199</v>
      </c>
      <c r="O2034" s="0" t="n">
        <f aca="false">G2034*E2034/1000</f>
        <v>0.9</v>
      </c>
    </row>
    <row r="2035" customFormat="false" ht="15" hidden="false" customHeight="false" outlineLevel="0" collapsed="false">
      <c r="A2035" s="0" t="s">
        <v>113</v>
      </c>
      <c r="B2035" s="0" t="s">
        <v>1004</v>
      </c>
      <c r="C2035" s="0" t="n">
        <v>105</v>
      </c>
      <c r="D2035" s="0" t="n">
        <v>0</v>
      </c>
      <c r="E2035" s="0" t="n">
        <v>4</v>
      </c>
      <c r="F2035" s="0" t="n">
        <v>105</v>
      </c>
      <c r="G2035" s="0" t="n">
        <v>440</v>
      </c>
      <c r="H2035" s="0" t="s">
        <v>145</v>
      </c>
      <c r="I2035" s="0" t="n">
        <v>440</v>
      </c>
      <c r="J2035" s="0" t="n">
        <f aca="false">F2035*E2035</f>
        <v>420</v>
      </c>
      <c r="K2035" s="0" t="str">
        <f aca="false">IF(G2035&lt;1000,"1-Low",IF(G2035&lt;5000,"2-Medium","3-Bulk"))</f>
        <v>1-Low</v>
      </c>
      <c r="L2035" s="0" t="str">
        <f aca="false">IF(H2035="TRUE","Out of stock","In stock")</f>
        <v>In stock</v>
      </c>
      <c r="M2035" s="0" t="str">
        <f aca="false">IF(D2035&lt;5,"1) Under 5%",IF(D2035&lt;10,"2) 5-9%",IF(D2035&lt;15,"3) 10-14%",IF(D2035&lt;25,"4) 15-24%","5) 25%+"))))</f>
        <v>1) Under 5%</v>
      </c>
      <c r="N2035" s="0" t="str">
        <f aca="false">IF(F2035&lt;50,"1) Under Rs 50",IF(F2035&lt;100,"2) Rs 50-99",IF(F2035&lt;200,"3) Rs 100-199",IF(F2035&lt;500,"4) Rs 200-499","5) Rs 500+"))))</f>
        <v>3) Rs 100-199</v>
      </c>
      <c r="O2035" s="0" t="n">
        <f aca="false">G2035*E2035/1000</f>
        <v>1.76</v>
      </c>
    </row>
    <row r="2036" customFormat="false" ht="15" hidden="false" customHeight="false" outlineLevel="0" collapsed="false">
      <c r="A2036" s="0" t="s">
        <v>113</v>
      </c>
      <c r="B2036" s="0" t="s">
        <v>1005</v>
      </c>
      <c r="C2036" s="0" t="n">
        <v>55</v>
      </c>
      <c r="D2036" s="0" t="n">
        <v>0</v>
      </c>
      <c r="E2036" s="0" t="n">
        <v>5</v>
      </c>
      <c r="F2036" s="0" t="n">
        <v>55</v>
      </c>
      <c r="G2036" s="0" t="n">
        <v>55</v>
      </c>
      <c r="H2036" s="0" t="s">
        <v>145</v>
      </c>
      <c r="I2036" s="0" t="n">
        <v>55</v>
      </c>
      <c r="J2036" s="0" t="n">
        <f aca="false">F2036*E2036</f>
        <v>275</v>
      </c>
      <c r="K2036" s="0" t="str">
        <f aca="false">IF(G2036&lt;1000,"1-Low",IF(G2036&lt;5000,"2-Medium","3-Bulk"))</f>
        <v>1-Low</v>
      </c>
      <c r="L2036" s="0" t="str">
        <f aca="false">IF(H2036="TRUE","Out of stock","In stock")</f>
        <v>In stock</v>
      </c>
      <c r="M2036" s="0" t="str">
        <f aca="false">IF(D2036&lt;5,"1) Under 5%",IF(D2036&lt;10,"2) 5-9%",IF(D2036&lt;15,"3) 10-14%",IF(D2036&lt;25,"4) 15-24%","5) 25%+"))))</f>
        <v>1) Under 5%</v>
      </c>
      <c r="N2036" s="0" t="str">
        <f aca="false">IF(F2036&lt;50,"1) Under Rs 50",IF(F2036&lt;100,"2) Rs 50-99",IF(F2036&lt;200,"3) Rs 100-199",IF(F2036&lt;500,"4) Rs 200-499","5) Rs 500+"))))</f>
        <v>2) Rs 50-99</v>
      </c>
      <c r="O2036" s="0" t="n">
        <f aca="false">G2036*E2036/1000</f>
        <v>0.275</v>
      </c>
    </row>
    <row r="2037" customFormat="false" ht="15" hidden="false" customHeight="false" outlineLevel="0" collapsed="false">
      <c r="A2037" s="0" t="s">
        <v>113</v>
      </c>
      <c r="B2037" s="0" t="s">
        <v>1006</v>
      </c>
      <c r="C2037" s="0" t="n">
        <v>200</v>
      </c>
      <c r="D2037" s="0" t="n">
        <v>0</v>
      </c>
      <c r="E2037" s="0" t="n">
        <v>6</v>
      </c>
      <c r="F2037" s="0" t="n">
        <v>200</v>
      </c>
      <c r="G2037" s="0" t="n">
        <v>130</v>
      </c>
      <c r="H2037" s="0" t="s">
        <v>145</v>
      </c>
      <c r="I2037" s="0" t="n">
        <v>130</v>
      </c>
      <c r="J2037" s="0" t="n">
        <f aca="false">F2037*E2037</f>
        <v>1200</v>
      </c>
      <c r="K2037" s="0" t="str">
        <f aca="false">IF(G2037&lt;1000,"1-Low",IF(G2037&lt;5000,"2-Medium","3-Bulk"))</f>
        <v>1-Low</v>
      </c>
      <c r="L2037" s="0" t="str">
        <f aca="false">IF(H2037="TRUE","Out of stock","In stock")</f>
        <v>In stock</v>
      </c>
      <c r="M2037" s="0" t="str">
        <f aca="false">IF(D2037&lt;5,"1) Under 5%",IF(D2037&lt;10,"2) 5-9%",IF(D2037&lt;15,"3) 10-14%",IF(D2037&lt;25,"4) 15-24%","5) 25%+"))))</f>
        <v>1) Under 5%</v>
      </c>
      <c r="N2037" s="0" t="str">
        <f aca="false">IF(F2037&lt;50,"1) Under Rs 50",IF(F2037&lt;100,"2) Rs 50-99",IF(F2037&lt;200,"3) Rs 100-199",IF(F2037&lt;500,"4) Rs 200-499","5) Rs 500+"))))</f>
        <v>4) Rs 200-499</v>
      </c>
      <c r="O2037" s="0" t="n">
        <f aca="false">G2037*E2037/1000</f>
        <v>0.78</v>
      </c>
    </row>
    <row r="2038" customFormat="false" ht="15" hidden="false" customHeight="false" outlineLevel="0" collapsed="false">
      <c r="A2038" s="0" t="s">
        <v>113</v>
      </c>
      <c r="B2038" s="0" t="s">
        <v>1007</v>
      </c>
      <c r="C2038" s="0" t="n">
        <v>55</v>
      </c>
      <c r="D2038" s="0" t="n">
        <v>30</v>
      </c>
      <c r="E2038" s="0" t="n">
        <v>5</v>
      </c>
      <c r="F2038" s="0" t="n">
        <v>38</v>
      </c>
      <c r="G2038" s="0" t="n">
        <v>80</v>
      </c>
      <c r="H2038" s="0" t="s">
        <v>145</v>
      </c>
      <c r="I2038" s="0" t="n">
        <v>80</v>
      </c>
      <c r="J2038" s="0" t="n">
        <f aca="false">F2038*E2038</f>
        <v>190</v>
      </c>
      <c r="K2038" s="0" t="str">
        <f aca="false">IF(G2038&lt;1000,"1-Low",IF(G2038&lt;5000,"2-Medium","3-Bulk"))</f>
        <v>1-Low</v>
      </c>
      <c r="L2038" s="0" t="str">
        <f aca="false">IF(H2038="TRUE","Out of stock","In stock")</f>
        <v>In stock</v>
      </c>
      <c r="M2038" s="0" t="str">
        <f aca="false">IF(D2038&lt;5,"1) Under 5%",IF(D2038&lt;10,"2) 5-9%",IF(D2038&lt;15,"3) 10-14%",IF(D2038&lt;25,"4) 15-24%","5) 25%+"))))</f>
        <v>5) 25%+</v>
      </c>
      <c r="N2038" s="0" t="str">
        <f aca="false">IF(F2038&lt;50,"1) Under Rs 50",IF(F2038&lt;100,"2) Rs 50-99",IF(F2038&lt;200,"3) Rs 100-199",IF(F2038&lt;500,"4) Rs 200-499","5) Rs 500+"))))</f>
        <v>1) Under Rs 50</v>
      </c>
      <c r="O2038" s="0" t="n">
        <f aca="false">G2038*E2038/1000</f>
        <v>0.4</v>
      </c>
    </row>
    <row r="2039" customFormat="false" ht="15" hidden="false" customHeight="false" outlineLevel="0" collapsed="false">
      <c r="A2039" s="0" t="s">
        <v>113</v>
      </c>
      <c r="B2039" s="0" t="s">
        <v>1008</v>
      </c>
      <c r="C2039" s="0" t="n">
        <v>250</v>
      </c>
      <c r="D2039" s="0" t="n">
        <v>0</v>
      </c>
      <c r="E2039" s="0" t="n">
        <v>1</v>
      </c>
      <c r="F2039" s="0" t="n">
        <v>250</v>
      </c>
      <c r="G2039" s="0" t="n">
        <v>450</v>
      </c>
      <c r="H2039" s="0" t="s">
        <v>145</v>
      </c>
      <c r="I2039" s="0" t="n">
        <v>450</v>
      </c>
      <c r="J2039" s="0" t="n">
        <f aca="false">F2039*E2039</f>
        <v>250</v>
      </c>
      <c r="K2039" s="0" t="str">
        <f aca="false">IF(G2039&lt;1000,"1-Low",IF(G2039&lt;5000,"2-Medium","3-Bulk"))</f>
        <v>1-Low</v>
      </c>
      <c r="L2039" s="0" t="str">
        <f aca="false">IF(H2039="TRUE","Out of stock","In stock")</f>
        <v>In stock</v>
      </c>
      <c r="M2039" s="0" t="str">
        <f aca="false">IF(D2039&lt;5,"1) Under 5%",IF(D2039&lt;10,"2) 5-9%",IF(D2039&lt;15,"3) 10-14%",IF(D2039&lt;25,"4) 15-24%","5) 25%+"))))</f>
        <v>1) Under 5%</v>
      </c>
      <c r="N2039" s="0" t="str">
        <f aca="false">IF(F2039&lt;50,"1) Under Rs 50",IF(F2039&lt;100,"2) Rs 50-99",IF(F2039&lt;200,"3) Rs 100-199",IF(F2039&lt;500,"4) Rs 200-499","5) Rs 500+"))))</f>
        <v>4) Rs 200-499</v>
      </c>
      <c r="O2039" s="0" t="n">
        <f aca="false">G2039*E2039/1000</f>
        <v>0.45</v>
      </c>
    </row>
    <row r="2040" customFormat="false" ht="15" hidden="false" customHeight="false" outlineLevel="0" collapsed="false">
      <c r="A2040" s="0" t="s">
        <v>113</v>
      </c>
      <c r="B2040" s="0" t="s">
        <v>1009</v>
      </c>
      <c r="C2040" s="0" t="n">
        <v>220</v>
      </c>
      <c r="D2040" s="0" t="n">
        <v>30</v>
      </c>
      <c r="E2040" s="0" t="n">
        <v>5</v>
      </c>
      <c r="F2040" s="0" t="n">
        <v>154</v>
      </c>
      <c r="G2040" s="0" t="n">
        <v>285</v>
      </c>
      <c r="H2040" s="0" t="s">
        <v>145</v>
      </c>
      <c r="I2040" s="0" t="n">
        <v>285</v>
      </c>
      <c r="J2040" s="0" t="n">
        <f aca="false">F2040*E2040</f>
        <v>770</v>
      </c>
      <c r="K2040" s="0" t="str">
        <f aca="false">IF(G2040&lt;1000,"1-Low",IF(G2040&lt;5000,"2-Medium","3-Bulk"))</f>
        <v>1-Low</v>
      </c>
      <c r="L2040" s="0" t="str">
        <f aca="false">IF(H2040="TRUE","Out of stock","In stock")</f>
        <v>In stock</v>
      </c>
      <c r="M2040" s="0" t="str">
        <f aca="false">IF(D2040&lt;5,"1) Under 5%",IF(D2040&lt;10,"2) 5-9%",IF(D2040&lt;15,"3) 10-14%",IF(D2040&lt;25,"4) 15-24%","5) 25%+"))))</f>
        <v>5) 25%+</v>
      </c>
      <c r="N2040" s="0" t="str">
        <f aca="false">IF(F2040&lt;50,"1) Under Rs 50",IF(F2040&lt;100,"2) Rs 50-99",IF(F2040&lt;200,"3) Rs 100-199",IF(F2040&lt;500,"4) Rs 200-499","5) Rs 500+"))))</f>
        <v>3) Rs 100-199</v>
      </c>
      <c r="O2040" s="0" t="n">
        <f aca="false">G2040*E2040/1000</f>
        <v>1.425</v>
      </c>
    </row>
    <row r="2041" customFormat="false" ht="15" hidden="false" customHeight="false" outlineLevel="0" collapsed="false">
      <c r="A2041" s="0" t="s">
        <v>113</v>
      </c>
      <c r="B2041" s="0" t="s">
        <v>1010</v>
      </c>
      <c r="C2041" s="0" t="n">
        <v>288</v>
      </c>
      <c r="D2041" s="0" t="n">
        <v>0</v>
      </c>
      <c r="E2041" s="0" t="n">
        <v>6</v>
      </c>
      <c r="F2041" s="0" t="n">
        <v>288</v>
      </c>
      <c r="G2041" s="0" t="n">
        <v>300</v>
      </c>
      <c r="H2041" s="0" t="s">
        <v>145</v>
      </c>
      <c r="I2041" s="0" t="n">
        <v>300</v>
      </c>
      <c r="J2041" s="0" t="n">
        <f aca="false">F2041*E2041</f>
        <v>1728</v>
      </c>
      <c r="K2041" s="0" t="str">
        <f aca="false">IF(G2041&lt;1000,"1-Low",IF(G2041&lt;5000,"2-Medium","3-Bulk"))</f>
        <v>1-Low</v>
      </c>
      <c r="L2041" s="0" t="str">
        <f aca="false">IF(H2041="TRUE","Out of stock","In stock")</f>
        <v>In stock</v>
      </c>
      <c r="M2041" s="0" t="str">
        <f aca="false">IF(D2041&lt;5,"1) Under 5%",IF(D2041&lt;10,"2) 5-9%",IF(D2041&lt;15,"3) 10-14%",IF(D2041&lt;25,"4) 15-24%","5) 25%+"))))</f>
        <v>1) Under 5%</v>
      </c>
      <c r="N2041" s="0" t="str">
        <f aca="false">IF(F2041&lt;50,"1) Under Rs 50",IF(F2041&lt;100,"2) Rs 50-99",IF(F2041&lt;200,"3) Rs 100-199",IF(F2041&lt;500,"4) Rs 200-499","5) Rs 500+"))))</f>
        <v>4) Rs 200-499</v>
      </c>
      <c r="O2041" s="0" t="n">
        <f aca="false">G2041*E2041/1000</f>
        <v>1.8</v>
      </c>
    </row>
    <row r="2042" customFormat="false" ht="15" hidden="false" customHeight="false" outlineLevel="0" collapsed="false">
      <c r="A2042" s="0" t="s">
        <v>113</v>
      </c>
      <c r="B2042" s="0" t="s">
        <v>1011</v>
      </c>
      <c r="C2042" s="0" t="n">
        <v>325</v>
      </c>
      <c r="D2042" s="0" t="n">
        <v>20</v>
      </c>
      <c r="E2042" s="0" t="n">
        <v>6</v>
      </c>
      <c r="F2042" s="0" t="n">
        <v>260</v>
      </c>
      <c r="G2042" s="0" t="n">
        <v>350</v>
      </c>
      <c r="H2042" s="0" t="s">
        <v>145</v>
      </c>
      <c r="I2042" s="0" t="n">
        <v>350</v>
      </c>
      <c r="J2042" s="0" t="n">
        <f aca="false">F2042*E2042</f>
        <v>1560</v>
      </c>
      <c r="K2042" s="0" t="str">
        <f aca="false">IF(G2042&lt;1000,"1-Low",IF(G2042&lt;5000,"2-Medium","3-Bulk"))</f>
        <v>1-Low</v>
      </c>
      <c r="L2042" s="0" t="str">
        <f aca="false">IF(H2042="TRUE","Out of stock","In stock")</f>
        <v>In stock</v>
      </c>
      <c r="M2042" s="0" t="str">
        <f aca="false">IF(D2042&lt;5,"1) Under 5%",IF(D2042&lt;10,"2) 5-9%",IF(D2042&lt;15,"3) 10-14%",IF(D2042&lt;25,"4) 15-24%","5) 25%+"))))</f>
        <v>4) 15-24%</v>
      </c>
      <c r="N2042" s="0" t="str">
        <f aca="false">IF(F2042&lt;50,"1) Under Rs 50",IF(F2042&lt;100,"2) Rs 50-99",IF(F2042&lt;200,"3) Rs 100-199",IF(F2042&lt;500,"4) Rs 200-499","5) Rs 500+"))))</f>
        <v>4) Rs 200-499</v>
      </c>
      <c r="O2042" s="0" t="n">
        <f aca="false">G2042*E2042/1000</f>
        <v>2.1</v>
      </c>
    </row>
    <row r="2043" customFormat="false" ht="15" hidden="false" customHeight="false" outlineLevel="0" collapsed="false">
      <c r="A2043" s="0" t="s">
        <v>113</v>
      </c>
      <c r="B2043" s="0" t="s">
        <v>1012</v>
      </c>
      <c r="C2043" s="0" t="n">
        <v>200</v>
      </c>
      <c r="D2043" s="0" t="n">
        <v>0</v>
      </c>
      <c r="E2043" s="0" t="n">
        <v>6</v>
      </c>
      <c r="F2043" s="0" t="n">
        <v>200</v>
      </c>
      <c r="G2043" s="0" t="n">
        <v>130</v>
      </c>
      <c r="H2043" s="0" t="s">
        <v>145</v>
      </c>
      <c r="I2043" s="0" t="n">
        <v>130</v>
      </c>
      <c r="J2043" s="0" t="n">
        <f aca="false">F2043*E2043</f>
        <v>1200</v>
      </c>
      <c r="K2043" s="0" t="str">
        <f aca="false">IF(G2043&lt;1000,"1-Low",IF(G2043&lt;5000,"2-Medium","3-Bulk"))</f>
        <v>1-Low</v>
      </c>
      <c r="L2043" s="0" t="str">
        <f aca="false">IF(H2043="TRUE","Out of stock","In stock")</f>
        <v>In stock</v>
      </c>
      <c r="M2043" s="0" t="str">
        <f aca="false">IF(D2043&lt;5,"1) Under 5%",IF(D2043&lt;10,"2) 5-9%",IF(D2043&lt;15,"3) 10-14%",IF(D2043&lt;25,"4) 15-24%","5) 25%+"))))</f>
        <v>1) Under 5%</v>
      </c>
      <c r="N2043" s="0" t="str">
        <f aca="false">IF(F2043&lt;50,"1) Under Rs 50",IF(F2043&lt;100,"2) Rs 50-99",IF(F2043&lt;200,"3) Rs 100-199",IF(F2043&lt;500,"4) Rs 200-499","5) Rs 500+"))))</f>
        <v>4) Rs 200-499</v>
      </c>
      <c r="O2043" s="0" t="n">
        <f aca="false">G2043*E2043/1000</f>
        <v>0.78</v>
      </c>
    </row>
    <row r="2044" customFormat="false" ht="15" hidden="false" customHeight="false" outlineLevel="0" collapsed="false">
      <c r="A2044" s="0" t="s">
        <v>113</v>
      </c>
      <c r="B2044" s="0" t="s">
        <v>1013</v>
      </c>
      <c r="C2044" s="0" t="n">
        <v>75</v>
      </c>
      <c r="D2044" s="0" t="n">
        <v>0</v>
      </c>
      <c r="E2044" s="0" t="n">
        <v>6</v>
      </c>
      <c r="F2044" s="0" t="n">
        <v>75</v>
      </c>
      <c r="G2044" s="0" t="n">
        <v>70</v>
      </c>
      <c r="H2044" s="0" t="s">
        <v>145</v>
      </c>
      <c r="I2044" s="0" t="n">
        <v>70</v>
      </c>
      <c r="J2044" s="0" t="n">
        <f aca="false">F2044*E2044</f>
        <v>450</v>
      </c>
      <c r="K2044" s="0" t="str">
        <f aca="false">IF(G2044&lt;1000,"1-Low",IF(G2044&lt;5000,"2-Medium","3-Bulk"))</f>
        <v>1-Low</v>
      </c>
      <c r="L2044" s="0" t="str">
        <f aca="false">IF(H2044="TRUE","Out of stock","In stock")</f>
        <v>In stock</v>
      </c>
      <c r="M2044" s="0" t="str">
        <f aca="false">IF(D2044&lt;5,"1) Under 5%",IF(D2044&lt;10,"2) 5-9%",IF(D2044&lt;15,"3) 10-14%",IF(D2044&lt;25,"4) 15-24%","5) 25%+"))))</f>
        <v>1) Under 5%</v>
      </c>
      <c r="N2044" s="0" t="str">
        <f aca="false">IF(F2044&lt;50,"1) Under Rs 50",IF(F2044&lt;100,"2) Rs 50-99",IF(F2044&lt;200,"3) Rs 100-199",IF(F2044&lt;500,"4) Rs 200-499","5) Rs 500+"))))</f>
        <v>2) Rs 50-99</v>
      </c>
      <c r="O2044" s="0" t="n">
        <f aca="false">G2044*E2044/1000</f>
        <v>0.42</v>
      </c>
    </row>
    <row r="2045" customFormat="false" ht="15" hidden="false" customHeight="false" outlineLevel="0" collapsed="false">
      <c r="A2045" s="0" t="s">
        <v>113</v>
      </c>
      <c r="B2045" s="0" t="s">
        <v>1014</v>
      </c>
      <c r="C2045" s="0" t="n">
        <v>120</v>
      </c>
      <c r="D2045" s="0" t="n">
        <v>0</v>
      </c>
      <c r="E2045" s="0" t="n">
        <v>1</v>
      </c>
      <c r="F2045" s="0" t="n">
        <v>120</v>
      </c>
      <c r="G2045" s="0" t="n">
        <v>400</v>
      </c>
      <c r="H2045" s="0" t="s">
        <v>145</v>
      </c>
      <c r="I2045" s="0" t="n">
        <v>400</v>
      </c>
      <c r="J2045" s="0" t="n">
        <f aca="false">F2045*E2045</f>
        <v>120</v>
      </c>
      <c r="K2045" s="0" t="str">
        <f aca="false">IF(G2045&lt;1000,"1-Low",IF(G2045&lt;5000,"2-Medium","3-Bulk"))</f>
        <v>1-Low</v>
      </c>
      <c r="L2045" s="0" t="str">
        <f aca="false">IF(H2045="TRUE","Out of stock","In stock")</f>
        <v>In stock</v>
      </c>
      <c r="M2045" s="0" t="str">
        <f aca="false">IF(D2045&lt;5,"1) Under 5%",IF(D2045&lt;10,"2) 5-9%",IF(D2045&lt;15,"3) 10-14%",IF(D2045&lt;25,"4) 15-24%","5) 25%+"))))</f>
        <v>1) Under 5%</v>
      </c>
      <c r="N2045" s="0" t="str">
        <f aca="false">IF(F2045&lt;50,"1) Under Rs 50",IF(F2045&lt;100,"2) Rs 50-99",IF(F2045&lt;200,"3) Rs 100-199",IF(F2045&lt;500,"4) Rs 200-499","5) Rs 500+"))))</f>
        <v>3) Rs 100-199</v>
      </c>
      <c r="O2045" s="0" t="n">
        <f aca="false">G2045*E2045/1000</f>
        <v>0.4</v>
      </c>
    </row>
    <row r="2046" customFormat="false" ht="15" hidden="false" customHeight="false" outlineLevel="0" collapsed="false">
      <c r="A2046" s="0" t="s">
        <v>113</v>
      </c>
      <c r="B2046" s="0" t="s">
        <v>1015</v>
      </c>
      <c r="C2046" s="0" t="n">
        <v>200</v>
      </c>
      <c r="D2046" s="0" t="n">
        <v>0</v>
      </c>
      <c r="E2046" s="0" t="n">
        <v>6</v>
      </c>
      <c r="F2046" s="0" t="n">
        <v>200</v>
      </c>
      <c r="G2046" s="0" t="n">
        <v>130</v>
      </c>
      <c r="H2046" s="0" t="s">
        <v>145</v>
      </c>
      <c r="I2046" s="0" t="n">
        <v>130</v>
      </c>
      <c r="J2046" s="0" t="n">
        <f aca="false">F2046*E2046</f>
        <v>1200</v>
      </c>
      <c r="K2046" s="0" t="str">
        <f aca="false">IF(G2046&lt;1000,"1-Low",IF(G2046&lt;5000,"2-Medium","3-Bulk"))</f>
        <v>1-Low</v>
      </c>
      <c r="L2046" s="0" t="str">
        <f aca="false">IF(H2046="TRUE","Out of stock","In stock")</f>
        <v>In stock</v>
      </c>
      <c r="M2046" s="0" t="str">
        <f aca="false">IF(D2046&lt;5,"1) Under 5%",IF(D2046&lt;10,"2) 5-9%",IF(D2046&lt;15,"3) 10-14%",IF(D2046&lt;25,"4) 15-24%","5) 25%+"))))</f>
        <v>1) Under 5%</v>
      </c>
      <c r="N2046" s="0" t="str">
        <f aca="false">IF(F2046&lt;50,"1) Under Rs 50",IF(F2046&lt;100,"2) Rs 50-99",IF(F2046&lt;200,"3) Rs 100-199",IF(F2046&lt;500,"4) Rs 200-499","5) Rs 500+"))))</f>
        <v>4) Rs 200-499</v>
      </c>
      <c r="O2046" s="0" t="n">
        <f aca="false">G2046*E2046/1000</f>
        <v>0.78</v>
      </c>
    </row>
    <row r="2047" customFormat="false" ht="15" hidden="false" customHeight="false" outlineLevel="0" collapsed="false">
      <c r="A2047" s="0" t="s">
        <v>113</v>
      </c>
      <c r="B2047" s="0" t="s">
        <v>1001</v>
      </c>
      <c r="C2047" s="0" t="n">
        <v>399</v>
      </c>
      <c r="D2047" s="0" t="n">
        <v>11</v>
      </c>
      <c r="E2047" s="0" t="n">
        <v>6</v>
      </c>
      <c r="F2047" s="0" t="n">
        <v>355</v>
      </c>
      <c r="G2047" s="0" t="n">
        <v>900</v>
      </c>
      <c r="H2047" s="0" t="s">
        <v>145</v>
      </c>
      <c r="I2047" s="0" t="n">
        <v>900</v>
      </c>
      <c r="J2047" s="0" t="n">
        <f aca="false">F2047*E2047</f>
        <v>2130</v>
      </c>
      <c r="K2047" s="0" t="str">
        <f aca="false">IF(G2047&lt;1000,"1-Low",IF(G2047&lt;5000,"2-Medium","3-Bulk"))</f>
        <v>1-Low</v>
      </c>
      <c r="L2047" s="0" t="str">
        <f aca="false">IF(H2047="TRUE","Out of stock","In stock")</f>
        <v>In stock</v>
      </c>
      <c r="M2047" s="0" t="str">
        <f aca="false">IF(D2047&lt;5,"1) Under 5%",IF(D2047&lt;10,"2) 5-9%",IF(D2047&lt;15,"3) 10-14%",IF(D2047&lt;25,"4) 15-24%","5) 25%+"))))</f>
        <v>3) 10-14%</v>
      </c>
      <c r="N2047" s="0" t="str">
        <f aca="false">IF(F2047&lt;50,"1) Under Rs 50",IF(F2047&lt;100,"2) Rs 50-99",IF(F2047&lt;200,"3) Rs 100-199",IF(F2047&lt;500,"4) Rs 200-499","5) Rs 500+"))))</f>
        <v>4) Rs 200-499</v>
      </c>
      <c r="O2047" s="0" t="n">
        <f aca="false">G2047*E2047/1000</f>
        <v>5.4</v>
      </c>
    </row>
    <row r="2048" customFormat="false" ht="15" hidden="false" customHeight="false" outlineLevel="0" collapsed="false">
      <c r="A2048" s="0" t="s">
        <v>113</v>
      </c>
      <c r="B2048" s="0" t="s">
        <v>1016</v>
      </c>
      <c r="C2048" s="0" t="n">
        <v>55</v>
      </c>
      <c r="D2048" s="0" t="n">
        <v>0</v>
      </c>
      <c r="E2048" s="0" t="n">
        <v>2</v>
      </c>
      <c r="F2048" s="0" t="n">
        <v>55</v>
      </c>
      <c r="G2048" s="0" t="n">
        <v>42</v>
      </c>
      <c r="H2048" s="0" t="s">
        <v>145</v>
      </c>
      <c r="I2048" s="0" t="n">
        <v>42</v>
      </c>
      <c r="J2048" s="0" t="n">
        <f aca="false">F2048*E2048</f>
        <v>110</v>
      </c>
      <c r="K2048" s="0" t="str">
        <f aca="false">IF(G2048&lt;1000,"1-Low",IF(G2048&lt;5000,"2-Medium","3-Bulk"))</f>
        <v>1-Low</v>
      </c>
      <c r="L2048" s="0" t="str">
        <f aca="false">IF(H2048="TRUE","Out of stock","In stock")</f>
        <v>In stock</v>
      </c>
      <c r="M2048" s="0" t="str">
        <f aca="false">IF(D2048&lt;5,"1) Under 5%",IF(D2048&lt;10,"2) 5-9%",IF(D2048&lt;15,"3) 10-14%",IF(D2048&lt;25,"4) 15-24%","5) 25%+"))))</f>
        <v>1) Under 5%</v>
      </c>
      <c r="N2048" s="0" t="str">
        <f aca="false">IF(F2048&lt;50,"1) Under Rs 50",IF(F2048&lt;100,"2) Rs 50-99",IF(F2048&lt;200,"3) Rs 100-199",IF(F2048&lt;500,"4) Rs 200-499","5) Rs 500+"))))</f>
        <v>2) Rs 50-99</v>
      </c>
      <c r="O2048" s="0" t="n">
        <f aca="false">G2048*E2048/1000</f>
        <v>0.084</v>
      </c>
    </row>
    <row r="2049" customFormat="false" ht="15" hidden="false" customHeight="false" outlineLevel="0" collapsed="false">
      <c r="A2049" s="0" t="s">
        <v>113</v>
      </c>
      <c r="B2049" s="0" t="s">
        <v>1017</v>
      </c>
      <c r="C2049" s="0" t="n">
        <v>55</v>
      </c>
      <c r="D2049" s="0" t="n">
        <v>0</v>
      </c>
      <c r="E2049" s="0" t="n">
        <v>6</v>
      </c>
      <c r="F2049" s="0" t="n">
        <v>55</v>
      </c>
      <c r="G2049" s="0" t="n">
        <v>55</v>
      </c>
      <c r="H2049" s="0" t="s">
        <v>145</v>
      </c>
      <c r="I2049" s="0" t="n">
        <v>55</v>
      </c>
      <c r="J2049" s="0" t="n">
        <f aca="false">F2049*E2049</f>
        <v>330</v>
      </c>
      <c r="K2049" s="0" t="str">
        <f aca="false">IF(G2049&lt;1000,"1-Low",IF(G2049&lt;5000,"2-Medium","3-Bulk"))</f>
        <v>1-Low</v>
      </c>
      <c r="L2049" s="0" t="str">
        <f aca="false">IF(H2049="TRUE","Out of stock","In stock")</f>
        <v>In stock</v>
      </c>
      <c r="M2049" s="0" t="str">
        <f aca="false">IF(D2049&lt;5,"1) Under 5%",IF(D2049&lt;10,"2) 5-9%",IF(D2049&lt;15,"3) 10-14%",IF(D2049&lt;25,"4) 15-24%","5) 25%+"))))</f>
        <v>1) Under 5%</v>
      </c>
      <c r="N2049" s="0" t="str">
        <f aca="false">IF(F2049&lt;50,"1) Under Rs 50",IF(F2049&lt;100,"2) Rs 50-99",IF(F2049&lt;200,"3) Rs 100-199",IF(F2049&lt;500,"4) Rs 200-499","5) Rs 500+"))))</f>
        <v>2) Rs 50-99</v>
      </c>
      <c r="O2049" s="0" t="n">
        <f aca="false">G2049*E2049/1000</f>
        <v>0.33</v>
      </c>
    </row>
    <row r="2050" customFormat="false" ht="15" hidden="false" customHeight="false" outlineLevel="0" collapsed="false">
      <c r="A2050" s="0" t="s">
        <v>113</v>
      </c>
      <c r="B2050" s="0" t="s">
        <v>778</v>
      </c>
      <c r="C2050" s="0" t="n">
        <v>169</v>
      </c>
      <c r="D2050" s="0" t="n">
        <v>0</v>
      </c>
      <c r="E2050" s="0" t="n">
        <v>1</v>
      </c>
      <c r="F2050" s="0" t="n">
        <v>169</v>
      </c>
      <c r="G2050" s="0" t="n">
        <v>400</v>
      </c>
      <c r="H2050" s="0" t="s">
        <v>145</v>
      </c>
      <c r="I2050" s="0" t="n">
        <v>400</v>
      </c>
      <c r="J2050" s="0" t="n">
        <f aca="false">F2050*E2050</f>
        <v>169</v>
      </c>
      <c r="K2050" s="0" t="str">
        <f aca="false">IF(G2050&lt;1000,"1-Low",IF(G2050&lt;5000,"2-Medium","3-Bulk"))</f>
        <v>1-Low</v>
      </c>
      <c r="L2050" s="0" t="str">
        <f aca="false">IF(H2050="TRUE","Out of stock","In stock")</f>
        <v>In stock</v>
      </c>
      <c r="M2050" s="0" t="str">
        <f aca="false">IF(D2050&lt;5,"1) Under 5%",IF(D2050&lt;10,"2) 5-9%",IF(D2050&lt;15,"3) 10-14%",IF(D2050&lt;25,"4) 15-24%","5) 25%+"))))</f>
        <v>1) Under 5%</v>
      </c>
      <c r="N2050" s="0" t="str">
        <f aca="false">IF(F2050&lt;50,"1) Under Rs 50",IF(F2050&lt;100,"2) Rs 50-99",IF(F2050&lt;200,"3) Rs 100-199",IF(F2050&lt;500,"4) Rs 200-499","5) Rs 500+"))))</f>
        <v>3) Rs 100-199</v>
      </c>
      <c r="O2050" s="0" t="n">
        <f aca="false">G2050*E2050/1000</f>
        <v>0.4</v>
      </c>
    </row>
    <row r="2051" customFormat="false" ht="15" hidden="false" customHeight="false" outlineLevel="0" collapsed="false">
      <c r="A2051" s="0" t="s">
        <v>113</v>
      </c>
      <c r="B2051" s="0" t="s">
        <v>130</v>
      </c>
      <c r="C2051" s="0" t="n">
        <v>295</v>
      </c>
      <c r="D2051" s="0" t="n">
        <v>9</v>
      </c>
      <c r="E2051" s="0" t="n">
        <v>6</v>
      </c>
      <c r="F2051" s="0" t="n">
        <v>266</v>
      </c>
      <c r="G2051" s="0" t="n">
        <v>250</v>
      </c>
      <c r="H2051" s="0" t="s">
        <v>145</v>
      </c>
      <c r="I2051" s="0" t="n">
        <v>250</v>
      </c>
      <c r="J2051" s="0" t="n">
        <f aca="false">F2051*E2051</f>
        <v>1596</v>
      </c>
      <c r="K2051" s="0" t="str">
        <f aca="false">IF(G2051&lt;1000,"1-Low",IF(G2051&lt;5000,"2-Medium","3-Bulk"))</f>
        <v>1-Low</v>
      </c>
      <c r="L2051" s="0" t="str">
        <f aca="false">IF(H2051="TRUE","Out of stock","In stock")</f>
        <v>In stock</v>
      </c>
      <c r="M2051" s="0" t="str">
        <f aca="false">IF(D2051&lt;5,"1) Under 5%",IF(D2051&lt;10,"2) 5-9%",IF(D2051&lt;15,"3) 10-14%",IF(D2051&lt;25,"4) 15-24%","5) 25%+"))))</f>
        <v>2) 5-9%</v>
      </c>
      <c r="N2051" s="0" t="str">
        <f aca="false">IF(F2051&lt;50,"1) Under Rs 50",IF(F2051&lt;100,"2) Rs 50-99",IF(F2051&lt;200,"3) Rs 100-199",IF(F2051&lt;500,"4) Rs 200-499","5) Rs 500+"))))</f>
        <v>4) Rs 200-499</v>
      </c>
      <c r="O2051" s="0" t="n">
        <f aca="false">G2051*E2051/1000</f>
        <v>1.5</v>
      </c>
    </row>
    <row r="2052" customFormat="false" ht="15" hidden="false" customHeight="false" outlineLevel="0" collapsed="false">
      <c r="A2052" s="0" t="s">
        <v>113</v>
      </c>
      <c r="B2052" s="0" t="s">
        <v>1018</v>
      </c>
      <c r="C2052" s="0" t="n">
        <v>320</v>
      </c>
      <c r="D2052" s="0" t="n">
        <v>10</v>
      </c>
      <c r="E2052" s="0" t="n">
        <v>5</v>
      </c>
      <c r="F2052" s="0" t="n">
        <v>288</v>
      </c>
      <c r="G2052" s="0" t="n">
        <v>500</v>
      </c>
      <c r="H2052" s="0" t="s">
        <v>145</v>
      </c>
      <c r="I2052" s="0" t="n">
        <v>500</v>
      </c>
      <c r="J2052" s="0" t="n">
        <f aca="false">F2052*E2052</f>
        <v>1440</v>
      </c>
      <c r="K2052" s="0" t="str">
        <f aca="false">IF(G2052&lt;1000,"1-Low",IF(G2052&lt;5000,"2-Medium","3-Bulk"))</f>
        <v>1-Low</v>
      </c>
      <c r="L2052" s="0" t="str">
        <f aca="false">IF(H2052="TRUE","Out of stock","In stock")</f>
        <v>In stock</v>
      </c>
      <c r="M2052" s="0" t="str">
        <f aca="false">IF(D2052&lt;5,"1) Under 5%",IF(D2052&lt;10,"2) 5-9%",IF(D2052&lt;15,"3) 10-14%",IF(D2052&lt;25,"4) 15-24%","5) 25%+"))))</f>
        <v>3) 10-14%</v>
      </c>
      <c r="N2052" s="0" t="str">
        <f aca="false">IF(F2052&lt;50,"1) Under Rs 50",IF(F2052&lt;100,"2) Rs 50-99",IF(F2052&lt;200,"3) Rs 100-199",IF(F2052&lt;500,"4) Rs 200-499","5) Rs 500+"))))</f>
        <v>4) Rs 200-499</v>
      </c>
      <c r="O2052" s="0" t="n">
        <f aca="false">G2052*E2052/1000</f>
        <v>2.5</v>
      </c>
    </row>
    <row r="2053" customFormat="false" ht="15" hidden="false" customHeight="false" outlineLevel="0" collapsed="false">
      <c r="A2053" s="0" t="s">
        <v>113</v>
      </c>
      <c r="B2053" s="0" t="s">
        <v>1019</v>
      </c>
      <c r="C2053" s="0" t="n">
        <v>65</v>
      </c>
      <c r="D2053" s="0" t="n">
        <v>6</v>
      </c>
      <c r="E2053" s="0" t="n">
        <v>6</v>
      </c>
      <c r="F2053" s="0" t="n">
        <v>61</v>
      </c>
      <c r="G2053" s="0" t="n">
        <v>200</v>
      </c>
      <c r="H2053" s="0" t="s">
        <v>145</v>
      </c>
      <c r="I2053" s="0" t="n">
        <v>200</v>
      </c>
      <c r="J2053" s="0" t="n">
        <f aca="false">F2053*E2053</f>
        <v>366</v>
      </c>
      <c r="K2053" s="0" t="str">
        <f aca="false">IF(G2053&lt;1000,"1-Low",IF(G2053&lt;5000,"2-Medium","3-Bulk"))</f>
        <v>1-Low</v>
      </c>
      <c r="L2053" s="0" t="str">
        <f aca="false">IF(H2053="TRUE","Out of stock","In stock")</f>
        <v>In stock</v>
      </c>
      <c r="M2053" s="0" t="str">
        <f aca="false">IF(D2053&lt;5,"1) Under 5%",IF(D2053&lt;10,"2) 5-9%",IF(D2053&lt;15,"3) 10-14%",IF(D2053&lt;25,"4) 15-24%","5) 25%+"))))</f>
        <v>2) 5-9%</v>
      </c>
      <c r="N2053" s="0" t="str">
        <f aca="false">IF(F2053&lt;50,"1) Under Rs 50",IF(F2053&lt;100,"2) Rs 50-99",IF(F2053&lt;200,"3) Rs 100-199",IF(F2053&lt;500,"4) Rs 200-499","5) Rs 500+"))))</f>
        <v>2) Rs 50-99</v>
      </c>
      <c r="O2053" s="0" t="n">
        <f aca="false">G2053*E2053/1000</f>
        <v>1.2</v>
      </c>
    </row>
    <row r="2054" customFormat="false" ht="15" hidden="false" customHeight="false" outlineLevel="0" collapsed="false">
      <c r="A2054" s="0" t="s">
        <v>113</v>
      </c>
      <c r="B2054" s="0" t="s">
        <v>1020</v>
      </c>
      <c r="C2054" s="0" t="n">
        <v>110</v>
      </c>
      <c r="D2054" s="0" t="n">
        <v>30</v>
      </c>
      <c r="E2054" s="0" t="n">
        <v>1</v>
      </c>
      <c r="F2054" s="0" t="n">
        <v>77</v>
      </c>
      <c r="G2054" s="0" t="n">
        <v>285</v>
      </c>
      <c r="H2054" s="0" t="s">
        <v>145</v>
      </c>
      <c r="I2054" s="0" t="n">
        <v>285</v>
      </c>
      <c r="J2054" s="0" t="n">
        <f aca="false">F2054*E2054</f>
        <v>77</v>
      </c>
      <c r="K2054" s="0" t="str">
        <f aca="false">IF(G2054&lt;1000,"1-Low",IF(G2054&lt;5000,"2-Medium","3-Bulk"))</f>
        <v>1-Low</v>
      </c>
      <c r="L2054" s="0" t="str">
        <f aca="false">IF(H2054="TRUE","Out of stock","In stock")</f>
        <v>In stock</v>
      </c>
      <c r="M2054" s="0" t="str">
        <f aca="false">IF(D2054&lt;5,"1) Under 5%",IF(D2054&lt;10,"2) 5-9%",IF(D2054&lt;15,"3) 10-14%",IF(D2054&lt;25,"4) 15-24%","5) 25%+"))))</f>
        <v>5) 25%+</v>
      </c>
      <c r="N2054" s="0" t="str">
        <f aca="false">IF(F2054&lt;50,"1) Under Rs 50",IF(F2054&lt;100,"2) Rs 50-99",IF(F2054&lt;200,"3) Rs 100-199",IF(F2054&lt;500,"4) Rs 200-499","5) Rs 500+"))))</f>
        <v>2) Rs 50-99</v>
      </c>
      <c r="O2054" s="0" t="n">
        <f aca="false">G2054*E2054/1000</f>
        <v>0.285</v>
      </c>
    </row>
    <row r="2055" customFormat="false" ht="15" hidden="false" customHeight="false" outlineLevel="0" collapsed="false">
      <c r="A2055" s="0" t="s">
        <v>113</v>
      </c>
      <c r="B2055" s="0" t="s">
        <v>1013</v>
      </c>
      <c r="C2055" s="0" t="n">
        <v>55</v>
      </c>
      <c r="D2055" s="0" t="n">
        <v>30</v>
      </c>
      <c r="E2055" s="0" t="n">
        <v>6</v>
      </c>
      <c r="F2055" s="0" t="n">
        <v>38</v>
      </c>
      <c r="G2055" s="0" t="n">
        <v>80</v>
      </c>
      <c r="H2055" s="0" t="s">
        <v>145</v>
      </c>
      <c r="I2055" s="0" t="n">
        <v>80</v>
      </c>
      <c r="J2055" s="0" t="n">
        <f aca="false">F2055*E2055</f>
        <v>228</v>
      </c>
      <c r="K2055" s="0" t="str">
        <f aca="false">IF(G2055&lt;1000,"1-Low",IF(G2055&lt;5000,"2-Medium","3-Bulk"))</f>
        <v>1-Low</v>
      </c>
      <c r="L2055" s="0" t="str">
        <f aca="false">IF(H2055="TRUE","Out of stock","In stock")</f>
        <v>In stock</v>
      </c>
      <c r="M2055" s="0" t="str">
        <f aca="false">IF(D2055&lt;5,"1) Under 5%",IF(D2055&lt;10,"2) 5-9%",IF(D2055&lt;15,"3) 10-14%",IF(D2055&lt;25,"4) 15-24%","5) 25%+"))))</f>
        <v>5) 25%+</v>
      </c>
      <c r="N2055" s="0" t="str">
        <f aca="false">IF(F2055&lt;50,"1) Under Rs 50",IF(F2055&lt;100,"2) Rs 50-99",IF(F2055&lt;200,"3) Rs 100-199",IF(F2055&lt;500,"4) Rs 200-499","5) Rs 500+"))))</f>
        <v>1) Under Rs 50</v>
      </c>
      <c r="O2055" s="0" t="n">
        <f aca="false">G2055*E2055/1000</f>
        <v>0.48</v>
      </c>
    </row>
    <row r="2056" customFormat="false" ht="15" hidden="false" customHeight="false" outlineLevel="0" collapsed="false">
      <c r="A2056" s="0" t="s">
        <v>113</v>
      </c>
      <c r="B2056" s="0" t="s">
        <v>1021</v>
      </c>
      <c r="C2056" s="0" t="n">
        <v>55</v>
      </c>
      <c r="D2056" s="0" t="n">
        <v>0</v>
      </c>
      <c r="E2056" s="0" t="n">
        <v>3</v>
      </c>
      <c r="F2056" s="0" t="n">
        <v>55</v>
      </c>
      <c r="G2056" s="0" t="n">
        <v>190</v>
      </c>
      <c r="H2056" s="0" t="s">
        <v>145</v>
      </c>
      <c r="I2056" s="0" t="n">
        <v>190</v>
      </c>
      <c r="J2056" s="0" t="n">
        <f aca="false">F2056*E2056</f>
        <v>165</v>
      </c>
      <c r="K2056" s="0" t="str">
        <f aca="false">IF(G2056&lt;1000,"1-Low",IF(G2056&lt;5000,"2-Medium","3-Bulk"))</f>
        <v>1-Low</v>
      </c>
      <c r="L2056" s="0" t="str">
        <f aca="false">IF(H2056="TRUE","Out of stock","In stock")</f>
        <v>In stock</v>
      </c>
      <c r="M2056" s="0" t="str">
        <f aca="false">IF(D2056&lt;5,"1) Under 5%",IF(D2056&lt;10,"2) 5-9%",IF(D2056&lt;15,"3) 10-14%",IF(D2056&lt;25,"4) 15-24%","5) 25%+"))))</f>
        <v>1) Under 5%</v>
      </c>
      <c r="N2056" s="0" t="str">
        <f aca="false">IF(F2056&lt;50,"1) Under Rs 50",IF(F2056&lt;100,"2) Rs 50-99",IF(F2056&lt;200,"3) Rs 100-199",IF(F2056&lt;500,"4) Rs 200-499","5) Rs 500+"))))</f>
        <v>2) Rs 50-99</v>
      </c>
      <c r="O2056" s="0" t="n">
        <f aca="false">G2056*E2056/1000</f>
        <v>0.57</v>
      </c>
    </row>
    <row r="2057" customFormat="false" ht="15" hidden="false" customHeight="false" outlineLevel="0" collapsed="false">
      <c r="A2057" s="0" t="s">
        <v>113</v>
      </c>
      <c r="B2057" s="0" t="s">
        <v>1022</v>
      </c>
      <c r="C2057" s="0" t="n">
        <v>660</v>
      </c>
      <c r="D2057" s="0" t="n">
        <v>10</v>
      </c>
      <c r="E2057" s="0" t="n">
        <v>1</v>
      </c>
      <c r="F2057" s="0" t="n">
        <v>594</v>
      </c>
      <c r="G2057" s="0" t="n">
        <v>3000</v>
      </c>
      <c r="H2057" s="0" t="s">
        <v>145</v>
      </c>
      <c r="I2057" s="0" t="n">
        <v>3</v>
      </c>
      <c r="J2057" s="0" t="n">
        <f aca="false">F2057*E2057</f>
        <v>594</v>
      </c>
      <c r="K2057" s="0" t="str">
        <f aca="false">IF(G2057&lt;1000,"1-Low",IF(G2057&lt;5000,"2-Medium","3-Bulk"))</f>
        <v>2-Medium</v>
      </c>
      <c r="L2057" s="0" t="str">
        <f aca="false">IF(H2057="TRUE","Out of stock","In stock")</f>
        <v>In stock</v>
      </c>
      <c r="M2057" s="0" t="str">
        <f aca="false">IF(D2057&lt;5,"1) Under 5%",IF(D2057&lt;10,"2) 5-9%",IF(D2057&lt;15,"3) 10-14%",IF(D2057&lt;25,"4) 15-24%","5) 25%+"))))</f>
        <v>3) 10-14%</v>
      </c>
      <c r="N2057" s="0" t="str">
        <f aca="false">IF(F2057&lt;50,"1) Under Rs 50",IF(F2057&lt;100,"2) Rs 50-99",IF(F2057&lt;200,"3) Rs 100-199",IF(F2057&lt;500,"4) Rs 200-499","5) Rs 500+"))))</f>
        <v>5) Rs 500+</v>
      </c>
      <c r="O2057" s="0" t="n">
        <f aca="false">G2057*E2057/1000</f>
        <v>3</v>
      </c>
    </row>
    <row r="2058" customFormat="false" ht="15" hidden="false" customHeight="false" outlineLevel="0" collapsed="false">
      <c r="A2058" s="0" t="s">
        <v>113</v>
      </c>
      <c r="B2058" s="0" t="s">
        <v>127</v>
      </c>
      <c r="C2058" s="0" t="n">
        <v>185</v>
      </c>
      <c r="D2058" s="0" t="n">
        <v>5</v>
      </c>
      <c r="E2058" s="0" t="n">
        <v>6</v>
      </c>
      <c r="F2058" s="0" t="n">
        <v>175</v>
      </c>
      <c r="G2058" s="0" t="n">
        <v>475</v>
      </c>
      <c r="H2058" s="0" t="s">
        <v>145</v>
      </c>
      <c r="I2058" s="0" t="n">
        <v>475</v>
      </c>
      <c r="J2058" s="0" t="n">
        <f aca="false">F2058*E2058</f>
        <v>1050</v>
      </c>
      <c r="K2058" s="0" t="str">
        <f aca="false">IF(G2058&lt;1000,"1-Low",IF(G2058&lt;5000,"2-Medium","3-Bulk"))</f>
        <v>1-Low</v>
      </c>
      <c r="L2058" s="0" t="str">
        <f aca="false">IF(H2058="TRUE","Out of stock","In stock")</f>
        <v>In stock</v>
      </c>
      <c r="M2058" s="0" t="str">
        <f aca="false">IF(D2058&lt;5,"1) Under 5%",IF(D2058&lt;10,"2) 5-9%",IF(D2058&lt;15,"3) 10-14%",IF(D2058&lt;25,"4) 15-24%","5) 25%+"))))</f>
        <v>2) 5-9%</v>
      </c>
      <c r="N2058" s="0" t="str">
        <f aca="false">IF(F2058&lt;50,"1) Under Rs 50",IF(F2058&lt;100,"2) Rs 50-99",IF(F2058&lt;200,"3) Rs 100-199",IF(F2058&lt;500,"4) Rs 200-499","5) Rs 500+"))))</f>
        <v>3) Rs 100-199</v>
      </c>
      <c r="O2058" s="0" t="n">
        <f aca="false">G2058*E2058/1000</f>
        <v>2.85</v>
      </c>
    </row>
    <row r="2059" customFormat="false" ht="15" hidden="false" customHeight="false" outlineLevel="0" collapsed="false">
      <c r="A2059" s="0" t="s">
        <v>113</v>
      </c>
      <c r="B2059" s="0" t="s">
        <v>128</v>
      </c>
      <c r="C2059" s="0" t="n">
        <v>690</v>
      </c>
      <c r="D2059" s="0" t="n">
        <v>6</v>
      </c>
      <c r="E2059" s="0" t="n">
        <v>2</v>
      </c>
      <c r="F2059" s="0" t="n">
        <v>648</v>
      </c>
      <c r="G2059" s="0" t="n">
        <v>3000</v>
      </c>
      <c r="H2059" s="0" t="s">
        <v>145</v>
      </c>
      <c r="I2059" s="0" t="n">
        <v>3</v>
      </c>
      <c r="J2059" s="0" t="n">
        <f aca="false">F2059*E2059</f>
        <v>1296</v>
      </c>
      <c r="K2059" s="0" t="str">
        <f aca="false">IF(G2059&lt;1000,"1-Low",IF(G2059&lt;5000,"2-Medium","3-Bulk"))</f>
        <v>2-Medium</v>
      </c>
      <c r="L2059" s="0" t="str">
        <f aca="false">IF(H2059="TRUE","Out of stock","In stock")</f>
        <v>In stock</v>
      </c>
      <c r="M2059" s="0" t="str">
        <f aca="false">IF(D2059&lt;5,"1) Under 5%",IF(D2059&lt;10,"2) 5-9%",IF(D2059&lt;15,"3) 10-14%",IF(D2059&lt;25,"4) 15-24%","5) 25%+"))))</f>
        <v>2) 5-9%</v>
      </c>
      <c r="N2059" s="0" t="str">
        <f aca="false">IF(F2059&lt;50,"1) Under Rs 50",IF(F2059&lt;100,"2) Rs 50-99",IF(F2059&lt;200,"3) Rs 100-199",IF(F2059&lt;500,"4) Rs 200-499","5) Rs 500+"))))</f>
        <v>5) Rs 500+</v>
      </c>
      <c r="O2059" s="0" t="n">
        <f aca="false">G2059*E2059/1000</f>
        <v>6</v>
      </c>
    </row>
    <row r="2060" customFormat="false" ht="15" hidden="false" customHeight="false" outlineLevel="0" collapsed="false">
      <c r="A2060" s="0" t="s">
        <v>113</v>
      </c>
      <c r="B2060" s="0" t="s">
        <v>1023</v>
      </c>
      <c r="C2060" s="0" t="n">
        <v>110</v>
      </c>
      <c r="D2060" s="0" t="n">
        <v>30</v>
      </c>
      <c r="E2060" s="0" t="n">
        <v>5</v>
      </c>
      <c r="F2060" s="0" t="n">
        <v>77</v>
      </c>
      <c r="G2060" s="0" t="n">
        <v>285</v>
      </c>
      <c r="H2060" s="0" t="s">
        <v>145</v>
      </c>
      <c r="I2060" s="0" t="n">
        <v>285</v>
      </c>
      <c r="J2060" s="0" t="n">
        <f aca="false">F2060*E2060</f>
        <v>385</v>
      </c>
      <c r="K2060" s="0" t="str">
        <f aca="false">IF(G2060&lt;1000,"1-Low",IF(G2060&lt;5000,"2-Medium","3-Bulk"))</f>
        <v>1-Low</v>
      </c>
      <c r="L2060" s="0" t="str">
        <f aca="false">IF(H2060="TRUE","Out of stock","In stock")</f>
        <v>In stock</v>
      </c>
      <c r="M2060" s="0" t="str">
        <f aca="false">IF(D2060&lt;5,"1) Under 5%",IF(D2060&lt;10,"2) 5-9%",IF(D2060&lt;15,"3) 10-14%",IF(D2060&lt;25,"4) 15-24%","5) 25%+"))))</f>
        <v>5) 25%+</v>
      </c>
      <c r="N2060" s="0" t="str">
        <f aca="false">IF(F2060&lt;50,"1) Under Rs 50",IF(F2060&lt;100,"2) Rs 50-99",IF(F2060&lt;200,"3) Rs 100-199",IF(F2060&lt;500,"4) Rs 200-499","5) Rs 500+"))))</f>
        <v>2) Rs 50-99</v>
      </c>
      <c r="O2060" s="0" t="n">
        <f aca="false">G2060*E2060/1000</f>
        <v>1.425</v>
      </c>
    </row>
    <row r="2061" customFormat="false" ht="15" hidden="false" customHeight="false" outlineLevel="0" collapsed="false">
      <c r="A2061" s="0" t="s">
        <v>113</v>
      </c>
      <c r="B2061" s="0" t="s">
        <v>1024</v>
      </c>
      <c r="C2061" s="0" t="n">
        <v>110</v>
      </c>
      <c r="D2061" s="0" t="n">
        <v>30</v>
      </c>
      <c r="E2061" s="0" t="n">
        <v>2</v>
      </c>
      <c r="F2061" s="0" t="n">
        <v>77</v>
      </c>
      <c r="G2061" s="0" t="n">
        <v>285</v>
      </c>
      <c r="H2061" s="0" t="s">
        <v>145</v>
      </c>
      <c r="I2061" s="0" t="n">
        <v>285</v>
      </c>
      <c r="J2061" s="0" t="n">
        <f aca="false">F2061*E2061</f>
        <v>154</v>
      </c>
      <c r="K2061" s="0" t="str">
        <f aca="false">IF(G2061&lt;1000,"1-Low",IF(G2061&lt;5000,"2-Medium","3-Bulk"))</f>
        <v>1-Low</v>
      </c>
      <c r="L2061" s="0" t="str">
        <f aca="false">IF(H2061="TRUE","Out of stock","In stock")</f>
        <v>In stock</v>
      </c>
      <c r="M2061" s="0" t="str">
        <f aca="false">IF(D2061&lt;5,"1) Under 5%",IF(D2061&lt;10,"2) 5-9%",IF(D2061&lt;15,"3) 10-14%",IF(D2061&lt;25,"4) 15-24%","5) 25%+"))))</f>
        <v>5) 25%+</v>
      </c>
      <c r="N2061" s="0" t="str">
        <f aca="false">IF(F2061&lt;50,"1) Under Rs 50",IF(F2061&lt;100,"2) Rs 50-99",IF(F2061&lt;200,"3) Rs 100-199",IF(F2061&lt;500,"4) Rs 200-499","5) Rs 500+"))))</f>
        <v>2) Rs 50-99</v>
      </c>
      <c r="O2061" s="0" t="n">
        <f aca="false">G2061*E2061/1000</f>
        <v>0.57</v>
      </c>
    </row>
    <row r="2062" customFormat="false" ht="15" hidden="false" customHeight="false" outlineLevel="0" collapsed="false">
      <c r="A2062" s="0" t="s">
        <v>113</v>
      </c>
      <c r="B2062" s="0" t="s">
        <v>1025</v>
      </c>
      <c r="C2062" s="0" t="n">
        <v>179</v>
      </c>
      <c r="D2062" s="0" t="n">
        <v>0</v>
      </c>
      <c r="E2062" s="0" t="n">
        <v>6</v>
      </c>
      <c r="F2062" s="0" t="n">
        <v>179</v>
      </c>
      <c r="G2062" s="0" t="n">
        <v>450</v>
      </c>
      <c r="H2062" s="0" t="s">
        <v>145</v>
      </c>
      <c r="I2062" s="0" t="n">
        <v>450</v>
      </c>
      <c r="J2062" s="0" t="n">
        <f aca="false">F2062*E2062</f>
        <v>1074</v>
      </c>
      <c r="K2062" s="0" t="str">
        <f aca="false">IF(G2062&lt;1000,"1-Low",IF(G2062&lt;5000,"2-Medium","3-Bulk"))</f>
        <v>1-Low</v>
      </c>
      <c r="L2062" s="0" t="str">
        <f aca="false">IF(H2062="TRUE","Out of stock","In stock")</f>
        <v>In stock</v>
      </c>
      <c r="M2062" s="0" t="str">
        <f aca="false">IF(D2062&lt;5,"1) Under 5%",IF(D2062&lt;10,"2) 5-9%",IF(D2062&lt;15,"3) 10-14%",IF(D2062&lt;25,"4) 15-24%","5) 25%+"))))</f>
        <v>1) Under 5%</v>
      </c>
      <c r="N2062" s="0" t="str">
        <f aca="false">IF(F2062&lt;50,"1) Under Rs 50",IF(F2062&lt;100,"2) Rs 50-99",IF(F2062&lt;200,"3) Rs 100-199",IF(F2062&lt;500,"4) Rs 200-499","5) Rs 500+"))))</f>
        <v>3) Rs 100-199</v>
      </c>
      <c r="O2062" s="0" t="n">
        <f aca="false">G2062*E2062/1000</f>
        <v>2.7</v>
      </c>
    </row>
    <row r="2063" customFormat="false" ht="15" hidden="false" customHeight="false" outlineLevel="0" collapsed="false">
      <c r="A2063" s="0" t="s">
        <v>113</v>
      </c>
      <c r="B2063" s="0" t="s">
        <v>1026</v>
      </c>
      <c r="C2063" s="0" t="n">
        <v>140</v>
      </c>
      <c r="D2063" s="0" t="n">
        <v>15</v>
      </c>
      <c r="E2063" s="0" t="n">
        <v>6</v>
      </c>
      <c r="F2063" s="0" t="n">
        <v>119</v>
      </c>
      <c r="G2063" s="0" t="n">
        <v>60</v>
      </c>
      <c r="H2063" s="0" t="s">
        <v>145</v>
      </c>
      <c r="I2063" s="0" t="n">
        <v>60</v>
      </c>
      <c r="J2063" s="0" t="n">
        <f aca="false">F2063*E2063</f>
        <v>714</v>
      </c>
      <c r="K2063" s="0" t="str">
        <f aca="false">IF(G2063&lt;1000,"1-Low",IF(G2063&lt;5000,"2-Medium","3-Bulk"))</f>
        <v>1-Low</v>
      </c>
      <c r="L2063" s="0" t="str">
        <f aca="false">IF(H2063="TRUE","Out of stock","In stock")</f>
        <v>In stock</v>
      </c>
      <c r="M2063" s="0" t="str">
        <f aca="false">IF(D2063&lt;5,"1) Under 5%",IF(D2063&lt;10,"2) 5-9%",IF(D2063&lt;15,"3) 10-14%",IF(D2063&lt;25,"4) 15-24%","5) 25%+"))))</f>
        <v>4) 15-24%</v>
      </c>
      <c r="N2063" s="0" t="str">
        <f aca="false">IF(F2063&lt;50,"1) Under Rs 50",IF(F2063&lt;100,"2) Rs 50-99",IF(F2063&lt;200,"3) Rs 100-199",IF(F2063&lt;500,"4) Rs 200-499","5) Rs 500+"))))</f>
        <v>3) Rs 100-199</v>
      </c>
      <c r="O2063" s="0" t="n">
        <f aca="false">G2063*E2063/1000</f>
        <v>0.36</v>
      </c>
    </row>
    <row r="2064" customFormat="false" ht="15" hidden="false" customHeight="false" outlineLevel="0" collapsed="false">
      <c r="A2064" s="0" t="s">
        <v>113</v>
      </c>
      <c r="B2064" s="0" t="s">
        <v>1027</v>
      </c>
      <c r="C2064" s="0" t="n">
        <v>149</v>
      </c>
      <c r="D2064" s="0" t="n">
        <v>26</v>
      </c>
      <c r="E2064" s="0" t="n">
        <v>6</v>
      </c>
      <c r="F2064" s="0" t="n">
        <v>109</v>
      </c>
      <c r="G2064" s="0" t="n">
        <v>500</v>
      </c>
      <c r="H2064" s="0" t="s">
        <v>145</v>
      </c>
      <c r="I2064" s="0" t="n">
        <v>500</v>
      </c>
      <c r="J2064" s="0" t="n">
        <f aca="false">F2064*E2064</f>
        <v>654</v>
      </c>
      <c r="K2064" s="0" t="str">
        <f aca="false">IF(G2064&lt;1000,"1-Low",IF(G2064&lt;5000,"2-Medium","3-Bulk"))</f>
        <v>1-Low</v>
      </c>
      <c r="L2064" s="0" t="str">
        <f aca="false">IF(H2064="TRUE","Out of stock","In stock")</f>
        <v>In stock</v>
      </c>
      <c r="M2064" s="0" t="str">
        <f aca="false">IF(D2064&lt;5,"1) Under 5%",IF(D2064&lt;10,"2) 5-9%",IF(D2064&lt;15,"3) 10-14%",IF(D2064&lt;25,"4) 15-24%","5) 25%+"))))</f>
        <v>5) 25%+</v>
      </c>
      <c r="N2064" s="0" t="str">
        <f aca="false">IF(F2064&lt;50,"1) Under Rs 50",IF(F2064&lt;100,"2) Rs 50-99",IF(F2064&lt;200,"3) Rs 100-199",IF(F2064&lt;500,"4) Rs 200-499","5) Rs 500+"))))</f>
        <v>3) Rs 100-199</v>
      </c>
      <c r="O2064" s="0" t="n">
        <f aca="false">G2064*E2064/1000</f>
        <v>3</v>
      </c>
    </row>
    <row r="2065" customFormat="false" ht="15" hidden="false" customHeight="false" outlineLevel="0" collapsed="false">
      <c r="A2065" s="0" t="s">
        <v>113</v>
      </c>
      <c r="B2065" s="0" t="s">
        <v>1028</v>
      </c>
      <c r="C2065" s="0" t="n">
        <v>279</v>
      </c>
      <c r="D2065" s="0" t="n">
        <v>0</v>
      </c>
      <c r="E2065" s="0" t="n">
        <v>5</v>
      </c>
      <c r="F2065" s="0" t="n">
        <v>279</v>
      </c>
      <c r="G2065" s="0" t="n">
        <v>300</v>
      </c>
      <c r="H2065" s="0" t="s">
        <v>145</v>
      </c>
      <c r="I2065" s="0" t="n">
        <v>300</v>
      </c>
      <c r="J2065" s="0" t="n">
        <f aca="false">F2065*E2065</f>
        <v>1395</v>
      </c>
      <c r="K2065" s="0" t="str">
        <f aca="false">IF(G2065&lt;1000,"1-Low",IF(G2065&lt;5000,"2-Medium","3-Bulk"))</f>
        <v>1-Low</v>
      </c>
      <c r="L2065" s="0" t="str">
        <f aca="false">IF(H2065="TRUE","Out of stock","In stock")</f>
        <v>In stock</v>
      </c>
      <c r="M2065" s="0" t="str">
        <f aca="false">IF(D2065&lt;5,"1) Under 5%",IF(D2065&lt;10,"2) 5-9%",IF(D2065&lt;15,"3) 10-14%",IF(D2065&lt;25,"4) 15-24%","5) 25%+"))))</f>
        <v>1) Under 5%</v>
      </c>
      <c r="N2065" s="0" t="str">
        <f aca="false">IF(F2065&lt;50,"1) Under Rs 50",IF(F2065&lt;100,"2) Rs 50-99",IF(F2065&lt;200,"3) Rs 100-199",IF(F2065&lt;500,"4) Rs 200-499","5) Rs 500+"))))</f>
        <v>4) Rs 200-499</v>
      </c>
      <c r="O2065" s="0" t="n">
        <f aca="false">G2065*E2065/1000</f>
        <v>1.5</v>
      </c>
    </row>
    <row r="2066" customFormat="false" ht="15" hidden="false" customHeight="false" outlineLevel="0" collapsed="false">
      <c r="A2066" s="0" t="s">
        <v>113</v>
      </c>
      <c r="B2066" s="0" t="s">
        <v>423</v>
      </c>
      <c r="C2066" s="0" t="n">
        <v>50</v>
      </c>
      <c r="D2066" s="0" t="n">
        <v>2</v>
      </c>
      <c r="E2066" s="0" t="n">
        <v>2</v>
      </c>
      <c r="F2066" s="0" t="n">
        <v>49</v>
      </c>
      <c r="G2066" s="0" t="n">
        <v>200</v>
      </c>
      <c r="H2066" s="0" t="s">
        <v>145</v>
      </c>
      <c r="I2066" s="0" t="n">
        <v>200</v>
      </c>
      <c r="J2066" s="0" t="n">
        <f aca="false">F2066*E2066</f>
        <v>98</v>
      </c>
      <c r="K2066" s="0" t="str">
        <f aca="false">IF(G2066&lt;1000,"1-Low",IF(G2066&lt;5000,"2-Medium","3-Bulk"))</f>
        <v>1-Low</v>
      </c>
      <c r="L2066" s="0" t="str">
        <f aca="false">IF(H2066="TRUE","Out of stock","In stock")</f>
        <v>In stock</v>
      </c>
      <c r="M2066" s="0" t="str">
        <f aca="false">IF(D2066&lt;5,"1) Under 5%",IF(D2066&lt;10,"2) 5-9%",IF(D2066&lt;15,"3) 10-14%",IF(D2066&lt;25,"4) 15-24%","5) 25%+"))))</f>
        <v>1) Under 5%</v>
      </c>
      <c r="N2066" s="0" t="str">
        <f aca="false">IF(F2066&lt;50,"1) Under Rs 50",IF(F2066&lt;100,"2) Rs 50-99",IF(F2066&lt;200,"3) Rs 100-199",IF(F2066&lt;500,"4) Rs 200-499","5) Rs 500+"))))</f>
        <v>1) Under Rs 50</v>
      </c>
      <c r="O2066" s="0" t="n">
        <f aca="false">G2066*E2066/1000</f>
        <v>0.4</v>
      </c>
    </row>
    <row r="2067" customFormat="false" ht="15" hidden="false" customHeight="false" outlineLevel="0" collapsed="false">
      <c r="A2067" s="0" t="s">
        <v>113</v>
      </c>
      <c r="B2067" s="0" t="s">
        <v>1029</v>
      </c>
      <c r="C2067" s="0" t="n">
        <v>140</v>
      </c>
      <c r="D2067" s="0" t="n">
        <v>20</v>
      </c>
      <c r="E2067" s="0" t="n">
        <v>6</v>
      </c>
      <c r="F2067" s="0" t="n">
        <v>112</v>
      </c>
      <c r="G2067" s="0" t="n">
        <v>80</v>
      </c>
      <c r="H2067" s="0" t="s">
        <v>145</v>
      </c>
      <c r="I2067" s="0" t="n">
        <v>80</v>
      </c>
      <c r="J2067" s="0" t="n">
        <f aca="false">F2067*E2067</f>
        <v>672</v>
      </c>
      <c r="K2067" s="0" t="str">
        <f aca="false">IF(G2067&lt;1000,"1-Low",IF(G2067&lt;5000,"2-Medium","3-Bulk"))</f>
        <v>1-Low</v>
      </c>
      <c r="L2067" s="0" t="str">
        <f aca="false">IF(H2067="TRUE","Out of stock","In stock")</f>
        <v>In stock</v>
      </c>
      <c r="M2067" s="0" t="str">
        <f aca="false">IF(D2067&lt;5,"1) Under 5%",IF(D2067&lt;10,"2) 5-9%",IF(D2067&lt;15,"3) 10-14%",IF(D2067&lt;25,"4) 15-24%","5) 25%+"))))</f>
        <v>4) 15-24%</v>
      </c>
      <c r="N2067" s="0" t="str">
        <f aca="false">IF(F2067&lt;50,"1) Under Rs 50",IF(F2067&lt;100,"2) Rs 50-99",IF(F2067&lt;200,"3) Rs 100-199",IF(F2067&lt;500,"4) Rs 200-499","5) Rs 500+"))))</f>
        <v>3) Rs 100-199</v>
      </c>
      <c r="O2067" s="0" t="n">
        <f aca="false">G2067*E2067/1000</f>
        <v>0.48</v>
      </c>
    </row>
    <row r="2068" customFormat="false" ht="15" hidden="false" customHeight="false" outlineLevel="0" collapsed="false">
      <c r="A2068" s="0" t="s">
        <v>113</v>
      </c>
      <c r="B2068" s="0" t="s">
        <v>1030</v>
      </c>
      <c r="C2068" s="0" t="n">
        <v>161</v>
      </c>
      <c r="D2068" s="0" t="n">
        <v>0</v>
      </c>
      <c r="E2068" s="0" t="n">
        <v>6</v>
      </c>
      <c r="F2068" s="0" t="n">
        <v>161</v>
      </c>
      <c r="G2068" s="0" t="n">
        <v>300</v>
      </c>
      <c r="H2068" s="0" t="s">
        <v>145</v>
      </c>
      <c r="I2068" s="0" t="n">
        <v>300</v>
      </c>
      <c r="J2068" s="0" t="n">
        <f aca="false">F2068*E2068</f>
        <v>966</v>
      </c>
      <c r="K2068" s="0" t="str">
        <f aca="false">IF(G2068&lt;1000,"1-Low",IF(G2068&lt;5000,"2-Medium","3-Bulk"))</f>
        <v>1-Low</v>
      </c>
      <c r="L2068" s="0" t="str">
        <f aca="false">IF(H2068="TRUE","Out of stock","In stock")</f>
        <v>In stock</v>
      </c>
      <c r="M2068" s="0" t="str">
        <f aca="false">IF(D2068&lt;5,"1) Under 5%",IF(D2068&lt;10,"2) 5-9%",IF(D2068&lt;15,"3) 10-14%",IF(D2068&lt;25,"4) 15-24%","5) 25%+"))))</f>
        <v>1) Under 5%</v>
      </c>
      <c r="N2068" s="0" t="str">
        <f aca="false">IF(F2068&lt;50,"1) Under Rs 50",IF(F2068&lt;100,"2) Rs 50-99",IF(F2068&lt;200,"3) Rs 100-199",IF(F2068&lt;500,"4) Rs 200-499","5) Rs 500+"))))</f>
        <v>3) Rs 100-199</v>
      </c>
      <c r="O2068" s="0" t="n">
        <f aca="false">G2068*E2068/1000</f>
        <v>1.8</v>
      </c>
    </row>
    <row r="2069" customFormat="false" ht="15" hidden="false" customHeight="false" outlineLevel="0" collapsed="false">
      <c r="A2069" s="0" t="s">
        <v>113</v>
      </c>
      <c r="B2069" s="0" t="s">
        <v>1031</v>
      </c>
      <c r="C2069" s="0" t="n">
        <v>225</v>
      </c>
      <c r="D2069" s="0" t="n">
        <v>15</v>
      </c>
      <c r="E2069" s="0" t="n">
        <v>6</v>
      </c>
      <c r="F2069" s="0" t="n">
        <v>191</v>
      </c>
      <c r="G2069" s="0" t="n">
        <v>200</v>
      </c>
      <c r="H2069" s="0" t="s">
        <v>145</v>
      </c>
      <c r="I2069" s="0" t="n">
        <v>200</v>
      </c>
      <c r="J2069" s="0" t="n">
        <f aca="false">F2069*E2069</f>
        <v>1146</v>
      </c>
      <c r="K2069" s="0" t="str">
        <f aca="false">IF(G2069&lt;1000,"1-Low",IF(G2069&lt;5000,"2-Medium","3-Bulk"))</f>
        <v>1-Low</v>
      </c>
      <c r="L2069" s="0" t="str">
        <f aca="false">IF(H2069="TRUE","Out of stock","In stock")</f>
        <v>In stock</v>
      </c>
      <c r="M2069" s="0" t="str">
        <f aca="false">IF(D2069&lt;5,"1) Under 5%",IF(D2069&lt;10,"2) 5-9%",IF(D2069&lt;15,"3) 10-14%",IF(D2069&lt;25,"4) 15-24%","5) 25%+"))))</f>
        <v>4) 15-24%</v>
      </c>
      <c r="N2069" s="0" t="str">
        <f aca="false">IF(F2069&lt;50,"1) Under Rs 50",IF(F2069&lt;100,"2) Rs 50-99",IF(F2069&lt;200,"3) Rs 100-199",IF(F2069&lt;500,"4) Rs 200-499","5) Rs 500+"))))</f>
        <v>3) Rs 100-199</v>
      </c>
      <c r="O2069" s="0" t="n">
        <f aca="false">G2069*E2069/1000</f>
        <v>1.2</v>
      </c>
    </row>
    <row r="2070" customFormat="false" ht="15" hidden="false" customHeight="false" outlineLevel="0" collapsed="false">
      <c r="A2070" s="0" t="s">
        <v>113</v>
      </c>
      <c r="B2070" s="0" t="s">
        <v>636</v>
      </c>
      <c r="C2070" s="0" t="n">
        <v>190</v>
      </c>
      <c r="D2070" s="0" t="n">
        <v>11</v>
      </c>
      <c r="E2070" s="0" t="n">
        <v>6</v>
      </c>
      <c r="F2070" s="0" t="n">
        <v>169</v>
      </c>
      <c r="G2070" s="0" t="n">
        <v>500</v>
      </c>
      <c r="H2070" s="0" t="s">
        <v>145</v>
      </c>
      <c r="I2070" s="0" t="n">
        <v>500</v>
      </c>
      <c r="J2070" s="0" t="n">
        <f aca="false">F2070*E2070</f>
        <v>1014</v>
      </c>
      <c r="K2070" s="0" t="str">
        <f aca="false">IF(G2070&lt;1000,"1-Low",IF(G2070&lt;5000,"2-Medium","3-Bulk"))</f>
        <v>1-Low</v>
      </c>
      <c r="L2070" s="0" t="str">
        <f aca="false">IF(H2070="TRUE","Out of stock","In stock")</f>
        <v>In stock</v>
      </c>
      <c r="M2070" s="0" t="str">
        <f aca="false">IF(D2070&lt;5,"1) Under 5%",IF(D2070&lt;10,"2) 5-9%",IF(D2070&lt;15,"3) 10-14%",IF(D2070&lt;25,"4) 15-24%","5) 25%+"))))</f>
        <v>3) 10-14%</v>
      </c>
      <c r="N2070" s="0" t="str">
        <f aca="false">IF(F2070&lt;50,"1) Under Rs 50",IF(F2070&lt;100,"2) Rs 50-99",IF(F2070&lt;200,"3) Rs 100-199",IF(F2070&lt;500,"4) Rs 200-499","5) Rs 500+"))))</f>
        <v>3) Rs 100-199</v>
      </c>
      <c r="O2070" s="0" t="n">
        <f aca="false">G2070*E2070/1000</f>
        <v>3</v>
      </c>
    </row>
    <row r="2071" customFormat="false" ht="15" hidden="false" customHeight="false" outlineLevel="0" collapsed="false">
      <c r="A2071" s="0" t="s">
        <v>113</v>
      </c>
      <c r="B2071" s="0" t="s">
        <v>1032</v>
      </c>
      <c r="C2071" s="0" t="n">
        <v>123</v>
      </c>
      <c r="D2071" s="0" t="n">
        <v>0</v>
      </c>
      <c r="E2071" s="0" t="n">
        <v>6</v>
      </c>
      <c r="F2071" s="0" t="n">
        <v>123</v>
      </c>
      <c r="G2071" s="0" t="n">
        <v>600</v>
      </c>
      <c r="H2071" s="0" t="s">
        <v>145</v>
      </c>
      <c r="I2071" s="0" t="n">
        <v>600</v>
      </c>
      <c r="J2071" s="0" t="n">
        <f aca="false">F2071*E2071</f>
        <v>738</v>
      </c>
      <c r="K2071" s="0" t="str">
        <f aca="false">IF(G2071&lt;1000,"1-Low",IF(G2071&lt;5000,"2-Medium","3-Bulk"))</f>
        <v>1-Low</v>
      </c>
      <c r="L2071" s="0" t="str">
        <f aca="false">IF(H2071="TRUE","Out of stock","In stock")</f>
        <v>In stock</v>
      </c>
      <c r="M2071" s="0" t="str">
        <f aca="false">IF(D2071&lt;5,"1) Under 5%",IF(D2071&lt;10,"2) 5-9%",IF(D2071&lt;15,"3) 10-14%",IF(D2071&lt;25,"4) 15-24%","5) 25%+"))))</f>
        <v>1) Under 5%</v>
      </c>
      <c r="N2071" s="0" t="str">
        <f aca="false">IF(F2071&lt;50,"1) Under Rs 50",IF(F2071&lt;100,"2) Rs 50-99",IF(F2071&lt;200,"3) Rs 100-199",IF(F2071&lt;500,"4) Rs 200-499","5) Rs 500+"))))</f>
        <v>3) Rs 100-199</v>
      </c>
      <c r="O2071" s="0" t="n">
        <f aca="false">G2071*E2071/1000</f>
        <v>3.6</v>
      </c>
    </row>
    <row r="2072" customFormat="false" ht="15" hidden="false" customHeight="false" outlineLevel="0" collapsed="false">
      <c r="A2072" s="0" t="s">
        <v>113</v>
      </c>
      <c r="B2072" s="0" t="s">
        <v>1033</v>
      </c>
      <c r="C2072" s="0" t="n">
        <v>275</v>
      </c>
      <c r="D2072" s="0" t="n">
        <v>10</v>
      </c>
      <c r="E2072" s="0" t="n">
        <v>6</v>
      </c>
      <c r="F2072" s="0" t="n">
        <v>245</v>
      </c>
      <c r="G2072" s="0" t="n">
        <v>200</v>
      </c>
      <c r="H2072" s="0" t="s">
        <v>145</v>
      </c>
      <c r="I2072" s="0" t="n">
        <v>200</v>
      </c>
      <c r="J2072" s="0" t="n">
        <f aca="false">F2072*E2072</f>
        <v>1470</v>
      </c>
      <c r="K2072" s="0" t="str">
        <f aca="false">IF(G2072&lt;1000,"1-Low",IF(G2072&lt;5000,"2-Medium","3-Bulk"))</f>
        <v>1-Low</v>
      </c>
      <c r="L2072" s="0" t="str">
        <f aca="false">IF(H2072="TRUE","Out of stock","In stock")</f>
        <v>In stock</v>
      </c>
      <c r="M2072" s="0" t="str">
        <f aca="false">IF(D2072&lt;5,"1) Under 5%",IF(D2072&lt;10,"2) 5-9%",IF(D2072&lt;15,"3) 10-14%",IF(D2072&lt;25,"4) 15-24%","5) 25%+"))))</f>
        <v>3) 10-14%</v>
      </c>
      <c r="N2072" s="0" t="str">
        <f aca="false">IF(F2072&lt;50,"1) Under Rs 50",IF(F2072&lt;100,"2) Rs 50-99",IF(F2072&lt;200,"3) Rs 100-199",IF(F2072&lt;500,"4) Rs 200-499","5) Rs 500+"))))</f>
        <v>4) Rs 200-499</v>
      </c>
      <c r="O2072" s="0" t="n">
        <f aca="false">G2072*E2072/1000</f>
        <v>1.2</v>
      </c>
    </row>
    <row r="2073" customFormat="false" ht="15" hidden="false" customHeight="false" outlineLevel="0" collapsed="false">
      <c r="A2073" s="0" t="s">
        <v>113</v>
      </c>
      <c r="B2073" s="0" t="s">
        <v>1034</v>
      </c>
      <c r="C2073" s="0" t="n">
        <v>75</v>
      </c>
      <c r="D2073" s="0" t="n">
        <v>0</v>
      </c>
      <c r="E2073" s="0" t="n">
        <v>6</v>
      </c>
      <c r="F2073" s="0" t="n">
        <v>75</v>
      </c>
      <c r="G2073" s="0" t="n">
        <v>180</v>
      </c>
      <c r="H2073" s="0" t="s">
        <v>145</v>
      </c>
      <c r="I2073" s="0" t="n">
        <v>180</v>
      </c>
      <c r="J2073" s="0" t="n">
        <f aca="false">F2073*E2073</f>
        <v>450</v>
      </c>
      <c r="K2073" s="0" t="str">
        <f aca="false">IF(G2073&lt;1000,"1-Low",IF(G2073&lt;5000,"2-Medium","3-Bulk"))</f>
        <v>1-Low</v>
      </c>
      <c r="L2073" s="0" t="str">
        <f aca="false">IF(H2073="TRUE","Out of stock","In stock")</f>
        <v>In stock</v>
      </c>
      <c r="M2073" s="0" t="str">
        <f aca="false">IF(D2073&lt;5,"1) Under 5%",IF(D2073&lt;10,"2) 5-9%",IF(D2073&lt;15,"3) 10-14%",IF(D2073&lt;25,"4) 15-24%","5) 25%+"))))</f>
        <v>1) Under 5%</v>
      </c>
      <c r="N2073" s="0" t="str">
        <f aca="false">IF(F2073&lt;50,"1) Under Rs 50",IF(F2073&lt;100,"2) Rs 50-99",IF(F2073&lt;200,"3) Rs 100-199",IF(F2073&lt;500,"4) Rs 200-499","5) Rs 500+"))))</f>
        <v>2) Rs 50-99</v>
      </c>
      <c r="O2073" s="0" t="n">
        <f aca="false">G2073*E2073/1000</f>
        <v>1.08</v>
      </c>
    </row>
    <row r="2074" customFormat="false" ht="15" hidden="false" customHeight="false" outlineLevel="0" collapsed="false">
      <c r="A2074" s="0" t="s">
        <v>113</v>
      </c>
      <c r="B2074" s="0" t="s">
        <v>1035</v>
      </c>
      <c r="C2074" s="0" t="n">
        <v>350</v>
      </c>
      <c r="D2074" s="0" t="n">
        <v>0</v>
      </c>
      <c r="E2074" s="0" t="n">
        <v>6</v>
      </c>
      <c r="F2074" s="0" t="n">
        <v>350</v>
      </c>
      <c r="G2074" s="0" t="n">
        <v>880</v>
      </c>
      <c r="H2074" s="0" t="s">
        <v>145</v>
      </c>
      <c r="I2074" s="0" t="n">
        <v>800</v>
      </c>
      <c r="J2074" s="0" t="n">
        <f aca="false">F2074*E2074</f>
        <v>2100</v>
      </c>
      <c r="K2074" s="0" t="str">
        <f aca="false">IF(G2074&lt;1000,"1-Low",IF(G2074&lt;5000,"2-Medium","3-Bulk"))</f>
        <v>1-Low</v>
      </c>
      <c r="L2074" s="0" t="str">
        <f aca="false">IF(H2074="TRUE","Out of stock","In stock")</f>
        <v>In stock</v>
      </c>
      <c r="M2074" s="0" t="str">
        <f aca="false">IF(D2074&lt;5,"1) Under 5%",IF(D2074&lt;10,"2) 5-9%",IF(D2074&lt;15,"3) 10-14%",IF(D2074&lt;25,"4) 15-24%","5) 25%+"))))</f>
        <v>1) Under 5%</v>
      </c>
      <c r="N2074" s="0" t="str">
        <f aca="false">IF(F2074&lt;50,"1) Under Rs 50",IF(F2074&lt;100,"2) Rs 50-99",IF(F2074&lt;200,"3) Rs 100-199",IF(F2074&lt;500,"4) Rs 200-499","5) Rs 500+"))))</f>
        <v>4) Rs 200-499</v>
      </c>
      <c r="O2074" s="0" t="n">
        <f aca="false">G2074*E2074/1000</f>
        <v>5.28</v>
      </c>
    </row>
    <row r="2075" customFormat="false" ht="15" hidden="false" customHeight="false" outlineLevel="0" collapsed="false">
      <c r="A2075" s="0" t="s">
        <v>113</v>
      </c>
      <c r="B2075" s="0" t="s">
        <v>1036</v>
      </c>
      <c r="C2075" s="0" t="n">
        <v>135</v>
      </c>
      <c r="D2075" s="0" t="n">
        <v>11</v>
      </c>
      <c r="E2075" s="0" t="n">
        <v>6</v>
      </c>
      <c r="F2075" s="0" t="n">
        <v>120</v>
      </c>
      <c r="G2075" s="0" t="n">
        <v>300</v>
      </c>
      <c r="H2075" s="0" t="s">
        <v>145</v>
      </c>
      <c r="I2075" s="0" t="n">
        <v>300</v>
      </c>
      <c r="J2075" s="0" t="n">
        <f aca="false">F2075*E2075</f>
        <v>720</v>
      </c>
      <c r="K2075" s="0" t="str">
        <f aca="false">IF(G2075&lt;1000,"1-Low",IF(G2075&lt;5000,"2-Medium","3-Bulk"))</f>
        <v>1-Low</v>
      </c>
      <c r="L2075" s="0" t="str">
        <f aca="false">IF(H2075="TRUE","Out of stock","In stock")</f>
        <v>In stock</v>
      </c>
      <c r="M2075" s="0" t="str">
        <f aca="false">IF(D2075&lt;5,"1) Under 5%",IF(D2075&lt;10,"2) 5-9%",IF(D2075&lt;15,"3) 10-14%",IF(D2075&lt;25,"4) 15-24%","5) 25%+"))))</f>
        <v>3) 10-14%</v>
      </c>
      <c r="N2075" s="0" t="str">
        <f aca="false">IF(F2075&lt;50,"1) Under Rs 50",IF(F2075&lt;100,"2) Rs 50-99",IF(F2075&lt;200,"3) Rs 100-199",IF(F2075&lt;500,"4) Rs 200-499","5) Rs 500+"))))</f>
        <v>3) Rs 100-199</v>
      </c>
      <c r="O2075" s="0" t="n">
        <f aca="false">G2075*E2075/1000</f>
        <v>1.8</v>
      </c>
    </row>
    <row r="2076" customFormat="false" ht="15" hidden="false" customHeight="false" outlineLevel="0" collapsed="false">
      <c r="A2076" s="0" t="s">
        <v>113</v>
      </c>
      <c r="B2076" s="0" t="s">
        <v>1037</v>
      </c>
      <c r="C2076" s="0" t="n">
        <v>55</v>
      </c>
      <c r="D2076" s="0" t="n">
        <v>0</v>
      </c>
      <c r="E2076" s="0" t="n">
        <v>5</v>
      </c>
      <c r="F2076" s="0" t="n">
        <v>55</v>
      </c>
      <c r="G2076" s="0" t="n">
        <v>190</v>
      </c>
      <c r="H2076" s="0" t="s">
        <v>145</v>
      </c>
      <c r="I2076" s="0" t="n">
        <v>190</v>
      </c>
      <c r="J2076" s="0" t="n">
        <f aca="false">F2076*E2076</f>
        <v>275</v>
      </c>
      <c r="K2076" s="0" t="str">
        <f aca="false">IF(G2076&lt;1000,"1-Low",IF(G2076&lt;5000,"2-Medium","3-Bulk"))</f>
        <v>1-Low</v>
      </c>
      <c r="L2076" s="0" t="str">
        <f aca="false">IF(H2076="TRUE","Out of stock","In stock")</f>
        <v>In stock</v>
      </c>
      <c r="M2076" s="0" t="str">
        <f aca="false">IF(D2076&lt;5,"1) Under 5%",IF(D2076&lt;10,"2) 5-9%",IF(D2076&lt;15,"3) 10-14%",IF(D2076&lt;25,"4) 15-24%","5) 25%+"))))</f>
        <v>1) Under 5%</v>
      </c>
      <c r="N2076" s="0" t="str">
        <f aca="false">IF(F2076&lt;50,"1) Under Rs 50",IF(F2076&lt;100,"2) Rs 50-99",IF(F2076&lt;200,"3) Rs 100-199",IF(F2076&lt;500,"4) Rs 200-499","5) Rs 500+"))))</f>
        <v>2) Rs 50-99</v>
      </c>
      <c r="O2076" s="0" t="n">
        <f aca="false">G2076*E2076/1000</f>
        <v>0.95</v>
      </c>
    </row>
    <row r="2077" customFormat="false" ht="15" hidden="false" customHeight="false" outlineLevel="0" collapsed="false">
      <c r="A2077" s="0" t="s">
        <v>113</v>
      </c>
      <c r="B2077" s="0" t="s">
        <v>627</v>
      </c>
      <c r="C2077" s="0" t="n">
        <v>120</v>
      </c>
      <c r="D2077" s="0" t="n">
        <v>30</v>
      </c>
      <c r="E2077" s="0" t="n">
        <v>4</v>
      </c>
      <c r="F2077" s="0" t="n">
        <v>84</v>
      </c>
      <c r="G2077" s="0" t="n">
        <v>285</v>
      </c>
      <c r="H2077" s="0" t="s">
        <v>145</v>
      </c>
      <c r="I2077" s="0" t="n">
        <v>285</v>
      </c>
      <c r="J2077" s="0" t="n">
        <f aca="false">F2077*E2077</f>
        <v>336</v>
      </c>
      <c r="K2077" s="0" t="str">
        <f aca="false">IF(G2077&lt;1000,"1-Low",IF(G2077&lt;5000,"2-Medium","3-Bulk"))</f>
        <v>1-Low</v>
      </c>
      <c r="L2077" s="0" t="str">
        <f aca="false">IF(H2077="TRUE","Out of stock","In stock")</f>
        <v>In stock</v>
      </c>
      <c r="M2077" s="0" t="str">
        <f aca="false">IF(D2077&lt;5,"1) Under 5%",IF(D2077&lt;10,"2) 5-9%",IF(D2077&lt;15,"3) 10-14%",IF(D2077&lt;25,"4) 15-24%","5) 25%+"))))</f>
        <v>5) 25%+</v>
      </c>
      <c r="N2077" s="0" t="str">
        <f aca="false">IF(F2077&lt;50,"1) Under Rs 50",IF(F2077&lt;100,"2) Rs 50-99",IF(F2077&lt;200,"3) Rs 100-199",IF(F2077&lt;500,"4) Rs 200-499","5) Rs 500+"))))</f>
        <v>2) Rs 50-99</v>
      </c>
      <c r="O2077" s="0" t="n">
        <f aca="false">G2077*E2077/1000</f>
        <v>1.14</v>
      </c>
    </row>
    <row r="2078" customFormat="false" ht="15" hidden="false" customHeight="false" outlineLevel="0" collapsed="false">
      <c r="A2078" s="0" t="s">
        <v>113</v>
      </c>
      <c r="B2078" s="0" t="s">
        <v>933</v>
      </c>
      <c r="C2078" s="0" t="n">
        <v>60</v>
      </c>
      <c r="D2078" s="0" t="n">
        <v>6</v>
      </c>
      <c r="E2078" s="0" t="n">
        <v>6</v>
      </c>
      <c r="F2078" s="0" t="n">
        <v>56</v>
      </c>
      <c r="G2078" s="0" t="n">
        <v>50</v>
      </c>
      <c r="H2078" s="0" t="s">
        <v>145</v>
      </c>
      <c r="I2078" s="0" t="n">
        <v>50</v>
      </c>
      <c r="J2078" s="0" t="n">
        <f aca="false">F2078*E2078</f>
        <v>336</v>
      </c>
      <c r="K2078" s="0" t="str">
        <f aca="false">IF(G2078&lt;1000,"1-Low",IF(G2078&lt;5000,"2-Medium","3-Bulk"))</f>
        <v>1-Low</v>
      </c>
      <c r="L2078" s="0" t="str">
        <f aca="false">IF(H2078="TRUE","Out of stock","In stock")</f>
        <v>In stock</v>
      </c>
      <c r="M2078" s="0" t="str">
        <f aca="false">IF(D2078&lt;5,"1) Under 5%",IF(D2078&lt;10,"2) 5-9%",IF(D2078&lt;15,"3) 10-14%",IF(D2078&lt;25,"4) 15-24%","5) 25%+"))))</f>
        <v>2) 5-9%</v>
      </c>
      <c r="N2078" s="0" t="str">
        <f aca="false">IF(F2078&lt;50,"1) Under Rs 50",IF(F2078&lt;100,"2) Rs 50-99",IF(F2078&lt;200,"3) Rs 100-199",IF(F2078&lt;500,"4) Rs 200-499","5) Rs 500+"))))</f>
        <v>2) Rs 50-99</v>
      </c>
      <c r="O2078" s="0" t="n">
        <f aca="false">G2078*E2078/1000</f>
        <v>0.3</v>
      </c>
    </row>
    <row r="2079" customFormat="false" ht="15" hidden="false" customHeight="false" outlineLevel="0" collapsed="false">
      <c r="A2079" s="0" t="s">
        <v>113</v>
      </c>
      <c r="B2079" s="0" t="s">
        <v>783</v>
      </c>
      <c r="C2079" s="0" t="n">
        <v>110</v>
      </c>
      <c r="D2079" s="0" t="n">
        <v>0</v>
      </c>
      <c r="E2079" s="0" t="n">
        <v>6</v>
      </c>
      <c r="F2079" s="0" t="n">
        <v>110</v>
      </c>
      <c r="G2079" s="0" t="n">
        <v>180</v>
      </c>
      <c r="H2079" s="0" t="s">
        <v>145</v>
      </c>
      <c r="I2079" s="0" t="n">
        <v>180</v>
      </c>
      <c r="J2079" s="0" t="n">
        <f aca="false">F2079*E2079</f>
        <v>660</v>
      </c>
      <c r="K2079" s="0" t="str">
        <f aca="false">IF(G2079&lt;1000,"1-Low",IF(G2079&lt;5000,"2-Medium","3-Bulk"))</f>
        <v>1-Low</v>
      </c>
      <c r="L2079" s="0" t="str">
        <f aca="false">IF(H2079="TRUE","Out of stock","In stock")</f>
        <v>In stock</v>
      </c>
      <c r="M2079" s="0" t="str">
        <f aca="false">IF(D2079&lt;5,"1) Under 5%",IF(D2079&lt;10,"2) 5-9%",IF(D2079&lt;15,"3) 10-14%",IF(D2079&lt;25,"4) 15-24%","5) 25%+"))))</f>
        <v>1) Under 5%</v>
      </c>
      <c r="N2079" s="0" t="str">
        <f aca="false">IF(F2079&lt;50,"1) Under Rs 50",IF(F2079&lt;100,"2) Rs 50-99",IF(F2079&lt;200,"3) Rs 100-199",IF(F2079&lt;500,"4) Rs 200-499","5) Rs 500+"))))</f>
        <v>3) Rs 100-199</v>
      </c>
      <c r="O2079" s="0" t="n">
        <f aca="false">G2079*E2079/1000</f>
        <v>1.08</v>
      </c>
    </row>
    <row r="2080" customFormat="false" ht="15" hidden="false" customHeight="false" outlineLevel="0" collapsed="false">
      <c r="A2080" s="0" t="s">
        <v>113</v>
      </c>
      <c r="B2080" s="0" t="s">
        <v>1038</v>
      </c>
      <c r="C2080" s="0" t="n">
        <v>110</v>
      </c>
      <c r="D2080" s="0" t="n">
        <v>0</v>
      </c>
      <c r="E2080" s="0" t="n">
        <v>5</v>
      </c>
      <c r="F2080" s="0" t="n">
        <v>110</v>
      </c>
      <c r="G2080" s="0" t="n">
        <v>300</v>
      </c>
      <c r="H2080" s="0" t="s">
        <v>145</v>
      </c>
      <c r="I2080" s="0" t="n">
        <v>300</v>
      </c>
      <c r="J2080" s="0" t="n">
        <f aca="false">F2080*E2080</f>
        <v>550</v>
      </c>
      <c r="K2080" s="0" t="str">
        <f aca="false">IF(G2080&lt;1000,"1-Low",IF(G2080&lt;5000,"2-Medium","3-Bulk"))</f>
        <v>1-Low</v>
      </c>
      <c r="L2080" s="0" t="str">
        <f aca="false">IF(H2080="TRUE","Out of stock","In stock")</f>
        <v>In stock</v>
      </c>
      <c r="M2080" s="0" t="str">
        <f aca="false">IF(D2080&lt;5,"1) Under 5%",IF(D2080&lt;10,"2) 5-9%",IF(D2080&lt;15,"3) 10-14%",IF(D2080&lt;25,"4) 15-24%","5) 25%+"))))</f>
        <v>1) Under 5%</v>
      </c>
      <c r="N2080" s="0" t="str">
        <f aca="false">IF(F2080&lt;50,"1) Under Rs 50",IF(F2080&lt;100,"2) Rs 50-99",IF(F2080&lt;200,"3) Rs 100-199",IF(F2080&lt;500,"4) Rs 200-499","5) Rs 500+"))))</f>
        <v>3) Rs 100-199</v>
      </c>
      <c r="O2080" s="0" t="n">
        <f aca="false">G2080*E2080/1000</f>
        <v>1.5</v>
      </c>
    </row>
    <row r="2081" customFormat="false" ht="15" hidden="false" customHeight="false" outlineLevel="0" collapsed="false">
      <c r="A2081" s="0" t="s">
        <v>113</v>
      </c>
      <c r="B2081" s="0" t="s">
        <v>1039</v>
      </c>
      <c r="C2081" s="0" t="n">
        <v>275</v>
      </c>
      <c r="D2081" s="0" t="n">
        <v>14</v>
      </c>
      <c r="E2081" s="0" t="n">
        <v>6</v>
      </c>
      <c r="F2081" s="0" t="n">
        <v>234</v>
      </c>
      <c r="G2081" s="0" t="n">
        <v>200</v>
      </c>
      <c r="H2081" s="0" t="s">
        <v>145</v>
      </c>
      <c r="I2081" s="0" t="n">
        <v>200</v>
      </c>
      <c r="J2081" s="0" t="n">
        <f aca="false">F2081*E2081</f>
        <v>1404</v>
      </c>
      <c r="K2081" s="0" t="str">
        <f aca="false">IF(G2081&lt;1000,"1-Low",IF(G2081&lt;5000,"2-Medium","3-Bulk"))</f>
        <v>1-Low</v>
      </c>
      <c r="L2081" s="0" t="str">
        <f aca="false">IF(H2081="TRUE","Out of stock","In stock")</f>
        <v>In stock</v>
      </c>
      <c r="M2081" s="0" t="str">
        <f aca="false">IF(D2081&lt;5,"1) Under 5%",IF(D2081&lt;10,"2) 5-9%",IF(D2081&lt;15,"3) 10-14%",IF(D2081&lt;25,"4) 15-24%","5) 25%+"))))</f>
        <v>3) 10-14%</v>
      </c>
      <c r="N2081" s="0" t="str">
        <f aca="false">IF(F2081&lt;50,"1) Under Rs 50",IF(F2081&lt;100,"2) Rs 50-99",IF(F2081&lt;200,"3) Rs 100-199",IF(F2081&lt;500,"4) Rs 200-499","5) Rs 500+"))))</f>
        <v>4) Rs 200-499</v>
      </c>
      <c r="O2081" s="0" t="n">
        <f aca="false">G2081*E2081/1000</f>
        <v>1.2</v>
      </c>
    </row>
    <row r="2082" customFormat="false" ht="15" hidden="false" customHeight="false" outlineLevel="0" collapsed="false">
      <c r="A2082" s="0" t="s">
        <v>113</v>
      </c>
      <c r="B2082" s="0" t="s">
        <v>608</v>
      </c>
      <c r="C2082" s="0" t="n">
        <v>250</v>
      </c>
      <c r="D2082" s="0" t="n">
        <v>14</v>
      </c>
      <c r="E2082" s="0" t="n">
        <v>6</v>
      </c>
      <c r="F2082" s="0" t="n">
        <v>213</v>
      </c>
      <c r="G2082" s="0" t="n">
        <v>410</v>
      </c>
      <c r="H2082" s="0" t="s">
        <v>145</v>
      </c>
      <c r="I2082" s="0" t="n">
        <v>410</v>
      </c>
      <c r="J2082" s="0" t="n">
        <f aca="false">F2082*E2082</f>
        <v>1278</v>
      </c>
      <c r="K2082" s="0" t="str">
        <f aca="false">IF(G2082&lt;1000,"1-Low",IF(G2082&lt;5000,"2-Medium","3-Bulk"))</f>
        <v>1-Low</v>
      </c>
      <c r="L2082" s="0" t="str">
        <f aca="false">IF(H2082="TRUE","Out of stock","In stock")</f>
        <v>In stock</v>
      </c>
      <c r="M2082" s="0" t="str">
        <f aca="false">IF(D2082&lt;5,"1) Under 5%",IF(D2082&lt;10,"2) 5-9%",IF(D2082&lt;15,"3) 10-14%",IF(D2082&lt;25,"4) 15-24%","5) 25%+"))))</f>
        <v>3) 10-14%</v>
      </c>
      <c r="N2082" s="0" t="str">
        <f aca="false">IF(F2082&lt;50,"1) Under Rs 50",IF(F2082&lt;100,"2) Rs 50-99",IF(F2082&lt;200,"3) Rs 100-199",IF(F2082&lt;500,"4) Rs 200-499","5) Rs 500+"))))</f>
        <v>4) Rs 200-499</v>
      </c>
      <c r="O2082" s="0" t="n">
        <f aca="false">G2082*E2082/1000</f>
        <v>2.46</v>
      </c>
    </row>
    <row r="2083" customFormat="false" ht="15" hidden="false" customHeight="false" outlineLevel="0" collapsed="false">
      <c r="A2083" s="0" t="s">
        <v>113</v>
      </c>
      <c r="B2083" s="0" t="s">
        <v>1040</v>
      </c>
      <c r="C2083" s="0" t="n">
        <v>114</v>
      </c>
      <c r="D2083" s="0" t="n">
        <v>0</v>
      </c>
      <c r="E2083" s="0" t="n">
        <v>6</v>
      </c>
      <c r="F2083" s="0" t="n">
        <v>114</v>
      </c>
      <c r="G2083" s="0" t="n">
        <v>480</v>
      </c>
      <c r="H2083" s="0" t="s">
        <v>145</v>
      </c>
      <c r="I2083" s="0" t="n">
        <v>480</v>
      </c>
      <c r="J2083" s="0" t="n">
        <f aca="false">F2083*E2083</f>
        <v>684</v>
      </c>
      <c r="K2083" s="0" t="str">
        <f aca="false">IF(G2083&lt;1000,"1-Low",IF(G2083&lt;5000,"2-Medium","3-Bulk"))</f>
        <v>1-Low</v>
      </c>
      <c r="L2083" s="0" t="str">
        <f aca="false">IF(H2083="TRUE","Out of stock","In stock")</f>
        <v>In stock</v>
      </c>
      <c r="M2083" s="0" t="str">
        <f aca="false">IF(D2083&lt;5,"1) Under 5%",IF(D2083&lt;10,"2) 5-9%",IF(D2083&lt;15,"3) 10-14%",IF(D2083&lt;25,"4) 15-24%","5) 25%+"))))</f>
        <v>1) Under 5%</v>
      </c>
      <c r="N2083" s="0" t="str">
        <f aca="false">IF(F2083&lt;50,"1) Under Rs 50",IF(F2083&lt;100,"2) Rs 50-99",IF(F2083&lt;200,"3) Rs 100-199",IF(F2083&lt;500,"4) Rs 200-499","5) Rs 500+"))))</f>
        <v>3) Rs 100-199</v>
      </c>
      <c r="O2083" s="0" t="n">
        <f aca="false">G2083*E2083/1000</f>
        <v>2.88</v>
      </c>
    </row>
    <row r="2084" customFormat="false" ht="15" hidden="false" customHeight="false" outlineLevel="0" collapsed="false">
      <c r="A2084" s="0" t="s">
        <v>113</v>
      </c>
      <c r="B2084" s="0" t="s">
        <v>1041</v>
      </c>
      <c r="C2084" s="0" t="n">
        <v>230</v>
      </c>
      <c r="D2084" s="0" t="n">
        <v>0</v>
      </c>
      <c r="E2084" s="0" t="n">
        <v>6</v>
      </c>
      <c r="F2084" s="0" t="n">
        <v>230</v>
      </c>
      <c r="G2084" s="0" t="n">
        <v>250</v>
      </c>
      <c r="H2084" s="0" t="s">
        <v>145</v>
      </c>
      <c r="I2084" s="0" t="n">
        <v>250</v>
      </c>
      <c r="J2084" s="0" t="n">
        <f aca="false">F2084*E2084</f>
        <v>1380</v>
      </c>
      <c r="K2084" s="0" t="str">
        <f aca="false">IF(G2084&lt;1000,"1-Low",IF(G2084&lt;5000,"2-Medium","3-Bulk"))</f>
        <v>1-Low</v>
      </c>
      <c r="L2084" s="0" t="str">
        <f aca="false">IF(H2084="TRUE","Out of stock","In stock")</f>
        <v>In stock</v>
      </c>
      <c r="M2084" s="0" t="str">
        <f aca="false">IF(D2084&lt;5,"1) Under 5%",IF(D2084&lt;10,"2) 5-9%",IF(D2084&lt;15,"3) 10-14%",IF(D2084&lt;25,"4) 15-24%","5) 25%+"))))</f>
        <v>1) Under 5%</v>
      </c>
      <c r="N2084" s="0" t="str">
        <f aca="false">IF(F2084&lt;50,"1) Under Rs 50",IF(F2084&lt;100,"2) Rs 50-99",IF(F2084&lt;200,"3) Rs 100-199",IF(F2084&lt;500,"4) Rs 200-499","5) Rs 500+"))))</f>
        <v>4) Rs 200-499</v>
      </c>
      <c r="O2084" s="0" t="n">
        <f aca="false">G2084*E2084/1000</f>
        <v>1.5</v>
      </c>
    </row>
    <row r="2085" customFormat="false" ht="15" hidden="false" customHeight="false" outlineLevel="0" collapsed="false">
      <c r="A2085" s="0" t="s">
        <v>113</v>
      </c>
      <c r="B2085" s="0" t="s">
        <v>1042</v>
      </c>
      <c r="C2085" s="0" t="n">
        <v>230</v>
      </c>
      <c r="D2085" s="0" t="n">
        <v>0</v>
      </c>
      <c r="E2085" s="0" t="n">
        <v>4</v>
      </c>
      <c r="F2085" s="0" t="n">
        <v>230</v>
      </c>
      <c r="G2085" s="0" t="n">
        <v>400</v>
      </c>
      <c r="H2085" s="0" t="s">
        <v>145</v>
      </c>
      <c r="I2085" s="0" t="n">
        <v>400</v>
      </c>
      <c r="J2085" s="0" t="n">
        <f aca="false">F2085*E2085</f>
        <v>920</v>
      </c>
      <c r="K2085" s="0" t="str">
        <f aca="false">IF(G2085&lt;1000,"1-Low",IF(G2085&lt;5000,"2-Medium","3-Bulk"))</f>
        <v>1-Low</v>
      </c>
      <c r="L2085" s="0" t="str">
        <f aca="false">IF(H2085="TRUE","Out of stock","In stock")</f>
        <v>In stock</v>
      </c>
      <c r="M2085" s="0" t="str">
        <f aca="false">IF(D2085&lt;5,"1) Under 5%",IF(D2085&lt;10,"2) 5-9%",IF(D2085&lt;15,"3) 10-14%",IF(D2085&lt;25,"4) 15-24%","5) 25%+"))))</f>
        <v>1) Under 5%</v>
      </c>
      <c r="N2085" s="0" t="str">
        <f aca="false">IF(F2085&lt;50,"1) Under Rs 50",IF(F2085&lt;100,"2) Rs 50-99",IF(F2085&lt;200,"3) Rs 100-199",IF(F2085&lt;500,"4) Rs 200-499","5) Rs 500+"))))</f>
        <v>4) Rs 200-499</v>
      </c>
      <c r="O2085" s="0" t="n">
        <f aca="false">G2085*E2085/1000</f>
        <v>1.6</v>
      </c>
    </row>
    <row r="2086" customFormat="false" ht="15" hidden="false" customHeight="false" outlineLevel="0" collapsed="false">
      <c r="A2086" s="0" t="s">
        <v>113</v>
      </c>
      <c r="B2086" s="0" t="s">
        <v>1043</v>
      </c>
      <c r="C2086" s="0" t="n">
        <v>110</v>
      </c>
      <c r="D2086" s="0" t="n">
        <v>0</v>
      </c>
      <c r="E2086" s="0" t="n">
        <v>4</v>
      </c>
      <c r="F2086" s="0" t="n">
        <v>110</v>
      </c>
      <c r="G2086" s="0" t="n">
        <v>300</v>
      </c>
      <c r="H2086" s="0" t="s">
        <v>145</v>
      </c>
      <c r="I2086" s="0" t="n">
        <v>300</v>
      </c>
      <c r="J2086" s="0" t="n">
        <f aca="false">F2086*E2086</f>
        <v>440</v>
      </c>
      <c r="K2086" s="0" t="str">
        <f aca="false">IF(G2086&lt;1000,"1-Low",IF(G2086&lt;5000,"2-Medium","3-Bulk"))</f>
        <v>1-Low</v>
      </c>
      <c r="L2086" s="0" t="str">
        <f aca="false">IF(H2086="TRUE","Out of stock","In stock")</f>
        <v>In stock</v>
      </c>
      <c r="M2086" s="0" t="str">
        <f aca="false">IF(D2086&lt;5,"1) Under 5%",IF(D2086&lt;10,"2) 5-9%",IF(D2086&lt;15,"3) 10-14%",IF(D2086&lt;25,"4) 15-24%","5) 25%+"))))</f>
        <v>1) Under 5%</v>
      </c>
      <c r="N2086" s="0" t="str">
        <f aca="false">IF(F2086&lt;50,"1) Under Rs 50",IF(F2086&lt;100,"2) Rs 50-99",IF(F2086&lt;200,"3) Rs 100-199",IF(F2086&lt;500,"4) Rs 200-499","5) Rs 500+"))))</f>
        <v>3) Rs 100-199</v>
      </c>
      <c r="O2086" s="0" t="n">
        <f aca="false">G2086*E2086/1000</f>
        <v>1.2</v>
      </c>
    </row>
    <row r="2087" customFormat="false" ht="15" hidden="false" customHeight="false" outlineLevel="0" collapsed="false">
      <c r="A2087" s="0" t="s">
        <v>113</v>
      </c>
      <c r="B2087" s="0" t="s">
        <v>1044</v>
      </c>
      <c r="C2087" s="0" t="n">
        <v>110</v>
      </c>
      <c r="D2087" s="0" t="n">
        <v>0</v>
      </c>
      <c r="E2087" s="0" t="n">
        <v>6</v>
      </c>
      <c r="F2087" s="0" t="n">
        <v>110</v>
      </c>
      <c r="G2087" s="0" t="n">
        <v>300</v>
      </c>
      <c r="H2087" s="0" t="s">
        <v>145</v>
      </c>
      <c r="I2087" s="0" t="n">
        <v>300</v>
      </c>
      <c r="J2087" s="0" t="n">
        <f aca="false">F2087*E2087</f>
        <v>660</v>
      </c>
      <c r="K2087" s="0" t="str">
        <f aca="false">IF(G2087&lt;1000,"1-Low",IF(G2087&lt;5000,"2-Medium","3-Bulk"))</f>
        <v>1-Low</v>
      </c>
      <c r="L2087" s="0" t="str">
        <f aca="false">IF(H2087="TRUE","Out of stock","In stock")</f>
        <v>In stock</v>
      </c>
      <c r="M2087" s="0" t="str">
        <f aca="false">IF(D2087&lt;5,"1) Under 5%",IF(D2087&lt;10,"2) 5-9%",IF(D2087&lt;15,"3) 10-14%",IF(D2087&lt;25,"4) 15-24%","5) 25%+"))))</f>
        <v>1) Under 5%</v>
      </c>
      <c r="N2087" s="0" t="str">
        <f aca="false">IF(F2087&lt;50,"1) Under Rs 50",IF(F2087&lt;100,"2) Rs 50-99",IF(F2087&lt;200,"3) Rs 100-199",IF(F2087&lt;500,"4) Rs 200-499","5) Rs 500+"))))</f>
        <v>3) Rs 100-199</v>
      </c>
      <c r="O2087" s="0" t="n">
        <f aca="false">G2087*E2087/1000</f>
        <v>1.8</v>
      </c>
    </row>
    <row r="2088" customFormat="false" ht="15" hidden="false" customHeight="false" outlineLevel="0" collapsed="false">
      <c r="A2088" s="0" t="s">
        <v>113</v>
      </c>
      <c r="B2088" s="0" t="s">
        <v>602</v>
      </c>
      <c r="C2088" s="0" t="n">
        <v>25</v>
      </c>
      <c r="D2088" s="0" t="n">
        <v>0</v>
      </c>
      <c r="E2088" s="0" t="n">
        <v>1</v>
      </c>
      <c r="F2088" s="0" t="n">
        <v>25</v>
      </c>
      <c r="G2088" s="0" t="n">
        <v>77</v>
      </c>
      <c r="H2088" s="0" t="s">
        <v>145</v>
      </c>
      <c r="I2088" s="0" t="n">
        <v>77</v>
      </c>
      <c r="J2088" s="0" t="n">
        <f aca="false">F2088*E2088</f>
        <v>25</v>
      </c>
      <c r="K2088" s="0" t="str">
        <f aca="false">IF(G2088&lt;1000,"1-Low",IF(G2088&lt;5000,"2-Medium","3-Bulk"))</f>
        <v>1-Low</v>
      </c>
      <c r="L2088" s="0" t="str">
        <f aca="false">IF(H2088="TRUE","Out of stock","In stock")</f>
        <v>In stock</v>
      </c>
      <c r="M2088" s="0" t="str">
        <f aca="false">IF(D2088&lt;5,"1) Under 5%",IF(D2088&lt;10,"2) 5-9%",IF(D2088&lt;15,"3) 10-14%",IF(D2088&lt;25,"4) 15-24%","5) 25%+"))))</f>
        <v>1) Under 5%</v>
      </c>
      <c r="N2088" s="0" t="str">
        <f aca="false">IF(F2088&lt;50,"1) Under Rs 50",IF(F2088&lt;100,"2) Rs 50-99",IF(F2088&lt;200,"3) Rs 100-199",IF(F2088&lt;500,"4) Rs 200-499","5) Rs 500+"))))</f>
        <v>1) Under Rs 50</v>
      </c>
      <c r="O2088" s="0" t="n">
        <f aca="false">G2088*E2088/1000</f>
        <v>0.077</v>
      </c>
    </row>
    <row r="2089" customFormat="false" ht="15" hidden="false" customHeight="false" outlineLevel="0" collapsed="false">
      <c r="A2089" s="0" t="s">
        <v>113</v>
      </c>
      <c r="B2089" s="0" t="s">
        <v>1045</v>
      </c>
      <c r="C2089" s="0" t="n">
        <v>272</v>
      </c>
      <c r="D2089" s="0" t="n">
        <v>0</v>
      </c>
      <c r="E2089" s="0" t="n">
        <v>1</v>
      </c>
      <c r="F2089" s="0" t="n">
        <v>272</v>
      </c>
      <c r="G2089" s="0" t="n">
        <v>300</v>
      </c>
      <c r="H2089" s="0" t="s">
        <v>145</v>
      </c>
      <c r="I2089" s="0" t="n">
        <v>300</v>
      </c>
      <c r="J2089" s="0" t="n">
        <f aca="false">F2089*E2089</f>
        <v>272</v>
      </c>
      <c r="K2089" s="0" t="str">
        <f aca="false">IF(G2089&lt;1000,"1-Low",IF(G2089&lt;5000,"2-Medium","3-Bulk"))</f>
        <v>1-Low</v>
      </c>
      <c r="L2089" s="0" t="str">
        <f aca="false">IF(H2089="TRUE","Out of stock","In stock")</f>
        <v>In stock</v>
      </c>
      <c r="M2089" s="0" t="str">
        <f aca="false">IF(D2089&lt;5,"1) Under 5%",IF(D2089&lt;10,"2) 5-9%",IF(D2089&lt;15,"3) 10-14%",IF(D2089&lt;25,"4) 15-24%","5) 25%+"))))</f>
        <v>1) Under 5%</v>
      </c>
      <c r="N2089" s="0" t="str">
        <f aca="false">IF(F2089&lt;50,"1) Under Rs 50",IF(F2089&lt;100,"2) Rs 50-99",IF(F2089&lt;200,"3) Rs 100-199",IF(F2089&lt;500,"4) Rs 200-499","5) Rs 500+"))))</f>
        <v>4) Rs 200-499</v>
      </c>
      <c r="O2089" s="0" t="n">
        <f aca="false">G2089*E2089/1000</f>
        <v>0.3</v>
      </c>
    </row>
    <row r="2090" customFormat="false" ht="15" hidden="false" customHeight="false" outlineLevel="0" collapsed="false">
      <c r="A2090" s="0" t="s">
        <v>113</v>
      </c>
      <c r="B2090" s="0" t="s">
        <v>1046</v>
      </c>
      <c r="C2090" s="0" t="n">
        <v>250</v>
      </c>
      <c r="D2090" s="0" t="n">
        <v>0</v>
      </c>
      <c r="E2090" s="0" t="n">
        <v>6</v>
      </c>
      <c r="F2090" s="0" t="n">
        <v>250</v>
      </c>
      <c r="G2090" s="0" t="n">
        <v>250</v>
      </c>
      <c r="H2090" s="0" t="s">
        <v>145</v>
      </c>
      <c r="I2090" s="0" t="n">
        <v>250</v>
      </c>
      <c r="J2090" s="0" t="n">
        <f aca="false">F2090*E2090</f>
        <v>1500</v>
      </c>
      <c r="K2090" s="0" t="str">
        <f aca="false">IF(G2090&lt;1000,"1-Low",IF(G2090&lt;5000,"2-Medium","3-Bulk"))</f>
        <v>1-Low</v>
      </c>
      <c r="L2090" s="0" t="str">
        <f aca="false">IF(H2090="TRUE","Out of stock","In stock")</f>
        <v>In stock</v>
      </c>
      <c r="M2090" s="0" t="str">
        <f aca="false">IF(D2090&lt;5,"1) Under 5%",IF(D2090&lt;10,"2) 5-9%",IF(D2090&lt;15,"3) 10-14%",IF(D2090&lt;25,"4) 15-24%","5) 25%+"))))</f>
        <v>1) Under 5%</v>
      </c>
      <c r="N2090" s="0" t="str">
        <f aca="false">IF(F2090&lt;50,"1) Under Rs 50",IF(F2090&lt;100,"2) Rs 50-99",IF(F2090&lt;200,"3) Rs 100-199",IF(F2090&lt;500,"4) Rs 200-499","5) Rs 500+"))))</f>
        <v>4) Rs 200-499</v>
      </c>
      <c r="O2090" s="0" t="n">
        <f aca="false">G2090*E2090/1000</f>
        <v>1.5</v>
      </c>
    </row>
    <row r="2091" customFormat="false" ht="15" hidden="false" customHeight="false" outlineLevel="0" collapsed="false">
      <c r="A2091" s="0" t="s">
        <v>113</v>
      </c>
      <c r="B2091" s="0" t="s">
        <v>1047</v>
      </c>
      <c r="C2091" s="0" t="n">
        <v>330</v>
      </c>
      <c r="D2091" s="0" t="n">
        <v>0</v>
      </c>
      <c r="E2091" s="0" t="n">
        <v>6</v>
      </c>
      <c r="F2091" s="0" t="n">
        <v>330</v>
      </c>
      <c r="G2091" s="0" t="n">
        <v>500</v>
      </c>
      <c r="H2091" s="0" t="s">
        <v>145</v>
      </c>
      <c r="I2091" s="0" t="n">
        <v>500</v>
      </c>
      <c r="J2091" s="0" t="n">
        <f aca="false">F2091*E2091</f>
        <v>1980</v>
      </c>
      <c r="K2091" s="0" t="str">
        <f aca="false">IF(G2091&lt;1000,"1-Low",IF(G2091&lt;5000,"2-Medium","3-Bulk"))</f>
        <v>1-Low</v>
      </c>
      <c r="L2091" s="0" t="str">
        <f aca="false">IF(H2091="TRUE","Out of stock","In stock")</f>
        <v>In stock</v>
      </c>
      <c r="M2091" s="0" t="str">
        <f aca="false">IF(D2091&lt;5,"1) Under 5%",IF(D2091&lt;10,"2) 5-9%",IF(D2091&lt;15,"3) 10-14%",IF(D2091&lt;25,"4) 15-24%","5) 25%+"))))</f>
        <v>1) Under 5%</v>
      </c>
      <c r="N2091" s="0" t="str">
        <f aca="false">IF(F2091&lt;50,"1) Under Rs 50",IF(F2091&lt;100,"2) Rs 50-99",IF(F2091&lt;200,"3) Rs 100-199",IF(F2091&lt;500,"4) Rs 200-499","5) Rs 500+"))))</f>
        <v>4) Rs 200-499</v>
      </c>
      <c r="O2091" s="0" t="n">
        <f aca="false">G2091*E2091/1000</f>
        <v>3</v>
      </c>
    </row>
    <row r="2092" customFormat="false" ht="15" hidden="false" customHeight="false" outlineLevel="0" collapsed="false">
      <c r="A2092" s="0" t="s">
        <v>113</v>
      </c>
      <c r="B2092" s="0" t="s">
        <v>1048</v>
      </c>
      <c r="C2092" s="0" t="n">
        <v>175</v>
      </c>
      <c r="D2092" s="0" t="n">
        <v>9</v>
      </c>
      <c r="E2092" s="0" t="n">
        <v>4</v>
      </c>
      <c r="F2092" s="0" t="n">
        <v>158</v>
      </c>
      <c r="G2092" s="0" t="n">
        <v>375</v>
      </c>
      <c r="H2092" s="0" t="s">
        <v>145</v>
      </c>
      <c r="I2092" s="0" t="n">
        <v>375</v>
      </c>
      <c r="J2092" s="0" t="n">
        <f aca="false">F2092*E2092</f>
        <v>632</v>
      </c>
      <c r="K2092" s="0" t="str">
        <f aca="false">IF(G2092&lt;1000,"1-Low",IF(G2092&lt;5000,"2-Medium","3-Bulk"))</f>
        <v>1-Low</v>
      </c>
      <c r="L2092" s="0" t="str">
        <f aca="false">IF(H2092="TRUE","Out of stock","In stock")</f>
        <v>In stock</v>
      </c>
      <c r="M2092" s="0" t="str">
        <f aca="false">IF(D2092&lt;5,"1) Under 5%",IF(D2092&lt;10,"2) 5-9%",IF(D2092&lt;15,"3) 10-14%",IF(D2092&lt;25,"4) 15-24%","5) 25%+"))))</f>
        <v>2) 5-9%</v>
      </c>
      <c r="N2092" s="0" t="str">
        <f aca="false">IF(F2092&lt;50,"1) Under Rs 50",IF(F2092&lt;100,"2) Rs 50-99",IF(F2092&lt;200,"3) Rs 100-199",IF(F2092&lt;500,"4) Rs 200-499","5) Rs 500+"))))</f>
        <v>3) Rs 100-199</v>
      </c>
      <c r="O2092" s="0" t="n">
        <f aca="false">G2092*E2092/1000</f>
        <v>1.5</v>
      </c>
    </row>
    <row r="2093" customFormat="false" ht="15" hidden="false" customHeight="false" outlineLevel="0" collapsed="false">
      <c r="A2093" s="0" t="s">
        <v>113</v>
      </c>
      <c r="B2093" s="0" t="s">
        <v>1049</v>
      </c>
      <c r="C2093" s="0" t="n">
        <v>120</v>
      </c>
      <c r="D2093" s="0" t="n">
        <v>0</v>
      </c>
      <c r="E2093" s="0" t="n">
        <v>6</v>
      </c>
      <c r="F2093" s="0" t="n">
        <v>120</v>
      </c>
      <c r="G2093" s="0" t="n">
        <v>160</v>
      </c>
      <c r="H2093" s="0" t="s">
        <v>145</v>
      </c>
      <c r="I2093" s="0" t="n">
        <v>160</v>
      </c>
      <c r="J2093" s="0" t="n">
        <f aca="false">F2093*E2093</f>
        <v>720</v>
      </c>
      <c r="K2093" s="0" t="str">
        <f aca="false">IF(G2093&lt;1000,"1-Low",IF(G2093&lt;5000,"2-Medium","3-Bulk"))</f>
        <v>1-Low</v>
      </c>
      <c r="L2093" s="0" t="str">
        <f aca="false">IF(H2093="TRUE","Out of stock","In stock")</f>
        <v>In stock</v>
      </c>
      <c r="M2093" s="0" t="str">
        <f aca="false">IF(D2093&lt;5,"1) Under 5%",IF(D2093&lt;10,"2) 5-9%",IF(D2093&lt;15,"3) 10-14%",IF(D2093&lt;25,"4) 15-24%","5) 25%+"))))</f>
        <v>1) Under 5%</v>
      </c>
      <c r="N2093" s="0" t="str">
        <f aca="false">IF(F2093&lt;50,"1) Under Rs 50",IF(F2093&lt;100,"2) Rs 50-99",IF(F2093&lt;200,"3) Rs 100-199",IF(F2093&lt;500,"4) Rs 200-499","5) Rs 500+"))))</f>
        <v>3) Rs 100-199</v>
      </c>
      <c r="O2093" s="0" t="n">
        <f aca="false">G2093*E2093/1000</f>
        <v>0.96</v>
      </c>
    </row>
    <row r="2094" customFormat="false" ht="15" hidden="false" customHeight="false" outlineLevel="0" collapsed="false">
      <c r="A2094" s="0" t="s">
        <v>113</v>
      </c>
      <c r="B2094" s="0" t="s">
        <v>1050</v>
      </c>
      <c r="C2094" s="0" t="n">
        <v>280</v>
      </c>
      <c r="D2094" s="0" t="n">
        <v>50</v>
      </c>
      <c r="E2094" s="0" t="n">
        <v>6</v>
      </c>
      <c r="F2094" s="0" t="n">
        <v>140</v>
      </c>
      <c r="G2094" s="0" t="n">
        <v>175</v>
      </c>
      <c r="H2094" s="0" t="s">
        <v>145</v>
      </c>
      <c r="I2094" s="0" t="n">
        <v>175</v>
      </c>
      <c r="J2094" s="0" t="n">
        <f aca="false">F2094*E2094</f>
        <v>840</v>
      </c>
      <c r="K2094" s="0" t="str">
        <f aca="false">IF(G2094&lt;1000,"1-Low",IF(G2094&lt;5000,"2-Medium","3-Bulk"))</f>
        <v>1-Low</v>
      </c>
      <c r="L2094" s="0" t="str">
        <f aca="false">IF(H2094="TRUE","Out of stock","In stock")</f>
        <v>In stock</v>
      </c>
      <c r="M2094" s="0" t="str">
        <f aca="false">IF(D2094&lt;5,"1) Under 5%",IF(D2094&lt;10,"2) 5-9%",IF(D2094&lt;15,"3) 10-14%",IF(D2094&lt;25,"4) 15-24%","5) 25%+"))))</f>
        <v>5) 25%+</v>
      </c>
      <c r="N2094" s="0" t="str">
        <f aca="false">IF(F2094&lt;50,"1) Under Rs 50",IF(F2094&lt;100,"2) Rs 50-99",IF(F2094&lt;200,"3) Rs 100-199",IF(F2094&lt;500,"4) Rs 200-499","5) Rs 500+"))))</f>
        <v>3) Rs 100-199</v>
      </c>
      <c r="O2094" s="0" t="n">
        <f aca="false">G2094*E2094/1000</f>
        <v>1.05</v>
      </c>
    </row>
    <row r="2095" customFormat="false" ht="15" hidden="false" customHeight="false" outlineLevel="0" collapsed="false">
      <c r="A2095" s="0" t="s">
        <v>113</v>
      </c>
      <c r="B2095" s="0" t="s">
        <v>1051</v>
      </c>
      <c r="C2095" s="0" t="n">
        <v>660</v>
      </c>
      <c r="D2095" s="0" t="n">
        <v>7</v>
      </c>
      <c r="E2095" s="0" t="n">
        <v>2</v>
      </c>
      <c r="F2095" s="0" t="n">
        <v>608</v>
      </c>
      <c r="G2095" s="0" t="n">
        <v>3000</v>
      </c>
      <c r="H2095" s="0" t="s">
        <v>145</v>
      </c>
      <c r="I2095" s="0" t="n">
        <v>3</v>
      </c>
      <c r="J2095" s="0" t="n">
        <f aca="false">F2095*E2095</f>
        <v>1216</v>
      </c>
      <c r="K2095" s="0" t="str">
        <f aca="false">IF(G2095&lt;1000,"1-Low",IF(G2095&lt;5000,"2-Medium","3-Bulk"))</f>
        <v>2-Medium</v>
      </c>
      <c r="L2095" s="0" t="str">
        <f aca="false">IF(H2095="TRUE","Out of stock","In stock")</f>
        <v>In stock</v>
      </c>
      <c r="M2095" s="0" t="str">
        <f aca="false">IF(D2095&lt;5,"1) Under 5%",IF(D2095&lt;10,"2) 5-9%",IF(D2095&lt;15,"3) 10-14%",IF(D2095&lt;25,"4) 15-24%","5) 25%+"))))</f>
        <v>2) 5-9%</v>
      </c>
      <c r="N2095" s="0" t="str">
        <f aca="false">IF(F2095&lt;50,"1) Under Rs 50",IF(F2095&lt;100,"2) Rs 50-99",IF(F2095&lt;200,"3) Rs 100-199",IF(F2095&lt;500,"4) Rs 200-499","5) Rs 500+"))))</f>
        <v>5) Rs 500+</v>
      </c>
      <c r="O2095" s="0" t="n">
        <f aca="false">G2095*E2095/1000</f>
        <v>6</v>
      </c>
    </row>
    <row r="2096" customFormat="false" ht="15" hidden="false" customHeight="false" outlineLevel="0" collapsed="false">
      <c r="A2096" s="0" t="s">
        <v>113</v>
      </c>
      <c r="B2096" s="0" t="s">
        <v>1052</v>
      </c>
      <c r="C2096" s="0" t="n">
        <v>225</v>
      </c>
      <c r="D2096" s="0" t="n">
        <v>15</v>
      </c>
      <c r="E2096" s="0" t="n">
        <v>6</v>
      </c>
      <c r="F2096" s="0" t="n">
        <v>191</v>
      </c>
      <c r="G2096" s="0" t="n">
        <v>200</v>
      </c>
      <c r="H2096" s="0" t="s">
        <v>145</v>
      </c>
      <c r="I2096" s="0" t="n">
        <v>200</v>
      </c>
      <c r="J2096" s="0" t="n">
        <f aca="false">F2096*E2096</f>
        <v>1146</v>
      </c>
      <c r="K2096" s="0" t="str">
        <f aca="false">IF(G2096&lt;1000,"1-Low",IF(G2096&lt;5000,"2-Medium","3-Bulk"))</f>
        <v>1-Low</v>
      </c>
      <c r="L2096" s="0" t="str">
        <f aca="false">IF(H2096="TRUE","Out of stock","In stock")</f>
        <v>In stock</v>
      </c>
      <c r="M2096" s="0" t="str">
        <f aca="false">IF(D2096&lt;5,"1) Under 5%",IF(D2096&lt;10,"2) 5-9%",IF(D2096&lt;15,"3) 10-14%",IF(D2096&lt;25,"4) 15-24%","5) 25%+"))))</f>
        <v>4) 15-24%</v>
      </c>
      <c r="N2096" s="0" t="str">
        <f aca="false">IF(F2096&lt;50,"1) Under Rs 50",IF(F2096&lt;100,"2) Rs 50-99",IF(F2096&lt;200,"3) Rs 100-199",IF(F2096&lt;500,"4) Rs 200-499","5) Rs 500+"))))</f>
        <v>3) Rs 100-199</v>
      </c>
      <c r="O2096" s="0" t="n">
        <f aca="false">G2096*E2096/1000</f>
        <v>1.2</v>
      </c>
    </row>
    <row r="2097" customFormat="false" ht="15" hidden="false" customHeight="false" outlineLevel="0" collapsed="false">
      <c r="A2097" s="0" t="s">
        <v>113</v>
      </c>
      <c r="B2097" s="0" t="s">
        <v>1053</v>
      </c>
      <c r="C2097" s="0" t="n">
        <v>275</v>
      </c>
      <c r="D2097" s="0" t="n">
        <v>14</v>
      </c>
      <c r="E2097" s="0" t="n">
        <v>6</v>
      </c>
      <c r="F2097" s="0" t="n">
        <v>234</v>
      </c>
      <c r="G2097" s="0" t="n">
        <v>200</v>
      </c>
      <c r="H2097" s="0" t="s">
        <v>145</v>
      </c>
      <c r="I2097" s="0" t="n">
        <v>200</v>
      </c>
      <c r="J2097" s="0" t="n">
        <f aca="false">F2097*E2097</f>
        <v>1404</v>
      </c>
      <c r="K2097" s="0" t="str">
        <f aca="false">IF(G2097&lt;1000,"1-Low",IF(G2097&lt;5000,"2-Medium","3-Bulk"))</f>
        <v>1-Low</v>
      </c>
      <c r="L2097" s="0" t="str">
        <f aca="false">IF(H2097="TRUE","Out of stock","In stock")</f>
        <v>In stock</v>
      </c>
      <c r="M2097" s="0" t="str">
        <f aca="false">IF(D2097&lt;5,"1) Under 5%",IF(D2097&lt;10,"2) 5-9%",IF(D2097&lt;15,"3) 10-14%",IF(D2097&lt;25,"4) 15-24%","5) 25%+"))))</f>
        <v>3) 10-14%</v>
      </c>
      <c r="N2097" s="0" t="str">
        <f aca="false">IF(F2097&lt;50,"1) Under Rs 50",IF(F2097&lt;100,"2) Rs 50-99",IF(F2097&lt;200,"3) Rs 100-199",IF(F2097&lt;500,"4) Rs 200-499","5) Rs 500+"))))</f>
        <v>4) Rs 200-499</v>
      </c>
      <c r="O2097" s="0" t="n">
        <f aca="false">G2097*E2097/1000</f>
        <v>1.2</v>
      </c>
    </row>
    <row r="2098" customFormat="false" ht="15" hidden="false" customHeight="false" outlineLevel="0" collapsed="false">
      <c r="A2098" s="0" t="s">
        <v>113</v>
      </c>
      <c r="B2098" s="0" t="s">
        <v>1054</v>
      </c>
      <c r="C2098" s="0" t="n">
        <v>275</v>
      </c>
      <c r="D2098" s="0" t="n">
        <v>14</v>
      </c>
      <c r="E2098" s="0" t="n">
        <v>6</v>
      </c>
      <c r="F2098" s="0" t="n">
        <v>234</v>
      </c>
      <c r="G2098" s="0" t="n">
        <v>200</v>
      </c>
      <c r="H2098" s="0" t="s">
        <v>145</v>
      </c>
      <c r="I2098" s="0" t="n">
        <v>200</v>
      </c>
      <c r="J2098" s="0" t="n">
        <f aca="false">F2098*E2098</f>
        <v>1404</v>
      </c>
      <c r="K2098" s="0" t="str">
        <f aca="false">IF(G2098&lt;1000,"1-Low",IF(G2098&lt;5000,"2-Medium","3-Bulk"))</f>
        <v>1-Low</v>
      </c>
      <c r="L2098" s="0" t="str">
        <f aca="false">IF(H2098="TRUE","Out of stock","In stock")</f>
        <v>In stock</v>
      </c>
      <c r="M2098" s="0" t="str">
        <f aca="false">IF(D2098&lt;5,"1) Under 5%",IF(D2098&lt;10,"2) 5-9%",IF(D2098&lt;15,"3) 10-14%",IF(D2098&lt;25,"4) 15-24%","5) 25%+"))))</f>
        <v>3) 10-14%</v>
      </c>
      <c r="N2098" s="0" t="str">
        <f aca="false">IF(F2098&lt;50,"1) Under Rs 50",IF(F2098&lt;100,"2) Rs 50-99",IF(F2098&lt;200,"3) Rs 100-199",IF(F2098&lt;500,"4) Rs 200-499","5) Rs 500+"))))</f>
        <v>4) Rs 200-499</v>
      </c>
      <c r="O2098" s="0" t="n">
        <f aca="false">G2098*E2098/1000</f>
        <v>1.2</v>
      </c>
    </row>
    <row r="2099" customFormat="false" ht="15" hidden="false" customHeight="false" outlineLevel="0" collapsed="false">
      <c r="A2099" s="0" t="s">
        <v>113</v>
      </c>
      <c r="B2099" s="0" t="s">
        <v>782</v>
      </c>
      <c r="C2099" s="0" t="n">
        <v>249</v>
      </c>
      <c r="D2099" s="0" t="n">
        <v>0</v>
      </c>
      <c r="E2099" s="0" t="n">
        <v>4</v>
      </c>
      <c r="F2099" s="0" t="n">
        <v>249</v>
      </c>
      <c r="G2099" s="0" t="n">
        <v>400</v>
      </c>
      <c r="H2099" s="0" t="s">
        <v>145</v>
      </c>
      <c r="I2099" s="0" t="n">
        <v>400</v>
      </c>
      <c r="J2099" s="0" t="n">
        <f aca="false">F2099*E2099</f>
        <v>996</v>
      </c>
      <c r="K2099" s="0" t="str">
        <f aca="false">IF(G2099&lt;1000,"1-Low",IF(G2099&lt;5000,"2-Medium","3-Bulk"))</f>
        <v>1-Low</v>
      </c>
      <c r="L2099" s="0" t="str">
        <f aca="false">IF(H2099="TRUE","Out of stock","In stock")</f>
        <v>In stock</v>
      </c>
      <c r="M2099" s="0" t="str">
        <f aca="false">IF(D2099&lt;5,"1) Under 5%",IF(D2099&lt;10,"2) 5-9%",IF(D2099&lt;15,"3) 10-14%",IF(D2099&lt;25,"4) 15-24%","5) 25%+"))))</f>
        <v>1) Under 5%</v>
      </c>
      <c r="N2099" s="0" t="str">
        <f aca="false">IF(F2099&lt;50,"1) Under Rs 50",IF(F2099&lt;100,"2) Rs 50-99",IF(F2099&lt;200,"3) Rs 100-199",IF(F2099&lt;500,"4) Rs 200-499","5) Rs 500+"))))</f>
        <v>4) Rs 200-499</v>
      </c>
      <c r="O2099" s="0" t="n">
        <f aca="false">G2099*E2099/1000</f>
        <v>1.6</v>
      </c>
    </row>
    <row r="2100" customFormat="false" ht="15" hidden="false" customHeight="false" outlineLevel="0" collapsed="false">
      <c r="A2100" s="0" t="s">
        <v>113</v>
      </c>
      <c r="B2100" s="0" t="s">
        <v>1055</v>
      </c>
      <c r="C2100" s="0" t="n">
        <v>140</v>
      </c>
      <c r="D2100" s="0" t="n">
        <v>15</v>
      </c>
      <c r="E2100" s="0" t="n">
        <v>6</v>
      </c>
      <c r="F2100" s="0" t="n">
        <v>119</v>
      </c>
      <c r="G2100" s="0" t="n">
        <v>60</v>
      </c>
      <c r="H2100" s="0" t="s">
        <v>145</v>
      </c>
      <c r="I2100" s="0" t="n">
        <v>60</v>
      </c>
      <c r="J2100" s="0" t="n">
        <f aca="false">F2100*E2100</f>
        <v>714</v>
      </c>
      <c r="K2100" s="0" t="str">
        <f aca="false">IF(G2100&lt;1000,"1-Low",IF(G2100&lt;5000,"2-Medium","3-Bulk"))</f>
        <v>1-Low</v>
      </c>
      <c r="L2100" s="0" t="str">
        <f aca="false">IF(H2100="TRUE","Out of stock","In stock")</f>
        <v>In stock</v>
      </c>
      <c r="M2100" s="0" t="str">
        <f aca="false">IF(D2100&lt;5,"1) Under 5%",IF(D2100&lt;10,"2) 5-9%",IF(D2100&lt;15,"3) 10-14%",IF(D2100&lt;25,"4) 15-24%","5) 25%+"))))</f>
        <v>4) 15-24%</v>
      </c>
      <c r="N2100" s="0" t="str">
        <f aca="false">IF(F2100&lt;50,"1) Under Rs 50",IF(F2100&lt;100,"2) Rs 50-99",IF(F2100&lt;200,"3) Rs 100-199",IF(F2100&lt;500,"4) Rs 200-499","5) Rs 500+"))))</f>
        <v>3) Rs 100-199</v>
      </c>
      <c r="O2100" s="0" t="n">
        <f aca="false">G2100*E2100/1000</f>
        <v>0.36</v>
      </c>
    </row>
    <row r="2101" customFormat="false" ht="15" hidden="false" customHeight="false" outlineLevel="0" collapsed="false">
      <c r="A2101" s="0" t="s">
        <v>113</v>
      </c>
      <c r="B2101" s="0" t="s">
        <v>1056</v>
      </c>
      <c r="C2101" s="0" t="n">
        <v>325</v>
      </c>
      <c r="D2101" s="0" t="n">
        <v>9</v>
      </c>
      <c r="E2101" s="0" t="n">
        <v>5</v>
      </c>
      <c r="F2101" s="0" t="n">
        <v>293</v>
      </c>
      <c r="G2101" s="0" t="n">
        <v>200</v>
      </c>
      <c r="H2101" s="0" t="s">
        <v>145</v>
      </c>
      <c r="I2101" s="0" t="n">
        <v>200</v>
      </c>
      <c r="J2101" s="0" t="n">
        <f aca="false">F2101*E2101</f>
        <v>1465</v>
      </c>
      <c r="K2101" s="0" t="str">
        <f aca="false">IF(G2101&lt;1000,"1-Low",IF(G2101&lt;5000,"2-Medium","3-Bulk"))</f>
        <v>1-Low</v>
      </c>
      <c r="L2101" s="0" t="str">
        <f aca="false">IF(H2101="TRUE","Out of stock","In stock")</f>
        <v>In stock</v>
      </c>
      <c r="M2101" s="0" t="str">
        <f aca="false">IF(D2101&lt;5,"1) Under 5%",IF(D2101&lt;10,"2) 5-9%",IF(D2101&lt;15,"3) 10-14%",IF(D2101&lt;25,"4) 15-24%","5) 25%+"))))</f>
        <v>2) 5-9%</v>
      </c>
      <c r="N2101" s="0" t="str">
        <f aca="false">IF(F2101&lt;50,"1) Under Rs 50",IF(F2101&lt;100,"2) Rs 50-99",IF(F2101&lt;200,"3) Rs 100-199",IF(F2101&lt;500,"4) Rs 200-499","5) Rs 500+"))))</f>
        <v>4) Rs 200-499</v>
      </c>
      <c r="O2101" s="0" t="n">
        <f aca="false">G2101*E2101/1000</f>
        <v>1</v>
      </c>
    </row>
    <row r="2102" customFormat="false" ht="15" hidden="false" customHeight="false" outlineLevel="0" collapsed="false">
      <c r="A2102" s="0" t="s">
        <v>113</v>
      </c>
      <c r="B2102" s="0" t="s">
        <v>1057</v>
      </c>
      <c r="C2102" s="0" t="n">
        <v>275</v>
      </c>
      <c r="D2102" s="0" t="n">
        <v>14</v>
      </c>
      <c r="E2102" s="0" t="n">
        <v>6</v>
      </c>
      <c r="F2102" s="0" t="n">
        <v>234</v>
      </c>
      <c r="G2102" s="0" t="n">
        <v>200</v>
      </c>
      <c r="H2102" s="0" t="s">
        <v>145</v>
      </c>
      <c r="I2102" s="0" t="n">
        <v>200</v>
      </c>
      <c r="J2102" s="0" t="n">
        <f aca="false">F2102*E2102</f>
        <v>1404</v>
      </c>
      <c r="K2102" s="0" t="str">
        <f aca="false">IF(G2102&lt;1000,"1-Low",IF(G2102&lt;5000,"2-Medium","3-Bulk"))</f>
        <v>1-Low</v>
      </c>
      <c r="L2102" s="0" t="str">
        <f aca="false">IF(H2102="TRUE","Out of stock","In stock")</f>
        <v>In stock</v>
      </c>
      <c r="M2102" s="0" t="str">
        <f aca="false">IF(D2102&lt;5,"1) Under 5%",IF(D2102&lt;10,"2) 5-9%",IF(D2102&lt;15,"3) 10-14%",IF(D2102&lt;25,"4) 15-24%","5) 25%+"))))</f>
        <v>3) 10-14%</v>
      </c>
      <c r="N2102" s="0" t="str">
        <f aca="false">IF(F2102&lt;50,"1) Under Rs 50",IF(F2102&lt;100,"2) Rs 50-99",IF(F2102&lt;200,"3) Rs 100-199",IF(F2102&lt;500,"4) Rs 200-499","5) Rs 500+"))))</f>
        <v>4) Rs 200-499</v>
      </c>
      <c r="O2102" s="0" t="n">
        <f aca="false">G2102*E2102/1000</f>
        <v>1.2</v>
      </c>
    </row>
    <row r="2103" customFormat="false" ht="15" hidden="false" customHeight="false" outlineLevel="0" collapsed="false">
      <c r="A2103" s="0" t="s">
        <v>113</v>
      </c>
      <c r="B2103" s="0" t="s">
        <v>1058</v>
      </c>
      <c r="C2103" s="0" t="n">
        <v>114</v>
      </c>
      <c r="D2103" s="0" t="n">
        <v>0</v>
      </c>
      <c r="E2103" s="0" t="n">
        <v>6</v>
      </c>
      <c r="F2103" s="0" t="n">
        <v>114</v>
      </c>
      <c r="G2103" s="0" t="n">
        <v>480</v>
      </c>
      <c r="H2103" s="0" t="s">
        <v>145</v>
      </c>
      <c r="I2103" s="0" t="n">
        <v>480</v>
      </c>
      <c r="J2103" s="0" t="n">
        <f aca="false">F2103*E2103</f>
        <v>684</v>
      </c>
      <c r="K2103" s="0" t="str">
        <f aca="false">IF(G2103&lt;1000,"1-Low",IF(G2103&lt;5000,"2-Medium","3-Bulk"))</f>
        <v>1-Low</v>
      </c>
      <c r="L2103" s="0" t="str">
        <f aca="false">IF(H2103="TRUE","Out of stock","In stock")</f>
        <v>In stock</v>
      </c>
      <c r="M2103" s="0" t="str">
        <f aca="false">IF(D2103&lt;5,"1) Under 5%",IF(D2103&lt;10,"2) 5-9%",IF(D2103&lt;15,"3) 10-14%",IF(D2103&lt;25,"4) 15-24%","5) 25%+"))))</f>
        <v>1) Under 5%</v>
      </c>
      <c r="N2103" s="0" t="str">
        <f aca="false">IF(F2103&lt;50,"1) Under Rs 50",IF(F2103&lt;100,"2) Rs 50-99",IF(F2103&lt;200,"3) Rs 100-199",IF(F2103&lt;500,"4) Rs 200-499","5) Rs 500+"))))</f>
        <v>3) Rs 100-199</v>
      </c>
      <c r="O2103" s="0" t="n">
        <f aca="false">G2103*E2103/1000</f>
        <v>2.88</v>
      </c>
    </row>
    <row r="2104" customFormat="false" ht="15" hidden="false" customHeight="false" outlineLevel="0" collapsed="false">
      <c r="A2104" s="0" t="s">
        <v>113</v>
      </c>
      <c r="B2104" s="0" t="s">
        <v>605</v>
      </c>
      <c r="C2104" s="0" t="n">
        <v>250</v>
      </c>
      <c r="D2104" s="0" t="n">
        <v>0</v>
      </c>
      <c r="E2104" s="0" t="n">
        <v>5</v>
      </c>
      <c r="F2104" s="0" t="n">
        <v>250</v>
      </c>
      <c r="G2104" s="0" t="n">
        <v>400</v>
      </c>
      <c r="H2104" s="0" t="s">
        <v>145</v>
      </c>
      <c r="I2104" s="0" t="n">
        <v>400</v>
      </c>
      <c r="J2104" s="0" t="n">
        <f aca="false">F2104*E2104</f>
        <v>1250</v>
      </c>
      <c r="K2104" s="0" t="str">
        <f aca="false">IF(G2104&lt;1000,"1-Low",IF(G2104&lt;5000,"2-Medium","3-Bulk"))</f>
        <v>1-Low</v>
      </c>
      <c r="L2104" s="0" t="str">
        <f aca="false">IF(H2104="TRUE","Out of stock","In stock")</f>
        <v>In stock</v>
      </c>
      <c r="M2104" s="0" t="str">
        <f aca="false">IF(D2104&lt;5,"1) Under 5%",IF(D2104&lt;10,"2) 5-9%",IF(D2104&lt;15,"3) 10-14%",IF(D2104&lt;25,"4) 15-24%","5) 25%+"))))</f>
        <v>1) Under 5%</v>
      </c>
      <c r="N2104" s="0" t="str">
        <f aca="false">IF(F2104&lt;50,"1) Under Rs 50",IF(F2104&lt;100,"2) Rs 50-99",IF(F2104&lt;200,"3) Rs 100-199",IF(F2104&lt;500,"4) Rs 200-499","5) Rs 500+"))))</f>
        <v>4) Rs 200-499</v>
      </c>
      <c r="O2104" s="0" t="n">
        <f aca="false">G2104*E2104/1000</f>
        <v>2</v>
      </c>
    </row>
    <row r="2105" customFormat="false" ht="15" hidden="false" customHeight="false" outlineLevel="0" collapsed="false">
      <c r="A2105" s="0" t="s">
        <v>113</v>
      </c>
      <c r="B2105" s="0" t="s">
        <v>1059</v>
      </c>
      <c r="C2105" s="0" t="n">
        <v>610</v>
      </c>
      <c r="D2105" s="0" t="n">
        <v>0</v>
      </c>
      <c r="E2105" s="0" t="n">
        <v>2</v>
      </c>
      <c r="F2105" s="0" t="n">
        <v>610</v>
      </c>
      <c r="G2105" s="0" t="n">
        <v>400</v>
      </c>
      <c r="H2105" s="0" t="s">
        <v>145</v>
      </c>
      <c r="I2105" s="0" t="n">
        <v>400</v>
      </c>
      <c r="J2105" s="0" t="n">
        <f aca="false">F2105*E2105</f>
        <v>1220</v>
      </c>
      <c r="K2105" s="0" t="str">
        <f aca="false">IF(G2105&lt;1000,"1-Low",IF(G2105&lt;5000,"2-Medium","3-Bulk"))</f>
        <v>1-Low</v>
      </c>
      <c r="L2105" s="0" t="str">
        <f aca="false">IF(H2105="TRUE","Out of stock","In stock")</f>
        <v>In stock</v>
      </c>
      <c r="M2105" s="0" t="str">
        <f aca="false">IF(D2105&lt;5,"1) Under 5%",IF(D2105&lt;10,"2) 5-9%",IF(D2105&lt;15,"3) 10-14%",IF(D2105&lt;25,"4) 15-24%","5) 25%+"))))</f>
        <v>1) Under 5%</v>
      </c>
      <c r="N2105" s="0" t="str">
        <f aca="false">IF(F2105&lt;50,"1) Under Rs 50",IF(F2105&lt;100,"2) Rs 50-99",IF(F2105&lt;200,"3) Rs 100-199",IF(F2105&lt;500,"4) Rs 200-499","5) Rs 500+"))))</f>
        <v>5) Rs 500+</v>
      </c>
      <c r="O2105" s="0" t="n">
        <f aca="false">G2105*E2105/1000</f>
        <v>0.8</v>
      </c>
    </row>
    <row r="2106" customFormat="false" ht="15" hidden="false" customHeight="false" outlineLevel="0" collapsed="false">
      <c r="A2106" s="0" t="s">
        <v>113</v>
      </c>
      <c r="B2106" s="0" t="s">
        <v>1060</v>
      </c>
      <c r="C2106" s="0" t="n">
        <v>91</v>
      </c>
      <c r="D2106" s="0" t="n">
        <v>0</v>
      </c>
      <c r="E2106" s="0" t="n">
        <v>6</v>
      </c>
      <c r="F2106" s="0" t="n">
        <v>91</v>
      </c>
      <c r="G2106" s="0" t="n">
        <v>60</v>
      </c>
      <c r="H2106" s="0" t="s">
        <v>145</v>
      </c>
      <c r="I2106" s="0" t="n">
        <v>60</v>
      </c>
      <c r="J2106" s="0" t="n">
        <f aca="false">F2106*E2106</f>
        <v>546</v>
      </c>
      <c r="K2106" s="0" t="str">
        <f aca="false">IF(G2106&lt;1000,"1-Low",IF(G2106&lt;5000,"2-Medium","3-Bulk"))</f>
        <v>1-Low</v>
      </c>
      <c r="L2106" s="0" t="str">
        <f aca="false">IF(H2106="TRUE","Out of stock","In stock")</f>
        <v>In stock</v>
      </c>
      <c r="M2106" s="0" t="str">
        <f aca="false">IF(D2106&lt;5,"1) Under 5%",IF(D2106&lt;10,"2) 5-9%",IF(D2106&lt;15,"3) 10-14%",IF(D2106&lt;25,"4) 15-24%","5) 25%+"))))</f>
        <v>1) Under 5%</v>
      </c>
      <c r="N2106" s="0" t="str">
        <f aca="false">IF(F2106&lt;50,"1) Under Rs 50",IF(F2106&lt;100,"2) Rs 50-99",IF(F2106&lt;200,"3) Rs 100-199",IF(F2106&lt;500,"4) Rs 200-499","5) Rs 500+"))))</f>
        <v>2) Rs 50-99</v>
      </c>
      <c r="O2106" s="0" t="n">
        <f aca="false">G2106*E2106/1000</f>
        <v>0.36</v>
      </c>
    </row>
    <row r="2107" customFormat="false" ht="15" hidden="false" customHeight="false" outlineLevel="0" collapsed="false">
      <c r="A2107" s="0" t="s">
        <v>113</v>
      </c>
      <c r="B2107" s="0" t="s">
        <v>1061</v>
      </c>
      <c r="C2107" s="0" t="n">
        <v>230</v>
      </c>
      <c r="D2107" s="0" t="n">
        <v>0</v>
      </c>
      <c r="E2107" s="0" t="n">
        <v>4</v>
      </c>
      <c r="F2107" s="0" t="n">
        <v>230</v>
      </c>
      <c r="G2107" s="0" t="n">
        <v>400</v>
      </c>
      <c r="H2107" s="0" t="s">
        <v>145</v>
      </c>
      <c r="I2107" s="0" t="n">
        <v>400</v>
      </c>
      <c r="J2107" s="0" t="n">
        <f aca="false">F2107*E2107</f>
        <v>920</v>
      </c>
      <c r="K2107" s="0" t="str">
        <f aca="false">IF(G2107&lt;1000,"1-Low",IF(G2107&lt;5000,"2-Medium","3-Bulk"))</f>
        <v>1-Low</v>
      </c>
      <c r="L2107" s="0" t="str">
        <f aca="false">IF(H2107="TRUE","Out of stock","In stock")</f>
        <v>In stock</v>
      </c>
      <c r="M2107" s="0" t="str">
        <f aca="false">IF(D2107&lt;5,"1) Under 5%",IF(D2107&lt;10,"2) 5-9%",IF(D2107&lt;15,"3) 10-14%",IF(D2107&lt;25,"4) 15-24%","5) 25%+"))))</f>
        <v>1) Under 5%</v>
      </c>
      <c r="N2107" s="0" t="str">
        <f aca="false">IF(F2107&lt;50,"1) Under Rs 50",IF(F2107&lt;100,"2) Rs 50-99",IF(F2107&lt;200,"3) Rs 100-199",IF(F2107&lt;500,"4) Rs 200-499","5) Rs 500+"))))</f>
        <v>4) Rs 200-499</v>
      </c>
      <c r="O2107" s="0" t="n">
        <f aca="false">G2107*E2107/1000</f>
        <v>1.6</v>
      </c>
    </row>
    <row r="2108" customFormat="false" ht="15" hidden="false" customHeight="false" outlineLevel="0" collapsed="false">
      <c r="A2108" s="0" t="s">
        <v>113</v>
      </c>
      <c r="B2108" s="0" t="s">
        <v>1062</v>
      </c>
      <c r="C2108" s="0" t="n">
        <v>275</v>
      </c>
      <c r="D2108" s="0" t="n">
        <v>14</v>
      </c>
      <c r="E2108" s="0" t="n">
        <v>6</v>
      </c>
      <c r="F2108" s="0" t="n">
        <v>234</v>
      </c>
      <c r="G2108" s="0" t="n">
        <v>200</v>
      </c>
      <c r="H2108" s="0" t="s">
        <v>145</v>
      </c>
      <c r="I2108" s="0" t="n">
        <v>200</v>
      </c>
      <c r="J2108" s="0" t="n">
        <f aca="false">F2108*E2108</f>
        <v>1404</v>
      </c>
      <c r="K2108" s="0" t="str">
        <f aca="false">IF(G2108&lt;1000,"1-Low",IF(G2108&lt;5000,"2-Medium","3-Bulk"))</f>
        <v>1-Low</v>
      </c>
      <c r="L2108" s="0" t="str">
        <f aca="false">IF(H2108="TRUE","Out of stock","In stock")</f>
        <v>In stock</v>
      </c>
      <c r="M2108" s="0" t="str">
        <f aca="false">IF(D2108&lt;5,"1) Under 5%",IF(D2108&lt;10,"2) 5-9%",IF(D2108&lt;15,"3) 10-14%",IF(D2108&lt;25,"4) 15-24%","5) 25%+"))))</f>
        <v>3) 10-14%</v>
      </c>
      <c r="N2108" s="0" t="str">
        <f aca="false">IF(F2108&lt;50,"1) Under Rs 50",IF(F2108&lt;100,"2) Rs 50-99",IF(F2108&lt;200,"3) Rs 100-199",IF(F2108&lt;500,"4) Rs 200-499","5) Rs 500+"))))</f>
        <v>4) Rs 200-499</v>
      </c>
      <c r="O2108" s="0" t="n">
        <f aca="false">G2108*E2108/1000</f>
        <v>1.2</v>
      </c>
    </row>
    <row r="2109" customFormat="false" ht="15" hidden="false" customHeight="false" outlineLevel="0" collapsed="false">
      <c r="A2109" s="0" t="s">
        <v>113</v>
      </c>
      <c r="B2109" s="0" t="s">
        <v>1063</v>
      </c>
      <c r="C2109" s="0" t="n">
        <v>65</v>
      </c>
      <c r="D2109" s="0" t="n">
        <v>6</v>
      </c>
      <c r="E2109" s="0" t="n">
        <v>3</v>
      </c>
      <c r="F2109" s="0" t="n">
        <v>61</v>
      </c>
      <c r="G2109" s="0" t="n">
        <v>52</v>
      </c>
      <c r="H2109" s="0" t="s">
        <v>145</v>
      </c>
      <c r="I2109" s="0" t="n">
        <v>52</v>
      </c>
      <c r="J2109" s="0" t="n">
        <f aca="false">F2109*E2109</f>
        <v>183</v>
      </c>
      <c r="K2109" s="0" t="str">
        <f aca="false">IF(G2109&lt;1000,"1-Low",IF(G2109&lt;5000,"2-Medium","3-Bulk"))</f>
        <v>1-Low</v>
      </c>
      <c r="L2109" s="0" t="str">
        <f aca="false">IF(H2109="TRUE","Out of stock","In stock")</f>
        <v>In stock</v>
      </c>
      <c r="M2109" s="0" t="str">
        <f aca="false">IF(D2109&lt;5,"1) Under 5%",IF(D2109&lt;10,"2) 5-9%",IF(D2109&lt;15,"3) 10-14%",IF(D2109&lt;25,"4) 15-24%","5) 25%+"))))</f>
        <v>2) 5-9%</v>
      </c>
      <c r="N2109" s="0" t="str">
        <f aca="false">IF(F2109&lt;50,"1) Under Rs 50",IF(F2109&lt;100,"2) Rs 50-99",IF(F2109&lt;200,"3) Rs 100-199",IF(F2109&lt;500,"4) Rs 200-499","5) Rs 500+"))))</f>
        <v>2) Rs 50-99</v>
      </c>
      <c r="O2109" s="0" t="n">
        <f aca="false">G2109*E2109/1000</f>
        <v>0.156</v>
      </c>
    </row>
    <row r="2110" customFormat="false" ht="15" hidden="false" customHeight="false" outlineLevel="0" collapsed="false">
      <c r="A2110" s="0" t="s">
        <v>113</v>
      </c>
      <c r="B2110" s="0" t="s">
        <v>125</v>
      </c>
      <c r="C2110" s="0" t="n">
        <v>595</v>
      </c>
      <c r="D2110" s="0" t="n">
        <v>0</v>
      </c>
      <c r="E2110" s="0" t="n">
        <v>5</v>
      </c>
      <c r="F2110" s="0" t="n">
        <v>595</v>
      </c>
      <c r="G2110" s="0" t="n">
        <v>1000</v>
      </c>
      <c r="H2110" s="0" t="s">
        <v>145</v>
      </c>
      <c r="I2110" s="0" t="n">
        <v>1</v>
      </c>
      <c r="J2110" s="0" t="n">
        <f aca="false">F2110*E2110</f>
        <v>2975</v>
      </c>
      <c r="K2110" s="0" t="str">
        <f aca="false">IF(G2110&lt;1000,"1-Low",IF(G2110&lt;5000,"2-Medium","3-Bulk"))</f>
        <v>2-Medium</v>
      </c>
      <c r="L2110" s="0" t="str">
        <f aca="false">IF(H2110="TRUE","Out of stock","In stock")</f>
        <v>In stock</v>
      </c>
      <c r="M2110" s="0" t="str">
        <f aca="false">IF(D2110&lt;5,"1) Under 5%",IF(D2110&lt;10,"2) 5-9%",IF(D2110&lt;15,"3) 10-14%",IF(D2110&lt;25,"4) 15-24%","5) 25%+"))))</f>
        <v>1) Under 5%</v>
      </c>
      <c r="N2110" s="0" t="str">
        <f aca="false">IF(F2110&lt;50,"1) Under Rs 50",IF(F2110&lt;100,"2) Rs 50-99",IF(F2110&lt;200,"3) Rs 100-199",IF(F2110&lt;500,"4) Rs 200-499","5) Rs 500+"))))</f>
        <v>5) Rs 500+</v>
      </c>
      <c r="O2110" s="0" t="n">
        <f aca="false">G2110*E2110/1000</f>
        <v>5</v>
      </c>
    </row>
    <row r="2111" customFormat="false" ht="15" hidden="false" customHeight="false" outlineLevel="0" collapsed="false">
      <c r="A2111" s="0" t="s">
        <v>113</v>
      </c>
      <c r="B2111" s="0" t="s">
        <v>981</v>
      </c>
      <c r="C2111" s="0" t="n">
        <v>105</v>
      </c>
      <c r="D2111" s="0" t="n">
        <v>0</v>
      </c>
      <c r="E2111" s="0" t="n">
        <v>4</v>
      </c>
      <c r="F2111" s="0" t="n">
        <v>105</v>
      </c>
      <c r="G2111" s="0" t="n">
        <v>850</v>
      </c>
      <c r="H2111" s="0" t="s">
        <v>145</v>
      </c>
      <c r="I2111" s="0" t="n">
        <v>850</v>
      </c>
      <c r="J2111" s="0" t="n">
        <f aca="false">F2111*E2111</f>
        <v>420</v>
      </c>
      <c r="K2111" s="0" t="str">
        <f aca="false">IF(G2111&lt;1000,"1-Low",IF(G2111&lt;5000,"2-Medium","3-Bulk"))</f>
        <v>1-Low</v>
      </c>
      <c r="L2111" s="0" t="str">
        <f aca="false">IF(H2111="TRUE","Out of stock","In stock")</f>
        <v>In stock</v>
      </c>
      <c r="M2111" s="0" t="str">
        <f aca="false">IF(D2111&lt;5,"1) Under 5%",IF(D2111&lt;10,"2) 5-9%",IF(D2111&lt;15,"3) 10-14%",IF(D2111&lt;25,"4) 15-24%","5) 25%+"))))</f>
        <v>1) Under 5%</v>
      </c>
      <c r="N2111" s="0" t="str">
        <f aca="false">IF(F2111&lt;50,"1) Under Rs 50",IF(F2111&lt;100,"2) Rs 50-99",IF(F2111&lt;200,"3) Rs 100-199",IF(F2111&lt;500,"4) Rs 200-499","5) Rs 500+"))))</f>
        <v>3) Rs 100-199</v>
      </c>
      <c r="O2111" s="0" t="n">
        <f aca="false">G2111*E2111/1000</f>
        <v>3.4</v>
      </c>
    </row>
    <row r="2112" customFormat="false" ht="15" hidden="false" customHeight="false" outlineLevel="0" collapsed="false">
      <c r="A2112" s="0" t="s">
        <v>113</v>
      </c>
      <c r="B2112" s="0" t="s">
        <v>649</v>
      </c>
      <c r="C2112" s="0" t="n">
        <v>44</v>
      </c>
      <c r="D2112" s="0" t="n">
        <v>0</v>
      </c>
      <c r="E2112" s="0" t="n">
        <v>0</v>
      </c>
      <c r="F2112" s="0" t="n">
        <v>44</v>
      </c>
      <c r="G2112" s="0" t="n">
        <v>280</v>
      </c>
      <c r="H2112" s="0" t="s">
        <v>230</v>
      </c>
      <c r="I2112" s="0" t="n">
        <v>280</v>
      </c>
      <c r="J2112" s="0" t="n">
        <f aca="false">F2112*E2112</f>
        <v>0</v>
      </c>
      <c r="K2112" s="0" t="str">
        <f aca="false">IF(G2112&lt;1000,"1-Low",IF(G2112&lt;5000,"2-Medium","3-Bulk"))</f>
        <v>1-Low</v>
      </c>
      <c r="L2112" s="0" t="str">
        <f aca="false">IF(H2112="TRUE","Out of stock","In stock")</f>
        <v>Out of stock</v>
      </c>
      <c r="M2112" s="0" t="str">
        <f aca="false">IF(D2112&lt;5,"1) Under 5%",IF(D2112&lt;10,"2) 5-9%",IF(D2112&lt;15,"3) 10-14%",IF(D2112&lt;25,"4) 15-24%","5) 25%+"))))</f>
        <v>1) Under 5%</v>
      </c>
      <c r="N2112" s="0" t="str">
        <f aca="false">IF(F2112&lt;50,"1) Under Rs 50",IF(F2112&lt;100,"2) Rs 50-99",IF(F2112&lt;200,"3) Rs 100-199",IF(F2112&lt;500,"4) Rs 200-499","5) Rs 500+"))))</f>
        <v>1) Under Rs 50</v>
      </c>
      <c r="O2112" s="0" t="n">
        <f aca="false">G2112*E2112/1000</f>
        <v>0</v>
      </c>
    </row>
    <row r="2113" customFormat="false" ht="15" hidden="false" customHeight="false" outlineLevel="0" collapsed="false">
      <c r="A2113" s="0" t="s">
        <v>113</v>
      </c>
      <c r="B2113" s="0" t="s">
        <v>1064</v>
      </c>
      <c r="C2113" s="0" t="n">
        <v>20</v>
      </c>
      <c r="D2113" s="0" t="n">
        <v>0</v>
      </c>
      <c r="E2113" s="0" t="n">
        <v>0</v>
      </c>
      <c r="F2113" s="0" t="n">
        <v>20</v>
      </c>
      <c r="G2113" s="0" t="n">
        <v>90</v>
      </c>
      <c r="H2113" s="0" t="s">
        <v>230</v>
      </c>
      <c r="I2113" s="0" t="n">
        <v>90</v>
      </c>
      <c r="J2113" s="0" t="n">
        <f aca="false">F2113*E2113</f>
        <v>0</v>
      </c>
      <c r="K2113" s="0" t="str">
        <f aca="false">IF(G2113&lt;1000,"1-Low",IF(G2113&lt;5000,"2-Medium","3-Bulk"))</f>
        <v>1-Low</v>
      </c>
      <c r="L2113" s="0" t="str">
        <f aca="false">IF(H2113="TRUE","Out of stock","In stock")</f>
        <v>Out of stock</v>
      </c>
      <c r="M2113" s="0" t="str">
        <f aca="false">IF(D2113&lt;5,"1) Under 5%",IF(D2113&lt;10,"2) 5-9%",IF(D2113&lt;15,"3) 10-14%",IF(D2113&lt;25,"4) 15-24%","5) 25%+"))))</f>
        <v>1) Under 5%</v>
      </c>
      <c r="N2113" s="0" t="str">
        <f aca="false">IF(F2113&lt;50,"1) Under Rs 50",IF(F2113&lt;100,"2) Rs 50-99",IF(F2113&lt;200,"3) Rs 100-199",IF(F2113&lt;500,"4) Rs 200-499","5) Rs 500+"))))</f>
        <v>1) Under Rs 50</v>
      </c>
      <c r="O2113" s="0" t="n">
        <f aca="false">G2113*E2113/1000</f>
        <v>0</v>
      </c>
    </row>
    <row r="2114" customFormat="false" ht="15" hidden="false" customHeight="false" outlineLevel="0" collapsed="false">
      <c r="A2114" s="0" t="s">
        <v>113</v>
      </c>
      <c r="B2114" s="0" t="s">
        <v>1065</v>
      </c>
      <c r="C2114" s="0" t="n">
        <v>60</v>
      </c>
      <c r="D2114" s="0" t="n">
        <v>6</v>
      </c>
      <c r="E2114" s="0" t="n">
        <v>0</v>
      </c>
      <c r="F2114" s="0" t="n">
        <v>56</v>
      </c>
      <c r="G2114" s="0" t="n">
        <v>156</v>
      </c>
      <c r="H2114" s="0" t="s">
        <v>230</v>
      </c>
      <c r="I2114" s="0" t="n">
        <v>156</v>
      </c>
      <c r="J2114" s="0" t="n">
        <f aca="false">F2114*E2114</f>
        <v>0</v>
      </c>
      <c r="K2114" s="0" t="str">
        <f aca="false">IF(G2114&lt;1000,"1-Low",IF(G2114&lt;5000,"2-Medium","3-Bulk"))</f>
        <v>1-Low</v>
      </c>
      <c r="L2114" s="0" t="str">
        <f aca="false">IF(H2114="TRUE","Out of stock","In stock")</f>
        <v>Out of stock</v>
      </c>
      <c r="M2114" s="0" t="str">
        <f aca="false">IF(D2114&lt;5,"1) Under 5%",IF(D2114&lt;10,"2) 5-9%",IF(D2114&lt;15,"3) 10-14%",IF(D2114&lt;25,"4) 15-24%","5) 25%+"))))</f>
        <v>2) 5-9%</v>
      </c>
      <c r="N2114" s="0" t="str">
        <f aca="false">IF(F2114&lt;50,"1) Under Rs 50",IF(F2114&lt;100,"2) Rs 50-99",IF(F2114&lt;200,"3) Rs 100-199",IF(F2114&lt;500,"4) Rs 200-499","5) Rs 500+"))))</f>
        <v>2) Rs 50-99</v>
      </c>
      <c r="O2114" s="0" t="n">
        <f aca="false">G2114*E2114/1000</f>
        <v>0</v>
      </c>
    </row>
    <row r="2115" customFormat="false" ht="15" hidden="false" customHeight="false" outlineLevel="0" collapsed="false">
      <c r="A2115" s="0" t="s">
        <v>113</v>
      </c>
      <c r="B2115" s="0" t="s">
        <v>1066</v>
      </c>
      <c r="C2115" s="0" t="n">
        <v>155</v>
      </c>
      <c r="D2115" s="0" t="n">
        <v>0</v>
      </c>
      <c r="E2115" s="0" t="n">
        <v>0</v>
      </c>
      <c r="F2115" s="0" t="n">
        <v>155</v>
      </c>
      <c r="G2115" s="0" t="n">
        <v>500</v>
      </c>
      <c r="H2115" s="0" t="s">
        <v>230</v>
      </c>
      <c r="I2115" s="0" t="n">
        <v>500</v>
      </c>
      <c r="J2115" s="0" t="n">
        <f aca="false">F2115*E2115</f>
        <v>0</v>
      </c>
      <c r="K2115" s="0" t="str">
        <f aca="false">IF(G2115&lt;1000,"1-Low",IF(G2115&lt;5000,"2-Medium","3-Bulk"))</f>
        <v>1-Low</v>
      </c>
      <c r="L2115" s="0" t="str">
        <f aca="false">IF(H2115="TRUE","Out of stock","In stock")</f>
        <v>Out of stock</v>
      </c>
      <c r="M2115" s="0" t="str">
        <f aca="false">IF(D2115&lt;5,"1) Under 5%",IF(D2115&lt;10,"2) 5-9%",IF(D2115&lt;15,"3) 10-14%",IF(D2115&lt;25,"4) 15-24%","5) 25%+"))))</f>
        <v>1) Under 5%</v>
      </c>
      <c r="N2115" s="0" t="str">
        <f aca="false">IF(F2115&lt;50,"1) Under Rs 50",IF(F2115&lt;100,"2) Rs 50-99",IF(F2115&lt;200,"3) Rs 100-199",IF(F2115&lt;500,"4) Rs 200-499","5) Rs 500+"))))</f>
        <v>3) Rs 100-199</v>
      </c>
      <c r="O2115" s="0" t="n">
        <f aca="false">G2115*E2115/1000</f>
        <v>0</v>
      </c>
    </row>
    <row r="2116" customFormat="false" ht="15" hidden="false" customHeight="false" outlineLevel="0" collapsed="false">
      <c r="A2116" s="0" t="s">
        <v>113</v>
      </c>
      <c r="B2116" s="0" t="s">
        <v>1067</v>
      </c>
      <c r="C2116" s="0" t="n">
        <v>60</v>
      </c>
      <c r="D2116" s="0" t="n">
        <v>5</v>
      </c>
      <c r="E2116" s="0" t="n">
        <v>0</v>
      </c>
      <c r="F2116" s="0" t="n">
        <v>57</v>
      </c>
      <c r="G2116" s="0" t="n">
        <v>200</v>
      </c>
      <c r="H2116" s="0" t="s">
        <v>230</v>
      </c>
      <c r="I2116" s="0" t="n">
        <v>200</v>
      </c>
      <c r="J2116" s="0" t="n">
        <f aca="false">F2116*E2116</f>
        <v>0</v>
      </c>
      <c r="K2116" s="0" t="str">
        <f aca="false">IF(G2116&lt;1000,"1-Low",IF(G2116&lt;5000,"2-Medium","3-Bulk"))</f>
        <v>1-Low</v>
      </c>
      <c r="L2116" s="0" t="str">
        <f aca="false">IF(H2116="TRUE","Out of stock","In stock")</f>
        <v>Out of stock</v>
      </c>
      <c r="M2116" s="0" t="str">
        <f aca="false">IF(D2116&lt;5,"1) Under 5%",IF(D2116&lt;10,"2) 5-9%",IF(D2116&lt;15,"3) 10-14%",IF(D2116&lt;25,"4) 15-24%","5) 25%+"))))</f>
        <v>2) 5-9%</v>
      </c>
      <c r="N2116" s="0" t="str">
        <f aca="false">IF(F2116&lt;50,"1) Under Rs 50",IF(F2116&lt;100,"2) Rs 50-99",IF(F2116&lt;200,"3) Rs 100-199",IF(F2116&lt;500,"4) Rs 200-499","5) Rs 500+"))))</f>
        <v>2) Rs 50-99</v>
      </c>
      <c r="O2116" s="0" t="n">
        <f aca="false">G2116*E2116/1000</f>
        <v>0</v>
      </c>
    </row>
    <row r="2117" customFormat="false" ht="15" hidden="false" customHeight="false" outlineLevel="0" collapsed="false">
      <c r="A2117" s="0" t="s">
        <v>113</v>
      </c>
      <c r="B2117" s="0" t="s">
        <v>794</v>
      </c>
      <c r="C2117" s="0" t="n">
        <v>85</v>
      </c>
      <c r="D2117" s="0" t="n">
        <v>0</v>
      </c>
      <c r="E2117" s="0" t="n">
        <v>0</v>
      </c>
      <c r="F2117" s="0" t="n">
        <v>85</v>
      </c>
      <c r="G2117" s="0" t="n">
        <v>200</v>
      </c>
      <c r="H2117" s="0" t="s">
        <v>230</v>
      </c>
      <c r="I2117" s="0" t="n">
        <v>200</v>
      </c>
      <c r="J2117" s="0" t="n">
        <f aca="false">F2117*E2117</f>
        <v>0</v>
      </c>
      <c r="K2117" s="0" t="str">
        <f aca="false">IF(G2117&lt;1000,"1-Low",IF(G2117&lt;5000,"2-Medium","3-Bulk"))</f>
        <v>1-Low</v>
      </c>
      <c r="L2117" s="0" t="str">
        <f aca="false">IF(H2117="TRUE","Out of stock","In stock")</f>
        <v>Out of stock</v>
      </c>
      <c r="M2117" s="0" t="str">
        <f aca="false">IF(D2117&lt;5,"1) Under 5%",IF(D2117&lt;10,"2) 5-9%",IF(D2117&lt;15,"3) 10-14%",IF(D2117&lt;25,"4) 15-24%","5) 25%+"))))</f>
        <v>1) Under 5%</v>
      </c>
      <c r="N2117" s="0" t="str">
        <f aca="false">IF(F2117&lt;50,"1) Under Rs 50",IF(F2117&lt;100,"2) Rs 50-99",IF(F2117&lt;200,"3) Rs 100-199",IF(F2117&lt;500,"4) Rs 200-499","5) Rs 500+"))))</f>
        <v>2) Rs 50-99</v>
      </c>
      <c r="O2117" s="0" t="n">
        <f aca="false">G2117*E2117/1000</f>
        <v>0</v>
      </c>
    </row>
    <row r="2118" customFormat="false" ht="15" hidden="false" customHeight="false" outlineLevel="0" collapsed="false">
      <c r="A2118" s="0" t="s">
        <v>113</v>
      </c>
      <c r="B2118" s="0" t="s">
        <v>1068</v>
      </c>
      <c r="C2118" s="0" t="n">
        <v>50</v>
      </c>
      <c r="D2118" s="0" t="n">
        <v>24</v>
      </c>
      <c r="E2118" s="0" t="n">
        <v>0</v>
      </c>
      <c r="F2118" s="0" t="n">
        <v>38</v>
      </c>
      <c r="G2118" s="0" t="n">
        <v>200</v>
      </c>
      <c r="H2118" s="0" t="s">
        <v>230</v>
      </c>
      <c r="I2118" s="0" t="n">
        <v>200</v>
      </c>
      <c r="J2118" s="0" t="n">
        <f aca="false">F2118*E2118</f>
        <v>0</v>
      </c>
      <c r="K2118" s="0" t="str">
        <f aca="false">IF(G2118&lt;1000,"1-Low",IF(G2118&lt;5000,"2-Medium","3-Bulk"))</f>
        <v>1-Low</v>
      </c>
      <c r="L2118" s="0" t="str">
        <f aca="false">IF(H2118="TRUE","Out of stock","In stock")</f>
        <v>Out of stock</v>
      </c>
      <c r="M2118" s="0" t="str">
        <f aca="false">IF(D2118&lt;5,"1) Under 5%",IF(D2118&lt;10,"2) 5-9%",IF(D2118&lt;15,"3) 10-14%",IF(D2118&lt;25,"4) 15-24%","5) 25%+"))))</f>
        <v>4) 15-24%</v>
      </c>
      <c r="N2118" s="0" t="str">
        <f aca="false">IF(F2118&lt;50,"1) Under Rs 50",IF(F2118&lt;100,"2) Rs 50-99",IF(F2118&lt;200,"3) Rs 100-199",IF(F2118&lt;500,"4) Rs 200-499","5) Rs 500+"))))</f>
        <v>1) Under Rs 50</v>
      </c>
      <c r="O2118" s="0" t="n">
        <f aca="false">G2118*E2118/1000</f>
        <v>0</v>
      </c>
    </row>
    <row r="2119" customFormat="false" ht="15" hidden="false" customHeight="false" outlineLevel="0" collapsed="false">
      <c r="A2119" s="0" t="s">
        <v>113</v>
      </c>
      <c r="B2119" s="0" t="s">
        <v>1069</v>
      </c>
      <c r="C2119" s="0" t="n">
        <v>40</v>
      </c>
      <c r="D2119" s="0" t="n">
        <v>2</v>
      </c>
      <c r="E2119" s="0" t="n">
        <v>0</v>
      </c>
      <c r="F2119" s="0" t="n">
        <v>39</v>
      </c>
      <c r="G2119" s="0" t="n">
        <v>40</v>
      </c>
      <c r="H2119" s="0" t="s">
        <v>230</v>
      </c>
      <c r="I2119" s="0" t="n">
        <v>40</v>
      </c>
      <c r="J2119" s="0" t="n">
        <f aca="false">F2119*E2119</f>
        <v>0</v>
      </c>
      <c r="K2119" s="0" t="str">
        <f aca="false">IF(G2119&lt;1000,"1-Low",IF(G2119&lt;5000,"2-Medium","3-Bulk"))</f>
        <v>1-Low</v>
      </c>
      <c r="L2119" s="0" t="str">
        <f aca="false">IF(H2119="TRUE","Out of stock","In stock")</f>
        <v>Out of stock</v>
      </c>
      <c r="M2119" s="0" t="str">
        <f aca="false">IF(D2119&lt;5,"1) Under 5%",IF(D2119&lt;10,"2) 5-9%",IF(D2119&lt;15,"3) 10-14%",IF(D2119&lt;25,"4) 15-24%","5) 25%+"))))</f>
        <v>1) Under 5%</v>
      </c>
      <c r="N2119" s="0" t="str">
        <f aca="false">IF(F2119&lt;50,"1) Under Rs 50",IF(F2119&lt;100,"2) Rs 50-99",IF(F2119&lt;200,"3) Rs 100-199",IF(F2119&lt;500,"4) Rs 200-499","5) Rs 500+"))))</f>
        <v>1) Under Rs 50</v>
      </c>
      <c r="O2119" s="0" t="n">
        <f aca="false">G2119*E2119/1000</f>
        <v>0</v>
      </c>
    </row>
    <row r="2120" customFormat="false" ht="15" hidden="false" customHeight="false" outlineLevel="0" collapsed="false">
      <c r="A2120" s="0" t="s">
        <v>113</v>
      </c>
      <c r="B2120" s="0" t="s">
        <v>1070</v>
      </c>
      <c r="C2120" s="0" t="n">
        <v>35</v>
      </c>
      <c r="D2120" s="0" t="n">
        <v>2</v>
      </c>
      <c r="E2120" s="0" t="n">
        <v>0</v>
      </c>
      <c r="F2120" s="0" t="n">
        <v>34</v>
      </c>
      <c r="G2120" s="0" t="n">
        <v>70</v>
      </c>
      <c r="H2120" s="0" t="s">
        <v>230</v>
      </c>
      <c r="I2120" s="0" t="n">
        <v>70</v>
      </c>
      <c r="J2120" s="0" t="n">
        <f aca="false">F2120*E2120</f>
        <v>0</v>
      </c>
      <c r="K2120" s="0" t="str">
        <f aca="false">IF(G2120&lt;1000,"1-Low",IF(G2120&lt;5000,"2-Medium","3-Bulk"))</f>
        <v>1-Low</v>
      </c>
      <c r="L2120" s="0" t="str">
        <f aca="false">IF(H2120="TRUE","Out of stock","In stock")</f>
        <v>Out of stock</v>
      </c>
      <c r="M2120" s="0" t="str">
        <f aca="false">IF(D2120&lt;5,"1) Under 5%",IF(D2120&lt;10,"2) 5-9%",IF(D2120&lt;15,"3) 10-14%",IF(D2120&lt;25,"4) 15-24%","5) 25%+"))))</f>
        <v>1) Under 5%</v>
      </c>
      <c r="N2120" s="0" t="str">
        <f aca="false">IF(F2120&lt;50,"1) Under Rs 50",IF(F2120&lt;100,"2) Rs 50-99",IF(F2120&lt;200,"3) Rs 100-199",IF(F2120&lt;500,"4) Rs 200-499","5) Rs 500+"))))</f>
        <v>1) Under Rs 50</v>
      </c>
      <c r="O2120" s="0" t="n">
        <f aca="false">G2120*E2120/1000</f>
        <v>0</v>
      </c>
    </row>
    <row r="2121" customFormat="false" ht="15" hidden="false" customHeight="false" outlineLevel="0" collapsed="false">
      <c r="A2121" s="0" t="s">
        <v>113</v>
      </c>
      <c r="B2121" s="0" t="s">
        <v>800</v>
      </c>
      <c r="C2121" s="0" t="n">
        <v>185</v>
      </c>
      <c r="D2121" s="0" t="n">
        <v>20</v>
      </c>
      <c r="E2121" s="0" t="n">
        <v>0</v>
      </c>
      <c r="F2121" s="0" t="n">
        <v>148</v>
      </c>
      <c r="G2121" s="0" t="n">
        <v>325</v>
      </c>
      <c r="H2121" s="0" t="s">
        <v>230</v>
      </c>
      <c r="I2121" s="0" t="n">
        <v>325</v>
      </c>
      <c r="J2121" s="0" t="n">
        <f aca="false">F2121*E2121</f>
        <v>0</v>
      </c>
      <c r="K2121" s="0" t="str">
        <f aca="false">IF(G2121&lt;1000,"1-Low",IF(G2121&lt;5000,"2-Medium","3-Bulk"))</f>
        <v>1-Low</v>
      </c>
      <c r="L2121" s="0" t="str">
        <f aca="false">IF(H2121="TRUE","Out of stock","In stock")</f>
        <v>Out of stock</v>
      </c>
      <c r="M2121" s="0" t="str">
        <f aca="false">IF(D2121&lt;5,"1) Under 5%",IF(D2121&lt;10,"2) 5-9%",IF(D2121&lt;15,"3) 10-14%",IF(D2121&lt;25,"4) 15-24%","5) 25%+"))))</f>
        <v>4) 15-24%</v>
      </c>
      <c r="N2121" s="0" t="str">
        <f aca="false">IF(F2121&lt;50,"1) Under Rs 50",IF(F2121&lt;100,"2) Rs 50-99",IF(F2121&lt;200,"3) Rs 100-199",IF(F2121&lt;500,"4) Rs 200-499","5) Rs 500+"))))</f>
        <v>3) Rs 100-199</v>
      </c>
      <c r="O2121" s="0" t="n">
        <f aca="false">G2121*E2121/1000</f>
        <v>0</v>
      </c>
    </row>
    <row r="2122" customFormat="false" ht="15" hidden="false" customHeight="false" outlineLevel="0" collapsed="false">
      <c r="A2122" s="0" t="s">
        <v>113</v>
      </c>
      <c r="B2122" s="0" t="s">
        <v>664</v>
      </c>
      <c r="C2122" s="0" t="n">
        <v>10</v>
      </c>
      <c r="D2122" s="0" t="n">
        <v>0</v>
      </c>
      <c r="E2122" s="0" t="n">
        <v>0</v>
      </c>
      <c r="F2122" s="0" t="n">
        <v>10</v>
      </c>
      <c r="G2122" s="0" t="n">
        <v>20</v>
      </c>
      <c r="H2122" s="0" t="s">
        <v>230</v>
      </c>
      <c r="I2122" s="0" t="n">
        <v>20</v>
      </c>
      <c r="J2122" s="0" t="n">
        <f aca="false">F2122*E2122</f>
        <v>0</v>
      </c>
      <c r="K2122" s="0" t="str">
        <f aca="false">IF(G2122&lt;1000,"1-Low",IF(G2122&lt;5000,"2-Medium","3-Bulk"))</f>
        <v>1-Low</v>
      </c>
      <c r="L2122" s="0" t="str">
        <f aca="false">IF(H2122="TRUE","Out of stock","In stock")</f>
        <v>Out of stock</v>
      </c>
      <c r="M2122" s="0" t="str">
        <f aca="false">IF(D2122&lt;5,"1) Under 5%",IF(D2122&lt;10,"2) 5-9%",IF(D2122&lt;15,"3) 10-14%",IF(D2122&lt;25,"4) 15-24%","5) 25%+"))))</f>
        <v>1) Under 5%</v>
      </c>
      <c r="N2122" s="0" t="str">
        <f aca="false">IF(F2122&lt;50,"1) Under Rs 50",IF(F2122&lt;100,"2) Rs 50-99",IF(F2122&lt;200,"3) Rs 100-199",IF(F2122&lt;500,"4) Rs 200-499","5) Rs 500+"))))</f>
        <v>1) Under Rs 50</v>
      </c>
      <c r="O2122" s="0" t="n">
        <f aca="false">G2122*E2122/1000</f>
        <v>0</v>
      </c>
    </row>
    <row r="2123" customFormat="false" ht="15" hidden="false" customHeight="false" outlineLevel="0" collapsed="false">
      <c r="A2123" s="0" t="s">
        <v>113</v>
      </c>
      <c r="B2123" s="0" t="s">
        <v>232</v>
      </c>
      <c r="C2123" s="0" t="n">
        <v>60</v>
      </c>
      <c r="D2123" s="0" t="n">
        <v>5</v>
      </c>
      <c r="E2123" s="0" t="n">
        <v>0</v>
      </c>
      <c r="F2123" s="0" t="n">
        <v>57</v>
      </c>
      <c r="G2123" s="0" t="n">
        <v>500</v>
      </c>
      <c r="H2123" s="0" t="s">
        <v>230</v>
      </c>
      <c r="I2123" s="0" t="n">
        <v>500</v>
      </c>
      <c r="J2123" s="0" t="n">
        <f aca="false">F2123*E2123</f>
        <v>0</v>
      </c>
      <c r="K2123" s="0" t="str">
        <f aca="false">IF(G2123&lt;1000,"1-Low",IF(G2123&lt;5000,"2-Medium","3-Bulk"))</f>
        <v>1-Low</v>
      </c>
      <c r="L2123" s="0" t="str">
        <f aca="false">IF(H2123="TRUE","Out of stock","In stock")</f>
        <v>Out of stock</v>
      </c>
      <c r="M2123" s="0" t="str">
        <f aca="false">IF(D2123&lt;5,"1) Under 5%",IF(D2123&lt;10,"2) 5-9%",IF(D2123&lt;15,"3) 10-14%",IF(D2123&lt;25,"4) 15-24%","5) 25%+"))))</f>
        <v>2) 5-9%</v>
      </c>
      <c r="N2123" s="0" t="str">
        <f aca="false">IF(F2123&lt;50,"1) Under Rs 50",IF(F2123&lt;100,"2) Rs 50-99",IF(F2123&lt;200,"3) Rs 100-199",IF(F2123&lt;500,"4) Rs 200-499","5) Rs 500+"))))</f>
        <v>2) Rs 50-99</v>
      </c>
      <c r="O2123" s="0" t="n">
        <f aca="false">G2123*E2123/1000</f>
        <v>0</v>
      </c>
    </row>
    <row r="2124" customFormat="false" ht="15" hidden="false" customHeight="false" outlineLevel="0" collapsed="false">
      <c r="A2124" s="0" t="s">
        <v>113</v>
      </c>
      <c r="B2124" s="0" t="s">
        <v>233</v>
      </c>
      <c r="C2124" s="0" t="n">
        <v>41</v>
      </c>
      <c r="D2124" s="0" t="n">
        <v>4</v>
      </c>
      <c r="E2124" s="0" t="n">
        <v>0</v>
      </c>
      <c r="F2124" s="0" t="n">
        <v>39</v>
      </c>
      <c r="G2124" s="0" t="n">
        <v>200</v>
      </c>
      <c r="H2124" s="0" t="s">
        <v>230</v>
      </c>
      <c r="I2124" s="0" t="n">
        <v>200</v>
      </c>
      <c r="J2124" s="0" t="n">
        <f aca="false">F2124*E2124</f>
        <v>0</v>
      </c>
      <c r="K2124" s="0" t="str">
        <f aca="false">IF(G2124&lt;1000,"1-Low",IF(G2124&lt;5000,"2-Medium","3-Bulk"))</f>
        <v>1-Low</v>
      </c>
      <c r="L2124" s="0" t="str">
        <f aca="false">IF(H2124="TRUE","Out of stock","In stock")</f>
        <v>Out of stock</v>
      </c>
      <c r="M2124" s="0" t="str">
        <f aca="false">IF(D2124&lt;5,"1) Under 5%",IF(D2124&lt;10,"2) 5-9%",IF(D2124&lt;15,"3) 10-14%",IF(D2124&lt;25,"4) 15-24%","5) 25%+"))))</f>
        <v>1) Under 5%</v>
      </c>
      <c r="N2124" s="0" t="str">
        <f aca="false">IF(F2124&lt;50,"1) Under Rs 50",IF(F2124&lt;100,"2) Rs 50-99",IF(F2124&lt;200,"3) Rs 100-199",IF(F2124&lt;500,"4) Rs 200-499","5) Rs 500+"))))</f>
        <v>1) Under Rs 50</v>
      </c>
      <c r="O2124" s="0" t="n">
        <f aca="false">G2124*E2124/1000</f>
        <v>0</v>
      </c>
    </row>
    <row r="2125" customFormat="false" ht="15" hidden="false" customHeight="false" outlineLevel="0" collapsed="false">
      <c r="A2125" s="0" t="s">
        <v>113</v>
      </c>
      <c r="B2125" s="0" t="s">
        <v>801</v>
      </c>
      <c r="C2125" s="0" t="n">
        <v>85</v>
      </c>
      <c r="D2125" s="0" t="n">
        <v>3</v>
      </c>
      <c r="E2125" s="0" t="n">
        <v>0</v>
      </c>
      <c r="F2125" s="0" t="n">
        <v>82</v>
      </c>
      <c r="G2125" s="0" t="n">
        <v>200</v>
      </c>
      <c r="H2125" s="0" t="s">
        <v>230</v>
      </c>
      <c r="I2125" s="0" t="n">
        <v>200</v>
      </c>
      <c r="J2125" s="0" t="n">
        <f aca="false">F2125*E2125</f>
        <v>0</v>
      </c>
      <c r="K2125" s="0" t="str">
        <f aca="false">IF(G2125&lt;1000,"1-Low",IF(G2125&lt;5000,"2-Medium","3-Bulk"))</f>
        <v>1-Low</v>
      </c>
      <c r="L2125" s="0" t="str">
        <f aca="false">IF(H2125="TRUE","Out of stock","In stock")</f>
        <v>Out of stock</v>
      </c>
      <c r="M2125" s="0" t="str">
        <f aca="false">IF(D2125&lt;5,"1) Under 5%",IF(D2125&lt;10,"2) 5-9%",IF(D2125&lt;15,"3) 10-14%",IF(D2125&lt;25,"4) 15-24%","5) 25%+"))))</f>
        <v>1) Under 5%</v>
      </c>
      <c r="N2125" s="0" t="str">
        <f aca="false">IF(F2125&lt;50,"1) Under Rs 50",IF(F2125&lt;100,"2) Rs 50-99",IF(F2125&lt;200,"3) Rs 100-199",IF(F2125&lt;500,"4) Rs 200-499","5) Rs 500+"))))</f>
        <v>2) Rs 50-99</v>
      </c>
      <c r="O2125" s="0" t="n">
        <f aca="false">G2125*E2125/1000</f>
        <v>0</v>
      </c>
    </row>
    <row r="2126" customFormat="false" ht="15" hidden="false" customHeight="false" outlineLevel="0" collapsed="false">
      <c r="A2126" s="0" t="s">
        <v>113</v>
      </c>
      <c r="B2126" s="0" t="s">
        <v>667</v>
      </c>
      <c r="C2126" s="0" t="n">
        <v>107</v>
      </c>
      <c r="D2126" s="0" t="n">
        <v>0</v>
      </c>
      <c r="E2126" s="0" t="n">
        <v>0</v>
      </c>
      <c r="F2126" s="0" t="n">
        <v>107</v>
      </c>
      <c r="G2126" s="0" t="n">
        <v>600</v>
      </c>
      <c r="H2126" s="0" t="s">
        <v>230</v>
      </c>
      <c r="I2126" s="0" t="n">
        <v>600</v>
      </c>
      <c r="J2126" s="0" t="n">
        <f aca="false">F2126*E2126</f>
        <v>0</v>
      </c>
      <c r="K2126" s="0" t="str">
        <f aca="false">IF(G2126&lt;1000,"1-Low",IF(G2126&lt;5000,"2-Medium","3-Bulk"))</f>
        <v>1-Low</v>
      </c>
      <c r="L2126" s="0" t="str">
        <f aca="false">IF(H2126="TRUE","Out of stock","In stock")</f>
        <v>Out of stock</v>
      </c>
      <c r="M2126" s="0" t="str">
        <f aca="false">IF(D2126&lt;5,"1) Under 5%",IF(D2126&lt;10,"2) 5-9%",IF(D2126&lt;15,"3) 10-14%",IF(D2126&lt;25,"4) 15-24%","5) 25%+"))))</f>
        <v>1) Under 5%</v>
      </c>
      <c r="N2126" s="0" t="str">
        <f aca="false">IF(F2126&lt;50,"1) Under Rs 50",IF(F2126&lt;100,"2) Rs 50-99",IF(F2126&lt;200,"3) Rs 100-199",IF(F2126&lt;500,"4) Rs 200-499","5) Rs 500+"))))</f>
        <v>3) Rs 100-199</v>
      </c>
      <c r="O2126" s="0" t="n">
        <f aca="false">G2126*E2126/1000</f>
        <v>0</v>
      </c>
    </row>
    <row r="2127" customFormat="false" ht="15" hidden="false" customHeight="false" outlineLevel="0" collapsed="false">
      <c r="A2127" s="0" t="s">
        <v>113</v>
      </c>
      <c r="B2127" s="0" t="s">
        <v>668</v>
      </c>
      <c r="C2127" s="0" t="n">
        <v>15</v>
      </c>
      <c r="D2127" s="0" t="n">
        <v>0</v>
      </c>
      <c r="E2127" s="0" t="n">
        <v>0</v>
      </c>
      <c r="F2127" s="0" t="n">
        <v>15</v>
      </c>
      <c r="G2127" s="0" t="n">
        <v>38</v>
      </c>
      <c r="H2127" s="0" t="s">
        <v>230</v>
      </c>
      <c r="I2127" s="0" t="n">
        <v>38</v>
      </c>
      <c r="J2127" s="0" t="n">
        <f aca="false">F2127*E2127</f>
        <v>0</v>
      </c>
      <c r="K2127" s="0" t="str">
        <f aca="false">IF(G2127&lt;1000,"1-Low",IF(G2127&lt;5000,"2-Medium","3-Bulk"))</f>
        <v>1-Low</v>
      </c>
      <c r="L2127" s="0" t="str">
        <f aca="false">IF(H2127="TRUE","Out of stock","In stock")</f>
        <v>Out of stock</v>
      </c>
      <c r="M2127" s="0" t="str">
        <f aca="false">IF(D2127&lt;5,"1) Under 5%",IF(D2127&lt;10,"2) 5-9%",IF(D2127&lt;15,"3) 10-14%",IF(D2127&lt;25,"4) 15-24%","5) 25%+"))))</f>
        <v>1) Under 5%</v>
      </c>
      <c r="N2127" s="0" t="str">
        <f aca="false">IF(F2127&lt;50,"1) Under Rs 50",IF(F2127&lt;100,"2) Rs 50-99",IF(F2127&lt;200,"3) Rs 100-199",IF(F2127&lt;500,"4) Rs 200-499","5) Rs 500+"))))</f>
        <v>1) Under Rs 50</v>
      </c>
      <c r="O2127" s="0" t="n">
        <f aca="false">G2127*E2127/1000</f>
        <v>0</v>
      </c>
    </row>
    <row r="2128" customFormat="false" ht="15" hidden="false" customHeight="false" outlineLevel="0" collapsed="false">
      <c r="A2128" s="0" t="s">
        <v>113</v>
      </c>
      <c r="B2128" s="0" t="s">
        <v>1071</v>
      </c>
      <c r="C2128" s="0" t="n">
        <v>60</v>
      </c>
      <c r="D2128" s="0" t="n">
        <v>5</v>
      </c>
      <c r="E2128" s="0" t="n">
        <v>0</v>
      </c>
      <c r="F2128" s="0" t="n">
        <v>57</v>
      </c>
      <c r="G2128" s="0" t="n">
        <v>200</v>
      </c>
      <c r="H2128" s="0" t="s">
        <v>230</v>
      </c>
      <c r="I2128" s="0" t="n">
        <v>200</v>
      </c>
      <c r="J2128" s="0" t="n">
        <f aca="false">F2128*E2128</f>
        <v>0</v>
      </c>
      <c r="K2128" s="0" t="str">
        <f aca="false">IF(G2128&lt;1000,"1-Low",IF(G2128&lt;5000,"2-Medium","3-Bulk"))</f>
        <v>1-Low</v>
      </c>
      <c r="L2128" s="0" t="str">
        <f aca="false">IF(H2128="TRUE","Out of stock","In stock")</f>
        <v>Out of stock</v>
      </c>
      <c r="M2128" s="0" t="str">
        <f aca="false">IF(D2128&lt;5,"1) Under 5%",IF(D2128&lt;10,"2) 5-9%",IF(D2128&lt;15,"3) 10-14%",IF(D2128&lt;25,"4) 15-24%","5) 25%+"))))</f>
        <v>2) 5-9%</v>
      </c>
      <c r="N2128" s="0" t="str">
        <f aca="false">IF(F2128&lt;50,"1) Under Rs 50",IF(F2128&lt;100,"2) Rs 50-99",IF(F2128&lt;200,"3) Rs 100-199",IF(F2128&lt;500,"4) Rs 200-499","5) Rs 500+"))))</f>
        <v>2) Rs 50-99</v>
      </c>
      <c r="O2128" s="0" t="n">
        <f aca="false">G2128*E2128/1000</f>
        <v>0</v>
      </c>
    </row>
    <row r="2129" customFormat="false" ht="15" hidden="false" customHeight="false" outlineLevel="0" collapsed="false">
      <c r="A2129" s="0" t="s">
        <v>113</v>
      </c>
      <c r="B2129" s="0" t="s">
        <v>1072</v>
      </c>
      <c r="C2129" s="0" t="n">
        <v>31</v>
      </c>
      <c r="D2129" s="0" t="n">
        <v>9</v>
      </c>
      <c r="E2129" s="0" t="n">
        <v>0</v>
      </c>
      <c r="F2129" s="0" t="n">
        <v>28</v>
      </c>
      <c r="G2129" s="0" t="n">
        <v>70</v>
      </c>
      <c r="H2129" s="0" t="s">
        <v>230</v>
      </c>
      <c r="I2129" s="0" t="n">
        <v>70</v>
      </c>
      <c r="J2129" s="0" t="n">
        <f aca="false">F2129*E2129</f>
        <v>0</v>
      </c>
      <c r="K2129" s="0" t="str">
        <f aca="false">IF(G2129&lt;1000,"1-Low",IF(G2129&lt;5000,"2-Medium","3-Bulk"))</f>
        <v>1-Low</v>
      </c>
      <c r="L2129" s="0" t="str">
        <f aca="false">IF(H2129="TRUE","Out of stock","In stock")</f>
        <v>Out of stock</v>
      </c>
      <c r="M2129" s="0" t="str">
        <f aca="false">IF(D2129&lt;5,"1) Under 5%",IF(D2129&lt;10,"2) 5-9%",IF(D2129&lt;15,"3) 10-14%",IF(D2129&lt;25,"4) 15-24%","5) 25%+"))))</f>
        <v>2) 5-9%</v>
      </c>
      <c r="N2129" s="0" t="str">
        <f aca="false">IF(F2129&lt;50,"1) Under Rs 50",IF(F2129&lt;100,"2) Rs 50-99",IF(F2129&lt;200,"3) Rs 100-199",IF(F2129&lt;500,"4) Rs 200-499","5) Rs 500+"))))</f>
        <v>1) Under Rs 50</v>
      </c>
      <c r="O2129" s="0" t="n">
        <f aca="false">G2129*E2129/1000</f>
        <v>0</v>
      </c>
    </row>
    <row r="2130" customFormat="false" ht="15" hidden="false" customHeight="false" outlineLevel="0" collapsed="false">
      <c r="A2130" s="0" t="s">
        <v>113</v>
      </c>
      <c r="B2130" s="0" t="s">
        <v>674</v>
      </c>
      <c r="C2130" s="0" t="n">
        <v>50</v>
      </c>
      <c r="D2130" s="0" t="n">
        <v>0</v>
      </c>
      <c r="E2130" s="0" t="n">
        <v>0</v>
      </c>
      <c r="F2130" s="0" t="n">
        <v>50</v>
      </c>
      <c r="G2130" s="0" t="n">
        <v>70</v>
      </c>
      <c r="H2130" s="0" t="s">
        <v>230</v>
      </c>
      <c r="I2130" s="0" t="n">
        <v>70</v>
      </c>
      <c r="J2130" s="0" t="n">
        <f aca="false">F2130*E2130</f>
        <v>0</v>
      </c>
      <c r="K2130" s="0" t="str">
        <f aca="false">IF(G2130&lt;1000,"1-Low",IF(G2130&lt;5000,"2-Medium","3-Bulk"))</f>
        <v>1-Low</v>
      </c>
      <c r="L2130" s="0" t="str">
        <f aca="false">IF(H2130="TRUE","Out of stock","In stock")</f>
        <v>Out of stock</v>
      </c>
      <c r="M2130" s="0" t="str">
        <f aca="false">IF(D2130&lt;5,"1) Under 5%",IF(D2130&lt;10,"2) 5-9%",IF(D2130&lt;15,"3) 10-14%",IF(D2130&lt;25,"4) 15-24%","5) 25%+"))))</f>
        <v>1) Under 5%</v>
      </c>
      <c r="N2130" s="0" t="str">
        <f aca="false">IF(F2130&lt;50,"1) Under Rs 50",IF(F2130&lt;100,"2) Rs 50-99",IF(F2130&lt;200,"3) Rs 100-199",IF(F2130&lt;500,"4) Rs 200-499","5) Rs 500+"))))</f>
        <v>2) Rs 50-99</v>
      </c>
      <c r="O2130" s="0" t="n">
        <f aca="false">G2130*E2130/1000</f>
        <v>0</v>
      </c>
    </row>
    <row r="2131" customFormat="false" ht="15" hidden="false" customHeight="false" outlineLevel="0" collapsed="false">
      <c r="A2131" s="0" t="s">
        <v>113</v>
      </c>
      <c r="B2131" s="0" t="s">
        <v>1073</v>
      </c>
      <c r="C2131" s="0" t="n">
        <v>69</v>
      </c>
      <c r="D2131" s="0" t="n">
        <v>8</v>
      </c>
      <c r="E2131" s="0" t="n">
        <v>0</v>
      </c>
      <c r="F2131" s="0" t="n">
        <v>63</v>
      </c>
      <c r="G2131" s="0" t="n">
        <v>250</v>
      </c>
      <c r="H2131" s="0" t="s">
        <v>230</v>
      </c>
      <c r="I2131" s="0" t="n">
        <v>250</v>
      </c>
      <c r="J2131" s="0" t="n">
        <f aca="false">F2131*E2131</f>
        <v>0</v>
      </c>
      <c r="K2131" s="0" t="str">
        <f aca="false">IF(G2131&lt;1000,"1-Low",IF(G2131&lt;5000,"2-Medium","3-Bulk"))</f>
        <v>1-Low</v>
      </c>
      <c r="L2131" s="0" t="str">
        <f aca="false">IF(H2131="TRUE","Out of stock","In stock")</f>
        <v>Out of stock</v>
      </c>
      <c r="M2131" s="0" t="str">
        <f aca="false">IF(D2131&lt;5,"1) Under 5%",IF(D2131&lt;10,"2) 5-9%",IF(D2131&lt;15,"3) 10-14%",IF(D2131&lt;25,"4) 15-24%","5) 25%+"))))</f>
        <v>2) 5-9%</v>
      </c>
      <c r="N2131" s="0" t="str">
        <f aca="false">IF(F2131&lt;50,"1) Under Rs 50",IF(F2131&lt;100,"2) Rs 50-99",IF(F2131&lt;200,"3) Rs 100-199",IF(F2131&lt;500,"4) Rs 200-499","5) Rs 500+"))))</f>
        <v>2) Rs 50-99</v>
      </c>
      <c r="O2131" s="0" t="n">
        <f aca="false">G2131*E2131/1000</f>
        <v>0</v>
      </c>
    </row>
    <row r="2132" customFormat="false" ht="15" hidden="false" customHeight="false" outlineLevel="0" collapsed="false">
      <c r="A2132" s="0" t="s">
        <v>113</v>
      </c>
      <c r="B2132" s="0" t="s">
        <v>681</v>
      </c>
      <c r="C2132" s="0" t="n">
        <v>48</v>
      </c>
      <c r="D2132" s="0" t="n">
        <v>6</v>
      </c>
      <c r="E2132" s="0" t="n">
        <v>0</v>
      </c>
      <c r="F2132" s="0" t="n">
        <v>45</v>
      </c>
      <c r="G2132" s="0" t="n">
        <v>240</v>
      </c>
      <c r="H2132" s="0" t="s">
        <v>230</v>
      </c>
      <c r="I2132" s="0" t="n">
        <v>240</v>
      </c>
      <c r="J2132" s="0" t="n">
        <f aca="false">F2132*E2132</f>
        <v>0</v>
      </c>
      <c r="K2132" s="0" t="str">
        <f aca="false">IF(G2132&lt;1000,"1-Low",IF(G2132&lt;5000,"2-Medium","3-Bulk"))</f>
        <v>1-Low</v>
      </c>
      <c r="L2132" s="0" t="str">
        <f aca="false">IF(H2132="TRUE","Out of stock","In stock")</f>
        <v>Out of stock</v>
      </c>
      <c r="M2132" s="0" t="str">
        <f aca="false">IF(D2132&lt;5,"1) Under 5%",IF(D2132&lt;10,"2) 5-9%",IF(D2132&lt;15,"3) 10-14%",IF(D2132&lt;25,"4) 15-24%","5) 25%+"))))</f>
        <v>2) 5-9%</v>
      </c>
      <c r="N2132" s="0" t="str">
        <f aca="false">IF(F2132&lt;50,"1) Under Rs 50",IF(F2132&lt;100,"2) Rs 50-99",IF(F2132&lt;200,"3) Rs 100-199",IF(F2132&lt;500,"4) Rs 200-499","5) Rs 500+"))))</f>
        <v>1) Under Rs 50</v>
      </c>
      <c r="O2132" s="0" t="n">
        <f aca="false">G2132*E2132/1000</f>
        <v>0</v>
      </c>
    </row>
    <row r="2133" customFormat="false" ht="15" hidden="false" customHeight="false" outlineLevel="0" collapsed="false">
      <c r="A2133" s="0" t="s">
        <v>113</v>
      </c>
      <c r="B2133" s="0" t="s">
        <v>684</v>
      </c>
      <c r="C2133" s="0" t="n">
        <v>91</v>
      </c>
      <c r="D2133" s="0" t="n">
        <v>9</v>
      </c>
      <c r="E2133" s="0" t="n">
        <v>0</v>
      </c>
      <c r="F2133" s="0" t="n">
        <v>82</v>
      </c>
      <c r="G2133" s="0" t="n">
        <v>560</v>
      </c>
      <c r="H2133" s="0" t="s">
        <v>230</v>
      </c>
      <c r="I2133" s="0" t="n">
        <v>560</v>
      </c>
      <c r="J2133" s="0" t="n">
        <f aca="false">F2133*E2133</f>
        <v>0</v>
      </c>
      <c r="K2133" s="0" t="str">
        <f aca="false">IF(G2133&lt;1000,"1-Low",IF(G2133&lt;5000,"2-Medium","3-Bulk"))</f>
        <v>1-Low</v>
      </c>
      <c r="L2133" s="0" t="str">
        <f aca="false">IF(H2133="TRUE","Out of stock","In stock")</f>
        <v>Out of stock</v>
      </c>
      <c r="M2133" s="0" t="str">
        <f aca="false">IF(D2133&lt;5,"1) Under 5%",IF(D2133&lt;10,"2) 5-9%",IF(D2133&lt;15,"3) 10-14%",IF(D2133&lt;25,"4) 15-24%","5) 25%+"))))</f>
        <v>2) 5-9%</v>
      </c>
      <c r="N2133" s="0" t="str">
        <f aca="false">IF(F2133&lt;50,"1) Under Rs 50",IF(F2133&lt;100,"2) Rs 50-99",IF(F2133&lt;200,"3) Rs 100-199",IF(F2133&lt;500,"4) Rs 200-499","5) Rs 500+"))))</f>
        <v>2) Rs 50-99</v>
      </c>
      <c r="O2133" s="0" t="n">
        <f aca="false">G2133*E2133/1000</f>
        <v>0</v>
      </c>
    </row>
    <row r="2134" customFormat="false" ht="15" hidden="false" customHeight="false" outlineLevel="0" collapsed="false">
      <c r="A2134" s="0" t="s">
        <v>113</v>
      </c>
      <c r="B2134" s="0" t="s">
        <v>1074</v>
      </c>
      <c r="C2134" s="0" t="n">
        <v>265</v>
      </c>
      <c r="D2134" s="0" t="n">
        <v>10</v>
      </c>
      <c r="E2134" s="0" t="n">
        <v>0</v>
      </c>
      <c r="F2134" s="0" t="n">
        <v>236</v>
      </c>
      <c r="G2134" s="0" t="n">
        <v>575</v>
      </c>
      <c r="H2134" s="0" t="s">
        <v>230</v>
      </c>
      <c r="I2134" s="0" t="n">
        <v>575</v>
      </c>
      <c r="J2134" s="0" t="n">
        <f aca="false">F2134*E2134</f>
        <v>0</v>
      </c>
      <c r="K2134" s="0" t="str">
        <f aca="false">IF(G2134&lt;1000,"1-Low",IF(G2134&lt;5000,"2-Medium","3-Bulk"))</f>
        <v>1-Low</v>
      </c>
      <c r="L2134" s="0" t="str">
        <f aca="false">IF(H2134="TRUE","Out of stock","In stock")</f>
        <v>Out of stock</v>
      </c>
      <c r="M2134" s="0" t="str">
        <f aca="false">IF(D2134&lt;5,"1) Under 5%",IF(D2134&lt;10,"2) 5-9%",IF(D2134&lt;15,"3) 10-14%",IF(D2134&lt;25,"4) 15-24%","5) 25%+"))))</f>
        <v>3) 10-14%</v>
      </c>
      <c r="N2134" s="0" t="str">
        <f aca="false">IF(F2134&lt;50,"1) Under Rs 50",IF(F2134&lt;100,"2) Rs 50-99",IF(F2134&lt;200,"3) Rs 100-199",IF(F2134&lt;500,"4) Rs 200-499","5) Rs 500+"))))</f>
        <v>4) Rs 200-499</v>
      </c>
      <c r="O2134" s="0" t="n">
        <f aca="false">G2134*E2134/1000</f>
        <v>0</v>
      </c>
    </row>
    <row r="2135" customFormat="false" ht="15" hidden="false" customHeight="false" outlineLevel="0" collapsed="false">
      <c r="A2135" s="0" t="s">
        <v>113</v>
      </c>
      <c r="B2135" s="0" t="s">
        <v>1075</v>
      </c>
      <c r="C2135" s="0" t="n">
        <v>31</v>
      </c>
      <c r="D2135" s="0" t="n">
        <v>9</v>
      </c>
      <c r="E2135" s="0" t="n">
        <v>0</v>
      </c>
      <c r="F2135" s="0" t="n">
        <v>28</v>
      </c>
      <c r="G2135" s="0" t="n">
        <v>70</v>
      </c>
      <c r="H2135" s="0" t="s">
        <v>230</v>
      </c>
      <c r="I2135" s="0" t="n">
        <v>75</v>
      </c>
      <c r="J2135" s="0" t="n">
        <f aca="false">F2135*E2135</f>
        <v>0</v>
      </c>
      <c r="K2135" s="0" t="str">
        <f aca="false">IF(G2135&lt;1000,"1-Low",IF(G2135&lt;5000,"2-Medium","3-Bulk"))</f>
        <v>1-Low</v>
      </c>
      <c r="L2135" s="0" t="str">
        <f aca="false">IF(H2135="TRUE","Out of stock","In stock")</f>
        <v>Out of stock</v>
      </c>
      <c r="M2135" s="0" t="str">
        <f aca="false">IF(D2135&lt;5,"1) Under 5%",IF(D2135&lt;10,"2) 5-9%",IF(D2135&lt;15,"3) 10-14%",IF(D2135&lt;25,"4) 15-24%","5) 25%+"))))</f>
        <v>2) 5-9%</v>
      </c>
      <c r="N2135" s="0" t="str">
        <f aca="false">IF(F2135&lt;50,"1) Under Rs 50",IF(F2135&lt;100,"2) Rs 50-99",IF(F2135&lt;200,"3) Rs 100-199",IF(F2135&lt;500,"4) Rs 200-499","5) Rs 500+"))))</f>
        <v>1) Under Rs 50</v>
      </c>
      <c r="O2135" s="0" t="n">
        <f aca="false">G2135*E2135/1000</f>
        <v>0</v>
      </c>
    </row>
    <row r="2136" customFormat="false" ht="15" hidden="false" customHeight="false" outlineLevel="0" collapsed="false">
      <c r="A2136" s="0" t="s">
        <v>113</v>
      </c>
      <c r="B2136" s="0" t="s">
        <v>1076</v>
      </c>
      <c r="C2136" s="0" t="n">
        <v>24</v>
      </c>
      <c r="D2136" s="0" t="n">
        <v>0</v>
      </c>
      <c r="E2136" s="0" t="n">
        <v>0</v>
      </c>
      <c r="F2136" s="0" t="n">
        <v>24</v>
      </c>
      <c r="G2136" s="0" t="n">
        <v>75</v>
      </c>
      <c r="H2136" s="0" t="s">
        <v>230</v>
      </c>
      <c r="I2136" s="0" t="n">
        <v>75</v>
      </c>
      <c r="J2136" s="0" t="n">
        <f aca="false">F2136*E2136</f>
        <v>0</v>
      </c>
      <c r="K2136" s="0" t="str">
        <f aca="false">IF(G2136&lt;1000,"1-Low",IF(G2136&lt;5000,"2-Medium","3-Bulk"))</f>
        <v>1-Low</v>
      </c>
      <c r="L2136" s="0" t="str">
        <f aca="false">IF(H2136="TRUE","Out of stock","In stock")</f>
        <v>Out of stock</v>
      </c>
      <c r="M2136" s="0" t="str">
        <f aca="false">IF(D2136&lt;5,"1) Under 5%",IF(D2136&lt;10,"2) 5-9%",IF(D2136&lt;15,"3) 10-14%",IF(D2136&lt;25,"4) 15-24%","5) 25%+"))))</f>
        <v>1) Under 5%</v>
      </c>
      <c r="N2136" s="0" t="str">
        <f aca="false">IF(F2136&lt;50,"1) Under Rs 50",IF(F2136&lt;100,"2) Rs 50-99",IF(F2136&lt;200,"3) Rs 100-199",IF(F2136&lt;500,"4) Rs 200-499","5) Rs 500+"))))</f>
        <v>1) Under Rs 50</v>
      </c>
      <c r="O2136" s="0" t="n">
        <f aca="false">G2136*E2136/1000</f>
        <v>0</v>
      </c>
    </row>
    <row r="2137" customFormat="false" ht="15" hidden="false" customHeight="false" outlineLevel="0" collapsed="false">
      <c r="A2137" s="0" t="s">
        <v>113</v>
      </c>
      <c r="B2137" s="0" t="s">
        <v>688</v>
      </c>
      <c r="C2137" s="0" t="n">
        <v>160</v>
      </c>
      <c r="D2137" s="0" t="n">
        <v>50</v>
      </c>
      <c r="E2137" s="0" t="n">
        <v>0</v>
      </c>
      <c r="F2137" s="0" t="n">
        <v>80</v>
      </c>
      <c r="G2137" s="0" t="n">
        <v>500</v>
      </c>
      <c r="H2137" s="0" t="s">
        <v>230</v>
      </c>
      <c r="I2137" s="0" t="n">
        <v>500</v>
      </c>
      <c r="J2137" s="0" t="n">
        <f aca="false">F2137*E2137</f>
        <v>0</v>
      </c>
      <c r="K2137" s="0" t="str">
        <f aca="false">IF(G2137&lt;1000,"1-Low",IF(G2137&lt;5000,"2-Medium","3-Bulk"))</f>
        <v>1-Low</v>
      </c>
      <c r="L2137" s="0" t="str">
        <f aca="false">IF(H2137="TRUE","Out of stock","In stock")</f>
        <v>Out of stock</v>
      </c>
      <c r="M2137" s="0" t="str">
        <f aca="false">IF(D2137&lt;5,"1) Under 5%",IF(D2137&lt;10,"2) 5-9%",IF(D2137&lt;15,"3) 10-14%",IF(D2137&lt;25,"4) 15-24%","5) 25%+"))))</f>
        <v>5) 25%+</v>
      </c>
      <c r="N2137" s="0" t="str">
        <f aca="false">IF(F2137&lt;50,"1) Under Rs 50",IF(F2137&lt;100,"2) Rs 50-99",IF(F2137&lt;200,"3) Rs 100-199",IF(F2137&lt;500,"4) Rs 200-499","5) Rs 500+"))))</f>
        <v>2) Rs 50-99</v>
      </c>
      <c r="O2137" s="0" t="n">
        <f aca="false">G2137*E2137/1000</f>
        <v>0</v>
      </c>
    </row>
    <row r="2138" customFormat="false" ht="15" hidden="false" customHeight="false" outlineLevel="0" collapsed="false">
      <c r="A2138" s="0" t="s">
        <v>113</v>
      </c>
      <c r="B2138" s="0" t="s">
        <v>1077</v>
      </c>
      <c r="C2138" s="0" t="n">
        <v>20</v>
      </c>
      <c r="D2138" s="0" t="n">
        <v>10</v>
      </c>
      <c r="E2138" s="0" t="n">
        <v>0</v>
      </c>
      <c r="F2138" s="0" t="n">
        <v>18</v>
      </c>
      <c r="G2138" s="0" t="n">
        <v>100</v>
      </c>
      <c r="H2138" s="0" t="s">
        <v>230</v>
      </c>
      <c r="I2138" s="0" t="n">
        <v>100</v>
      </c>
      <c r="J2138" s="0" t="n">
        <f aca="false">F2138*E2138</f>
        <v>0</v>
      </c>
      <c r="K2138" s="0" t="str">
        <f aca="false">IF(G2138&lt;1000,"1-Low",IF(G2138&lt;5000,"2-Medium","3-Bulk"))</f>
        <v>1-Low</v>
      </c>
      <c r="L2138" s="0" t="str">
        <f aca="false">IF(H2138="TRUE","Out of stock","In stock")</f>
        <v>Out of stock</v>
      </c>
      <c r="M2138" s="0" t="str">
        <f aca="false">IF(D2138&lt;5,"1) Under 5%",IF(D2138&lt;10,"2) 5-9%",IF(D2138&lt;15,"3) 10-14%",IF(D2138&lt;25,"4) 15-24%","5) 25%+"))))</f>
        <v>3) 10-14%</v>
      </c>
      <c r="N2138" s="0" t="str">
        <f aca="false">IF(F2138&lt;50,"1) Under Rs 50",IF(F2138&lt;100,"2) Rs 50-99",IF(F2138&lt;200,"3) Rs 100-199",IF(F2138&lt;500,"4) Rs 200-499","5) Rs 500+"))))</f>
        <v>1) Under Rs 50</v>
      </c>
      <c r="O2138" s="0" t="n">
        <f aca="false">G2138*E2138/1000</f>
        <v>0</v>
      </c>
    </row>
    <row r="2139" customFormat="false" ht="15" hidden="false" customHeight="false" outlineLevel="0" collapsed="false">
      <c r="A2139" s="0" t="s">
        <v>113</v>
      </c>
      <c r="B2139" s="0" t="s">
        <v>691</v>
      </c>
      <c r="C2139" s="0" t="n">
        <v>190</v>
      </c>
      <c r="D2139" s="0" t="n">
        <v>0</v>
      </c>
      <c r="E2139" s="0" t="n">
        <v>0</v>
      </c>
      <c r="F2139" s="0" t="n">
        <v>190</v>
      </c>
      <c r="G2139" s="0" t="n">
        <v>300</v>
      </c>
      <c r="H2139" s="0" t="s">
        <v>230</v>
      </c>
      <c r="I2139" s="0" t="n">
        <v>300</v>
      </c>
      <c r="J2139" s="0" t="n">
        <f aca="false">F2139*E2139</f>
        <v>0</v>
      </c>
      <c r="K2139" s="0" t="str">
        <f aca="false">IF(G2139&lt;1000,"1-Low",IF(G2139&lt;5000,"2-Medium","3-Bulk"))</f>
        <v>1-Low</v>
      </c>
      <c r="L2139" s="0" t="str">
        <f aca="false">IF(H2139="TRUE","Out of stock","In stock")</f>
        <v>Out of stock</v>
      </c>
      <c r="M2139" s="0" t="str">
        <f aca="false">IF(D2139&lt;5,"1) Under 5%",IF(D2139&lt;10,"2) 5-9%",IF(D2139&lt;15,"3) 10-14%",IF(D2139&lt;25,"4) 15-24%","5) 25%+"))))</f>
        <v>1) Under 5%</v>
      </c>
      <c r="N2139" s="0" t="str">
        <f aca="false">IF(F2139&lt;50,"1) Under Rs 50",IF(F2139&lt;100,"2) Rs 50-99",IF(F2139&lt;200,"3) Rs 100-199",IF(F2139&lt;500,"4) Rs 200-499","5) Rs 500+"))))</f>
        <v>3) Rs 100-199</v>
      </c>
      <c r="O2139" s="0" t="n">
        <f aca="false">G2139*E2139/1000</f>
        <v>0</v>
      </c>
    </row>
    <row r="2140" customFormat="false" ht="15" hidden="false" customHeight="false" outlineLevel="0" collapsed="false">
      <c r="A2140" s="0" t="s">
        <v>113</v>
      </c>
      <c r="B2140" s="0" t="s">
        <v>692</v>
      </c>
      <c r="C2140" s="0" t="n">
        <v>28</v>
      </c>
      <c r="D2140" s="0" t="n">
        <v>17</v>
      </c>
      <c r="E2140" s="0" t="n">
        <v>0</v>
      </c>
      <c r="F2140" s="0" t="n">
        <v>23</v>
      </c>
      <c r="G2140" s="0" t="n">
        <v>65</v>
      </c>
      <c r="H2140" s="0" t="s">
        <v>230</v>
      </c>
      <c r="I2140" s="0" t="n">
        <v>65</v>
      </c>
      <c r="J2140" s="0" t="n">
        <f aca="false">F2140*E2140</f>
        <v>0</v>
      </c>
      <c r="K2140" s="0" t="str">
        <f aca="false">IF(G2140&lt;1000,"1-Low",IF(G2140&lt;5000,"2-Medium","3-Bulk"))</f>
        <v>1-Low</v>
      </c>
      <c r="L2140" s="0" t="str">
        <f aca="false">IF(H2140="TRUE","Out of stock","In stock")</f>
        <v>Out of stock</v>
      </c>
      <c r="M2140" s="0" t="str">
        <f aca="false">IF(D2140&lt;5,"1) Under 5%",IF(D2140&lt;10,"2) 5-9%",IF(D2140&lt;15,"3) 10-14%",IF(D2140&lt;25,"4) 15-24%","5) 25%+"))))</f>
        <v>4) 15-24%</v>
      </c>
      <c r="N2140" s="0" t="str">
        <f aca="false">IF(F2140&lt;50,"1) Under Rs 50",IF(F2140&lt;100,"2) Rs 50-99",IF(F2140&lt;200,"3) Rs 100-199",IF(F2140&lt;500,"4) Rs 200-499","5) Rs 500+"))))</f>
        <v>1) Under Rs 50</v>
      </c>
      <c r="O2140" s="0" t="n">
        <f aca="false">G2140*E2140/1000</f>
        <v>0</v>
      </c>
    </row>
    <row r="2141" customFormat="false" ht="15" hidden="false" customHeight="false" outlineLevel="0" collapsed="false">
      <c r="A2141" s="0" t="s">
        <v>113</v>
      </c>
      <c r="B2141" s="0" t="s">
        <v>234</v>
      </c>
      <c r="C2141" s="0" t="n">
        <v>160</v>
      </c>
      <c r="D2141" s="0" t="n">
        <v>5</v>
      </c>
      <c r="E2141" s="0" t="n">
        <v>0</v>
      </c>
      <c r="F2141" s="0" t="n">
        <v>152</v>
      </c>
      <c r="G2141" s="0" t="n">
        <v>1000</v>
      </c>
      <c r="H2141" s="0" t="s">
        <v>230</v>
      </c>
      <c r="I2141" s="0" t="n">
        <v>1</v>
      </c>
      <c r="J2141" s="0" t="n">
        <f aca="false">F2141*E2141</f>
        <v>0</v>
      </c>
      <c r="K2141" s="0" t="str">
        <f aca="false">IF(G2141&lt;1000,"1-Low",IF(G2141&lt;5000,"2-Medium","3-Bulk"))</f>
        <v>2-Medium</v>
      </c>
      <c r="L2141" s="0" t="str">
        <f aca="false">IF(H2141="TRUE","Out of stock","In stock")</f>
        <v>Out of stock</v>
      </c>
      <c r="M2141" s="0" t="str">
        <f aca="false">IF(D2141&lt;5,"1) Under 5%",IF(D2141&lt;10,"2) 5-9%",IF(D2141&lt;15,"3) 10-14%",IF(D2141&lt;25,"4) 15-24%","5) 25%+"))))</f>
        <v>2) 5-9%</v>
      </c>
      <c r="N2141" s="0" t="str">
        <f aca="false">IF(F2141&lt;50,"1) Under Rs 50",IF(F2141&lt;100,"2) Rs 50-99",IF(F2141&lt;200,"3) Rs 100-199",IF(F2141&lt;500,"4) Rs 200-499","5) Rs 500+"))))</f>
        <v>3) Rs 100-199</v>
      </c>
      <c r="O2141" s="0" t="n">
        <f aca="false">G2141*E2141/1000</f>
        <v>0</v>
      </c>
    </row>
    <row r="2142" customFormat="false" ht="15" hidden="false" customHeight="false" outlineLevel="0" collapsed="false">
      <c r="A2142" s="0" t="s">
        <v>113</v>
      </c>
      <c r="B2142" s="0" t="s">
        <v>1078</v>
      </c>
      <c r="C2142" s="0" t="n">
        <v>25</v>
      </c>
      <c r="D2142" s="0" t="n">
        <v>0</v>
      </c>
      <c r="E2142" s="0" t="n">
        <v>0</v>
      </c>
      <c r="F2142" s="0" t="n">
        <v>25</v>
      </c>
      <c r="G2142" s="0" t="n">
        <v>60</v>
      </c>
      <c r="H2142" s="0" t="s">
        <v>230</v>
      </c>
      <c r="I2142" s="0" t="n">
        <v>60</v>
      </c>
      <c r="J2142" s="0" t="n">
        <f aca="false">F2142*E2142</f>
        <v>0</v>
      </c>
      <c r="K2142" s="0" t="str">
        <f aca="false">IF(G2142&lt;1000,"1-Low",IF(G2142&lt;5000,"2-Medium","3-Bulk"))</f>
        <v>1-Low</v>
      </c>
      <c r="L2142" s="0" t="str">
        <f aca="false">IF(H2142="TRUE","Out of stock","In stock")</f>
        <v>Out of stock</v>
      </c>
      <c r="M2142" s="0" t="str">
        <f aca="false">IF(D2142&lt;5,"1) Under 5%",IF(D2142&lt;10,"2) 5-9%",IF(D2142&lt;15,"3) 10-14%",IF(D2142&lt;25,"4) 15-24%","5) 25%+"))))</f>
        <v>1) Under 5%</v>
      </c>
      <c r="N2142" s="0" t="str">
        <f aca="false">IF(F2142&lt;50,"1) Under Rs 50",IF(F2142&lt;100,"2) Rs 50-99",IF(F2142&lt;200,"3) Rs 100-199",IF(F2142&lt;500,"4) Rs 200-499","5) Rs 500+"))))</f>
        <v>1) Under Rs 50</v>
      </c>
      <c r="O2142" s="0" t="n">
        <f aca="false">G2142*E2142/1000</f>
        <v>0</v>
      </c>
    </row>
    <row r="2143" customFormat="false" ht="15" hidden="false" customHeight="false" outlineLevel="0" collapsed="false">
      <c r="A2143" s="0" t="s">
        <v>113</v>
      </c>
      <c r="B2143" s="0" t="s">
        <v>1079</v>
      </c>
      <c r="C2143" s="0" t="n">
        <v>120</v>
      </c>
      <c r="D2143" s="0" t="n">
        <v>7</v>
      </c>
      <c r="E2143" s="0" t="n">
        <v>0</v>
      </c>
      <c r="F2143" s="0" t="n">
        <v>111</v>
      </c>
      <c r="G2143" s="0" t="n">
        <v>950</v>
      </c>
      <c r="H2143" s="0" t="s">
        <v>230</v>
      </c>
      <c r="I2143" s="0" t="n">
        <v>950</v>
      </c>
      <c r="J2143" s="0" t="n">
        <f aca="false">F2143*E2143</f>
        <v>0</v>
      </c>
      <c r="K2143" s="0" t="str">
        <f aca="false">IF(G2143&lt;1000,"1-Low",IF(G2143&lt;5000,"2-Medium","3-Bulk"))</f>
        <v>1-Low</v>
      </c>
      <c r="L2143" s="0" t="str">
        <f aca="false">IF(H2143="TRUE","Out of stock","In stock")</f>
        <v>Out of stock</v>
      </c>
      <c r="M2143" s="0" t="str">
        <f aca="false">IF(D2143&lt;5,"1) Under 5%",IF(D2143&lt;10,"2) 5-9%",IF(D2143&lt;15,"3) 10-14%",IF(D2143&lt;25,"4) 15-24%","5) 25%+"))))</f>
        <v>2) 5-9%</v>
      </c>
      <c r="N2143" s="0" t="str">
        <f aca="false">IF(F2143&lt;50,"1) Under Rs 50",IF(F2143&lt;100,"2) Rs 50-99",IF(F2143&lt;200,"3) Rs 100-199",IF(F2143&lt;500,"4) Rs 200-499","5) Rs 500+"))))</f>
        <v>3) Rs 100-199</v>
      </c>
      <c r="O2143" s="0" t="n">
        <f aca="false">G2143*E2143/1000</f>
        <v>0</v>
      </c>
    </row>
    <row r="2144" customFormat="false" ht="15" hidden="false" customHeight="false" outlineLevel="0" collapsed="false">
      <c r="A2144" s="0" t="s">
        <v>113</v>
      </c>
      <c r="B2144" s="0" t="s">
        <v>1080</v>
      </c>
      <c r="C2144" s="0" t="n">
        <v>55</v>
      </c>
      <c r="D2144" s="0" t="n">
        <v>3</v>
      </c>
      <c r="E2144" s="0" t="n">
        <v>0</v>
      </c>
      <c r="F2144" s="0" t="n">
        <v>53</v>
      </c>
      <c r="G2144" s="0" t="n">
        <v>180</v>
      </c>
      <c r="H2144" s="0" t="s">
        <v>230</v>
      </c>
      <c r="I2144" s="0" t="n">
        <v>180</v>
      </c>
      <c r="J2144" s="0" t="n">
        <f aca="false">F2144*E2144</f>
        <v>0</v>
      </c>
      <c r="K2144" s="0" t="str">
        <f aca="false">IF(G2144&lt;1000,"1-Low",IF(G2144&lt;5000,"2-Medium","3-Bulk"))</f>
        <v>1-Low</v>
      </c>
      <c r="L2144" s="0" t="str">
        <f aca="false">IF(H2144="TRUE","Out of stock","In stock")</f>
        <v>Out of stock</v>
      </c>
      <c r="M2144" s="0" t="str">
        <f aca="false">IF(D2144&lt;5,"1) Under 5%",IF(D2144&lt;10,"2) 5-9%",IF(D2144&lt;15,"3) 10-14%",IF(D2144&lt;25,"4) 15-24%","5) 25%+"))))</f>
        <v>1) Under 5%</v>
      </c>
      <c r="N2144" s="0" t="str">
        <f aca="false">IF(F2144&lt;50,"1) Under Rs 50",IF(F2144&lt;100,"2) Rs 50-99",IF(F2144&lt;200,"3) Rs 100-199",IF(F2144&lt;500,"4) Rs 200-499","5) Rs 500+"))))</f>
        <v>2) Rs 50-99</v>
      </c>
      <c r="O2144" s="0" t="n">
        <f aca="false">G2144*E2144/1000</f>
        <v>0</v>
      </c>
    </row>
    <row r="2145" customFormat="false" ht="15" hidden="false" customHeight="false" outlineLevel="0" collapsed="false">
      <c r="A2145" s="0" t="s">
        <v>113</v>
      </c>
      <c r="B2145" s="0" t="s">
        <v>1081</v>
      </c>
      <c r="C2145" s="0" t="n">
        <v>135</v>
      </c>
      <c r="D2145" s="0" t="n">
        <v>6</v>
      </c>
      <c r="E2145" s="0" t="n">
        <v>0</v>
      </c>
      <c r="F2145" s="0" t="n">
        <v>126</v>
      </c>
      <c r="G2145" s="0" t="n">
        <v>500</v>
      </c>
      <c r="H2145" s="0" t="s">
        <v>230</v>
      </c>
      <c r="I2145" s="0" t="n">
        <v>500</v>
      </c>
      <c r="J2145" s="0" t="n">
        <f aca="false">F2145*E2145</f>
        <v>0</v>
      </c>
      <c r="K2145" s="0" t="str">
        <f aca="false">IF(G2145&lt;1000,"1-Low",IF(G2145&lt;5000,"2-Medium","3-Bulk"))</f>
        <v>1-Low</v>
      </c>
      <c r="L2145" s="0" t="str">
        <f aca="false">IF(H2145="TRUE","Out of stock","In stock")</f>
        <v>Out of stock</v>
      </c>
      <c r="M2145" s="0" t="str">
        <f aca="false">IF(D2145&lt;5,"1) Under 5%",IF(D2145&lt;10,"2) 5-9%",IF(D2145&lt;15,"3) 10-14%",IF(D2145&lt;25,"4) 15-24%","5) 25%+"))))</f>
        <v>2) 5-9%</v>
      </c>
      <c r="N2145" s="0" t="str">
        <f aca="false">IF(F2145&lt;50,"1) Under Rs 50",IF(F2145&lt;100,"2) Rs 50-99",IF(F2145&lt;200,"3) Rs 100-199",IF(F2145&lt;500,"4) Rs 200-499","5) Rs 500+"))))</f>
        <v>3) Rs 100-199</v>
      </c>
      <c r="O2145" s="0" t="n">
        <f aca="false">G2145*E2145/1000</f>
        <v>0</v>
      </c>
    </row>
    <row r="2146" customFormat="false" ht="15" hidden="false" customHeight="false" outlineLevel="0" collapsed="false">
      <c r="A2146" s="0" t="s">
        <v>113</v>
      </c>
      <c r="B2146" s="0" t="s">
        <v>1082</v>
      </c>
      <c r="C2146" s="0" t="n">
        <v>160</v>
      </c>
      <c r="D2146" s="0" t="n">
        <v>5</v>
      </c>
      <c r="E2146" s="0" t="n">
        <v>0</v>
      </c>
      <c r="F2146" s="0" t="n">
        <v>152</v>
      </c>
      <c r="G2146" s="0" t="n">
        <v>320</v>
      </c>
      <c r="H2146" s="0" t="s">
        <v>230</v>
      </c>
      <c r="I2146" s="0" t="n">
        <v>320</v>
      </c>
      <c r="J2146" s="0" t="n">
        <f aca="false">F2146*E2146</f>
        <v>0</v>
      </c>
      <c r="K2146" s="0" t="str">
        <f aca="false">IF(G2146&lt;1000,"1-Low",IF(G2146&lt;5000,"2-Medium","3-Bulk"))</f>
        <v>1-Low</v>
      </c>
      <c r="L2146" s="0" t="str">
        <f aca="false">IF(H2146="TRUE","Out of stock","In stock")</f>
        <v>Out of stock</v>
      </c>
      <c r="M2146" s="0" t="str">
        <f aca="false">IF(D2146&lt;5,"1) Under 5%",IF(D2146&lt;10,"2) 5-9%",IF(D2146&lt;15,"3) 10-14%",IF(D2146&lt;25,"4) 15-24%","5) 25%+"))))</f>
        <v>2) 5-9%</v>
      </c>
      <c r="N2146" s="0" t="str">
        <f aca="false">IF(F2146&lt;50,"1) Under Rs 50",IF(F2146&lt;100,"2) Rs 50-99",IF(F2146&lt;200,"3) Rs 100-199",IF(F2146&lt;500,"4) Rs 200-499","5) Rs 500+"))))</f>
        <v>3) Rs 100-199</v>
      </c>
      <c r="O2146" s="0" t="n">
        <f aca="false">G2146*E2146/1000</f>
        <v>0</v>
      </c>
    </row>
    <row r="2147" customFormat="false" ht="15" hidden="false" customHeight="false" outlineLevel="0" collapsed="false">
      <c r="A2147" s="0" t="s">
        <v>113</v>
      </c>
      <c r="B2147" s="0" t="s">
        <v>1083</v>
      </c>
      <c r="C2147" s="0" t="n">
        <v>115</v>
      </c>
      <c r="D2147" s="0" t="n">
        <v>4</v>
      </c>
      <c r="E2147" s="0" t="n">
        <v>0</v>
      </c>
      <c r="F2147" s="0" t="n">
        <v>110</v>
      </c>
      <c r="G2147" s="0" t="n">
        <v>400</v>
      </c>
      <c r="H2147" s="0" t="s">
        <v>230</v>
      </c>
      <c r="I2147" s="0" t="n">
        <v>400</v>
      </c>
      <c r="J2147" s="0" t="n">
        <f aca="false">F2147*E2147</f>
        <v>0</v>
      </c>
      <c r="K2147" s="0" t="str">
        <f aca="false">IF(G2147&lt;1000,"1-Low",IF(G2147&lt;5000,"2-Medium","3-Bulk"))</f>
        <v>1-Low</v>
      </c>
      <c r="L2147" s="0" t="str">
        <f aca="false">IF(H2147="TRUE","Out of stock","In stock")</f>
        <v>Out of stock</v>
      </c>
      <c r="M2147" s="0" t="str">
        <f aca="false">IF(D2147&lt;5,"1) Under 5%",IF(D2147&lt;10,"2) 5-9%",IF(D2147&lt;15,"3) 10-14%",IF(D2147&lt;25,"4) 15-24%","5) 25%+"))))</f>
        <v>1) Under 5%</v>
      </c>
      <c r="N2147" s="0" t="str">
        <f aca="false">IF(F2147&lt;50,"1) Under Rs 50",IF(F2147&lt;100,"2) Rs 50-99",IF(F2147&lt;200,"3) Rs 100-199",IF(F2147&lt;500,"4) Rs 200-499","5) Rs 500+"))))</f>
        <v>3) Rs 100-199</v>
      </c>
      <c r="O2147" s="0" t="n">
        <f aca="false">G2147*E2147/1000</f>
        <v>0</v>
      </c>
    </row>
    <row r="2148" customFormat="false" ht="15" hidden="false" customHeight="false" outlineLevel="0" collapsed="false">
      <c r="A2148" s="0" t="s">
        <v>113</v>
      </c>
      <c r="B2148" s="0" t="s">
        <v>699</v>
      </c>
      <c r="C2148" s="0" t="n">
        <v>150</v>
      </c>
      <c r="D2148" s="0" t="n">
        <v>4</v>
      </c>
      <c r="E2148" s="0" t="n">
        <v>0</v>
      </c>
      <c r="F2148" s="0" t="n">
        <v>143</v>
      </c>
      <c r="G2148" s="0" t="n">
        <v>250</v>
      </c>
      <c r="H2148" s="0" t="s">
        <v>230</v>
      </c>
      <c r="I2148" s="0" t="n">
        <v>250</v>
      </c>
      <c r="J2148" s="0" t="n">
        <f aca="false">F2148*E2148</f>
        <v>0</v>
      </c>
      <c r="K2148" s="0" t="str">
        <f aca="false">IF(G2148&lt;1000,"1-Low",IF(G2148&lt;5000,"2-Medium","3-Bulk"))</f>
        <v>1-Low</v>
      </c>
      <c r="L2148" s="0" t="str">
        <f aca="false">IF(H2148="TRUE","Out of stock","In stock")</f>
        <v>Out of stock</v>
      </c>
      <c r="M2148" s="0" t="str">
        <f aca="false">IF(D2148&lt;5,"1) Under 5%",IF(D2148&lt;10,"2) 5-9%",IF(D2148&lt;15,"3) 10-14%",IF(D2148&lt;25,"4) 15-24%","5) 25%+"))))</f>
        <v>1) Under 5%</v>
      </c>
      <c r="N2148" s="0" t="str">
        <f aca="false">IF(F2148&lt;50,"1) Under Rs 50",IF(F2148&lt;100,"2) Rs 50-99",IF(F2148&lt;200,"3) Rs 100-199",IF(F2148&lt;500,"4) Rs 200-499","5) Rs 500+"))))</f>
        <v>3) Rs 100-199</v>
      </c>
      <c r="O2148" s="0" t="n">
        <f aca="false">G2148*E2148/1000</f>
        <v>0</v>
      </c>
    </row>
    <row r="2149" customFormat="false" ht="15" hidden="false" customHeight="false" outlineLevel="0" collapsed="false">
      <c r="A2149" s="0" t="s">
        <v>113</v>
      </c>
      <c r="B2149" s="0" t="s">
        <v>1084</v>
      </c>
      <c r="C2149" s="0" t="n">
        <v>295</v>
      </c>
      <c r="D2149" s="0" t="n">
        <v>9</v>
      </c>
      <c r="E2149" s="0" t="n">
        <v>0</v>
      </c>
      <c r="F2149" s="0" t="n">
        <v>266</v>
      </c>
      <c r="G2149" s="0" t="n">
        <v>350</v>
      </c>
      <c r="H2149" s="0" t="s">
        <v>230</v>
      </c>
      <c r="I2149" s="0" t="n">
        <v>350</v>
      </c>
      <c r="J2149" s="0" t="n">
        <f aca="false">F2149*E2149</f>
        <v>0</v>
      </c>
      <c r="K2149" s="0" t="str">
        <f aca="false">IF(G2149&lt;1000,"1-Low",IF(G2149&lt;5000,"2-Medium","3-Bulk"))</f>
        <v>1-Low</v>
      </c>
      <c r="L2149" s="0" t="str">
        <f aca="false">IF(H2149="TRUE","Out of stock","In stock")</f>
        <v>Out of stock</v>
      </c>
      <c r="M2149" s="0" t="str">
        <f aca="false">IF(D2149&lt;5,"1) Under 5%",IF(D2149&lt;10,"2) 5-9%",IF(D2149&lt;15,"3) 10-14%",IF(D2149&lt;25,"4) 15-24%","5) 25%+"))))</f>
        <v>2) 5-9%</v>
      </c>
      <c r="N2149" s="0" t="str">
        <f aca="false">IF(F2149&lt;50,"1) Under Rs 50",IF(F2149&lt;100,"2) Rs 50-99",IF(F2149&lt;200,"3) Rs 100-199",IF(F2149&lt;500,"4) Rs 200-499","5) Rs 500+"))))</f>
        <v>4) Rs 200-499</v>
      </c>
      <c r="O2149" s="0" t="n">
        <f aca="false">G2149*E2149/1000</f>
        <v>0</v>
      </c>
    </row>
    <row r="2150" customFormat="false" ht="15" hidden="false" customHeight="false" outlineLevel="0" collapsed="false">
      <c r="A2150" s="0" t="s">
        <v>113</v>
      </c>
      <c r="B2150" s="0" t="s">
        <v>698</v>
      </c>
      <c r="C2150" s="0" t="n">
        <v>72</v>
      </c>
      <c r="D2150" s="0" t="n">
        <v>0</v>
      </c>
      <c r="E2150" s="0" t="n">
        <v>0</v>
      </c>
      <c r="F2150" s="0" t="n">
        <v>72</v>
      </c>
      <c r="G2150" s="0" t="n">
        <v>280</v>
      </c>
      <c r="H2150" s="0" t="s">
        <v>230</v>
      </c>
      <c r="I2150" s="0" t="n">
        <v>280</v>
      </c>
      <c r="J2150" s="0" t="n">
        <f aca="false">F2150*E2150</f>
        <v>0</v>
      </c>
      <c r="K2150" s="0" t="str">
        <f aca="false">IF(G2150&lt;1000,"1-Low",IF(G2150&lt;5000,"2-Medium","3-Bulk"))</f>
        <v>1-Low</v>
      </c>
      <c r="L2150" s="0" t="str">
        <f aca="false">IF(H2150="TRUE","Out of stock","In stock")</f>
        <v>Out of stock</v>
      </c>
      <c r="M2150" s="0" t="str">
        <f aca="false">IF(D2150&lt;5,"1) Under 5%",IF(D2150&lt;10,"2) 5-9%",IF(D2150&lt;15,"3) 10-14%",IF(D2150&lt;25,"4) 15-24%","5) 25%+"))))</f>
        <v>1) Under 5%</v>
      </c>
      <c r="N2150" s="0" t="str">
        <f aca="false">IF(F2150&lt;50,"1) Under Rs 50",IF(F2150&lt;100,"2) Rs 50-99",IF(F2150&lt;200,"3) Rs 100-199",IF(F2150&lt;500,"4) Rs 200-499","5) Rs 500+"))))</f>
        <v>2) Rs 50-99</v>
      </c>
      <c r="O2150" s="0" t="n">
        <f aca="false">G2150*E2150/1000</f>
        <v>0</v>
      </c>
    </row>
    <row r="2151" customFormat="false" ht="15" hidden="false" customHeight="false" outlineLevel="0" collapsed="false">
      <c r="A2151" s="0" t="s">
        <v>113</v>
      </c>
      <c r="B2151" s="0" t="s">
        <v>1085</v>
      </c>
      <c r="C2151" s="0" t="n">
        <v>55</v>
      </c>
      <c r="D2151" s="0" t="n">
        <v>0</v>
      </c>
      <c r="E2151" s="0" t="n">
        <v>0</v>
      </c>
      <c r="F2151" s="0" t="n">
        <v>55</v>
      </c>
      <c r="G2151" s="0" t="n">
        <v>190</v>
      </c>
      <c r="H2151" s="0" t="s">
        <v>230</v>
      </c>
      <c r="I2151" s="0" t="n">
        <v>190</v>
      </c>
      <c r="J2151" s="0" t="n">
        <f aca="false">F2151*E2151</f>
        <v>0</v>
      </c>
      <c r="K2151" s="0" t="str">
        <f aca="false">IF(G2151&lt;1000,"1-Low",IF(G2151&lt;5000,"2-Medium","3-Bulk"))</f>
        <v>1-Low</v>
      </c>
      <c r="L2151" s="0" t="str">
        <f aca="false">IF(H2151="TRUE","Out of stock","In stock")</f>
        <v>Out of stock</v>
      </c>
      <c r="M2151" s="0" t="str">
        <f aca="false">IF(D2151&lt;5,"1) Under 5%",IF(D2151&lt;10,"2) 5-9%",IF(D2151&lt;15,"3) 10-14%",IF(D2151&lt;25,"4) 15-24%","5) 25%+"))))</f>
        <v>1) Under 5%</v>
      </c>
      <c r="N2151" s="0" t="str">
        <f aca="false">IF(F2151&lt;50,"1) Under Rs 50",IF(F2151&lt;100,"2) Rs 50-99",IF(F2151&lt;200,"3) Rs 100-199",IF(F2151&lt;500,"4) Rs 200-499","5) Rs 500+"))))</f>
        <v>2) Rs 50-99</v>
      </c>
      <c r="O2151" s="0" t="n">
        <f aca="false">G2151*E2151/1000</f>
        <v>0</v>
      </c>
    </row>
    <row r="2152" customFormat="false" ht="15" hidden="false" customHeight="false" outlineLevel="0" collapsed="false">
      <c r="A2152" s="0" t="s">
        <v>113</v>
      </c>
      <c r="B2152" s="0" t="s">
        <v>1086</v>
      </c>
      <c r="C2152" s="0" t="n">
        <v>135</v>
      </c>
      <c r="D2152" s="0" t="n">
        <v>0</v>
      </c>
      <c r="E2152" s="0" t="n">
        <v>0</v>
      </c>
      <c r="F2152" s="0" t="n">
        <v>135</v>
      </c>
      <c r="G2152" s="0" t="n">
        <v>500</v>
      </c>
      <c r="H2152" s="0" t="s">
        <v>230</v>
      </c>
      <c r="I2152" s="0" t="n">
        <v>500</v>
      </c>
      <c r="J2152" s="0" t="n">
        <f aca="false">F2152*E2152</f>
        <v>0</v>
      </c>
      <c r="K2152" s="0" t="str">
        <f aca="false">IF(G2152&lt;1000,"1-Low",IF(G2152&lt;5000,"2-Medium","3-Bulk"))</f>
        <v>1-Low</v>
      </c>
      <c r="L2152" s="0" t="str">
        <f aca="false">IF(H2152="TRUE","Out of stock","In stock")</f>
        <v>Out of stock</v>
      </c>
      <c r="M2152" s="0" t="str">
        <f aca="false">IF(D2152&lt;5,"1) Under 5%",IF(D2152&lt;10,"2) 5-9%",IF(D2152&lt;15,"3) 10-14%",IF(D2152&lt;25,"4) 15-24%","5) 25%+"))))</f>
        <v>1) Under 5%</v>
      </c>
      <c r="N2152" s="0" t="str">
        <f aca="false">IF(F2152&lt;50,"1) Under Rs 50",IF(F2152&lt;100,"2) Rs 50-99",IF(F2152&lt;200,"3) Rs 100-199",IF(F2152&lt;500,"4) Rs 200-499","5) Rs 500+"))))</f>
        <v>3) Rs 100-199</v>
      </c>
      <c r="O2152" s="0" t="n">
        <f aca="false">G2152*E2152/1000</f>
        <v>0</v>
      </c>
    </row>
    <row r="2153" customFormat="false" ht="15" hidden="false" customHeight="false" outlineLevel="0" collapsed="false">
      <c r="A2153" s="0" t="s">
        <v>113</v>
      </c>
      <c r="B2153" s="0" t="s">
        <v>1086</v>
      </c>
      <c r="C2153" s="0" t="n">
        <v>250</v>
      </c>
      <c r="D2153" s="0" t="n">
        <v>0</v>
      </c>
      <c r="E2153" s="0" t="n">
        <v>0</v>
      </c>
      <c r="F2153" s="0" t="n">
        <v>250</v>
      </c>
      <c r="G2153" s="0" t="n">
        <v>1000</v>
      </c>
      <c r="H2153" s="0" t="s">
        <v>230</v>
      </c>
      <c r="I2153" s="0" t="n">
        <v>1</v>
      </c>
      <c r="J2153" s="0" t="n">
        <f aca="false">F2153*E2153</f>
        <v>0</v>
      </c>
      <c r="K2153" s="0" t="str">
        <f aca="false">IF(G2153&lt;1000,"1-Low",IF(G2153&lt;5000,"2-Medium","3-Bulk"))</f>
        <v>2-Medium</v>
      </c>
      <c r="L2153" s="0" t="str">
        <f aca="false">IF(H2153="TRUE","Out of stock","In stock")</f>
        <v>Out of stock</v>
      </c>
      <c r="M2153" s="0" t="str">
        <f aca="false">IF(D2153&lt;5,"1) Under 5%",IF(D2153&lt;10,"2) 5-9%",IF(D2153&lt;15,"3) 10-14%",IF(D2153&lt;25,"4) 15-24%","5) 25%+"))))</f>
        <v>1) Under 5%</v>
      </c>
      <c r="N2153" s="0" t="str">
        <f aca="false">IF(F2153&lt;50,"1) Under Rs 50",IF(F2153&lt;100,"2) Rs 50-99",IF(F2153&lt;200,"3) Rs 100-199",IF(F2153&lt;500,"4) Rs 200-499","5) Rs 500+"))))</f>
        <v>4) Rs 200-499</v>
      </c>
      <c r="O2153" s="0" t="n">
        <f aca="false">G2153*E2153/1000</f>
        <v>0</v>
      </c>
    </row>
    <row r="2154" customFormat="false" ht="15" hidden="false" customHeight="false" outlineLevel="0" collapsed="false">
      <c r="A2154" s="0" t="s">
        <v>113</v>
      </c>
      <c r="B2154" s="0" t="s">
        <v>1087</v>
      </c>
      <c r="C2154" s="0" t="n">
        <v>85</v>
      </c>
      <c r="D2154" s="0" t="n">
        <v>0</v>
      </c>
      <c r="E2154" s="0" t="n">
        <v>0</v>
      </c>
      <c r="F2154" s="0" t="n">
        <v>85</v>
      </c>
      <c r="G2154" s="0" t="n">
        <v>400</v>
      </c>
      <c r="H2154" s="0" t="s">
        <v>230</v>
      </c>
      <c r="I2154" s="0" t="n">
        <v>400</v>
      </c>
      <c r="J2154" s="0" t="n">
        <f aca="false">F2154*E2154</f>
        <v>0</v>
      </c>
      <c r="K2154" s="0" t="str">
        <f aca="false">IF(G2154&lt;1000,"1-Low",IF(G2154&lt;5000,"2-Medium","3-Bulk"))</f>
        <v>1-Low</v>
      </c>
      <c r="L2154" s="0" t="str">
        <f aca="false">IF(H2154="TRUE","Out of stock","In stock")</f>
        <v>Out of stock</v>
      </c>
      <c r="M2154" s="0" t="str">
        <f aca="false">IF(D2154&lt;5,"1) Under 5%",IF(D2154&lt;10,"2) 5-9%",IF(D2154&lt;15,"3) 10-14%",IF(D2154&lt;25,"4) 15-24%","5) 25%+"))))</f>
        <v>1) Under 5%</v>
      </c>
      <c r="N2154" s="0" t="str">
        <f aca="false">IF(F2154&lt;50,"1) Under Rs 50",IF(F2154&lt;100,"2) Rs 50-99",IF(F2154&lt;200,"3) Rs 100-199",IF(F2154&lt;500,"4) Rs 200-499","5) Rs 500+"))))</f>
        <v>2) Rs 50-99</v>
      </c>
      <c r="O2154" s="0" t="n">
        <f aca="false">G2154*E2154/1000</f>
        <v>0</v>
      </c>
    </row>
    <row r="2155" customFormat="false" ht="15" hidden="false" customHeight="false" outlineLevel="0" collapsed="false">
      <c r="A2155" s="0" t="s">
        <v>113</v>
      </c>
      <c r="B2155" s="0" t="s">
        <v>1088</v>
      </c>
      <c r="C2155" s="0" t="n">
        <v>79</v>
      </c>
      <c r="D2155" s="0" t="n">
        <v>0</v>
      </c>
      <c r="E2155" s="0" t="n">
        <v>0</v>
      </c>
      <c r="F2155" s="0" t="n">
        <v>79</v>
      </c>
      <c r="G2155" s="0" t="n">
        <v>250</v>
      </c>
      <c r="H2155" s="0" t="s">
        <v>230</v>
      </c>
      <c r="I2155" s="0" t="n">
        <v>250</v>
      </c>
      <c r="J2155" s="0" t="n">
        <f aca="false">F2155*E2155</f>
        <v>0</v>
      </c>
      <c r="K2155" s="0" t="str">
        <f aca="false">IF(G2155&lt;1000,"1-Low",IF(G2155&lt;5000,"2-Medium","3-Bulk"))</f>
        <v>1-Low</v>
      </c>
      <c r="L2155" s="0" t="str">
        <f aca="false">IF(H2155="TRUE","Out of stock","In stock")</f>
        <v>Out of stock</v>
      </c>
      <c r="M2155" s="0" t="str">
        <f aca="false">IF(D2155&lt;5,"1) Under 5%",IF(D2155&lt;10,"2) 5-9%",IF(D2155&lt;15,"3) 10-14%",IF(D2155&lt;25,"4) 15-24%","5) 25%+"))))</f>
        <v>1) Under 5%</v>
      </c>
      <c r="N2155" s="0" t="str">
        <f aca="false">IF(F2155&lt;50,"1) Under Rs 50",IF(F2155&lt;100,"2) Rs 50-99",IF(F2155&lt;200,"3) Rs 100-199",IF(F2155&lt;500,"4) Rs 200-499","5) Rs 500+"))))</f>
        <v>2) Rs 50-99</v>
      </c>
      <c r="O2155" s="0" t="n">
        <f aca="false">G2155*E2155/1000</f>
        <v>0</v>
      </c>
    </row>
    <row r="2156" customFormat="false" ht="15" hidden="false" customHeight="false" outlineLevel="0" collapsed="false">
      <c r="A2156" s="0" t="s">
        <v>113</v>
      </c>
      <c r="B2156" s="0" t="s">
        <v>1089</v>
      </c>
      <c r="C2156" s="0" t="n">
        <v>250</v>
      </c>
      <c r="D2156" s="0" t="n">
        <v>0</v>
      </c>
      <c r="E2156" s="0" t="n">
        <v>0</v>
      </c>
      <c r="F2156" s="0" t="n">
        <v>250</v>
      </c>
      <c r="G2156" s="0" t="n">
        <v>450</v>
      </c>
      <c r="H2156" s="0" t="s">
        <v>230</v>
      </c>
      <c r="I2156" s="0" t="n">
        <v>450</v>
      </c>
      <c r="J2156" s="0" t="n">
        <f aca="false">F2156*E2156</f>
        <v>0</v>
      </c>
      <c r="K2156" s="0" t="str">
        <f aca="false">IF(G2156&lt;1000,"1-Low",IF(G2156&lt;5000,"2-Medium","3-Bulk"))</f>
        <v>1-Low</v>
      </c>
      <c r="L2156" s="0" t="str">
        <f aca="false">IF(H2156="TRUE","Out of stock","In stock")</f>
        <v>Out of stock</v>
      </c>
      <c r="M2156" s="0" t="str">
        <f aca="false">IF(D2156&lt;5,"1) Under 5%",IF(D2156&lt;10,"2) 5-9%",IF(D2156&lt;15,"3) 10-14%",IF(D2156&lt;25,"4) 15-24%","5) 25%+"))))</f>
        <v>1) Under 5%</v>
      </c>
      <c r="N2156" s="0" t="str">
        <f aca="false">IF(F2156&lt;50,"1) Under Rs 50",IF(F2156&lt;100,"2) Rs 50-99",IF(F2156&lt;200,"3) Rs 100-199",IF(F2156&lt;500,"4) Rs 200-499","5) Rs 500+"))))</f>
        <v>4) Rs 200-499</v>
      </c>
      <c r="O2156" s="0" t="n">
        <f aca="false">G2156*E2156/1000</f>
        <v>0</v>
      </c>
    </row>
    <row r="2157" customFormat="false" ht="15" hidden="false" customHeight="false" outlineLevel="0" collapsed="false">
      <c r="A2157" s="0" t="s">
        <v>90</v>
      </c>
      <c r="B2157" s="0" t="s">
        <v>235</v>
      </c>
      <c r="C2157" s="0" t="n">
        <v>12</v>
      </c>
      <c r="D2157" s="0" t="n">
        <v>0</v>
      </c>
      <c r="E2157" s="0" t="n">
        <v>6</v>
      </c>
      <c r="F2157" s="0" t="n">
        <v>12</v>
      </c>
      <c r="G2157" s="0" t="n">
        <v>70</v>
      </c>
      <c r="H2157" s="0" t="s">
        <v>145</v>
      </c>
      <c r="I2157" s="0" t="n">
        <v>70</v>
      </c>
      <c r="J2157" s="0" t="n">
        <f aca="false">F2157*E2157</f>
        <v>72</v>
      </c>
      <c r="K2157" s="0" t="str">
        <f aca="false">IF(G2157&lt;1000,"1-Low",IF(G2157&lt;5000,"2-Medium","3-Bulk"))</f>
        <v>1-Low</v>
      </c>
      <c r="L2157" s="0" t="str">
        <f aca="false">IF(H2157="TRUE","Out of stock","In stock")</f>
        <v>In stock</v>
      </c>
      <c r="M2157" s="0" t="str">
        <f aca="false">IF(D2157&lt;5,"1) Under 5%",IF(D2157&lt;10,"2) 5-9%",IF(D2157&lt;15,"3) 10-14%",IF(D2157&lt;25,"4) 15-24%","5) 25%+"))))</f>
        <v>1) Under 5%</v>
      </c>
      <c r="N2157" s="0" t="str">
        <f aca="false">IF(F2157&lt;50,"1) Under Rs 50",IF(F2157&lt;100,"2) Rs 50-99",IF(F2157&lt;200,"3) Rs 100-199",IF(F2157&lt;500,"4) Rs 200-499","5) Rs 500+"))))</f>
        <v>1) Under Rs 50</v>
      </c>
      <c r="O2157" s="0" t="n">
        <f aca="false">G2157*E2157/1000</f>
        <v>0.42</v>
      </c>
    </row>
    <row r="2158" customFormat="false" ht="15" hidden="false" customHeight="false" outlineLevel="0" collapsed="false">
      <c r="A2158" s="0" t="s">
        <v>90</v>
      </c>
      <c r="B2158" s="0" t="s">
        <v>236</v>
      </c>
      <c r="C2158" s="0" t="n">
        <v>80</v>
      </c>
      <c r="D2158" s="0" t="n">
        <v>15</v>
      </c>
      <c r="E2158" s="0" t="n">
        <v>6</v>
      </c>
      <c r="F2158" s="0" t="n">
        <v>68</v>
      </c>
      <c r="G2158" s="0" t="n">
        <v>1000</v>
      </c>
      <c r="H2158" s="0" t="s">
        <v>145</v>
      </c>
      <c r="I2158" s="0" t="n">
        <v>1</v>
      </c>
      <c r="J2158" s="0" t="n">
        <f aca="false">F2158*E2158</f>
        <v>408</v>
      </c>
      <c r="K2158" s="0" t="str">
        <f aca="false">IF(G2158&lt;1000,"1-Low",IF(G2158&lt;5000,"2-Medium","3-Bulk"))</f>
        <v>2-Medium</v>
      </c>
      <c r="L2158" s="0" t="str">
        <f aca="false">IF(H2158="TRUE","Out of stock","In stock")</f>
        <v>In stock</v>
      </c>
      <c r="M2158" s="0" t="str">
        <f aca="false">IF(D2158&lt;5,"1) Under 5%",IF(D2158&lt;10,"2) 5-9%",IF(D2158&lt;15,"3) 10-14%",IF(D2158&lt;25,"4) 15-24%","5) 25%+"))))</f>
        <v>4) 15-24%</v>
      </c>
      <c r="N2158" s="0" t="str">
        <f aca="false">IF(F2158&lt;50,"1) Under Rs 50",IF(F2158&lt;100,"2) Rs 50-99",IF(F2158&lt;200,"3) Rs 100-199",IF(F2158&lt;500,"4) Rs 200-499","5) Rs 500+"))))</f>
        <v>2) Rs 50-99</v>
      </c>
      <c r="O2158" s="0" t="n">
        <f aca="false">G2158*E2158/1000</f>
        <v>6</v>
      </c>
    </row>
    <row r="2159" customFormat="false" ht="15" hidden="false" customHeight="false" outlineLevel="0" collapsed="false">
      <c r="A2159" s="0" t="s">
        <v>90</v>
      </c>
      <c r="B2159" s="0" t="s">
        <v>809</v>
      </c>
      <c r="C2159" s="0" t="n">
        <v>80</v>
      </c>
      <c r="D2159" s="0" t="n">
        <v>10</v>
      </c>
      <c r="E2159" s="0" t="n">
        <v>4</v>
      </c>
      <c r="F2159" s="0" t="n">
        <v>72</v>
      </c>
      <c r="G2159" s="0" t="n">
        <v>400</v>
      </c>
      <c r="H2159" s="0" t="s">
        <v>145</v>
      </c>
      <c r="I2159" s="0" t="n">
        <v>400</v>
      </c>
      <c r="J2159" s="0" t="n">
        <f aca="false">F2159*E2159</f>
        <v>288</v>
      </c>
      <c r="K2159" s="0" t="str">
        <f aca="false">IF(G2159&lt;1000,"1-Low",IF(G2159&lt;5000,"2-Medium","3-Bulk"))</f>
        <v>1-Low</v>
      </c>
      <c r="L2159" s="0" t="str">
        <f aca="false">IF(H2159="TRUE","Out of stock","In stock")</f>
        <v>In stock</v>
      </c>
      <c r="M2159" s="0" t="str">
        <f aca="false">IF(D2159&lt;5,"1) Under 5%",IF(D2159&lt;10,"2) 5-9%",IF(D2159&lt;15,"3) 10-14%",IF(D2159&lt;25,"4) 15-24%","5) 25%+"))))</f>
        <v>3) 10-14%</v>
      </c>
      <c r="N2159" s="0" t="str">
        <f aca="false">IF(F2159&lt;50,"1) Under Rs 50",IF(F2159&lt;100,"2) Rs 50-99",IF(F2159&lt;200,"3) Rs 100-199",IF(F2159&lt;500,"4) Rs 200-499","5) Rs 500+"))))</f>
        <v>2) Rs 50-99</v>
      </c>
      <c r="O2159" s="0" t="n">
        <f aca="false">G2159*E2159/1000</f>
        <v>1.6</v>
      </c>
    </row>
    <row r="2160" customFormat="false" ht="15" hidden="false" customHeight="false" outlineLevel="0" collapsed="false">
      <c r="A2160" s="0" t="s">
        <v>90</v>
      </c>
      <c r="B2160" s="0" t="s">
        <v>810</v>
      </c>
      <c r="C2160" s="0" t="n">
        <v>80</v>
      </c>
      <c r="D2160" s="0" t="n">
        <v>12</v>
      </c>
      <c r="E2160" s="0" t="n">
        <v>6</v>
      </c>
      <c r="F2160" s="0" t="n">
        <v>70</v>
      </c>
      <c r="G2160" s="0" t="n">
        <v>400</v>
      </c>
      <c r="H2160" s="0" t="s">
        <v>145</v>
      </c>
      <c r="I2160" s="0" t="n">
        <v>400</v>
      </c>
      <c r="J2160" s="0" t="n">
        <f aca="false">F2160*E2160</f>
        <v>420</v>
      </c>
      <c r="K2160" s="0" t="str">
        <f aca="false">IF(G2160&lt;1000,"1-Low",IF(G2160&lt;5000,"2-Medium","3-Bulk"))</f>
        <v>1-Low</v>
      </c>
      <c r="L2160" s="0" t="str">
        <f aca="false">IF(H2160="TRUE","Out of stock","In stock")</f>
        <v>In stock</v>
      </c>
      <c r="M2160" s="0" t="str">
        <f aca="false">IF(D2160&lt;5,"1) Under 5%",IF(D2160&lt;10,"2) 5-9%",IF(D2160&lt;15,"3) 10-14%",IF(D2160&lt;25,"4) 15-24%","5) 25%+"))))</f>
        <v>3) 10-14%</v>
      </c>
      <c r="N2160" s="0" t="str">
        <f aca="false">IF(F2160&lt;50,"1) Under Rs 50",IF(F2160&lt;100,"2) Rs 50-99",IF(F2160&lt;200,"3) Rs 100-199",IF(F2160&lt;500,"4) Rs 200-499","5) Rs 500+"))))</f>
        <v>2) Rs 50-99</v>
      </c>
      <c r="O2160" s="0" t="n">
        <f aca="false">G2160*E2160/1000</f>
        <v>2.4</v>
      </c>
    </row>
    <row r="2161" customFormat="false" ht="15" hidden="false" customHeight="false" outlineLevel="0" collapsed="false">
      <c r="A2161" s="0" t="s">
        <v>90</v>
      </c>
      <c r="B2161" s="0" t="s">
        <v>811</v>
      </c>
      <c r="C2161" s="0" t="n">
        <v>110</v>
      </c>
      <c r="D2161" s="0" t="n">
        <v>4</v>
      </c>
      <c r="E2161" s="0" t="n">
        <v>6</v>
      </c>
      <c r="F2161" s="0" t="n">
        <v>105</v>
      </c>
      <c r="G2161" s="0" t="n">
        <v>400</v>
      </c>
      <c r="H2161" s="0" t="s">
        <v>145</v>
      </c>
      <c r="I2161" s="0" t="n">
        <v>400</v>
      </c>
      <c r="J2161" s="0" t="n">
        <f aca="false">F2161*E2161</f>
        <v>630</v>
      </c>
      <c r="K2161" s="0" t="str">
        <f aca="false">IF(G2161&lt;1000,"1-Low",IF(G2161&lt;5000,"2-Medium","3-Bulk"))</f>
        <v>1-Low</v>
      </c>
      <c r="L2161" s="0" t="str">
        <f aca="false">IF(H2161="TRUE","Out of stock","In stock")</f>
        <v>In stock</v>
      </c>
      <c r="M2161" s="0" t="str">
        <f aca="false">IF(D2161&lt;5,"1) Under 5%",IF(D2161&lt;10,"2) 5-9%",IF(D2161&lt;15,"3) 10-14%",IF(D2161&lt;25,"4) 15-24%","5) 25%+"))))</f>
        <v>1) Under 5%</v>
      </c>
      <c r="N2161" s="0" t="str">
        <f aca="false">IF(F2161&lt;50,"1) Under Rs 50",IF(F2161&lt;100,"2) Rs 50-99",IF(F2161&lt;200,"3) Rs 100-199",IF(F2161&lt;500,"4) Rs 200-499","5) Rs 500+"))))</f>
        <v>3) Rs 100-199</v>
      </c>
      <c r="O2161" s="0" t="n">
        <f aca="false">G2161*E2161/1000</f>
        <v>2.4</v>
      </c>
    </row>
    <row r="2162" customFormat="false" ht="15" hidden="false" customHeight="false" outlineLevel="0" collapsed="false">
      <c r="A2162" s="0" t="s">
        <v>90</v>
      </c>
      <c r="B2162" s="0" t="s">
        <v>812</v>
      </c>
      <c r="C2162" s="0" t="n">
        <v>120</v>
      </c>
      <c r="D2162" s="0" t="n">
        <v>5</v>
      </c>
      <c r="E2162" s="0" t="n">
        <v>6</v>
      </c>
      <c r="F2162" s="0" t="n">
        <v>114</v>
      </c>
      <c r="G2162" s="0" t="n">
        <v>415</v>
      </c>
      <c r="H2162" s="0" t="s">
        <v>145</v>
      </c>
      <c r="I2162" s="0" t="n">
        <v>415</v>
      </c>
      <c r="J2162" s="0" t="n">
        <f aca="false">F2162*E2162</f>
        <v>684</v>
      </c>
      <c r="K2162" s="0" t="str">
        <f aca="false">IF(G2162&lt;1000,"1-Low",IF(G2162&lt;5000,"2-Medium","3-Bulk"))</f>
        <v>1-Low</v>
      </c>
      <c r="L2162" s="0" t="str">
        <f aca="false">IF(H2162="TRUE","Out of stock","In stock")</f>
        <v>In stock</v>
      </c>
      <c r="M2162" s="0" t="str">
        <f aca="false">IF(D2162&lt;5,"1) Under 5%",IF(D2162&lt;10,"2) 5-9%",IF(D2162&lt;15,"3) 10-14%",IF(D2162&lt;25,"4) 15-24%","5) 25%+"))))</f>
        <v>2) 5-9%</v>
      </c>
      <c r="N2162" s="0" t="str">
        <f aca="false">IF(F2162&lt;50,"1) Under Rs 50",IF(F2162&lt;100,"2) Rs 50-99",IF(F2162&lt;200,"3) Rs 100-199",IF(F2162&lt;500,"4) Rs 200-499","5) Rs 500+"))))</f>
        <v>3) Rs 100-199</v>
      </c>
      <c r="O2162" s="0" t="n">
        <f aca="false">G2162*E2162/1000</f>
        <v>2.49</v>
      </c>
    </row>
    <row r="2163" customFormat="false" ht="15" hidden="false" customHeight="false" outlineLevel="0" collapsed="false">
      <c r="A2163" s="0" t="s">
        <v>90</v>
      </c>
      <c r="B2163" s="0" t="s">
        <v>813</v>
      </c>
      <c r="C2163" s="0" t="n">
        <v>115</v>
      </c>
      <c r="D2163" s="0" t="n">
        <v>3</v>
      </c>
      <c r="E2163" s="0" t="n">
        <v>6</v>
      </c>
      <c r="F2163" s="0" t="n">
        <v>111</v>
      </c>
      <c r="G2163" s="0" t="n">
        <v>360</v>
      </c>
      <c r="H2163" s="0" t="s">
        <v>145</v>
      </c>
      <c r="I2163" s="0" t="n">
        <v>360</v>
      </c>
      <c r="J2163" s="0" t="n">
        <f aca="false">F2163*E2163</f>
        <v>666</v>
      </c>
      <c r="K2163" s="0" t="str">
        <f aca="false">IF(G2163&lt;1000,"1-Low",IF(G2163&lt;5000,"2-Medium","3-Bulk"))</f>
        <v>1-Low</v>
      </c>
      <c r="L2163" s="0" t="str">
        <f aca="false">IF(H2163="TRUE","Out of stock","In stock")</f>
        <v>In stock</v>
      </c>
      <c r="M2163" s="0" t="str">
        <f aca="false">IF(D2163&lt;5,"1) Under 5%",IF(D2163&lt;10,"2) 5-9%",IF(D2163&lt;15,"3) 10-14%",IF(D2163&lt;25,"4) 15-24%","5) 25%+"))))</f>
        <v>1) Under 5%</v>
      </c>
      <c r="N2163" s="0" t="str">
        <f aca="false">IF(F2163&lt;50,"1) Under Rs 50",IF(F2163&lt;100,"2) Rs 50-99",IF(F2163&lt;200,"3) Rs 100-199",IF(F2163&lt;500,"4) Rs 200-499","5) Rs 500+"))))</f>
        <v>3) Rs 100-199</v>
      </c>
      <c r="O2163" s="0" t="n">
        <f aca="false">G2163*E2163/1000</f>
        <v>2.16</v>
      </c>
    </row>
    <row r="2164" customFormat="false" ht="15" hidden="false" customHeight="false" outlineLevel="0" collapsed="false">
      <c r="A2164" s="0" t="s">
        <v>90</v>
      </c>
      <c r="B2164" s="0" t="s">
        <v>814</v>
      </c>
      <c r="C2164" s="0" t="n">
        <v>117</v>
      </c>
      <c r="D2164" s="0" t="n">
        <v>5</v>
      </c>
      <c r="E2164" s="0" t="n">
        <v>6</v>
      </c>
      <c r="F2164" s="0" t="n">
        <v>111</v>
      </c>
      <c r="G2164" s="0" t="n">
        <v>400</v>
      </c>
      <c r="H2164" s="0" t="s">
        <v>145</v>
      </c>
      <c r="I2164" s="0" t="n">
        <v>400</v>
      </c>
      <c r="J2164" s="0" t="n">
        <f aca="false">F2164*E2164</f>
        <v>666</v>
      </c>
      <c r="K2164" s="0" t="str">
        <f aca="false">IF(G2164&lt;1000,"1-Low",IF(G2164&lt;5000,"2-Medium","3-Bulk"))</f>
        <v>1-Low</v>
      </c>
      <c r="L2164" s="0" t="str">
        <f aca="false">IF(H2164="TRUE","Out of stock","In stock")</f>
        <v>In stock</v>
      </c>
      <c r="M2164" s="0" t="str">
        <f aca="false">IF(D2164&lt;5,"1) Under 5%",IF(D2164&lt;10,"2) 5-9%",IF(D2164&lt;15,"3) 10-14%",IF(D2164&lt;25,"4) 15-24%","5) 25%+"))))</f>
        <v>2) 5-9%</v>
      </c>
      <c r="N2164" s="0" t="str">
        <f aca="false">IF(F2164&lt;50,"1) Under Rs 50",IF(F2164&lt;100,"2) Rs 50-99",IF(F2164&lt;200,"3) Rs 100-199",IF(F2164&lt;500,"4) Rs 200-499","5) Rs 500+"))))</f>
        <v>3) Rs 100-199</v>
      </c>
      <c r="O2164" s="0" t="n">
        <f aca="false">G2164*E2164/1000</f>
        <v>2.4</v>
      </c>
    </row>
    <row r="2165" customFormat="false" ht="15" hidden="false" customHeight="false" outlineLevel="0" collapsed="false">
      <c r="A2165" s="0" t="s">
        <v>90</v>
      </c>
      <c r="B2165" s="0" t="s">
        <v>728</v>
      </c>
      <c r="C2165" s="0" t="n">
        <v>18</v>
      </c>
      <c r="D2165" s="0" t="n">
        <v>5</v>
      </c>
      <c r="E2165" s="0" t="n">
        <v>6</v>
      </c>
      <c r="F2165" s="0" t="n">
        <v>17</v>
      </c>
      <c r="G2165" s="0" t="n">
        <v>100</v>
      </c>
      <c r="H2165" s="0" t="s">
        <v>145</v>
      </c>
      <c r="I2165" s="0" t="n">
        <v>100</v>
      </c>
      <c r="J2165" s="0" t="n">
        <f aca="false">F2165*E2165</f>
        <v>102</v>
      </c>
      <c r="K2165" s="0" t="str">
        <f aca="false">IF(G2165&lt;1000,"1-Low",IF(G2165&lt;5000,"2-Medium","3-Bulk"))</f>
        <v>1-Low</v>
      </c>
      <c r="L2165" s="0" t="str">
        <f aca="false">IF(H2165="TRUE","Out of stock","In stock")</f>
        <v>In stock</v>
      </c>
      <c r="M2165" s="0" t="str">
        <f aca="false">IF(D2165&lt;5,"1) Under 5%",IF(D2165&lt;10,"2) 5-9%",IF(D2165&lt;15,"3) 10-14%",IF(D2165&lt;25,"4) 15-24%","5) 25%+"))))</f>
        <v>2) 5-9%</v>
      </c>
      <c r="N2165" s="0" t="str">
        <f aca="false">IF(F2165&lt;50,"1) Under Rs 50",IF(F2165&lt;100,"2) Rs 50-99",IF(F2165&lt;200,"3) Rs 100-199",IF(F2165&lt;500,"4) Rs 200-499","5) Rs 500+"))))</f>
        <v>1) Under Rs 50</v>
      </c>
      <c r="O2165" s="0" t="n">
        <f aca="false">G2165*E2165/1000</f>
        <v>0.6</v>
      </c>
    </row>
    <row r="2166" customFormat="false" ht="15" hidden="false" customHeight="false" outlineLevel="0" collapsed="false">
      <c r="A2166" s="0" t="s">
        <v>90</v>
      </c>
      <c r="B2166" s="0" t="s">
        <v>815</v>
      </c>
      <c r="C2166" s="0" t="n">
        <v>35</v>
      </c>
      <c r="D2166" s="0" t="n">
        <v>2</v>
      </c>
      <c r="E2166" s="0" t="n">
        <v>2</v>
      </c>
      <c r="F2166" s="0" t="n">
        <v>34</v>
      </c>
      <c r="G2166" s="0" t="n">
        <v>85</v>
      </c>
      <c r="H2166" s="0" t="s">
        <v>145</v>
      </c>
      <c r="I2166" s="0" t="n">
        <v>85</v>
      </c>
      <c r="J2166" s="0" t="n">
        <f aca="false">F2166*E2166</f>
        <v>68</v>
      </c>
      <c r="K2166" s="0" t="str">
        <f aca="false">IF(G2166&lt;1000,"1-Low",IF(G2166&lt;5000,"2-Medium","3-Bulk"))</f>
        <v>1-Low</v>
      </c>
      <c r="L2166" s="0" t="str">
        <f aca="false">IF(H2166="TRUE","Out of stock","In stock")</f>
        <v>In stock</v>
      </c>
      <c r="M2166" s="0" t="str">
        <f aca="false">IF(D2166&lt;5,"1) Under 5%",IF(D2166&lt;10,"2) 5-9%",IF(D2166&lt;15,"3) 10-14%",IF(D2166&lt;25,"4) 15-24%","5) 25%+"))))</f>
        <v>1) Under 5%</v>
      </c>
      <c r="N2166" s="0" t="str">
        <f aca="false">IF(F2166&lt;50,"1) Under Rs 50",IF(F2166&lt;100,"2) Rs 50-99",IF(F2166&lt;200,"3) Rs 100-199",IF(F2166&lt;500,"4) Rs 200-499","5) Rs 500+"))))</f>
        <v>1) Under Rs 50</v>
      </c>
      <c r="O2166" s="0" t="n">
        <f aca="false">G2166*E2166/1000</f>
        <v>0.17</v>
      </c>
    </row>
    <row r="2167" customFormat="false" ht="15" hidden="false" customHeight="false" outlineLevel="0" collapsed="false">
      <c r="A2167" s="0" t="s">
        <v>90</v>
      </c>
      <c r="B2167" s="0" t="s">
        <v>816</v>
      </c>
      <c r="C2167" s="0" t="n">
        <v>125</v>
      </c>
      <c r="D2167" s="0" t="n">
        <v>5</v>
      </c>
      <c r="E2167" s="0" t="n">
        <v>1</v>
      </c>
      <c r="F2167" s="0" t="n">
        <v>118</v>
      </c>
      <c r="G2167" s="0" t="n">
        <v>420</v>
      </c>
      <c r="H2167" s="0" t="s">
        <v>145</v>
      </c>
      <c r="I2167" s="0" t="n">
        <v>420</v>
      </c>
      <c r="J2167" s="0" t="n">
        <f aca="false">F2167*E2167</f>
        <v>118</v>
      </c>
      <c r="K2167" s="0" t="str">
        <f aca="false">IF(G2167&lt;1000,"1-Low",IF(G2167&lt;5000,"2-Medium","3-Bulk"))</f>
        <v>1-Low</v>
      </c>
      <c r="L2167" s="0" t="str">
        <f aca="false">IF(H2167="TRUE","Out of stock","In stock")</f>
        <v>In stock</v>
      </c>
      <c r="M2167" s="0" t="str">
        <f aca="false">IF(D2167&lt;5,"1) Under 5%",IF(D2167&lt;10,"2) 5-9%",IF(D2167&lt;15,"3) 10-14%",IF(D2167&lt;25,"4) 15-24%","5) 25%+"))))</f>
        <v>2) 5-9%</v>
      </c>
      <c r="N2167" s="0" t="str">
        <f aca="false">IF(F2167&lt;50,"1) Under Rs 50",IF(F2167&lt;100,"2) Rs 50-99",IF(F2167&lt;200,"3) Rs 100-199",IF(F2167&lt;500,"4) Rs 200-499","5) Rs 500+"))))</f>
        <v>3) Rs 100-199</v>
      </c>
      <c r="O2167" s="0" t="n">
        <f aca="false">G2167*E2167/1000</f>
        <v>0.42</v>
      </c>
    </row>
    <row r="2168" customFormat="false" ht="15" hidden="false" customHeight="false" outlineLevel="0" collapsed="false">
      <c r="A2168" s="0" t="s">
        <v>90</v>
      </c>
      <c r="B2168" s="0" t="s">
        <v>259</v>
      </c>
      <c r="C2168" s="0" t="n">
        <v>15</v>
      </c>
      <c r="D2168" s="0" t="n">
        <v>0</v>
      </c>
      <c r="E2168" s="0" t="n">
        <v>3</v>
      </c>
      <c r="F2168" s="0" t="n">
        <v>15</v>
      </c>
      <c r="G2168" s="0" t="n">
        <v>60</v>
      </c>
      <c r="H2168" s="0" t="s">
        <v>145</v>
      </c>
      <c r="I2168" s="0" t="n">
        <v>60</v>
      </c>
      <c r="J2168" s="0" t="n">
        <f aca="false">F2168*E2168</f>
        <v>45</v>
      </c>
      <c r="K2168" s="0" t="str">
        <f aca="false">IF(G2168&lt;1000,"1-Low",IF(G2168&lt;5000,"2-Medium","3-Bulk"))</f>
        <v>1-Low</v>
      </c>
      <c r="L2168" s="0" t="str">
        <f aca="false">IF(H2168="TRUE","Out of stock","In stock")</f>
        <v>In stock</v>
      </c>
      <c r="M2168" s="0" t="str">
        <f aca="false">IF(D2168&lt;5,"1) Under 5%",IF(D2168&lt;10,"2) 5-9%",IF(D2168&lt;15,"3) 10-14%",IF(D2168&lt;25,"4) 15-24%","5) 25%+"))))</f>
        <v>1) Under 5%</v>
      </c>
      <c r="N2168" s="0" t="str">
        <f aca="false">IF(F2168&lt;50,"1) Under Rs 50",IF(F2168&lt;100,"2) Rs 50-99",IF(F2168&lt;200,"3) Rs 100-199",IF(F2168&lt;500,"4) Rs 200-499","5) Rs 500+"))))</f>
        <v>1) Under Rs 50</v>
      </c>
      <c r="O2168" s="0" t="n">
        <f aca="false">G2168*E2168/1000</f>
        <v>0.18</v>
      </c>
    </row>
    <row r="2169" customFormat="false" ht="15" hidden="false" customHeight="false" outlineLevel="0" collapsed="false">
      <c r="A2169" s="0" t="s">
        <v>90</v>
      </c>
      <c r="B2169" s="0" t="s">
        <v>817</v>
      </c>
      <c r="C2169" s="0" t="n">
        <v>79</v>
      </c>
      <c r="D2169" s="0" t="n">
        <v>11</v>
      </c>
      <c r="E2169" s="0" t="n">
        <v>5</v>
      </c>
      <c r="F2169" s="0" t="n">
        <v>70</v>
      </c>
      <c r="G2169" s="0" t="n">
        <v>250</v>
      </c>
      <c r="H2169" s="0" t="s">
        <v>145</v>
      </c>
      <c r="I2169" s="0" t="n">
        <v>250</v>
      </c>
      <c r="J2169" s="0" t="n">
        <f aca="false">F2169*E2169</f>
        <v>350</v>
      </c>
      <c r="K2169" s="0" t="str">
        <f aca="false">IF(G2169&lt;1000,"1-Low",IF(G2169&lt;5000,"2-Medium","3-Bulk"))</f>
        <v>1-Low</v>
      </c>
      <c r="L2169" s="0" t="str">
        <f aca="false">IF(H2169="TRUE","Out of stock","In stock")</f>
        <v>In stock</v>
      </c>
      <c r="M2169" s="0" t="str">
        <f aca="false">IF(D2169&lt;5,"1) Under 5%",IF(D2169&lt;10,"2) 5-9%",IF(D2169&lt;15,"3) 10-14%",IF(D2169&lt;25,"4) 15-24%","5) 25%+"))))</f>
        <v>3) 10-14%</v>
      </c>
      <c r="N2169" s="0" t="str">
        <f aca="false">IF(F2169&lt;50,"1) Under Rs 50",IF(F2169&lt;100,"2) Rs 50-99",IF(F2169&lt;200,"3) Rs 100-199",IF(F2169&lt;500,"4) Rs 200-499","5) Rs 500+"))))</f>
        <v>2) Rs 50-99</v>
      </c>
      <c r="O2169" s="0" t="n">
        <f aca="false">G2169*E2169/1000</f>
        <v>1.25</v>
      </c>
    </row>
    <row r="2170" customFormat="false" ht="15" hidden="false" customHeight="false" outlineLevel="0" collapsed="false">
      <c r="A2170" s="0" t="s">
        <v>90</v>
      </c>
      <c r="B2170" s="0" t="s">
        <v>261</v>
      </c>
      <c r="C2170" s="0" t="n">
        <v>15</v>
      </c>
      <c r="D2170" s="0" t="n">
        <v>0</v>
      </c>
      <c r="E2170" s="0" t="n">
        <v>6</v>
      </c>
      <c r="F2170" s="0" t="n">
        <v>15</v>
      </c>
      <c r="G2170" s="0" t="n">
        <v>60</v>
      </c>
      <c r="H2170" s="0" t="s">
        <v>145</v>
      </c>
      <c r="I2170" s="0" t="n">
        <v>60</v>
      </c>
      <c r="J2170" s="0" t="n">
        <f aca="false">F2170*E2170</f>
        <v>90</v>
      </c>
      <c r="K2170" s="0" t="str">
        <f aca="false">IF(G2170&lt;1000,"1-Low",IF(G2170&lt;5000,"2-Medium","3-Bulk"))</f>
        <v>1-Low</v>
      </c>
      <c r="L2170" s="0" t="str">
        <f aca="false">IF(H2170="TRUE","Out of stock","In stock")</f>
        <v>In stock</v>
      </c>
      <c r="M2170" s="0" t="str">
        <f aca="false">IF(D2170&lt;5,"1) Under 5%",IF(D2170&lt;10,"2) 5-9%",IF(D2170&lt;15,"3) 10-14%",IF(D2170&lt;25,"4) 15-24%","5) 25%+"))))</f>
        <v>1) Under 5%</v>
      </c>
      <c r="N2170" s="0" t="str">
        <f aca="false">IF(F2170&lt;50,"1) Under Rs 50",IF(F2170&lt;100,"2) Rs 50-99",IF(F2170&lt;200,"3) Rs 100-199",IF(F2170&lt;500,"4) Rs 200-499","5) Rs 500+"))))</f>
        <v>1) Under Rs 50</v>
      </c>
      <c r="O2170" s="0" t="n">
        <f aca="false">G2170*E2170/1000</f>
        <v>0.36</v>
      </c>
    </row>
    <row r="2171" customFormat="false" ht="15" hidden="false" customHeight="false" outlineLevel="0" collapsed="false">
      <c r="A2171" s="0" t="s">
        <v>90</v>
      </c>
      <c r="B2171" s="0" t="s">
        <v>818</v>
      </c>
      <c r="C2171" s="0" t="n">
        <v>75</v>
      </c>
      <c r="D2171" s="0" t="n">
        <v>13</v>
      </c>
      <c r="E2171" s="0" t="n">
        <v>5</v>
      </c>
      <c r="F2171" s="0" t="n">
        <v>65</v>
      </c>
      <c r="G2171" s="0" t="n">
        <v>280</v>
      </c>
      <c r="H2171" s="0" t="s">
        <v>145</v>
      </c>
      <c r="I2171" s="0" t="n">
        <v>280</v>
      </c>
      <c r="J2171" s="0" t="n">
        <f aca="false">F2171*E2171</f>
        <v>325</v>
      </c>
      <c r="K2171" s="0" t="str">
        <f aca="false">IF(G2171&lt;1000,"1-Low",IF(G2171&lt;5000,"2-Medium","3-Bulk"))</f>
        <v>1-Low</v>
      </c>
      <c r="L2171" s="0" t="str">
        <f aca="false">IF(H2171="TRUE","Out of stock","In stock")</f>
        <v>In stock</v>
      </c>
      <c r="M2171" s="0" t="str">
        <f aca="false">IF(D2171&lt;5,"1) Under 5%",IF(D2171&lt;10,"2) 5-9%",IF(D2171&lt;15,"3) 10-14%",IF(D2171&lt;25,"4) 15-24%","5) 25%+"))))</f>
        <v>3) 10-14%</v>
      </c>
      <c r="N2171" s="0" t="str">
        <f aca="false">IF(F2171&lt;50,"1) Under Rs 50",IF(F2171&lt;100,"2) Rs 50-99",IF(F2171&lt;200,"3) Rs 100-199",IF(F2171&lt;500,"4) Rs 200-499","5) Rs 500+"))))</f>
        <v>2) Rs 50-99</v>
      </c>
      <c r="O2171" s="0" t="n">
        <f aca="false">G2171*E2171/1000</f>
        <v>1.4</v>
      </c>
    </row>
    <row r="2172" customFormat="false" ht="15" hidden="false" customHeight="false" outlineLevel="0" collapsed="false">
      <c r="A2172" s="0" t="s">
        <v>90</v>
      </c>
      <c r="B2172" s="0" t="s">
        <v>267</v>
      </c>
      <c r="C2172" s="0" t="n">
        <v>20</v>
      </c>
      <c r="D2172" s="0" t="n">
        <v>0</v>
      </c>
      <c r="E2172" s="0" t="n">
        <v>1</v>
      </c>
      <c r="F2172" s="0" t="n">
        <v>20</v>
      </c>
      <c r="G2172" s="0" t="n">
        <v>70</v>
      </c>
      <c r="H2172" s="0" t="s">
        <v>145</v>
      </c>
      <c r="I2172" s="0" t="n">
        <v>70</v>
      </c>
      <c r="J2172" s="0" t="n">
        <f aca="false">F2172*E2172</f>
        <v>20</v>
      </c>
      <c r="K2172" s="0" t="str">
        <f aca="false">IF(G2172&lt;1000,"1-Low",IF(G2172&lt;5000,"2-Medium","3-Bulk"))</f>
        <v>1-Low</v>
      </c>
      <c r="L2172" s="0" t="str">
        <f aca="false">IF(H2172="TRUE","Out of stock","In stock")</f>
        <v>In stock</v>
      </c>
      <c r="M2172" s="0" t="str">
        <f aca="false">IF(D2172&lt;5,"1) Under 5%",IF(D2172&lt;10,"2) 5-9%",IF(D2172&lt;15,"3) 10-14%",IF(D2172&lt;25,"4) 15-24%","5) 25%+"))))</f>
        <v>1) Under 5%</v>
      </c>
      <c r="N2172" s="0" t="str">
        <f aca="false">IF(F2172&lt;50,"1) Under Rs 50",IF(F2172&lt;100,"2) Rs 50-99",IF(F2172&lt;200,"3) Rs 100-199",IF(F2172&lt;500,"4) Rs 200-499","5) Rs 500+"))))</f>
        <v>1) Under Rs 50</v>
      </c>
      <c r="O2172" s="0" t="n">
        <f aca="false">G2172*E2172/1000</f>
        <v>0.07</v>
      </c>
    </row>
    <row r="2173" customFormat="false" ht="15" hidden="false" customHeight="false" outlineLevel="0" collapsed="false">
      <c r="A2173" s="0" t="s">
        <v>90</v>
      </c>
      <c r="B2173" s="0" t="s">
        <v>270</v>
      </c>
      <c r="C2173" s="0" t="n">
        <v>15</v>
      </c>
      <c r="D2173" s="0" t="n">
        <v>0</v>
      </c>
      <c r="E2173" s="0" t="n">
        <v>6</v>
      </c>
      <c r="F2173" s="0" t="n">
        <v>15</v>
      </c>
      <c r="G2173" s="0" t="n">
        <v>38</v>
      </c>
      <c r="H2173" s="0" t="s">
        <v>145</v>
      </c>
      <c r="I2173" s="0" t="n">
        <v>38</v>
      </c>
      <c r="J2173" s="0" t="n">
        <f aca="false">F2173*E2173</f>
        <v>90</v>
      </c>
      <c r="K2173" s="0" t="str">
        <f aca="false">IF(G2173&lt;1000,"1-Low",IF(G2173&lt;5000,"2-Medium","3-Bulk"))</f>
        <v>1-Low</v>
      </c>
      <c r="L2173" s="0" t="str">
        <f aca="false">IF(H2173="TRUE","Out of stock","In stock")</f>
        <v>In stock</v>
      </c>
      <c r="M2173" s="0" t="str">
        <f aca="false">IF(D2173&lt;5,"1) Under 5%",IF(D2173&lt;10,"2) 5-9%",IF(D2173&lt;15,"3) 10-14%",IF(D2173&lt;25,"4) 15-24%","5) 25%+"))))</f>
        <v>1) Under 5%</v>
      </c>
      <c r="N2173" s="0" t="str">
        <f aca="false">IF(F2173&lt;50,"1) Under Rs 50",IF(F2173&lt;100,"2) Rs 50-99",IF(F2173&lt;200,"3) Rs 100-199",IF(F2173&lt;500,"4) Rs 200-499","5) Rs 500+"))))</f>
        <v>1) Under Rs 50</v>
      </c>
      <c r="O2173" s="0" t="n">
        <f aca="false">G2173*E2173/1000</f>
        <v>0.228</v>
      </c>
    </row>
    <row r="2174" customFormat="false" ht="15" hidden="false" customHeight="false" outlineLevel="0" collapsed="false">
      <c r="A2174" s="0" t="s">
        <v>90</v>
      </c>
      <c r="B2174" s="0" t="s">
        <v>819</v>
      </c>
      <c r="C2174" s="0" t="n">
        <v>40</v>
      </c>
      <c r="D2174" s="0" t="n">
        <v>17</v>
      </c>
      <c r="E2174" s="0" t="n">
        <v>4</v>
      </c>
      <c r="F2174" s="0" t="n">
        <v>33</v>
      </c>
      <c r="G2174" s="0" t="n">
        <v>30</v>
      </c>
      <c r="H2174" s="0" t="s">
        <v>145</v>
      </c>
      <c r="I2174" s="0" t="n">
        <v>30</v>
      </c>
      <c r="J2174" s="0" t="n">
        <f aca="false">F2174*E2174</f>
        <v>132</v>
      </c>
      <c r="K2174" s="0" t="str">
        <f aca="false">IF(G2174&lt;1000,"1-Low",IF(G2174&lt;5000,"2-Medium","3-Bulk"))</f>
        <v>1-Low</v>
      </c>
      <c r="L2174" s="0" t="str">
        <f aca="false">IF(H2174="TRUE","Out of stock","In stock")</f>
        <v>In stock</v>
      </c>
      <c r="M2174" s="0" t="str">
        <f aca="false">IF(D2174&lt;5,"1) Under 5%",IF(D2174&lt;10,"2) 5-9%",IF(D2174&lt;15,"3) 10-14%",IF(D2174&lt;25,"4) 15-24%","5) 25%+"))))</f>
        <v>4) 15-24%</v>
      </c>
      <c r="N2174" s="0" t="str">
        <f aca="false">IF(F2174&lt;50,"1) Under Rs 50",IF(F2174&lt;100,"2) Rs 50-99",IF(F2174&lt;200,"3) Rs 100-199",IF(F2174&lt;500,"4) Rs 200-499","5) Rs 500+"))))</f>
        <v>1) Under Rs 50</v>
      </c>
      <c r="O2174" s="0" t="n">
        <f aca="false">G2174*E2174/1000</f>
        <v>0.12</v>
      </c>
    </row>
    <row r="2175" customFormat="false" ht="15" hidden="false" customHeight="false" outlineLevel="0" collapsed="false">
      <c r="A2175" s="0" t="s">
        <v>90</v>
      </c>
      <c r="B2175" s="0" t="s">
        <v>272</v>
      </c>
      <c r="C2175" s="0" t="n">
        <v>79</v>
      </c>
      <c r="D2175" s="0" t="n">
        <v>0</v>
      </c>
      <c r="E2175" s="0" t="n">
        <v>2</v>
      </c>
      <c r="F2175" s="0" t="n">
        <v>79</v>
      </c>
      <c r="G2175" s="0" t="n">
        <v>400</v>
      </c>
      <c r="H2175" s="0" t="s">
        <v>145</v>
      </c>
      <c r="I2175" s="0" t="n">
        <v>400</v>
      </c>
      <c r="J2175" s="0" t="n">
        <f aca="false">F2175*E2175</f>
        <v>158</v>
      </c>
      <c r="K2175" s="0" t="str">
        <f aca="false">IF(G2175&lt;1000,"1-Low",IF(G2175&lt;5000,"2-Medium","3-Bulk"))</f>
        <v>1-Low</v>
      </c>
      <c r="L2175" s="0" t="str">
        <f aca="false">IF(H2175="TRUE","Out of stock","In stock")</f>
        <v>In stock</v>
      </c>
      <c r="M2175" s="0" t="str">
        <f aca="false">IF(D2175&lt;5,"1) Under 5%",IF(D2175&lt;10,"2) 5-9%",IF(D2175&lt;15,"3) 10-14%",IF(D2175&lt;25,"4) 15-24%","5) 25%+"))))</f>
        <v>1) Under 5%</v>
      </c>
      <c r="N2175" s="0" t="str">
        <f aca="false">IF(F2175&lt;50,"1) Under Rs 50",IF(F2175&lt;100,"2) Rs 50-99",IF(F2175&lt;200,"3) Rs 100-199",IF(F2175&lt;500,"4) Rs 200-499","5) Rs 500+"))))</f>
        <v>2) Rs 50-99</v>
      </c>
      <c r="O2175" s="0" t="n">
        <f aca="false">G2175*E2175/1000</f>
        <v>0.8</v>
      </c>
    </row>
    <row r="2176" customFormat="false" ht="15" hidden="false" customHeight="false" outlineLevel="0" collapsed="false">
      <c r="A2176" s="0" t="s">
        <v>90</v>
      </c>
      <c r="B2176" s="0" t="s">
        <v>728</v>
      </c>
      <c r="C2176" s="0" t="n">
        <v>88</v>
      </c>
      <c r="D2176" s="0" t="n">
        <v>2</v>
      </c>
      <c r="E2176" s="0" t="n">
        <v>2</v>
      </c>
      <c r="F2176" s="0" t="n">
        <v>86</v>
      </c>
      <c r="G2176" s="0" t="n">
        <v>500</v>
      </c>
      <c r="H2176" s="0" t="s">
        <v>145</v>
      </c>
      <c r="I2176" s="0" t="n">
        <v>500</v>
      </c>
      <c r="J2176" s="0" t="n">
        <f aca="false">F2176*E2176</f>
        <v>172</v>
      </c>
      <c r="K2176" s="0" t="str">
        <f aca="false">IF(G2176&lt;1000,"1-Low",IF(G2176&lt;5000,"2-Medium","3-Bulk"))</f>
        <v>1-Low</v>
      </c>
      <c r="L2176" s="0" t="str">
        <f aca="false">IF(H2176="TRUE","Out of stock","In stock")</f>
        <v>In stock</v>
      </c>
      <c r="M2176" s="0" t="str">
        <f aca="false">IF(D2176&lt;5,"1) Under 5%",IF(D2176&lt;10,"2) 5-9%",IF(D2176&lt;15,"3) 10-14%",IF(D2176&lt;25,"4) 15-24%","5) 25%+"))))</f>
        <v>1) Under 5%</v>
      </c>
      <c r="N2176" s="0" t="str">
        <f aca="false">IF(F2176&lt;50,"1) Under Rs 50",IF(F2176&lt;100,"2) Rs 50-99",IF(F2176&lt;200,"3) Rs 100-199",IF(F2176&lt;500,"4) Rs 200-499","5) Rs 500+"))))</f>
        <v>2) Rs 50-99</v>
      </c>
      <c r="O2176" s="0" t="n">
        <f aca="false">G2176*E2176/1000</f>
        <v>1</v>
      </c>
    </row>
    <row r="2177" customFormat="false" ht="15" hidden="false" customHeight="false" outlineLevel="0" collapsed="false">
      <c r="A2177" s="0" t="s">
        <v>90</v>
      </c>
      <c r="B2177" s="0" t="s">
        <v>820</v>
      </c>
      <c r="C2177" s="0" t="n">
        <v>120</v>
      </c>
      <c r="D2177" s="0" t="n">
        <v>5</v>
      </c>
      <c r="E2177" s="0" t="n">
        <v>1</v>
      </c>
      <c r="F2177" s="0" t="n">
        <v>114</v>
      </c>
      <c r="G2177" s="0" t="n">
        <v>420</v>
      </c>
      <c r="H2177" s="0" t="s">
        <v>145</v>
      </c>
      <c r="I2177" s="0" t="n">
        <v>420</v>
      </c>
      <c r="J2177" s="0" t="n">
        <f aca="false">F2177*E2177</f>
        <v>114</v>
      </c>
      <c r="K2177" s="0" t="str">
        <f aca="false">IF(G2177&lt;1000,"1-Low",IF(G2177&lt;5000,"2-Medium","3-Bulk"))</f>
        <v>1-Low</v>
      </c>
      <c r="L2177" s="0" t="str">
        <f aca="false">IF(H2177="TRUE","Out of stock","In stock")</f>
        <v>In stock</v>
      </c>
      <c r="M2177" s="0" t="str">
        <f aca="false">IF(D2177&lt;5,"1) Under 5%",IF(D2177&lt;10,"2) 5-9%",IF(D2177&lt;15,"3) 10-14%",IF(D2177&lt;25,"4) 15-24%","5) 25%+"))))</f>
        <v>2) 5-9%</v>
      </c>
      <c r="N2177" s="0" t="str">
        <f aca="false">IF(F2177&lt;50,"1) Under Rs 50",IF(F2177&lt;100,"2) Rs 50-99",IF(F2177&lt;200,"3) Rs 100-199",IF(F2177&lt;500,"4) Rs 200-499","5) Rs 500+"))))</f>
        <v>3) Rs 100-199</v>
      </c>
      <c r="O2177" s="0" t="n">
        <f aca="false">G2177*E2177/1000</f>
        <v>0.42</v>
      </c>
    </row>
    <row r="2178" customFormat="false" ht="15" hidden="false" customHeight="false" outlineLevel="0" collapsed="false">
      <c r="A2178" s="0" t="s">
        <v>90</v>
      </c>
      <c r="B2178" s="0" t="s">
        <v>821</v>
      </c>
      <c r="C2178" s="0" t="n">
        <v>10</v>
      </c>
      <c r="D2178" s="0" t="n">
        <v>0</v>
      </c>
      <c r="E2178" s="0" t="n">
        <v>1</v>
      </c>
      <c r="F2178" s="0" t="n">
        <v>10</v>
      </c>
      <c r="G2178" s="0" t="n">
        <v>15</v>
      </c>
      <c r="H2178" s="0" t="s">
        <v>145</v>
      </c>
      <c r="I2178" s="0" t="n">
        <v>15</v>
      </c>
      <c r="J2178" s="0" t="n">
        <f aca="false">F2178*E2178</f>
        <v>10</v>
      </c>
      <c r="K2178" s="0" t="str">
        <f aca="false">IF(G2178&lt;1000,"1-Low",IF(G2178&lt;5000,"2-Medium","3-Bulk"))</f>
        <v>1-Low</v>
      </c>
      <c r="L2178" s="0" t="str">
        <f aca="false">IF(H2178="TRUE","Out of stock","In stock")</f>
        <v>In stock</v>
      </c>
      <c r="M2178" s="0" t="str">
        <f aca="false">IF(D2178&lt;5,"1) Under 5%",IF(D2178&lt;10,"2) 5-9%",IF(D2178&lt;15,"3) 10-14%",IF(D2178&lt;25,"4) 15-24%","5) 25%+"))))</f>
        <v>1) Under 5%</v>
      </c>
      <c r="N2178" s="0" t="str">
        <f aca="false">IF(F2178&lt;50,"1) Under Rs 50",IF(F2178&lt;100,"2) Rs 50-99",IF(F2178&lt;200,"3) Rs 100-199",IF(F2178&lt;500,"4) Rs 200-499","5) Rs 500+"))))</f>
        <v>1) Under Rs 50</v>
      </c>
      <c r="O2178" s="0" t="n">
        <f aca="false">G2178*E2178/1000</f>
        <v>0.015</v>
      </c>
    </row>
    <row r="2179" customFormat="false" ht="15" hidden="false" customHeight="false" outlineLevel="0" collapsed="false">
      <c r="A2179" s="0" t="s">
        <v>90</v>
      </c>
      <c r="B2179" s="0" t="s">
        <v>822</v>
      </c>
      <c r="C2179" s="0" t="n">
        <v>130</v>
      </c>
      <c r="D2179" s="0" t="n">
        <v>4</v>
      </c>
      <c r="E2179" s="0" t="n">
        <v>6</v>
      </c>
      <c r="F2179" s="0" t="n">
        <v>124</v>
      </c>
      <c r="G2179" s="0" t="n">
        <v>250</v>
      </c>
      <c r="H2179" s="0" t="s">
        <v>145</v>
      </c>
      <c r="I2179" s="0" t="n">
        <v>250</v>
      </c>
      <c r="J2179" s="0" t="n">
        <f aca="false">F2179*E2179</f>
        <v>744</v>
      </c>
      <c r="K2179" s="0" t="str">
        <f aca="false">IF(G2179&lt;1000,"1-Low",IF(G2179&lt;5000,"2-Medium","3-Bulk"))</f>
        <v>1-Low</v>
      </c>
      <c r="L2179" s="0" t="str">
        <f aca="false">IF(H2179="TRUE","Out of stock","In stock")</f>
        <v>In stock</v>
      </c>
      <c r="M2179" s="0" t="str">
        <f aca="false">IF(D2179&lt;5,"1) Under 5%",IF(D2179&lt;10,"2) 5-9%",IF(D2179&lt;15,"3) 10-14%",IF(D2179&lt;25,"4) 15-24%","5) 25%+"))))</f>
        <v>1) Under 5%</v>
      </c>
      <c r="N2179" s="0" t="str">
        <f aca="false">IF(F2179&lt;50,"1) Under Rs 50",IF(F2179&lt;100,"2) Rs 50-99",IF(F2179&lt;200,"3) Rs 100-199",IF(F2179&lt;500,"4) Rs 200-499","5) Rs 500+"))))</f>
        <v>3) Rs 100-199</v>
      </c>
      <c r="O2179" s="0" t="n">
        <f aca="false">G2179*E2179/1000</f>
        <v>1.5</v>
      </c>
    </row>
    <row r="2180" customFormat="false" ht="15" hidden="false" customHeight="false" outlineLevel="0" collapsed="false">
      <c r="A2180" s="0" t="s">
        <v>90</v>
      </c>
      <c r="B2180" s="0" t="s">
        <v>823</v>
      </c>
      <c r="C2180" s="0" t="n">
        <v>120</v>
      </c>
      <c r="D2180" s="0" t="n">
        <v>5</v>
      </c>
      <c r="E2180" s="0" t="n">
        <v>3</v>
      </c>
      <c r="F2180" s="0" t="n">
        <v>114</v>
      </c>
      <c r="G2180" s="0" t="n">
        <v>375</v>
      </c>
      <c r="H2180" s="0" t="s">
        <v>145</v>
      </c>
      <c r="I2180" s="0" t="n">
        <v>375</v>
      </c>
      <c r="J2180" s="0" t="n">
        <f aca="false">F2180*E2180</f>
        <v>342</v>
      </c>
      <c r="K2180" s="0" t="str">
        <f aca="false">IF(G2180&lt;1000,"1-Low",IF(G2180&lt;5000,"2-Medium","3-Bulk"))</f>
        <v>1-Low</v>
      </c>
      <c r="L2180" s="0" t="str">
        <f aca="false">IF(H2180="TRUE","Out of stock","In stock")</f>
        <v>In stock</v>
      </c>
      <c r="M2180" s="0" t="str">
        <f aca="false">IF(D2180&lt;5,"1) Under 5%",IF(D2180&lt;10,"2) 5-9%",IF(D2180&lt;15,"3) 10-14%",IF(D2180&lt;25,"4) 15-24%","5) 25%+"))))</f>
        <v>2) 5-9%</v>
      </c>
      <c r="N2180" s="0" t="str">
        <f aca="false">IF(F2180&lt;50,"1) Under Rs 50",IF(F2180&lt;100,"2) Rs 50-99",IF(F2180&lt;200,"3) Rs 100-199",IF(F2180&lt;500,"4) Rs 200-499","5) Rs 500+"))))</f>
        <v>3) Rs 100-199</v>
      </c>
      <c r="O2180" s="0" t="n">
        <f aca="false">G2180*E2180/1000</f>
        <v>1.125</v>
      </c>
    </row>
    <row r="2181" customFormat="false" ht="15" hidden="false" customHeight="false" outlineLevel="0" collapsed="false">
      <c r="A2181" s="0" t="s">
        <v>90</v>
      </c>
      <c r="B2181" s="0" t="s">
        <v>824</v>
      </c>
      <c r="C2181" s="0" t="n">
        <v>15</v>
      </c>
      <c r="D2181" s="0" t="n">
        <v>0</v>
      </c>
      <c r="E2181" s="0" t="n">
        <v>6</v>
      </c>
      <c r="F2181" s="0" t="n">
        <v>15</v>
      </c>
      <c r="G2181" s="0" t="n">
        <v>20</v>
      </c>
      <c r="H2181" s="0" t="s">
        <v>145</v>
      </c>
      <c r="I2181" s="0" t="n">
        <v>20</v>
      </c>
      <c r="J2181" s="0" t="n">
        <f aca="false">F2181*E2181</f>
        <v>90</v>
      </c>
      <c r="K2181" s="0" t="str">
        <f aca="false">IF(G2181&lt;1000,"1-Low",IF(G2181&lt;5000,"2-Medium","3-Bulk"))</f>
        <v>1-Low</v>
      </c>
      <c r="L2181" s="0" t="str">
        <f aca="false">IF(H2181="TRUE","Out of stock","In stock")</f>
        <v>In stock</v>
      </c>
      <c r="M2181" s="0" t="str">
        <f aca="false">IF(D2181&lt;5,"1) Under 5%",IF(D2181&lt;10,"2) 5-9%",IF(D2181&lt;15,"3) 10-14%",IF(D2181&lt;25,"4) 15-24%","5) 25%+"))))</f>
        <v>1) Under 5%</v>
      </c>
      <c r="N2181" s="0" t="str">
        <f aca="false">IF(F2181&lt;50,"1) Under Rs 50",IF(F2181&lt;100,"2) Rs 50-99",IF(F2181&lt;200,"3) Rs 100-199",IF(F2181&lt;500,"4) Rs 200-499","5) Rs 500+"))))</f>
        <v>1) Under Rs 50</v>
      </c>
      <c r="O2181" s="0" t="n">
        <f aca="false">G2181*E2181/1000</f>
        <v>0.12</v>
      </c>
    </row>
    <row r="2182" customFormat="false" ht="15" hidden="false" customHeight="false" outlineLevel="0" collapsed="false">
      <c r="A2182" s="0" t="s">
        <v>90</v>
      </c>
      <c r="B2182" s="0" t="s">
        <v>279</v>
      </c>
      <c r="C2182" s="0" t="n">
        <v>120</v>
      </c>
      <c r="D2182" s="0" t="n">
        <v>1</v>
      </c>
      <c r="E2182" s="0" t="n">
        <v>3</v>
      </c>
      <c r="F2182" s="0" t="n">
        <v>118</v>
      </c>
      <c r="G2182" s="0" t="n">
        <v>240</v>
      </c>
      <c r="H2182" s="0" t="s">
        <v>145</v>
      </c>
      <c r="I2182" s="0" t="n">
        <v>240</v>
      </c>
      <c r="J2182" s="0" t="n">
        <f aca="false">F2182*E2182</f>
        <v>354</v>
      </c>
      <c r="K2182" s="0" t="str">
        <f aca="false">IF(G2182&lt;1000,"1-Low",IF(G2182&lt;5000,"2-Medium","3-Bulk"))</f>
        <v>1-Low</v>
      </c>
      <c r="L2182" s="0" t="str">
        <f aca="false">IF(H2182="TRUE","Out of stock","In stock")</f>
        <v>In stock</v>
      </c>
      <c r="M2182" s="0" t="str">
        <f aca="false">IF(D2182&lt;5,"1) Under 5%",IF(D2182&lt;10,"2) 5-9%",IF(D2182&lt;15,"3) 10-14%",IF(D2182&lt;25,"4) 15-24%","5) 25%+"))))</f>
        <v>1) Under 5%</v>
      </c>
      <c r="N2182" s="0" t="str">
        <f aca="false">IF(F2182&lt;50,"1) Under Rs 50",IF(F2182&lt;100,"2) Rs 50-99",IF(F2182&lt;200,"3) Rs 100-199",IF(F2182&lt;500,"4) Rs 200-499","5) Rs 500+"))))</f>
        <v>3) Rs 100-199</v>
      </c>
      <c r="O2182" s="0" t="n">
        <f aca="false">G2182*E2182/1000</f>
        <v>0.72</v>
      </c>
    </row>
    <row r="2183" customFormat="false" ht="15" hidden="false" customHeight="false" outlineLevel="0" collapsed="false">
      <c r="A2183" s="0" t="s">
        <v>90</v>
      </c>
      <c r="B2183" s="0" t="s">
        <v>825</v>
      </c>
      <c r="C2183" s="0" t="n">
        <v>130</v>
      </c>
      <c r="D2183" s="0" t="n">
        <v>4</v>
      </c>
      <c r="E2183" s="0" t="n">
        <v>1</v>
      </c>
      <c r="F2183" s="0" t="n">
        <v>124</v>
      </c>
      <c r="G2183" s="0" t="n">
        <v>250</v>
      </c>
      <c r="H2183" s="0" t="s">
        <v>145</v>
      </c>
      <c r="I2183" s="0" t="n">
        <v>250</v>
      </c>
      <c r="J2183" s="0" t="n">
        <f aca="false">F2183*E2183</f>
        <v>124</v>
      </c>
      <c r="K2183" s="0" t="str">
        <f aca="false">IF(G2183&lt;1000,"1-Low",IF(G2183&lt;5000,"2-Medium","3-Bulk"))</f>
        <v>1-Low</v>
      </c>
      <c r="L2183" s="0" t="str">
        <f aca="false">IF(H2183="TRUE","Out of stock","In stock")</f>
        <v>In stock</v>
      </c>
      <c r="M2183" s="0" t="str">
        <f aca="false">IF(D2183&lt;5,"1) Under 5%",IF(D2183&lt;10,"2) 5-9%",IF(D2183&lt;15,"3) 10-14%",IF(D2183&lt;25,"4) 15-24%","5) 25%+"))))</f>
        <v>1) Under 5%</v>
      </c>
      <c r="N2183" s="0" t="str">
        <f aca="false">IF(F2183&lt;50,"1) Under Rs 50",IF(F2183&lt;100,"2) Rs 50-99",IF(F2183&lt;200,"3) Rs 100-199",IF(F2183&lt;500,"4) Rs 200-499","5) Rs 500+"))))</f>
        <v>3) Rs 100-199</v>
      </c>
      <c r="O2183" s="0" t="n">
        <f aca="false">G2183*E2183/1000</f>
        <v>0.25</v>
      </c>
    </row>
    <row r="2184" customFormat="false" ht="15" hidden="false" customHeight="false" outlineLevel="0" collapsed="false">
      <c r="A2184" s="0" t="s">
        <v>90</v>
      </c>
      <c r="B2184" s="0" t="s">
        <v>826</v>
      </c>
      <c r="C2184" s="0" t="n">
        <v>430</v>
      </c>
      <c r="D2184" s="0" t="n">
        <v>10</v>
      </c>
      <c r="E2184" s="0" t="n">
        <v>6</v>
      </c>
      <c r="F2184" s="0" t="n">
        <v>387</v>
      </c>
      <c r="G2184" s="0" t="n">
        <v>1200</v>
      </c>
      <c r="H2184" s="0" t="s">
        <v>145</v>
      </c>
      <c r="I2184" s="0" t="n">
        <v>1</v>
      </c>
      <c r="J2184" s="0" t="n">
        <f aca="false">F2184*E2184</f>
        <v>2322</v>
      </c>
      <c r="K2184" s="0" t="str">
        <f aca="false">IF(G2184&lt;1000,"1-Low",IF(G2184&lt;5000,"2-Medium","3-Bulk"))</f>
        <v>2-Medium</v>
      </c>
      <c r="L2184" s="0" t="str">
        <f aca="false">IF(H2184="TRUE","Out of stock","In stock")</f>
        <v>In stock</v>
      </c>
      <c r="M2184" s="0" t="str">
        <f aca="false">IF(D2184&lt;5,"1) Under 5%",IF(D2184&lt;10,"2) 5-9%",IF(D2184&lt;15,"3) 10-14%",IF(D2184&lt;25,"4) 15-24%","5) 25%+"))))</f>
        <v>3) 10-14%</v>
      </c>
      <c r="N2184" s="0" t="str">
        <f aca="false">IF(F2184&lt;50,"1) Under Rs 50",IF(F2184&lt;100,"2) Rs 50-99",IF(F2184&lt;200,"3) Rs 100-199",IF(F2184&lt;500,"4) Rs 200-499","5) Rs 500+"))))</f>
        <v>4) Rs 200-499</v>
      </c>
      <c r="O2184" s="0" t="n">
        <f aca="false">G2184*E2184/1000</f>
        <v>7.2</v>
      </c>
    </row>
    <row r="2185" customFormat="false" ht="15" hidden="false" customHeight="false" outlineLevel="0" collapsed="false">
      <c r="A2185" s="0" t="s">
        <v>90</v>
      </c>
      <c r="B2185" s="0" t="s">
        <v>827</v>
      </c>
      <c r="C2185" s="0" t="n">
        <v>10</v>
      </c>
      <c r="D2185" s="0" t="n">
        <v>0</v>
      </c>
      <c r="E2185" s="0" t="n">
        <v>1</v>
      </c>
      <c r="F2185" s="0" t="n">
        <v>10</v>
      </c>
      <c r="G2185" s="0" t="n">
        <v>15</v>
      </c>
      <c r="H2185" s="0" t="s">
        <v>145</v>
      </c>
      <c r="I2185" s="0" t="n">
        <v>15</v>
      </c>
      <c r="J2185" s="0" t="n">
        <f aca="false">F2185*E2185</f>
        <v>10</v>
      </c>
      <c r="K2185" s="0" t="str">
        <f aca="false">IF(G2185&lt;1000,"1-Low",IF(G2185&lt;5000,"2-Medium","3-Bulk"))</f>
        <v>1-Low</v>
      </c>
      <c r="L2185" s="0" t="str">
        <f aca="false">IF(H2185="TRUE","Out of stock","In stock")</f>
        <v>In stock</v>
      </c>
      <c r="M2185" s="0" t="str">
        <f aca="false">IF(D2185&lt;5,"1) Under 5%",IF(D2185&lt;10,"2) 5-9%",IF(D2185&lt;15,"3) 10-14%",IF(D2185&lt;25,"4) 15-24%","5) 25%+"))))</f>
        <v>1) Under 5%</v>
      </c>
      <c r="N2185" s="0" t="str">
        <f aca="false">IF(F2185&lt;50,"1) Under Rs 50",IF(F2185&lt;100,"2) Rs 50-99",IF(F2185&lt;200,"3) Rs 100-199",IF(F2185&lt;500,"4) Rs 200-499","5) Rs 500+"))))</f>
        <v>1) Under Rs 50</v>
      </c>
      <c r="O2185" s="0" t="n">
        <f aca="false">G2185*E2185/1000</f>
        <v>0.015</v>
      </c>
    </row>
    <row r="2186" customFormat="false" ht="15" hidden="false" customHeight="false" outlineLevel="0" collapsed="false">
      <c r="A2186" s="0" t="s">
        <v>90</v>
      </c>
      <c r="B2186" s="0" t="s">
        <v>828</v>
      </c>
      <c r="C2186" s="0" t="n">
        <v>197</v>
      </c>
      <c r="D2186" s="0" t="n">
        <v>2</v>
      </c>
      <c r="E2186" s="0" t="n">
        <v>6</v>
      </c>
      <c r="F2186" s="0" t="n">
        <v>193</v>
      </c>
      <c r="G2186" s="0" t="n">
        <v>500</v>
      </c>
      <c r="H2186" s="0" t="s">
        <v>145</v>
      </c>
      <c r="I2186" s="0" t="n">
        <v>500</v>
      </c>
      <c r="J2186" s="0" t="n">
        <f aca="false">F2186*E2186</f>
        <v>1158</v>
      </c>
      <c r="K2186" s="0" t="str">
        <f aca="false">IF(G2186&lt;1000,"1-Low",IF(G2186&lt;5000,"2-Medium","3-Bulk"))</f>
        <v>1-Low</v>
      </c>
      <c r="L2186" s="0" t="str">
        <f aca="false">IF(H2186="TRUE","Out of stock","In stock")</f>
        <v>In stock</v>
      </c>
      <c r="M2186" s="0" t="str">
        <f aca="false">IF(D2186&lt;5,"1) Under 5%",IF(D2186&lt;10,"2) 5-9%",IF(D2186&lt;15,"3) 10-14%",IF(D2186&lt;25,"4) 15-24%","5) 25%+"))))</f>
        <v>1) Under 5%</v>
      </c>
      <c r="N2186" s="0" t="str">
        <f aca="false">IF(F2186&lt;50,"1) Under Rs 50",IF(F2186&lt;100,"2) Rs 50-99",IF(F2186&lt;200,"3) Rs 100-199",IF(F2186&lt;500,"4) Rs 200-499","5) Rs 500+"))))</f>
        <v>3) Rs 100-199</v>
      </c>
      <c r="O2186" s="0" t="n">
        <f aca="false">G2186*E2186/1000</f>
        <v>3</v>
      </c>
    </row>
    <row r="2187" customFormat="false" ht="15" hidden="false" customHeight="false" outlineLevel="0" collapsed="false">
      <c r="A2187" s="0" t="s">
        <v>90</v>
      </c>
      <c r="B2187" s="0" t="s">
        <v>829</v>
      </c>
      <c r="C2187" s="0" t="n">
        <v>120</v>
      </c>
      <c r="D2187" s="0" t="n">
        <v>5</v>
      </c>
      <c r="E2187" s="0" t="n">
        <v>3</v>
      </c>
      <c r="F2187" s="0" t="n">
        <v>114</v>
      </c>
      <c r="G2187" s="0" t="n">
        <v>375</v>
      </c>
      <c r="H2187" s="0" t="s">
        <v>145</v>
      </c>
      <c r="I2187" s="0" t="n">
        <v>375</v>
      </c>
      <c r="J2187" s="0" t="n">
        <f aca="false">F2187*E2187</f>
        <v>342</v>
      </c>
      <c r="K2187" s="0" t="str">
        <f aca="false">IF(G2187&lt;1000,"1-Low",IF(G2187&lt;5000,"2-Medium","3-Bulk"))</f>
        <v>1-Low</v>
      </c>
      <c r="L2187" s="0" t="str">
        <f aca="false">IF(H2187="TRUE","Out of stock","In stock")</f>
        <v>In stock</v>
      </c>
      <c r="M2187" s="0" t="str">
        <f aca="false">IF(D2187&lt;5,"1) Under 5%",IF(D2187&lt;10,"2) 5-9%",IF(D2187&lt;15,"3) 10-14%",IF(D2187&lt;25,"4) 15-24%","5) 25%+"))))</f>
        <v>2) 5-9%</v>
      </c>
      <c r="N2187" s="0" t="str">
        <f aca="false">IF(F2187&lt;50,"1) Under Rs 50",IF(F2187&lt;100,"2) Rs 50-99",IF(F2187&lt;200,"3) Rs 100-199",IF(F2187&lt;500,"4) Rs 200-499","5) Rs 500+"))))</f>
        <v>3) Rs 100-199</v>
      </c>
      <c r="O2187" s="0" t="n">
        <f aca="false">G2187*E2187/1000</f>
        <v>1.125</v>
      </c>
    </row>
    <row r="2188" customFormat="false" ht="15" hidden="false" customHeight="false" outlineLevel="0" collapsed="false">
      <c r="A2188" s="0" t="s">
        <v>90</v>
      </c>
      <c r="B2188" s="0" t="s">
        <v>830</v>
      </c>
      <c r="C2188" s="0" t="n">
        <v>175</v>
      </c>
      <c r="D2188" s="0" t="n">
        <v>4</v>
      </c>
      <c r="E2188" s="0" t="n">
        <v>3</v>
      </c>
      <c r="F2188" s="0" t="n">
        <v>167</v>
      </c>
      <c r="G2188" s="0" t="n">
        <v>750</v>
      </c>
      <c r="H2188" s="0" t="s">
        <v>145</v>
      </c>
      <c r="I2188" s="0" t="n">
        <v>750</v>
      </c>
      <c r="J2188" s="0" t="n">
        <f aca="false">F2188*E2188</f>
        <v>501</v>
      </c>
      <c r="K2188" s="0" t="str">
        <f aca="false">IF(G2188&lt;1000,"1-Low",IF(G2188&lt;5000,"2-Medium","3-Bulk"))</f>
        <v>1-Low</v>
      </c>
      <c r="L2188" s="0" t="str">
        <f aca="false">IF(H2188="TRUE","Out of stock","In stock")</f>
        <v>In stock</v>
      </c>
      <c r="M2188" s="0" t="str">
        <f aca="false">IF(D2188&lt;5,"1) Under 5%",IF(D2188&lt;10,"2) 5-9%",IF(D2188&lt;15,"3) 10-14%",IF(D2188&lt;25,"4) 15-24%","5) 25%+"))))</f>
        <v>1) Under 5%</v>
      </c>
      <c r="N2188" s="0" t="str">
        <f aca="false">IF(F2188&lt;50,"1) Under Rs 50",IF(F2188&lt;100,"2) Rs 50-99",IF(F2188&lt;200,"3) Rs 100-199",IF(F2188&lt;500,"4) Rs 200-499","5) Rs 500+"))))</f>
        <v>3) Rs 100-199</v>
      </c>
      <c r="O2188" s="0" t="n">
        <f aca="false">G2188*E2188/1000</f>
        <v>2.25</v>
      </c>
    </row>
    <row r="2189" customFormat="false" ht="15" hidden="false" customHeight="false" outlineLevel="0" collapsed="false">
      <c r="A2189" s="0" t="s">
        <v>90</v>
      </c>
      <c r="B2189" s="0" t="s">
        <v>831</v>
      </c>
      <c r="C2189" s="0" t="n">
        <v>220</v>
      </c>
      <c r="D2189" s="0" t="n">
        <v>5</v>
      </c>
      <c r="E2189" s="0" t="n">
        <v>2</v>
      </c>
      <c r="F2189" s="0" t="n">
        <v>207</v>
      </c>
      <c r="G2189" s="0" t="n">
        <v>180</v>
      </c>
      <c r="H2189" s="0" t="s">
        <v>145</v>
      </c>
      <c r="I2189" s="0" t="n">
        <v>180</v>
      </c>
      <c r="J2189" s="0" t="n">
        <f aca="false">F2189*E2189</f>
        <v>414</v>
      </c>
      <c r="K2189" s="0" t="str">
        <f aca="false">IF(G2189&lt;1000,"1-Low",IF(G2189&lt;5000,"2-Medium","3-Bulk"))</f>
        <v>1-Low</v>
      </c>
      <c r="L2189" s="0" t="str">
        <f aca="false">IF(H2189="TRUE","Out of stock","In stock")</f>
        <v>In stock</v>
      </c>
      <c r="M2189" s="0" t="str">
        <f aca="false">IF(D2189&lt;5,"1) Under 5%",IF(D2189&lt;10,"2) 5-9%",IF(D2189&lt;15,"3) 10-14%",IF(D2189&lt;25,"4) 15-24%","5) 25%+"))))</f>
        <v>2) 5-9%</v>
      </c>
      <c r="N2189" s="0" t="str">
        <f aca="false">IF(F2189&lt;50,"1) Under Rs 50",IF(F2189&lt;100,"2) Rs 50-99",IF(F2189&lt;200,"3) Rs 100-199",IF(F2189&lt;500,"4) Rs 200-499","5) Rs 500+"))))</f>
        <v>4) Rs 200-499</v>
      </c>
      <c r="O2189" s="0" t="n">
        <f aca="false">G2189*E2189/1000</f>
        <v>0.36</v>
      </c>
    </row>
    <row r="2190" customFormat="false" ht="15" hidden="false" customHeight="false" outlineLevel="0" collapsed="false">
      <c r="A2190" s="0" t="s">
        <v>90</v>
      </c>
      <c r="B2190" s="0" t="s">
        <v>832</v>
      </c>
      <c r="C2190" s="0" t="n">
        <v>60</v>
      </c>
      <c r="D2190" s="0" t="n">
        <v>5</v>
      </c>
      <c r="E2190" s="0" t="n">
        <v>5</v>
      </c>
      <c r="F2190" s="0" t="n">
        <v>57</v>
      </c>
      <c r="G2190" s="0" t="n">
        <v>200</v>
      </c>
      <c r="H2190" s="0" t="s">
        <v>145</v>
      </c>
      <c r="I2190" s="0" t="n">
        <v>200</v>
      </c>
      <c r="J2190" s="0" t="n">
        <f aca="false">F2190*E2190</f>
        <v>285</v>
      </c>
      <c r="K2190" s="0" t="str">
        <f aca="false">IF(G2190&lt;1000,"1-Low",IF(G2190&lt;5000,"2-Medium","3-Bulk"))</f>
        <v>1-Low</v>
      </c>
      <c r="L2190" s="0" t="str">
        <f aca="false">IF(H2190="TRUE","Out of stock","In stock")</f>
        <v>In stock</v>
      </c>
      <c r="M2190" s="0" t="str">
        <f aca="false">IF(D2190&lt;5,"1) Under 5%",IF(D2190&lt;10,"2) 5-9%",IF(D2190&lt;15,"3) 10-14%",IF(D2190&lt;25,"4) 15-24%","5) 25%+"))))</f>
        <v>2) 5-9%</v>
      </c>
      <c r="N2190" s="0" t="str">
        <f aca="false">IF(F2190&lt;50,"1) Under Rs 50",IF(F2190&lt;100,"2) Rs 50-99",IF(F2190&lt;200,"3) Rs 100-199",IF(F2190&lt;500,"4) Rs 200-499","5) Rs 500+"))))</f>
        <v>2) Rs 50-99</v>
      </c>
      <c r="O2190" s="0" t="n">
        <f aca="false">G2190*E2190/1000</f>
        <v>1</v>
      </c>
    </row>
    <row r="2191" customFormat="false" ht="15" hidden="false" customHeight="false" outlineLevel="0" collapsed="false">
      <c r="A2191" s="0" t="s">
        <v>90</v>
      </c>
      <c r="B2191" s="0" t="s">
        <v>833</v>
      </c>
      <c r="C2191" s="0" t="n">
        <v>90</v>
      </c>
      <c r="D2191" s="0" t="n">
        <v>4</v>
      </c>
      <c r="E2191" s="0" t="n">
        <v>6</v>
      </c>
      <c r="F2191" s="0" t="n">
        <v>86</v>
      </c>
      <c r="G2191" s="0" t="n">
        <v>50</v>
      </c>
      <c r="H2191" s="0" t="s">
        <v>145</v>
      </c>
      <c r="I2191" s="0" t="n">
        <v>50</v>
      </c>
      <c r="J2191" s="0" t="n">
        <f aca="false">F2191*E2191</f>
        <v>516</v>
      </c>
      <c r="K2191" s="0" t="str">
        <f aca="false">IF(G2191&lt;1000,"1-Low",IF(G2191&lt;5000,"2-Medium","3-Bulk"))</f>
        <v>1-Low</v>
      </c>
      <c r="L2191" s="0" t="str">
        <f aca="false">IF(H2191="TRUE","Out of stock","In stock")</f>
        <v>In stock</v>
      </c>
      <c r="M2191" s="0" t="str">
        <f aca="false">IF(D2191&lt;5,"1) Under 5%",IF(D2191&lt;10,"2) 5-9%",IF(D2191&lt;15,"3) 10-14%",IF(D2191&lt;25,"4) 15-24%","5) 25%+"))))</f>
        <v>1) Under 5%</v>
      </c>
      <c r="N2191" s="0" t="str">
        <f aca="false">IF(F2191&lt;50,"1) Under Rs 50",IF(F2191&lt;100,"2) Rs 50-99",IF(F2191&lt;200,"3) Rs 100-199",IF(F2191&lt;500,"4) Rs 200-499","5) Rs 500+"))))</f>
        <v>2) Rs 50-99</v>
      </c>
      <c r="O2191" s="0" t="n">
        <f aca="false">G2191*E2191/1000</f>
        <v>0.3</v>
      </c>
    </row>
    <row r="2192" customFormat="false" ht="15" hidden="false" customHeight="false" outlineLevel="0" collapsed="false">
      <c r="A2192" s="0" t="s">
        <v>90</v>
      </c>
      <c r="B2192" s="0" t="s">
        <v>732</v>
      </c>
      <c r="C2192" s="0" t="n">
        <v>85</v>
      </c>
      <c r="D2192" s="0" t="n">
        <v>5</v>
      </c>
      <c r="E2192" s="0" t="n">
        <v>6</v>
      </c>
      <c r="F2192" s="0" t="n">
        <v>80</v>
      </c>
      <c r="G2192" s="0" t="n">
        <v>180</v>
      </c>
      <c r="H2192" s="0" t="s">
        <v>145</v>
      </c>
      <c r="I2192" s="0" t="n">
        <v>180</v>
      </c>
      <c r="J2192" s="0" t="n">
        <f aca="false">F2192*E2192</f>
        <v>480</v>
      </c>
      <c r="K2192" s="0" t="str">
        <f aca="false">IF(G2192&lt;1000,"1-Low",IF(G2192&lt;5000,"2-Medium","3-Bulk"))</f>
        <v>1-Low</v>
      </c>
      <c r="L2192" s="0" t="str">
        <f aca="false">IF(H2192="TRUE","Out of stock","In stock")</f>
        <v>In stock</v>
      </c>
      <c r="M2192" s="0" t="str">
        <f aca="false">IF(D2192&lt;5,"1) Under 5%",IF(D2192&lt;10,"2) 5-9%",IF(D2192&lt;15,"3) 10-14%",IF(D2192&lt;25,"4) 15-24%","5) 25%+"))))</f>
        <v>2) 5-9%</v>
      </c>
      <c r="N2192" s="0" t="str">
        <f aca="false">IF(F2192&lt;50,"1) Under Rs 50",IF(F2192&lt;100,"2) Rs 50-99",IF(F2192&lt;200,"3) Rs 100-199",IF(F2192&lt;500,"4) Rs 200-499","5) Rs 500+"))))</f>
        <v>2) Rs 50-99</v>
      </c>
      <c r="O2192" s="0" t="n">
        <f aca="false">G2192*E2192/1000</f>
        <v>1.08</v>
      </c>
    </row>
    <row r="2193" customFormat="false" ht="15" hidden="false" customHeight="false" outlineLevel="0" collapsed="false">
      <c r="A2193" s="0" t="s">
        <v>90</v>
      </c>
      <c r="B2193" s="0" t="s">
        <v>834</v>
      </c>
      <c r="C2193" s="0" t="n">
        <v>22</v>
      </c>
      <c r="D2193" s="0" t="n">
        <v>0</v>
      </c>
      <c r="E2193" s="0" t="n">
        <v>6</v>
      </c>
      <c r="F2193" s="0" t="n">
        <v>22</v>
      </c>
      <c r="G2193" s="0" t="n">
        <v>90</v>
      </c>
      <c r="H2193" s="0" t="s">
        <v>145</v>
      </c>
      <c r="I2193" s="0" t="n">
        <v>90</v>
      </c>
      <c r="J2193" s="0" t="n">
        <f aca="false">F2193*E2193</f>
        <v>132</v>
      </c>
      <c r="K2193" s="0" t="str">
        <f aca="false">IF(G2193&lt;1000,"1-Low",IF(G2193&lt;5000,"2-Medium","3-Bulk"))</f>
        <v>1-Low</v>
      </c>
      <c r="L2193" s="0" t="str">
        <f aca="false">IF(H2193="TRUE","Out of stock","In stock")</f>
        <v>In stock</v>
      </c>
      <c r="M2193" s="0" t="str">
        <f aca="false">IF(D2193&lt;5,"1) Under 5%",IF(D2193&lt;10,"2) 5-9%",IF(D2193&lt;15,"3) 10-14%",IF(D2193&lt;25,"4) 15-24%","5) 25%+"))))</f>
        <v>1) Under 5%</v>
      </c>
      <c r="N2193" s="0" t="str">
        <f aca="false">IF(F2193&lt;50,"1) Under Rs 50",IF(F2193&lt;100,"2) Rs 50-99",IF(F2193&lt;200,"3) Rs 100-199",IF(F2193&lt;500,"4) Rs 200-499","5) Rs 500+"))))</f>
        <v>1) Under Rs 50</v>
      </c>
      <c r="O2193" s="0" t="n">
        <f aca="false">G2193*E2193/1000</f>
        <v>0.54</v>
      </c>
    </row>
    <row r="2194" customFormat="false" ht="15" hidden="false" customHeight="false" outlineLevel="0" collapsed="false">
      <c r="A2194" s="0" t="s">
        <v>90</v>
      </c>
      <c r="B2194" s="0" t="s">
        <v>835</v>
      </c>
      <c r="C2194" s="0" t="n">
        <v>385</v>
      </c>
      <c r="D2194" s="0" t="n">
        <v>9</v>
      </c>
      <c r="E2194" s="0" t="n">
        <v>5</v>
      </c>
      <c r="F2194" s="0" t="n">
        <v>347</v>
      </c>
      <c r="G2194" s="0" t="n">
        <v>1100</v>
      </c>
      <c r="H2194" s="0" t="s">
        <v>145</v>
      </c>
      <c r="I2194" s="0" t="n">
        <v>1100</v>
      </c>
      <c r="J2194" s="0" t="n">
        <f aca="false">F2194*E2194</f>
        <v>1735</v>
      </c>
      <c r="K2194" s="0" t="str">
        <f aca="false">IF(G2194&lt;1000,"1-Low",IF(G2194&lt;5000,"2-Medium","3-Bulk"))</f>
        <v>2-Medium</v>
      </c>
      <c r="L2194" s="0" t="str">
        <f aca="false">IF(H2194="TRUE","Out of stock","In stock")</f>
        <v>In stock</v>
      </c>
      <c r="M2194" s="0" t="str">
        <f aca="false">IF(D2194&lt;5,"1) Under 5%",IF(D2194&lt;10,"2) 5-9%",IF(D2194&lt;15,"3) 10-14%",IF(D2194&lt;25,"4) 15-24%","5) 25%+"))))</f>
        <v>2) 5-9%</v>
      </c>
      <c r="N2194" s="0" t="str">
        <f aca="false">IF(F2194&lt;50,"1) Under Rs 50",IF(F2194&lt;100,"2) Rs 50-99",IF(F2194&lt;200,"3) Rs 100-199",IF(F2194&lt;500,"4) Rs 200-499","5) Rs 500+"))))</f>
        <v>4) Rs 200-499</v>
      </c>
      <c r="O2194" s="0" t="n">
        <f aca="false">G2194*E2194/1000</f>
        <v>5.5</v>
      </c>
    </row>
    <row r="2195" customFormat="false" ht="15" hidden="false" customHeight="false" outlineLevel="0" collapsed="false">
      <c r="A2195" s="0" t="s">
        <v>90</v>
      </c>
      <c r="B2195" s="0" t="s">
        <v>836</v>
      </c>
      <c r="C2195" s="0" t="n">
        <v>10</v>
      </c>
      <c r="D2195" s="0" t="n">
        <v>0</v>
      </c>
      <c r="E2195" s="0" t="n">
        <v>2</v>
      </c>
      <c r="F2195" s="0" t="n">
        <v>10</v>
      </c>
      <c r="G2195" s="0" t="n">
        <v>15</v>
      </c>
      <c r="H2195" s="0" t="s">
        <v>145</v>
      </c>
      <c r="I2195" s="0" t="n">
        <v>15</v>
      </c>
      <c r="J2195" s="0" t="n">
        <f aca="false">F2195*E2195</f>
        <v>20</v>
      </c>
      <c r="K2195" s="0" t="str">
        <f aca="false">IF(G2195&lt;1000,"1-Low",IF(G2195&lt;5000,"2-Medium","3-Bulk"))</f>
        <v>1-Low</v>
      </c>
      <c r="L2195" s="0" t="str">
        <f aca="false">IF(H2195="TRUE","Out of stock","In stock")</f>
        <v>In stock</v>
      </c>
      <c r="M2195" s="0" t="str">
        <f aca="false">IF(D2195&lt;5,"1) Under 5%",IF(D2195&lt;10,"2) 5-9%",IF(D2195&lt;15,"3) 10-14%",IF(D2195&lt;25,"4) 15-24%","5) 25%+"))))</f>
        <v>1) Under 5%</v>
      </c>
      <c r="N2195" s="0" t="str">
        <f aca="false">IF(F2195&lt;50,"1) Under Rs 50",IF(F2195&lt;100,"2) Rs 50-99",IF(F2195&lt;200,"3) Rs 100-199",IF(F2195&lt;500,"4) Rs 200-499","5) Rs 500+"))))</f>
        <v>1) Under Rs 50</v>
      </c>
      <c r="O2195" s="0" t="n">
        <f aca="false">G2195*E2195/1000</f>
        <v>0.03</v>
      </c>
    </row>
    <row r="2196" customFormat="false" ht="15" hidden="false" customHeight="false" outlineLevel="0" collapsed="false">
      <c r="A2196" s="0" t="s">
        <v>90</v>
      </c>
      <c r="B2196" s="0" t="s">
        <v>837</v>
      </c>
      <c r="C2196" s="0" t="n">
        <v>35</v>
      </c>
      <c r="D2196" s="0" t="n">
        <v>5</v>
      </c>
      <c r="E2196" s="0" t="n">
        <v>2</v>
      </c>
      <c r="F2196" s="0" t="n">
        <v>33</v>
      </c>
      <c r="G2196" s="0" t="n">
        <v>85</v>
      </c>
      <c r="H2196" s="0" t="s">
        <v>145</v>
      </c>
      <c r="I2196" s="0" t="n">
        <v>85</v>
      </c>
      <c r="J2196" s="0" t="n">
        <f aca="false">F2196*E2196</f>
        <v>66</v>
      </c>
      <c r="K2196" s="0" t="str">
        <f aca="false">IF(G2196&lt;1000,"1-Low",IF(G2196&lt;5000,"2-Medium","3-Bulk"))</f>
        <v>1-Low</v>
      </c>
      <c r="L2196" s="0" t="str">
        <f aca="false">IF(H2196="TRUE","Out of stock","In stock")</f>
        <v>In stock</v>
      </c>
      <c r="M2196" s="0" t="str">
        <f aca="false">IF(D2196&lt;5,"1) Under 5%",IF(D2196&lt;10,"2) 5-9%",IF(D2196&lt;15,"3) 10-14%",IF(D2196&lt;25,"4) 15-24%","5) 25%+"))))</f>
        <v>2) 5-9%</v>
      </c>
      <c r="N2196" s="0" t="str">
        <f aca="false">IF(F2196&lt;50,"1) Under Rs 50",IF(F2196&lt;100,"2) Rs 50-99",IF(F2196&lt;200,"3) Rs 100-199",IF(F2196&lt;500,"4) Rs 200-499","5) Rs 500+"))))</f>
        <v>1) Under Rs 50</v>
      </c>
      <c r="O2196" s="0" t="n">
        <f aca="false">G2196*E2196/1000</f>
        <v>0.17</v>
      </c>
    </row>
    <row r="2197" customFormat="false" ht="15" hidden="false" customHeight="false" outlineLevel="0" collapsed="false">
      <c r="A2197" s="0" t="s">
        <v>90</v>
      </c>
      <c r="B2197" s="0" t="s">
        <v>838</v>
      </c>
      <c r="C2197" s="0" t="n">
        <v>120</v>
      </c>
      <c r="D2197" s="0" t="n">
        <v>5</v>
      </c>
      <c r="E2197" s="0" t="n">
        <v>6</v>
      </c>
      <c r="F2197" s="0" t="n">
        <v>114</v>
      </c>
      <c r="G2197" s="0" t="n">
        <v>400</v>
      </c>
      <c r="H2197" s="0" t="s">
        <v>145</v>
      </c>
      <c r="I2197" s="0" t="n">
        <v>400</v>
      </c>
      <c r="J2197" s="0" t="n">
        <f aca="false">F2197*E2197</f>
        <v>684</v>
      </c>
      <c r="K2197" s="0" t="str">
        <f aca="false">IF(G2197&lt;1000,"1-Low",IF(G2197&lt;5000,"2-Medium","3-Bulk"))</f>
        <v>1-Low</v>
      </c>
      <c r="L2197" s="0" t="str">
        <f aca="false">IF(H2197="TRUE","Out of stock","In stock")</f>
        <v>In stock</v>
      </c>
      <c r="M2197" s="0" t="str">
        <f aca="false">IF(D2197&lt;5,"1) Under 5%",IF(D2197&lt;10,"2) 5-9%",IF(D2197&lt;15,"3) 10-14%",IF(D2197&lt;25,"4) 15-24%","5) 25%+"))))</f>
        <v>2) 5-9%</v>
      </c>
      <c r="N2197" s="0" t="str">
        <f aca="false">IF(F2197&lt;50,"1) Under Rs 50",IF(F2197&lt;100,"2) Rs 50-99",IF(F2197&lt;200,"3) Rs 100-199",IF(F2197&lt;500,"4) Rs 200-499","5) Rs 500+"))))</f>
        <v>3) Rs 100-199</v>
      </c>
      <c r="O2197" s="0" t="n">
        <f aca="false">G2197*E2197/1000</f>
        <v>2.4</v>
      </c>
    </row>
    <row r="2198" customFormat="false" ht="15" hidden="false" customHeight="false" outlineLevel="0" collapsed="false">
      <c r="A2198" s="0" t="s">
        <v>90</v>
      </c>
      <c r="B2198" s="0" t="s">
        <v>839</v>
      </c>
      <c r="C2198" s="0" t="n">
        <v>100</v>
      </c>
      <c r="D2198" s="0" t="n">
        <v>10</v>
      </c>
      <c r="E2198" s="0" t="n">
        <v>6</v>
      </c>
      <c r="F2198" s="0" t="n">
        <v>90</v>
      </c>
      <c r="G2198" s="0" t="n">
        <v>52</v>
      </c>
      <c r="H2198" s="0" t="s">
        <v>145</v>
      </c>
      <c r="I2198" s="0" t="n">
        <v>52</v>
      </c>
      <c r="J2198" s="0" t="n">
        <f aca="false">F2198*E2198</f>
        <v>540</v>
      </c>
      <c r="K2198" s="0" t="str">
        <f aca="false">IF(G2198&lt;1000,"1-Low",IF(G2198&lt;5000,"2-Medium","3-Bulk"))</f>
        <v>1-Low</v>
      </c>
      <c r="L2198" s="0" t="str">
        <f aca="false">IF(H2198="TRUE","Out of stock","In stock")</f>
        <v>In stock</v>
      </c>
      <c r="M2198" s="0" t="str">
        <f aca="false">IF(D2198&lt;5,"1) Under 5%",IF(D2198&lt;10,"2) 5-9%",IF(D2198&lt;15,"3) 10-14%",IF(D2198&lt;25,"4) 15-24%","5) 25%+"))))</f>
        <v>3) 10-14%</v>
      </c>
      <c r="N2198" s="0" t="str">
        <f aca="false">IF(F2198&lt;50,"1) Under Rs 50",IF(F2198&lt;100,"2) Rs 50-99",IF(F2198&lt;200,"3) Rs 100-199",IF(F2198&lt;500,"4) Rs 200-499","5) Rs 500+"))))</f>
        <v>2) Rs 50-99</v>
      </c>
      <c r="O2198" s="0" t="n">
        <f aca="false">G2198*E2198/1000</f>
        <v>0.312</v>
      </c>
    </row>
    <row r="2199" customFormat="false" ht="15" hidden="false" customHeight="false" outlineLevel="0" collapsed="false">
      <c r="A2199" s="0" t="s">
        <v>90</v>
      </c>
      <c r="B2199" s="0" t="s">
        <v>840</v>
      </c>
      <c r="C2199" s="0" t="n">
        <v>68</v>
      </c>
      <c r="D2199" s="0" t="n">
        <v>4</v>
      </c>
      <c r="E2199" s="0" t="n">
        <v>1</v>
      </c>
      <c r="F2199" s="0" t="n">
        <v>65</v>
      </c>
      <c r="G2199" s="0" t="n">
        <v>425</v>
      </c>
      <c r="H2199" s="0" t="s">
        <v>145</v>
      </c>
      <c r="I2199" s="0" t="n">
        <v>425</v>
      </c>
      <c r="J2199" s="0" t="n">
        <f aca="false">F2199*E2199</f>
        <v>65</v>
      </c>
      <c r="K2199" s="0" t="str">
        <f aca="false">IF(G2199&lt;1000,"1-Low",IF(G2199&lt;5000,"2-Medium","3-Bulk"))</f>
        <v>1-Low</v>
      </c>
      <c r="L2199" s="0" t="str">
        <f aca="false">IF(H2199="TRUE","Out of stock","In stock")</f>
        <v>In stock</v>
      </c>
      <c r="M2199" s="0" t="str">
        <f aca="false">IF(D2199&lt;5,"1) Under 5%",IF(D2199&lt;10,"2) 5-9%",IF(D2199&lt;15,"3) 10-14%",IF(D2199&lt;25,"4) 15-24%","5) 25%+"))))</f>
        <v>1) Under 5%</v>
      </c>
      <c r="N2199" s="0" t="str">
        <f aca="false">IF(F2199&lt;50,"1) Under Rs 50",IF(F2199&lt;100,"2) Rs 50-99",IF(F2199&lt;200,"3) Rs 100-199",IF(F2199&lt;500,"4) Rs 200-499","5) Rs 500+"))))</f>
        <v>2) Rs 50-99</v>
      </c>
      <c r="O2199" s="0" t="n">
        <f aca="false">G2199*E2199/1000</f>
        <v>0.425</v>
      </c>
    </row>
    <row r="2200" customFormat="false" ht="15" hidden="false" customHeight="false" outlineLevel="0" collapsed="false">
      <c r="A2200" s="0" t="s">
        <v>90</v>
      </c>
      <c r="B2200" s="0" t="s">
        <v>841</v>
      </c>
      <c r="C2200" s="0" t="n">
        <v>380</v>
      </c>
      <c r="D2200" s="0" t="n">
        <v>6</v>
      </c>
      <c r="E2200" s="0" t="n">
        <v>5</v>
      </c>
      <c r="F2200" s="0" t="n">
        <v>357</v>
      </c>
      <c r="G2200" s="0" t="n">
        <v>350</v>
      </c>
      <c r="H2200" s="0" t="s">
        <v>145</v>
      </c>
      <c r="I2200" s="0" t="n">
        <v>350</v>
      </c>
      <c r="J2200" s="0" t="n">
        <f aca="false">F2200*E2200</f>
        <v>1785</v>
      </c>
      <c r="K2200" s="0" t="str">
        <f aca="false">IF(G2200&lt;1000,"1-Low",IF(G2200&lt;5000,"2-Medium","3-Bulk"))</f>
        <v>1-Low</v>
      </c>
      <c r="L2200" s="0" t="str">
        <f aca="false">IF(H2200="TRUE","Out of stock","In stock")</f>
        <v>In stock</v>
      </c>
      <c r="M2200" s="0" t="str">
        <f aca="false">IF(D2200&lt;5,"1) Under 5%",IF(D2200&lt;10,"2) 5-9%",IF(D2200&lt;15,"3) 10-14%",IF(D2200&lt;25,"4) 15-24%","5) 25%+"))))</f>
        <v>2) 5-9%</v>
      </c>
      <c r="N2200" s="0" t="str">
        <f aca="false">IF(F2200&lt;50,"1) Under Rs 50",IF(F2200&lt;100,"2) Rs 50-99",IF(F2200&lt;200,"3) Rs 100-199",IF(F2200&lt;500,"4) Rs 200-499","5) Rs 500+"))))</f>
        <v>4) Rs 200-499</v>
      </c>
      <c r="O2200" s="0" t="n">
        <f aca="false">G2200*E2200/1000</f>
        <v>1.75</v>
      </c>
    </row>
    <row r="2201" customFormat="false" ht="15" hidden="false" customHeight="false" outlineLevel="0" collapsed="false">
      <c r="A2201" s="0" t="s">
        <v>90</v>
      </c>
      <c r="B2201" s="0" t="s">
        <v>842</v>
      </c>
      <c r="C2201" s="0" t="n">
        <v>161</v>
      </c>
      <c r="D2201" s="0" t="n">
        <v>7</v>
      </c>
      <c r="E2201" s="0" t="n">
        <v>4</v>
      </c>
      <c r="F2201" s="0" t="n">
        <v>149</v>
      </c>
      <c r="G2201" s="0" t="n">
        <v>300</v>
      </c>
      <c r="H2201" s="0" t="s">
        <v>145</v>
      </c>
      <c r="I2201" s="0" t="n">
        <v>300</v>
      </c>
      <c r="J2201" s="0" t="n">
        <f aca="false">F2201*E2201</f>
        <v>596</v>
      </c>
      <c r="K2201" s="0" t="str">
        <f aca="false">IF(G2201&lt;1000,"1-Low",IF(G2201&lt;5000,"2-Medium","3-Bulk"))</f>
        <v>1-Low</v>
      </c>
      <c r="L2201" s="0" t="str">
        <f aca="false">IF(H2201="TRUE","Out of stock","In stock")</f>
        <v>In stock</v>
      </c>
      <c r="M2201" s="0" t="str">
        <f aca="false">IF(D2201&lt;5,"1) Under 5%",IF(D2201&lt;10,"2) 5-9%",IF(D2201&lt;15,"3) 10-14%",IF(D2201&lt;25,"4) 15-24%","5) 25%+"))))</f>
        <v>2) 5-9%</v>
      </c>
      <c r="N2201" s="0" t="str">
        <f aca="false">IF(F2201&lt;50,"1) Under Rs 50",IF(F2201&lt;100,"2) Rs 50-99",IF(F2201&lt;200,"3) Rs 100-199",IF(F2201&lt;500,"4) Rs 200-499","5) Rs 500+"))))</f>
        <v>3) Rs 100-199</v>
      </c>
      <c r="O2201" s="0" t="n">
        <f aca="false">G2201*E2201/1000</f>
        <v>1.2</v>
      </c>
    </row>
    <row r="2202" customFormat="false" ht="15" hidden="false" customHeight="false" outlineLevel="0" collapsed="false">
      <c r="A2202" s="0" t="s">
        <v>90</v>
      </c>
      <c r="B2202" s="0" t="s">
        <v>843</v>
      </c>
      <c r="C2202" s="0" t="n">
        <v>15</v>
      </c>
      <c r="D2202" s="0" t="n">
        <v>0</v>
      </c>
      <c r="E2202" s="0" t="n">
        <v>6</v>
      </c>
      <c r="F2202" s="0" t="n">
        <v>15</v>
      </c>
      <c r="G2202" s="0" t="n">
        <v>20</v>
      </c>
      <c r="H2202" s="0" t="s">
        <v>145</v>
      </c>
      <c r="I2202" s="0" t="n">
        <v>20</v>
      </c>
      <c r="J2202" s="0" t="n">
        <f aca="false">F2202*E2202</f>
        <v>90</v>
      </c>
      <c r="K2202" s="0" t="str">
        <f aca="false">IF(G2202&lt;1000,"1-Low",IF(G2202&lt;5000,"2-Medium","3-Bulk"))</f>
        <v>1-Low</v>
      </c>
      <c r="L2202" s="0" t="str">
        <f aca="false">IF(H2202="TRUE","Out of stock","In stock")</f>
        <v>In stock</v>
      </c>
      <c r="M2202" s="0" t="str">
        <f aca="false">IF(D2202&lt;5,"1) Under 5%",IF(D2202&lt;10,"2) 5-9%",IF(D2202&lt;15,"3) 10-14%",IF(D2202&lt;25,"4) 15-24%","5) 25%+"))))</f>
        <v>1) Under 5%</v>
      </c>
      <c r="N2202" s="0" t="str">
        <f aca="false">IF(F2202&lt;50,"1) Under Rs 50",IF(F2202&lt;100,"2) Rs 50-99",IF(F2202&lt;200,"3) Rs 100-199",IF(F2202&lt;500,"4) Rs 200-499","5) Rs 500+"))))</f>
        <v>1) Under Rs 50</v>
      </c>
      <c r="O2202" s="0" t="n">
        <f aca="false">G2202*E2202/1000</f>
        <v>0.12</v>
      </c>
    </row>
    <row r="2203" customFormat="false" ht="15" hidden="false" customHeight="false" outlineLevel="0" collapsed="false">
      <c r="A2203" s="0" t="s">
        <v>90</v>
      </c>
      <c r="B2203" s="0" t="s">
        <v>844</v>
      </c>
      <c r="C2203" s="0" t="n">
        <v>50</v>
      </c>
      <c r="D2203" s="0" t="n">
        <v>12</v>
      </c>
      <c r="E2203" s="0" t="n">
        <v>1</v>
      </c>
      <c r="F2203" s="0" t="n">
        <v>44</v>
      </c>
      <c r="G2203" s="0" t="n">
        <v>50</v>
      </c>
      <c r="H2203" s="0" t="s">
        <v>145</v>
      </c>
      <c r="I2203" s="0" t="n">
        <v>50</v>
      </c>
      <c r="J2203" s="0" t="n">
        <f aca="false">F2203*E2203</f>
        <v>44</v>
      </c>
      <c r="K2203" s="0" t="str">
        <f aca="false">IF(G2203&lt;1000,"1-Low",IF(G2203&lt;5000,"2-Medium","3-Bulk"))</f>
        <v>1-Low</v>
      </c>
      <c r="L2203" s="0" t="str">
        <f aca="false">IF(H2203="TRUE","Out of stock","In stock")</f>
        <v>In stock</v>
      </c>
      <c r="M2203" s="0" t="str">
        <f aca="false">IF(D2203&lt;5,"1) Under 5%",IF(D2203&lt;10,"2) 5-9%",IF(D2203&lt;15,"3) 10-14%",IF(D2203&lt;25,"4) 15-24%","5) 25%+"))))</f>
        <v>3) 10-14%</v>
      </c>
      <c r="N2203" s="0" t="str">
        <f aca="false">IF(F2203&lt;50,"1) Under Rs 50",IF(F2203&lt;100,"2) Rs 50-99",IF(F2203&lt;200,"3) Rs 100-199",IF(F2203&lt;500,"4) Rs 200-499","5) Rs 500+"))))</f>
        <v>1) Under Rs 50</v>
      </c>
      <c r="O2203" s="0" t="n">
        <f aca="false">G2203*E2203/1000</f>
        <v>0.05</v>
      </c>
    </row>
    <row r="2204" customFormat="false" ht="15" hidden="false" customHeight="false" outlineLevel="0" collapsed="false">
      <c r="A2204" s="0" t="s">
        <v>90</v>
      </c>
      <c r="B2204" s="0" t="s">
        <v>272</v>
      </c>
      <c r="C2204" s="0" t="n">
        <v>199</v>
      </c>
      <c r="D2204" s="0" t="n">
        <v>7</v>
      </c>
      <c r="E2204" s="0" t="n">
        <v>6</v>
      </c>
      <c r="F2204" s="0" t="n">
        <v>184</v>
      </c>
      <c r="G2204" s="0" t="n">
        <v>1000</v>
      </c>
      <c r="H2204" s="0" t="s">
        <v>145</v>
      </c>
      <c r="I2204" s="0" t="n">
        <v>1</v>
      </c>
      <c r="J2204" s="0" t="n">
        <f aca="false">F2204*E2204</f>
        <v>1104</v>
      </c>
      <c r="K2204" s="0" t="str">
        <f aca="false">IF(G2204&lt;1000,"1-Low",IF(G2204&lt;5000,"2-Medium","3-Bulk"))</f>
        <v>2-Medium</v>
      </c>
      <c r="L2204" s="0" t="str">
        <f aca="false">IF(H2204="TRUE","Out of stock","In stock")</f>
        <v>In stock</v>
      </c>
      <c r="M2204" s="0" t="str">
        <f aca="false">IF(D2204&lt;5,"1) Under 5%",IF(D2204&lt;10,"2) 5-9%",IF(D2204&lt;15,"3) 10-14%",IF(D2204&lt;25,"4) 15-24%","5) 25%+"))))</f>
        <v>2) 5-9%</v>
      </c>
      <c r="N2204" s="0" t="str">
        <f aca="false">IF(F2204&lt;50,"1) Under Rs 50",IF(F2204&lt;100,"2) Rs 50-99",IF(F2204&lt;200,"3) Rs 100-199",IF(F2204&lt;500,"4) Rs 200-499","5) Rs 500+"))))</f>
        <v>3) Rs 100-199</v>
      </c>
      <c r="O2204" s="0" t="n">
        <f aca="false">G2204*E2204/1000</f>
        <v>6</v>
      </c>
    </row>
    <row r="2205" customFormat="false" ht="15" hidden="false" customHeight="false" outlineLevel="0" collapsed="false">
      <c r="A2205" s="0" t="s">
        <v>90</v>
      </c>
      <c r="B2205" s="0" t="s">
        <v>845</v>
      </c>
      <c r="C2205" s="0" t="n">
        <v>55</v>
      </c>
      <c r="D2205" s="0" t="n">
        <v>25</v>
      </c>
      <c r="E2205" s="0" t="n">
        <v>6</v>
      </c>
      <c r="F2205" s="0" t="n">
        <v>41</v>
      </c>
      <c r="G2205" s="0" t="n">
        <v>27</v>
      </c>
      <c r="H2205" s="0" t="s">
        <v>145</v>
      </c>
      <c r="I2205" s="0" t="n">
        <v>27</v>
      </c>
      <c r="J2205" s="0" t="n">
        <f aca="false">F2205*E2205</f>
        <v>246</v>
      </c>
      <c r="K2205" s="0" t="str">
        <f aca="false">IF(G2205&lt;1000,"1-Low",IF(G2205&lt;5000,"2-Medium","3-Bulk"))</f>
        <v>1-Low</v>
      </c>
      <c r="L2205" s="0" t="str">
        <f aca="false">IF(H2205="TRUE","Out of stock","In stock")</f>
        <v>In stock</v>
      </c>
      <c r="M2205" s="0" t="str">
        <f aca="false">IF(D2205&lt;5,"1) Under 5%",IF(D2205&lt;10,"2) 5-9%",IF(D2205&lt;15,"3) 10-14%",IF(D2205&lt;25,"4) 15-24%","5) 25%+"))))</f>
        <v>5) 25%+</v>
      </c>
      <c r="N2205" s="0" t="str">
        <f aca="false">IF(F2205&lt;50,"1) Under Rs 50",IF(F2205&lt;100,"2) Rs 50-99",IF(F2205&lt;200,"3) Rs 100-199",IF(F2205&lt;500,"4) Rs 200-499","5) Rs 500+"))))</f>
        <v>1) Under Rs 50</v>
      </c>
      <c r="O2205" s="0" t="n">
        <f aca="false">G2205*E2205/1000</f>
        <v>0.162</v>
      </c>
    </row>
    <row r="2206" customFormat="false" ht="15" hidden="false" customHeight="false" outlineLevel="0" collapsed="false">
      <c r="A2206" s="0" t="s">
        <v>90</v>
      </c>
      <c r="B2206" s="0" t="s">
        <v>846</v>
      </c>
      <c r="C2206" s="0" t="n">
        <v>90</v>
      </c>
      <c r="D2206" s="0" t="n">
        <v>4</v>
      </c>
      <c r="E2206" s="0" t="n">
        <v>6</v>
      </c>
      <c r="F2206" s="0" t="n">
        <v>86</v>
      </c>
      <c r="G2206" s="0" t="n">
        <v>1160</v>
      </c>
      <c r="H2206" s="0" t="s">
        <v>145</v>
      </c>
      <c r="I2206" s="0" t="n">
        <v>20</v>
      </c>
      <c r="J2206" s="0" t="n">
        <f aca="false">F2206*E2206</f>
        <v>516</v>
      </c>
      <c r="K2206" s="0" t="str">
        <f aca="false">IF(G2206&lt;1000,"1-Low",IF(G2206&lt;5000,"2-Medium","3-Bulk"))</f>
        <v>2-Medium</v>
      </c>
      <c r="L2206" s="0" t="str">
        <f aca="false">IF(H2206="TRUE","Out of stock","In stock")</f>
        <v>In stock</v>
      </c>
      <c r="M2206" s="0" t="str">
        <f aca="false">IF(D2206&lt;5,"1) Under 5%",IF(D2206&lt;10,"2) 5-9%",IF(D2206&lt;15,"3) 10-14%",IF(D2206&lt;25,"4) 15-24%","5) 25%+"))))</f>
        <v>1) Under 5%</v>
      </c>
      <c r="N2206" s="0" t="str">
        <f aca="false">IF(F2206&lt;50,"1) Under Rs 50",IF(F2206&lt;100,"2) Rs 50-99",IF(F2206&lt;200,"3) Rs 100-199",IF(F2206&lt;500,"4) Rs 200-499","5) Rs 500+"))))</f>
        <v>2) Rs 50-99</v>
      </c>
      <c r="O2206" s="0" t="n">
        <f aca="false">G2206*E2206/1000</f>
        <v>6.96</v>
      </c>
    </row>
    <row r="2207" customFormat="false" ht="15" hidden="false" customHeight="false" outlineLevel="0" collapsed="false">
      <c r="A2207" s="0" t="s">
        <v>90</v>
      </c>
      <c r="B2207" s="0" t="s">
        <v>847</v>
      </c>
      <c r="C2207" s="0" t="n">
        <v>40</v>
      </c>
      <c r="D2207" s="0" t="n">
        <v>17</v>
      </c>
      <c r="E2207" s="0" t="n">
        <v>6</v>
      </c>
      <c r="F2207" s="0" t="n">
        <v>33</v>
      </c>
      <c r="G2207" s="0" t="n">
        <v>30</v>
      </c>
      <c r="H2207" s="0" t="s">
        <v>145</v>
      </c>
      <c r="I2207" s="0" t="n">
        <v>30</v>
      </c>
      <c r="J2207" s="0" t="n">
        <f aca="false">F2207*E2207</f>
        <v>198</v>
      </c>
      <c r="K2207" s="0" t="str">
        <f aca="false">IF(G2207&lt;1000,"1-Low",IF(G2207&lt;5000,"2-Medium","3-Bulk"))</f>
        <v>1-Low</v>
      </c>
      <c r="L2207" s="0" t="str">
        <f aca="false">IF(H2207="TRUE","Out of stock","In stock")</f>
        <v>In stock</v>
      </c>
      <c r="M2207" s="0" t="str">
        <f aca="false">IF(D2207&lt;5,"1) Under 5%",IF(D2207&lt;10,"2) 5-9%",IF(D2207&lt;15,"3) 10-14%",IF(D2207&lt;25,"4) 15-24%","5) 25%+"))))</f>
        <v>4) 15-24%</v>
      </c>
      <c r="N2207" s="0" t="str">
        <f aca="false">IF(F2207&lt;50,"1) Under Rs 50",IF(F2207&lt;100,"2) Rs 50-99",IF(F2207&lt;200,"3) Rs 100-199",IF(F2207&lt;500,"4) Rs 200-499","5) Rs 500+"))))</f>
        <v>1) Under Rs 50</v>
      </c>
      <c r="O2207" s="0" t="n">
        <f aca="false">G2207*E2207/1000</f>
        <v>0.18</v>
      </c>
    </row>
    <row r="2208" customFormat="false" ht="15" hidden="false" customHeight="false" outlineLevel="0" collapsed="false">
      <c r="A2208" s="0" t="s">
        <v>90</v>
      </c>
      <c r="B2208" s="0" t="s">
        <v>848</v>
      </c>
      <c r="C2208" s="0" t="n">
        <v>10</v>
      </c>
      <c r="D2208" s="0" t="n">
        <v>0</v>
      </c>
      <c r="E2208" s="0" t="n">
        <v>1</v>
      </c>
      <c r="F2208" s="0" t="n">
        <v>10</v>
      </c>
      <c r="G2208" s="0" t="n">
        <v>16</v>
      </c>
      <c r="H2208" s="0" t="s">
        <v>145</v>
      </c>
      <c r="I2208" s="0" t="n">
        <v>15</v>
      </c>
      <c r="J2208" s="0" t="n">
        <f aca="false">F2208*E2208</f>
        <v>10</v>
      </c>
      <c r="K2208" s="0" t="str">
        <f aca="false">IF(G2208&lt;1000,"1-Low",IF(G2208&lt;5000,"2-Medium","3-Bulk"))</f>
        <v>1-Low</v>
      </c>
      <c r="L2208" s="0" t="str">
        <f aca="false">IF(H2208="TRUE","Out of stock","In stock")</f>
        <v>In stock</v>
      </c>
      <c r="M2208" s="0" t="str">
        <f aca="false">IF(D2208&lt;5,"1) Under 5%",IF(D2208&lt;10,"2) 5-9%",IF(D2208&lt;15,"3) 10-14%",IF(D2208&lt;25,"4) 15-24%","5) 25%+"))))</f>
        <v>1) Under 5%</v>
      </c>
      <c r="N2208" s="0" t="str">
        <f aca="false">IF(F2208&lt;50,"1) Under Rs 50",IF(F2208&lt;100,"2) Rs 50-99",IF(F2208&lt;200,"3) Rs 100-199",IF(F2208&lt;500,"4) Rs 200-499","5) Rs 500+"))))</f>
        <v>1) Under Rs 50</v>
      </c>
      <c r="O2208" s="0" t="n">
        <f aca="false">G2208*E2208/1000</f>
        <v>0.016</v>
      </c>
    </row>
    <row r="2209" customFormat="false" ht="15" hidden="false" customHeight="false" outlineLevel="0" collapsed="false">
      <c r="A2209" s="0" t="s">
        <v>90</v>
      </c>
      <c r="B2209" s="0" t="s">
        <v>327</v>
      </c>
      <c r="C2209" s="0" t="n">
        <v>160</v>
      </c>
      <c r="D2209" s="0" t="n">
        <v>50</v>
      </c>
      <c r="E2209" s="0" t="n">
        <v>6</v>
      </c>
      <c r="F2209" s="0" t="n">
        <v>80</v>
      </c>
      <c r="G2209" s="0" t="n">
        <v>500</v>
      </c>
      <c r="H2209" s="0" t="s">
        <v>145</v>
      </c>
      <c r="I2209" s="0" t="n">
        <v>500</v>
      </c>
      <c r="J2209" s="0" t="n">
        <f aca="false">F2209*E2209</f>
        <v>480</v>
      </c>
      <c r="K2209" s="0" t="str">
        <f aca="false">IF(G2209&lt;1000,"1-Low",IF(G2209&lt;5000,"2-Medium","3-Bulk"))</f>
        <v>1-Low</v>
      </c>
      <c r="L2209" s="0" t="str">
        <f aca="false">IF(H2209="TRUE","Out of stock","In stock")</f>
        <v>In stock</v>
      </c>
      <c r="M2209" s="0" t="str">
        <f aca="false">IF(D2209&lt;5,"1) Under 5%",IF(D2209&lt;10,"2) 5-9%",IF(D2209&lt;15,"3) 10-14%",IF(D2209&lt;25,"4) 15-24%","5) 25%+"))))</f>
        <v>5) 25%+</v>
      </c>
      <c r="N2209" s="0" t="str">
        <f aca="false">IF(F2209&lt;50,"1) Under Rs 50",IF(F2209&lt;100,"2) Rs 50-99",IF(F2209&lt;200,"3) Rs 100-199",IF(F2209&lt;500,"4) Rs 200-499","5) Rs 500+"))))</f>
        <v>2) Rs 50-99</v>
      </c>
      <c r="O2209" s="0" t="n">
        <f aca="false">G2209*E2209/1000</f>
        <v>3</v>
      </c>
    </row>
    <row r="2210" customFormat="false" ht="15" hidden="false" customHeight="false" outlineLevel="0" collapsed="false">
      <c r="A2210" s="0" t="s">
        <v>90</v>
      </c>
      <c r="B2210" s="0" t="s">
        <v>326</v>
      </c>
      <c r="C2210" s="0" t="n">
        <v>60</v>
      </c>
      <c r="D2210" s="0" t="n">
        <v>28</v>
      </c>
      <c r="E2210" s="0" t="n">
        <v>3</v>
      </c>
      <c r="F2210" s="0" t="n">
        <v>43</v>
      </c>
      <c r="G2210" s="0" t="n">
        <v>260</v>
      </c>
      <c r="H2210" s="0" t="s">
        <v>145</v>
      </c>
      <c r="I2210" s="0" t="n">
        <v>260</v>
      </c>
      <c r="J2210" s="0" t="n">
        <f aca="false">F2210*E2210</f>
        <v>129</v>
      </c>
      <c r="K2210" s="0" t="str">
        <f aca="false">IF(G2210&lt;1000,"1-Low",IF(G2210&lt;5000,"2-Medium","3-Bulk"))</f>
        <v>1-Low</v>
      </c>
      <c r="L2210" s="0" t="str">
        <f aca="false">IF(H2210="TRUE","Out of stock","In stock")</f>
        <v>In stock</v>
      </c>
      <c r="M2210" s="0" t="str">
        <f aca="false">IF(D2210&lt;5,"1) Under 5%",IF(D2210&lt;10,"2) 5-9%",IF(D2210&lt;15,"3) 10-14%",IF(D2210&lt;25,"4) 15-24%","5) 25%+"))))</f>
        <v>5) 25%+</v>
      </c>
      <c r="N2210" s="0" t="str">
        <f aca="false">IF(F2210&lt;50,"1) Under Rs 50",IF(F2210&lt;100,"2) Rs 50-99",IF(F2210&lt;200,"3) Rs 100-199",IF(F2210&lt;500,"4) Rs 200-499","5) Rs 500+"))))</f>
        <v>1) Under Rs 50</v>
      </c>
      <c r="O2210" s="0" t="n">
        <f aca="false">G2210*E2210/1000</f>
        <v>0.78</v>
      </c>
    </row>
    <row r="2211" customFormat="false" ht="15" hidden="false" customHeight="false" outlineLevel="0" collapsed="false">
      <c r="A2211" s="0" t="s">
        <v>90</v>
      </c>
      <c r="B2211" s="0" t="s">
        <v>328</v>
      </c>
      <c r="C2211" s="0" t="n">
        <v>25</v>
      </c>
      <c r="D2211" s="0" t="n">
        <v>20</v>
      </c>
      <c r="E2211" s="0" t="n">
        <v>6</v>
      </c>
      <c r="F2211" s="0" t="n">
        <v>20</v>
      </c>
      <c r="G2211" s="0" t="n">
        <v>60</v>
      </c>
      <c r="H2211" s="0" t="s">
        <v>145</v>
      </c>
      <c r="I2211" s="0" t="n">
        <v>60</v>
      </c>
      <c r="J2211" s="0" t="n">
        <f aca="false">F2211*E2211</f>
        <v>120</v>
      </c>
      <c r="K2211" s="0" t="str">
        <f aca="false">IF(G2211&lt;1000,"1-Low",IF(G2211&lt;5000,"2-Medium","3-Bulk"))</f>
        <v>1-Low</v>
      </c>
      <c r="L2211" s="0" t="str">
        <f aca="false">IF(H2211="TRUE","Out of stock","In stock")</f>
        <v>In stock</v>
      </c>
      <c r="M2211" s="0" t="str">
        <f aca="false">IF(D2211&lt;5,"1) Under 5%",IF(D2211&lt;10,"2) 5-9%",IF(D2211&lt;15,"3) 10-14%",IF(D2211&lt;25,"4) 15-24%","5) 25%+"))))</f>
        <v>4) 15-24%</v>
      </c>
      <c r="N2211" s="0" t="str">
        <f aca="false">IF(F2211&lt;50,"1) Under Rs 50",IF(F2211&lt;100,"2) Rs 50-99",IF(F2211&lt;200,"3) Rs 100-199",IF(F2211&lt;500,"4) Rs 200-499","5) Rs 500+"))))</f>
        <v>1) Under Rs 50</v>
      </c>
      <c r="O2211" s="0" t="n">
        <f aca="false">G2211*E2211/1000</f>
        <v>0.36</v>
      </c>
    </row>
    <row r="2212" customFormat="false" ht="15" hidden="false" customHeight="false" outlineLevel="0" collapsed="false">
      <c r="A2212" s="0" t="s">
        <v>90</v>
      </c>
      <c r="B2212" s="0" t="s">
        <v>849</v>
      </c>
      <c r="C2212" s="0" t="n">
        <v>445</v>
      </c>
      <c r="D2212" s="0" t="n">
        <v>9</v>
      </c>
      <c r="E2212" s="0" t="n">
        <v>6</v>
      </c>
      <c r="F2212" s="0" t="n">
        <v>401</v>
      </c>
      <c r="G2212" s="0" t="n">
        <v>750</v>
      </c>
      <c r="H2212" s="0" t="s">
        <v>145</v>
      </c>
      <c r="I2212" s="0" t="n">
        <v>750</v>
      </c>
      <c r="J2212" s="0" t="n">
        <f aca="false">F2212*E2212</f>
        <v>2406</v>
      </c>
      <c r="K2212" s="0" t="str">
        <f aca="false">IF(G2212&lt;1000,"1-Low",IF(G2212&lt;5000,"2-Medium","3-Bulk"))</f>
        <v>1-Low</v>
      </c>
      <c r="L2212" s="0" t="str">
        <f aca="false">IF(H2212="TRUE","Out of stock","In stock")</f>
        <v>In stock</v>
      </c>
      <c r="M2212" s="0" t="str">
        <f aca="false">IF(D2212&lt;5,"1) Under 5%",IF(D2212&lt;10,"2) 5-9%",IF(D2212&lt;15,"3) 10-14%",IF(D2212&lt;25,"4) 15-24%","5) 25%+"))))</f>
        <v>2) 5-9%</v>
      </c>
      <c r="N2212" s="0" t="str">
        <f aca="false">IF(F2212&lt;50,"1) Under Rs 50",IF(F2212&lt;100,"2) Rs 50-99",IF(F2212&lt;200,"3) Rs 100-199",IF(F2212&lt;500,"4) Rs 200-499","5) Rs 500+"))))</f>
        <v>4) Rs 200-499</v>
      </c>
      <c r="O2212" s="0" t="n">
        <f aca="false">G2212*E2212/1000</f>
        <v>4.5</v>
      </c>
    </row>
    <row r="2213" customFormat="false" ht="15" hidden="false" customHeight="false" outlineLevel="0" collapsed="false">
      <c r="A2213" s="0" t="s">
        <v>90</v>
      </c>
      <c r="B2213" s="0" t="s">
        <v>850</v>
      </c>
      <c r="C2213" s="0" t="n">
        <v>50</v>
      </c>
      <c r="D2213" s="0" t="n">
        <v>0</v>
      </c>
      <c r="E2213" s="0" t="n">
        <v>4</v>
      </c>
      <c r="F2213" s="0" t="n">
        <v>50</v>
      </c>
      <c r="G2213" s="0" t="n">
        <v>170</v>
      </c>
      <c r="H2213" s="0" t="s">
        <v>145</v>
      </c>
      <c r="I2213" s="0" t="n">
        <v>170</v>
      </c>
      <c r="J2213" s="0" t="n">
        <f aca="false">F2213*E2213</f>
        <v>200</v>
      </c>
      <c r="K2213" s="0" t="str">
        <f aca="false">IF(G2213&lt;1000,"1-Low",IF(G2213&lt;5000,"2-Medium","3-Bulk"))</f>
        <v>1-Low</v>
      </c>
      <c r="L2213" s="0" t="str">
        <f aca="false">IF(H2213="TRUE","Out of stock","In stock")</f>
        <v>In stock</v>
      </c>
      <c r="M2213" s="0" t="str">
        <f aca="false">IF(D2213&lt;5,"1) Under 5%",IF(D2213&lt;10,"2) 5-9%",IF(D2213&lt;15,"3) 10-14%",IF(D2213&lt;25,"4) 15-24%","5) 25%+"))))</f>
        <v>1) Under 5%</v>
      </c>
      <c r="N2213" s="0" t="str">
        <f aca="false">IF(F2213&lt;50,"1) Under Rs 50",IF(F2213&lt;100,"2) Rs 50-99",IF(F2213&lt;200,"3) Rs 100-199",IF(F2213&lt;500,"4) Rs 200-499","5) Rs 500+"))))</f>
        <v>2) Rs 50-99</v>
      </c>
      <c r="O2213" s="0" t="n">
        <f aca="false">G2213*E2213/1000</f>
        <v>0.68</v>
      </c>
    </row>
    <row r="2214" customFormat="false" ht="15" hidden="false" customHeight="false" outlineLevel="0" collapsed="false">
      <c r="A2214" s="0" t="s">
        <v>90</v>
      </c>
      <c r="B2214" s="0" t="s">
        <v>851</v>
      </c>
      <c r="C2214" s="0" t="n">
        <v>55</v>
      </c>
      <c r="D2214" s="0" t="n">
        <v>0</v>
      </c>
      <c r="E2214" s="0" t="n">
        <v>6</v>
      </c>
      <c r="F2214" s="0" t="n">
        <v>55</v>
      </c>
      <c r="G2214" s="0" t="n">
        <v>200</v>
      </c>
      <c r="H2214" s="0" t="s">
        <v>145</v>
      </c>
      <c r="I2214" s="0" t="n">
        <v>200</v>
      </c>
      <c r="J2214" s="0" t="n">
        <f aca="false">F2214*E2214</f>
        <v>330</v>
      </c>
      <c r="K2214" s="0" t="str">
        <f aca="false">IF(G2214&lt;1000,"1-Low",IF(G2214&lt;5000,"2-Medium","3-Bulk"))</f>
        <v>1-Low</v>
      </c>
      <c r="L2214" s="0" t="str">
        <f aca="false">IF(H2214="TRUE","Out of stock","In stock")</f>
        <v>In stock</v>
      </c>
      <c r="M2214" s="0" t="str">
        <f aca="false">IF(D2214&lt;5,"1) Under 5%",IF(D2214&lt;10,"2) 5-9%",IF(D2214&lt;15,"3) 10-14%",IF(D2214&lt;25,"4) 15-24%","5) 25%+"))))</f>
        <v>1) Under 5%</v>
      </c>
      <c r="N2214" s="0" t="str">
        <f aca="false">IF(F2214&lt;50,"1) Under Rs 50",IF(F2214&lt;100,"2) Rs 50-99",IF(F2214&lt;200,"3) Rs 100-199",IF(F2214&lt;500,"4) Rs 200-499","5) Rs 500+"))))</f>
        <v>2) Rs 50-99</v>
      </c>
      <c r="O2214" s="0" t="n">
        <f aca="false">G2214*E2214/1000</f>
        <v>1.2</v>
      </c>
    </row>
    <row r="2215" customFormat="false" ht="15" hidden="false" customHeight="false" outlineLevel="0" collapsed="false">
      <c r="A2215" s="0" t="s">
        <v>90</v>
      </c>
      <c r="B2215" s="0" t="s">
        <v>738</v>
      </c>
      <c r="C2215" s="0" t="n">
        <v>40</v>
      </c>
      <c r="D2215" s="0" t="n">
        <v>2</v>
      </c>
      <c r="E2215" s="0" t="n">
        <v>5</v>
      </c>
      <c r="F2215" s="0" t="n">
        <v>39</v>
      </c>
      <c r="G2215" s="0" t="n">
        <v>100</v>
      </c>
      <c r="H2215" s="0" t="s">
        <v>145</v>
      </c>
      <c r="I2215" s="0" t="n">
        <v>100</v>
      </c>
      <c r="J2215" s="0" t="n">
        <f aca="false">F2215*E2215</f>
        <v>195</v>
      </c>
      <c r="K2215" s="0" t="str">
        <f aca="false">IF(G2215&lt;1000,"1-Low",IF(G2215&lt;5000,"2-Medium","3-Bulk"))</f>
        <v>1-Low</v>
      </c>
      <c r="L2215" s="0" t="str">
        <f aca="false">IF(H2215="TRUE","Out of stock","In stock")</f>
        <v>In stock</v>
      </c>
      <c r="M2215" s="0" t="str">
        <f aca="false">IF(D2215&lt;5,"1) Under 5%",IF(D2215&lt;10,"2) 5-9%",IF(D2215&lt;15,"3) 10-14%",IF(D2215&lt;25,"4) 15-24%","5) 25%+"))))</f>
        <v>1) Under 5%</v>
      </c>
      <c r="N2215" s="0" t="str">
        <f aca="false">IF(F2215&lt;50,"1) Under Rs 50",IF(F2215&lt;100,"2) Rs 50-99",IF(F2215&lt;200,"3) Rs 100-199",IF(F2215&lt;500,"4) Rs 200-499","5) Rs 500+"))))</f>
        <v>1) Under Rs 50</v>
      </c>
      <c r="O2215" s="0" t="n">
        <f aca="false">G2215*E2215/1000</f>
        <v>0.5</v>
      </c>
    </row>
    <row r="2216" customFormat="false" ht="15" hidden="false" customHeight="false" outlineLevel="0" collapsed="false">
      <c r="A2216" s="0" t="s">
        <v>90</v>
      </c>
      <c r="B2216" s="0" t="s">
        <v>331</v>
      </c>
      <c r="C2216" s="0" t="n">
        <v>250</v>
      </c>
      <c r="D2216" s="0" t="n">
        <v>0</v>
      </c>
      <c r="E2216" s="0" t="n">
        <v>3</v>
      </c>
      <c r="F2216" s="0" t="n">
        <v>250</v>
      </c>
      <c r="G2216" s="0" t="n">
        <v>500</v>
      </c>
      <c r="H2216" s="0" t="s">
        <v>145</v>
      </c>
      <c r="I2216" s="0" t="n">
        <v>500</v>
      </c>
      <c r="J2216" s="0" t="n">
        <f aca="false">F2216*E2216</f>
        <v>750</v>
      </c>
      <c r="K2216" s="0" t="str">
        <f aca="false">IF(G2216&lt;1000,"1-Low",IF(G2216&lt;5000,"2-Medium","3-Bulk"))</f>
        <v>1-Low</v>
      </c>
      <c r="L2216" s="0" t="str">
        <f aca="false">IF(H2216="TRUE","Out of stock","In stock")</f>
        <v>In stock</v>
      </c>
      <c r="M2216" s="0" t="str">
        <f aca="false">IF(D2216&lt;5,"1) Under 5%",IF(D2216&lt;10,"2) 5-9%",IF(D2216&lt;15,"3) 10-14%",IF(D2216&lt;25,"4) 15-24%","5) 25%+"))))</f>
        <v>1) Under 5%</v>
      </c>
      <c r="N2216" s="0" t="str">
        <f aca="false">IF(F2216&lt;50,"1) Under Rs 50",IF(F2216&lt;100,"2) Rs 50-99",IF(F2216&lt;200,"3) Rs 100-199",IF(F2216&lt;500,"4) Rs 200-499","5) Rs 500+"))))</f>
        <v>4) Rs 200-499</v>
      </c>
      <c r="O2216" s="0" t="n">
        <f aca="false">G2216*E2216/1000</f>
        <v>1.5</v>
      </c>
    </row>
    <row r="2217" customFormat="false" ht="15" hidden="false" customHeight="false" outlineLevel="0" collapsed="false">
      <c r="A2217" s="0" t="s">
        <v>90</v>
      </c>
      <c r="B2217" s="0" t="s">
        <v>852</v>
      </c>
      <c r="C2217" s="0" t="n">
        <v>55</v>
      </c>
      <c r="D2217" s="0" t="n">
        <v>20</v>
      </c>
      <c r="E2217" s="0" t="n">
        <v>6</v>
      </c>
      <c r="F2217" s="0" t="n">
        <v>44</v>
      </c>
      <c r="G2217" s="0" t="n">
        <v>27</v>
      </c>
      <c r="H2217" s="0" t="s">
        <v>145</v>
      </c>
      <c r="I2217" s="0" t="n">
        <v>27</v>
      </c>
      <c r="J2217" s="0" t="n">
        <f aca="false">F2217*E2217</f>
        <v>264</v>
      </c>
      <c r="K2217" s="0" t="str">
        <f aca="false">IF(G2217&lt;1000,"1-Low",IF(G2217&lt;5000,"2-Medium","3-Bulk"))</f>
        <v>1-Low</v>
      </c>
      <c r="L2217" s="0" t="str">
        <f aca="false">IF(H2217="TRUE","Out of stock","In stock")</f>
        <v>In stock</v>
      </c>
      <c r="M2217" s="0" t="str">
        <f aca="false">IF(D2217&lt;5,"1) Under 5%",IF(D2217&lt;10,"2) 5-9%",IF(D2217&lt;15,"3) 10-14%",IF(D2217&lt;25,"4) 15-24%","5) 25%+"))))</f>
        <v>4) 15-24%</v>
      </c>
      <c r="N2217" s="0" t="str">
        <f aca="false">IF(F2217&lt;50,"1) Under Rs 50",IF(F2217&lt;100,"2) Rs 50-99",IF(F2217&lt;200,"3) Rs 100-199",IF(F2217&lt;500,"4) Rs 200-499","5) Rs 500+"))))</f>
        <v>1) Under Rs 50</v>
      </c>
      <c r="O2217" s="0" t="n">
        <f aca="false">G2217*E2217/1000</f>
        <v>0.162</v>
      </c>
    </row>
    <row r="2218" customFormat="false" ht="15" hidden="false" customHeight="false" outlineLevel="0" collapsed="false">
      <c r="A2218" s="0" t="s">
        <v>90</v>
      </c>
      <c r="B2218" s="0" t="s">
        <v>853</v>
      </c>
      <c r="C2218" s="0" t="n">
        <v>55</v>
      </c>
      <c r="D2218" s="0" t="n">
        <v>20</v>
      </c>
      <c r="E2218" s="0" t="n">
        <v>6</v>
      </c>
      <c r="F2218" s="0" t="n">
        <v>44</v>
      </c>
      <c r="G2218" s="0" t="n">
        <v>27</v>
      </c>
      <c r="H2218" s="0" t="s">
        <v>145</v>
      </c>
      <c r="I2218" s="0" t="n">
        <v>27</v>
      </c>
      <c r="J2218" s="0" t="n">
        <f aca="false">F2218*E2218</f>
        <v>264</v>
      </c>
      <c r="K2218" s="0" t="str">
        <f aca="false">IF(G2218&lt;1000,"1-Low",IF(G2218&lt;5000,"2-Medium","3-Bulk"))</f>
        <v>1-Low</v>
      </c>
      <c r="L2218" s="0" t="str">
        <f aca="false">IF(H2218="TRUE","Out of stock","In stock")</f>
        <v>In stock</v>
      </c>
      <c r="M2218" s="0" t="str">
        <f aca="false">IF(D2218&lt;5,"1) Under 5%",IF(D2218&lt;10,"2) 5-9%",IF(D2218&lt;15,"3) 10-14%",IF(D2218&lt;25,"4) 15-24%","5) 25%+"))))</f>
        <v>4) 15-24%</v>
      </c>
      <c r="N2218" s="0" t="str">
        <f aca="false">IF(F2218&lt;50,"1) Under Rs 50",IF(F2218&lt;100,"2) Rs 50-99",IF(F2218&lt;200,"3) Rs 100-199",IF(F2218&lt;500,"4) Rs 200-499","5) Rs 500+"))))</f>
        <v>1) Under Rs 50</v>
      </c>
      <c r="O2218" s="0" t="n">
        <f aca="false">G2218*E2218/1000</f>
        <v>0.162</v>
      </c>
    </row>
    <row r="2219" customFormat="false" ht="15" hidden="false" customHeight="false" outlineLevel="0" collapsed="false">
      <c r="A2219" s="0" t="s">
        <v>90</v>
      </c>
      <c r="B2219" s="0" t="s">
        <v>854</v>
      </c>
      <c r="C2219" s="0" t="n">
        <v>115</v>
      </c>
      <c r="D2219" s="0" t="n">
        <v>0</v>
      </c>
      <c r="E2219" s="0" t="n">
        <v>1</v>
      </c>
      <c r="F2219" s="0" t="n">
        <v>115</v>
      </c>
      <c r="G2219" s="0" t="n">
        <v>500</v>
      </c>
      <c r="H2219" s="0" t="s">
        <v>145</v>
      </c>
      <c r="I2219" s="0" t="n">
        <v>500</v>
      </c>
      <c r="J2219" s="0" t="n">
        <f aca="false">F2219*E2219</f>
        <v>115</v>
      </c>
      <c r="K2219" s="0" t="str">
        <f aca="false">IF(G2219&lt;1000,"1-Low",IF(G2219&lt;5000,"2-Medium","3-Bulk"))</f>
        <v>1-Low</v>
      </c>
      <c r="L2219" s="0" t="str">
        <f aca="false">IF(H2219="TRUE","Out of stock","In stock")</f>
        <v>In stock</v>
      </c>
      <c r="M2219" s="0" t="str">
        <f aca="false">IF(D2219&lt;5,"1) Under 5%",IF(D2219&lt;10,"2) 5-9%",IF(D2219&lt;15,"3) 10-14%",IF(D2219&lt;25,"4) 15-24%","5) 25%+"))))</f>
        <v>1) Under 5%</v>
      </c>
      <c r="N2219" s="0" t="str">
        <f aca="false">IF(F2219&lt;50,"1) Under Rs 50",IF(F2219&lt;100,"2) Rs 50-99",IF(F2219&lt;200,"3) Rs 100-199",IF(F2219&lt;500,"4) Rs 200-499","5) Rs 500+"))))</f>
        <v>3) Rs 100-199</v>
      </c>
      <c r="O2219" s="0" t="n">
        <f aca="false">G2219*E2219/1000</f>
        <v>0.5</v>
      </c>
    </row>
    <row r="2220" customFormat="false" ht="15" hidden="false" customHeight="false" outlineLevel="0" collapsed="false">
      <c r="A2220" s="0" t="s">
        <v>90</v>
      </c>
      <c r="B2220" s="0" t="s">
        <v>855</v>
      </c>
      <c r="C2220" s="0" t="n">
        <v>96</v>
      </c>
      <c r="D2220" s="0" t="n">
        <v>5</v>
      </c>
      <c r="E2220" s="0" t="n">
        <v>4</v>
      </c>
      <c r="F2220" s="0" t="n">
        <v>91</v>
      </c>
      <c r="G2220" s="0" t="n">
        <v>540</v>
      </c>
      <c r="H2220" s="0" t="s">
        <v>145</v>
      </c>
      <c r="I2220" s="0" t="n">
        <v>540</v>
      </c>
      <c r="J2220" s="0" t="n">
        <f aca="false">F2220*E2220</f>
        <v>364</v>
      </c>
      <c r="K2220" s="0" t="str">
        <f aca="false">IF(G2220&lt;1000,"1-Low",IF(G2220&lt;5000,"2-Medium","3-Bulk"))</f>
        <v>1-Low</v>
      </c>
      <c r="L2220" s="0" t="str">
        <f aca="false">IF(H2220="TRUE","Out of stock","In stock")</f>
        <v>In stock</v>
      </c>
      <c r="M2220" s="0" t="str">
        <f aca="false">IF(D2220&lt;5,"1) Under 5%",IF(D2220&lt;10,"2) 5-9%",IF(D2220&lt;15,"3) 10-14%",IF(D2220&lt;25,"4) 15-24%","5) 25%+"))))</f>
        <v>2) 5-9%</v>
      </c>
      <c r="N2220" s="0" t="str">
        <f aca="false">IF(F2220&lt;50,"1) Under Rs 50",IF(F2220&lt;100,"2) Rs 50-99",IF(F2220&lt;200,"3) Rs 100-199",IF(F2220&lt;500,"4) Rs 200-499","5) Rs 500+"))))</f>
        <v>2) Rs 50-99</v>
      </c>
      <c r="O2220" s="0" t="n">
        <f aca="false">G2220*E2220/1000</f>
        <v>2.16</v>
      </c>
    </row>
    <row r="2221" customFormat="false" ht="15" hidden="false" customHeight="false" outlineLevel="0" collapsed="false">
      <c r="A2221" s="0" t="s">
        <v>90</v>
      </c>
      <c r="B2221" s="0" t="s">
        <v>345</v>
      </c>
      <c r="C2221" s="0" t="n">
        <v>160</v>
      </c>
      <c r="D2221" s="0" t="n">
        <v>50</v>
      </c>
      <c r="E2221" s="0" t="n">
        <v>6</v>
      </c>
      <c r="F2221" s="0" t="n">
        <v>80</v>
      </c>
      <c r="G2221" s="0" t="n">
        <v>500</v>
      </c>
      <c r="H2221" s="0" t="s">
        <v>145</v>
      </c>
      <c r="I2221" s="0" t="n">
        <v>500</v>
      </c>
      <c r="J2221" s="0" t="n">
        <f aca="false">F2221*E2221</f>
        <v>480</v>
      </c>
      <c r="K2221" s="0" t="str">
        <f aca="false">IF(G2221&lt;1000,"1-Low",IF(G2221&lt;5000,"2-Medium","3-Bulk"))</f>
        <v>1-Low</v>
      </c>
      <c r="L2221" s="0" t="str">
        <f aca="false">IF(H2221="TRUE","Out of stock","In stock")</f>
        <v>In stock</v>
      </c>
      <c r="M2221" s="0" t="str">
        <f aca="false">IF(D2221&lt;5,"1) Under 5%",IF(D2221&lt;10,"2) 5-9%",IF(D2221&lt;15,"3) 10-14%",IF(D2221&lt;25,"4) 15-24%","5) 25%+"))))</f>
        <v>5) 25%+</v>
      </c>
      <c r="N2221" s="0" t="str">
        <f aca="false">IF(F2221&lt;50,"1) Under Rs 50",IF(F2221&lt;100,"2) Rs 50-99",IF(F2221&lt;200,"3) Rs 100-199",IF(F2221&lt;500,"4) Rs 200-499","5) Rs 500+"))))</f>
        <v>2) Rs 50-99</v>
      </c>
      <c r="O2221" s="0" t="n">
        <f aca="false">G2221*E2221/1000</f>
        <v>3</v>
      </c>
    </row>
    <row r="2222" customFormat="false" ht="15" hidden="false" customHeight="false" outlineLevel="0" collapsed="false">
      <c r="A2222" s="0" t="s">
        <v>90</v>
      </c>
      <c r="B2222" s="0" t="s">
        <v>347</v>
      </c>
      <c r="C2222" s="0" t="n">
        <v>60</v>
      </c>
      <c r="D2222" s="0" t="n">
        <v>10</v>
      </c>
      <c r="E2222" s="0" t="n">
        <v>1</v>
      </c>
      <c r="F2222" s="0" t="n">
        <v>54</v>
      </c>
      <c r="G2222" s="0" t="n">
        <v>280</v>
      </c>
      <c r="H2222" s="0" t="s">
        <v>145</v>
      </c>
      <c r="I2222" s="0" t="n">
        <v>280</v>
      </c>
      <c r="J2222" s="0" t="n">
        <f aca="false">F2222*E2222</f>
        <v>54</v>
      </c>
      <c r="K2222" s="0" t="str">
        <f aca="false">IF(G2222&lt;1000,"1-Low",IF(G2222&lt;5000,"2-Medium","3-Bulk"))</f>
        <v>1-Low</v>
      </c>
      <c r="L2222" s="0" t="str">
        <f aca="false">IF(H2222="TRUE","Out of stock","In stock")</f>
        <v>In stock</v>
      </c>
      <c r="M2222" s="0" t="str">
        <f aca="false">IF(D2222&lt;5,"1) Under 5%",IF(D2222&lt;10,"2) 5-9%",IF(D2222&lt;15,"3) 10-14%",IF(D2222&lt;25,"4) 15-24%","5) 25%+"))))</f>
        <v>3) 10-14%</v>
      </c>
      <c r="N2222" s="0" t="str">
        <f aca="false">IF(F2222&lt;50,"1) Under Rs 50",IF(F2222&lt;100,"2) Rs 50-99",IF(F2222&lt;200,"3) Rs 100-199",IF(F2222&lt;500,"4) Rs 200-499","5) Rs 500+"))))</f>
        <v>2) Rs 50-99</v>
      </c>
      <c r="O2222" s="0" t="n">
        <f aca="false">G2222*E2222/1000</f>
        <v>0.28</v>
      </c>
    </row>
    <row r="2223" customFormat="false" ht="15" hidden="false" customHeight="false" outlineLevel="0" collapsed="false">
      <c r="A2223" s="0" t="s">
        <v>90</v>
      </c>
      <c r="B2223" s="0" t="s">
        <v>856</v>
      </c>
      <c r="C2223" s="0" t="n">
        <v>89</v>
      </c>
      <c r="D2223" s="0" t="n">
        <v>11</v>
      </c>
      <c r="E2223" s="0" t="n">
        <v>6</v>
      </c>
      <c r="F2223" s="0" t="n">
        <v>79</v>
      </c>
      <c r="G2223" s="0" t="n">
        <v>275</v>
      </c>
      <c r="H2223" s="0" t="s">
        <v>145</v>
      </c>
      <c r="I2223" s="0" t="n">
        <v>275</v>
      </c>
      <c r="J2223" s="0" t="n">
        <f aca="false">F2223*E2223</f>
        <v>474</v>
      </c>
      <c r="K2223" s="0" t="str">
        <f aca="false">IF(G2223&lt;1000,"1-Low",IF(G2223&lt;5000,"2-Medium","3-Bulk"))</f>
        <v>1-Low</v>
      </c>
      <c r="L2223" s="0" t="str">
        <f aca="false">IF(H2223="TRUE","Out of stock","In stock")</f>
        <v>In stock</v>
      </c>
      <c r="M2223" s="0" t="str">
        <f aca="false">IF(D2223&lt;5,"1) Under 5%",IF(D2223&lt;10,"2) 5-9%",IF(D2223&lt;15,"3) 10-14%",IF(D2223&lt;25,"4) 15-24%","5) 25%+"))))</f>
        <v>3) 10-14%</v>
      </c>
      <c r="N2223" s="0" t="str">
        <f aca="false">IF(F2223&lt;50,"1) Under Rs 50",IF(F2223&lt;100,"2) Rs 50-99",IF(F2223&lt;200,"3) Rs 100-199",IF(F2223&lt;500,"4) Rs 200-499","5) Rs 500+"))))</f>
        <v>2) Rs 50-99</v>
      </c>
      <c r="O2223" s="0" t="n">
        <f aca="false">G2223*E2223/1000</f>
        <v>1.65</v>
      </c>
    </row>
    <row r="2224" customFormat="false" ht="15" hidden="false" customHeight="false" outlineLevel="0" collapsed="false">
      <c r="A2224" s="0" t="s">
        <v>90</v>
      </c>
      <c r="B2224" s="0" t="s">
        <v>351</v>
      </c>
      <c r="C2224" s="0" t="n">
        <v>44</v>
      </c>
      <c r="D2224" s="0" t="n">
        <v>0</v>
      </c>
      <c r="E2224" s="0" t="n">
        <v>2</v>
      </c>
      <c r="F2224" s="0" t="n">
        <v>44</v>
      </c>
      <c r="G2224" s="0" t="n">
        <v>60</v>
      </c>
      <c r="H2224" s="0" t="s">
        <v>145</v>
      </c>
      <c r="I2224" s="0" t="n">
        <v>60</v>
      </c>
      <c r="J2224" s="0" t="n">
        <f aca="false">F2224*E2224</f>
        <v>88</v>
      </c>
      <c r="K2224" s="0" t="str">
        <f aca="false">IF(G2224&lt;1000,"1-Low",IF(G2224&lt;5000,"2-Medium","3-Bulk"))</f>
        <v>1-Low</v>
      </c>
      <c r="L2224" s="0" t="str">
        <f aca="false">IF(H2224="TRUE","Out of stock","In stock")</f>
        <v>In stock</v>
      </c>
      <c r="M2224" s="0" t="str">
        <f aca="false">IF(D2224&lt;5,"1) Under 5%",IF(D2224&lt;10,"2) 5-9%",IF(D2224&lt;15,"3) 10-14%",IF(D2224&lt;25,"4) 15-24%","5) 25%+"))))</f>
        <v>1) Under 5%</v>
      </c>
      <c r="N2224" s="0" t="str">
        <f aca="false">IF(F2224&lt;50,"1) Under Rs 50",IF(F2224&lt;100,"2) Rs 50-99",IF(F2224&lt;200,"3) Rs 100-199",IF(F2224&lt;500,"4) Rs 200-499","5) Rs 500+"))))</f>
        <v>1) Under Rs 50</v>
      </c>
      <c r="O2224" s="0" t="n">
        <f aca="false">G2224*E2224/1000</f>
        <v>0.12</v>
      </c>
    </row>
    <row r="2225" customFormat="false" ht="15" hidden="false" customHeight="false" outlineLevel="0" collapsed="false">
      <c r="A2225" s="0" t="s">
        <v>90</v>
      </c>
      <c r="B2225" s="0" t="s">
        <v>224</v>
      </c>
      <c r="C2225" s="0" t="n">
        <v>110</v>
      </c>
      <c r="D2225" s="0" t="n">
        <v>4</v>
      </c>
      <c r="E2225" s="0" t="n">
        <v>2</v>
      </c>
      <c r="F2225" s="0" t="n">
        <v>105</v>
      </c>
      <c r="G2225" s="0" t="n">
        <v>1000</v>
      </c>
      <c r="H2225" s="0" t="s">
        <v>145</v>
      </c>
      <c r="I2225" s="0" t="n">
        <v>1</v>
      </c>
      <c r="J2225" s="0" t="n">
        <f aca="false">F2225*E2225</f>
        <v>210</v>
      </c>
      <c r="K2225" s="0" t="str">
        <f aca="false">IF(G2225&lt;1000,"1-Low",IF(G2225&lt;5000,"2-Medium","3-Bulk"))</f>
        <v>2-Medium</v>
      </c>
      <c r="L2225" s="0" t="str">
        <f aca="false">IF(H2225="TRUE","Out of stock","In stock")</f>
        <v>In stock</v>
      </c>
      <c r="M2225" s="0" t="str">
        <f aca="false">IF(D2225&lt;5,"1) Under 5%",IF(D2225&lt;10,"2) 5-9%",IF(D2225&lt;15,"3) 10-14%",IF(D2225&lt;25,"4) 15-24%","5) 25%+"))))</f>
        <v>1) Under 5%</v>
      </c>
      <c r="N2225" s="0" t="str">
        <f aca="false">IF(F2225&lt;50,"1) Under Rs 50",IF(F2225&lt;100,"2) Rs 50-99",IF(F2225&lt;200,"3) Rs 100-199",IF(F2225&lt;500,"4) Rs 200-499","5) Rs 500+"))))</f>
        <v>3) Rs 100-199</v>
      </c>
      <c r="O2225" s="0" t="n">
        <f aca="false">G2225*E2225/1000</f>
        <v>2</v>
      </c>
    </row>
    <row r="2226" customFormat="false" ht="15" hidden="false" customHeight="false" outlineLevel="0" collapsed="false">
      <c r="A2226" s="0" t="s">
        <v>90</v>
      </c>
      <c r="B2226" s="0" t="s">
        <v>357</v>
      </c>
      <c r="C2226" s="0" t="n">
        <v>25</v>
      </c>
      <c r="D2226" s="0" t="n">
        <v>0</v>
      </c>
      <c r="E2226" s="0" t="n">
        <v>6</v>
      </c>
      <c r="F2226" s="0" t="n">
        <v>25</v>
      </c>
      <c r="G2226" s="0" t="n">
        <v>60</v>
      </c>
      <c r="H2226" s="0" t="s">
        <v>145</v>
      </c>
      <c r="I2226" s="0" t="n">
        <v>60</v>
      </c>
      <c r="J2226" s="0" t="n">
        <f aca="false">F2226*E2226</f>
        <v>150</v>
      </c>
      <c r="K2226" s="0" t="str">
        <f aca="false">IF(G2226&lt;1000,"1-Low",IF(G2226&lt;5000,"2-Medium","3-Bulk"))</f>
        <v>1-Low</v>
      </c>
      <c r="L2226" s="0" t="str">
        <f aca="false">IF(H2226="TRUE","Out of stock","In stock")</f>
        <v>In stock</v>
      </c>
      <c r="M2226" s="0" t="str">
        <f aca="false">IF(D2226&lt;5,"1) Under 5%",IF(D2226&lt;10,"2) 5-9%",IF(D2226&lt;15,"3) 10-14%",IF(D2226&lt;25,"4) 15-24%","5) 25%+"))))</f>
        <v>1) Under 5%</v>
      </c>
      <c r="N2226" s="0" t="str">
        <f aca="false">IF(F2226&lt;50,"1) Under Rs 50",IF(F2226&lt;100,"2) Rs 50-99",IF(F2226&lt;200,"3) Rs 100-199",IF(F2226&lt;500,"4) Rs 200-499","5) Rs 500+"))))</f>
        <v>1) Under Rs 50</v>
      </c>
      <c r="O2226" s="0" t="n">
        <f aca="false">G2226*E2226/1000</f>
        <v>0.36</v>
      </c>
    </row>
    <row r="2227" customFormat="false" ht="15" hidden="false" customHeight="false" outlineLevel="0" collapsed="false">
      <c r="A2227" s="0" t="s">
        <v>90</v>
      </c>
      <c r="B2227" s="0" t="s">
        <v>358</v>
      </c>
      <c r="C2227" s="0" t="n">
        <v>15</v>
      </c>
      <c r="D2227" s="0" t="n">
        <v>0</v>
      </c>
      <c r="E2227" s="0" t="n">
        <v>5</v>
      </c>
      <c r="F2227" s="0" t="n">
        <v>15</v>
      </c>
      <c r="G2227" s="0" t="n">
        <v>60</v>
      </c>
      <c r="H2227" s="0" t="s">
        <v>145</v>
      </c>
      <c r="I2227" s="0" t="n">
        <v>60</v>
      </c>
      <c r="J2227" s="0" t="n">
        <f aca="false">F2227*E2227</f>
        <v>75</v>
      </c>
      <c r="K2227" s="0" t="str">
        <f aca="false">IF(G2227&lt;1000,"1-Low",IF(G2227&lt;5000,"2-Medium","3-Bulk"))</f>
        <v>1-Low</v>
      </c>
      <c r="L2227" s="0" t="str">
        <f aca="false">IF(H2227="TRUE","Out of stock","In stock")</f>
        <v>In stock</v>
      </c>
      <c r="M2227" s="0" t="str">
        <f aca="false">IF(D2227&lt;5,"1) Under 5%",IF(D2227&lt;10,"2) 5-9%",IF(D2227&lt;15,"3) 10-14%",IF(D2227&lt;25,"4) 15-24%","5) 25%+"))))</f>
        <v>1) Under 5%</v>
      </c>
      <c r="N2227" s="0" t="str">
        <f aca="false">IF(F2227&lt;50,"1) Under Rs 50",IF(F2227&lt;100,"2) Rs 50-99",IF(F2227&lt;200,"3) Rs 100-199",IF(F2227&lt;500,"4) Rs 200-499","5) Rs 500+"))))</f>
        <v>1) Under Rs 50</v>
      </c>
      <c r="O2227" s="0" t="n">
        <f aca="false">G2227*E2227/1000</f>
        <v>0.3</v>
      </c>
    </row>
    <row r="2228" customFormat="false" ht="15" hidden="false" customHeight="false" outlineLevel="0" collapsed="false">
      <c r="A2228" s="0" t="s">
        <v>90</v>
      </c>
      <c r="B2228" s="0" t="s">
        <v>857</v>
      </c>
      <c r="C2228" s="0" t="n">
        <v>55</v>
      </c>
      <c r="D2228" s="0" t="n">
        <v>25</v>
      </c>
      <c r="E2228" s="0" t="n">
        <v>6</v>
      </c>
      <c r="F2228" s="0" t="n">
        <v>41</v>
      </c>
      <c r="G2228" s="0" t="n">
        <v>27</v>
      </c>
      <c r="H2228" s="0" t="s">
        <v>145</v>
      </c>
      <c r="I2228" s="0" t="n">
        <v>27</v>
      </c>
      <c r="J2228" s="0" t="n">
        <f aca="false">F2228*E2228</f>
        <v>246</v>
      </c>
      <c r="K2228" s="0" t="str">
        <f aca="false">IF(G2228&lt;1000,"1-Low",IF(G2228&lt;5000,"2-Medium","3-Bulk"))</f>
        <v>1-Low</v>
      </c>
      <c r="L2228" s="0" t="str">
        <f aca="false">IF(H2228="TRUE","Out of stock","In stock")</f>
        <v>In stock</v>
      </c>
      <c r="M2228" s="0" t="str">
        <f aca="false">IF(D2228&lt;5,"1) Under 5%",IF(D2228&lt;10,"2) 5-9%",IF(D2228&lt;15,"3) 10-14%",IF(D2228&lt;25,"4) 15-24%","5) 25%+"))))</f>
        <v>5) 25%+</v>
      </c>
      <c r="N2228" s="0" t="str">
        <f aca="false">IF(F2228&lt;50,"1) Under Rs 50",IF(F2228&lt;100,"2) Rs 50-99",IF(F2228&lt;200,"3) Rs 100-199",IF(F2228&lt;500,"4) Rs 200-499","5) Rs 500+"))))</f>
        <v>1) Under Rs 50</v>
      </c>
      <c r="O2228" s="0" t="n">
        <f aca="false">G2228*E2228/1000</f>
        <v>0.162</v>
      </c>
    </row>
    <row r="2229" customFormat="false" ht="15" hidden="false" customHeight="false" outlineLevel="0" collapsed="false">
      <c r="A2229" s="0" t="s">
        <v>90</v>
      </c>
      <c r="B2229" s="0" t="s">
        <v>858</v>
      </c>
      <c r="C2229" s="0" t="n">
        <v>110</v>
      </c>
      <c r="D2229" s="0" t="n">
        <v>22</v>
      </c>
      <c r="E2229" s="0" t="n">
        <v>6</v>
      </c>
      <c r="F2229" s="0" t="n">
        <v>85</v>
      </c>
      <c r="G2229" s="0" t="n">
        <v>300</v>
      </c>
      <c r="H2229" s="0" t="s">
        <v>145</v>
      </c>
      <c r="I2229" s="0" t="n">
        <v>300</v>
      </c>
      <c r="J2229" s="0" t="n">
        <f aca="false">F2229*E2229</f>
        <v>510</v>
      </c>
      <c r="K2229" s="0" t="str">
        <f aca="false">IF(G2229&lt;1000,"1-Low",IF(G2229&lt;5000,"2-Medium","3-Bulk"))</f>
        <v>1-Low</v>
      </c>
      <c r="L2229" s="0" t="str">
        <f aca="false">IF(H2229="TRUE","Out of stock","In stock")</f>
        <v>In stock</v>
      </c>
      <c r="M2229" s="0" t="str">
        <f aca="false">IF(D2229&lt;5,"1) Under 5%",IF(D2229&lt;10,"2) 5-9%",IF(D2229&lt;15,"3) 10-14%",IF(D2229&lt;25,"4) 15-24%","5) 25%+"))))</f>
        <v>4) 15-24%</v>
      </c>
      <c r="N2229" s="0" t="str">
        <f aca="false">IF(F2229&lt;50,"1) Under Rs 50",IF(F2229&lt;100,"2) Rs 50-99",IF(F2229&lt;200,"3) Rs 100-199",IF(F2229&lt;500,"4) Rs 200-499","5) Rs 500+"))))</f>
        <v>2) Rs 50-99</v>
      </c>
      <c r="O2229" s="0" t="n">
        <f aca="false">G2229*E2229/1000</f>
        <v>1.8</v>
      </c>
    </row>
    <row r="2230" customFormat="false" ht="15" hidden="false" customHeight="false" outlineLevel="0" collapsed="false">
      <c r="A2230" s="0" t="s">
        <v>90</v>
      </c>
      <c r="B2230" s="0" t="s">
        <v>355</v>
      </c>
      <c r="C2230" s="0" t="n">
        <v>120</v>
      </c>
      <c r="D2230" s="0" t="n">
        <v>1</v>
      </c>
      <c r="E2230" s="0" t="n">
        <v>2</v>
      </c>
      <c r="F2230" s="0" t="n">
        <v>118</v>
      </c>
      <c r="G2230" s="0" t="n">
        <v>240</v>
      </c>
      <c r="H2230" s="0" t="s">
        <v>145</v>
      </c>
      <c r="I2230" s="0" t="n">
        <v>240</v>
      </c>
      <c r="J2230" s="0" t="n">
        <f aca="false">F2230*E2230</f>
        <v>236</v>
      </c>
      <c r="K2230" s="0" t="str">
        <f aca="false">IF(G2230&lt;1000,"1-Low",IF(G2230&lt;5000,"2-Medium","3-Bulk"))</f>
        <v>1-Low</v>
      </c>
      <c r="L2230" s="0" t="str">
        <f aca="false">IF(H2230="TRUE","Out of stock","In stock")</f>
        <v>In stock</v>
      </c>
      <c r="M2230" s="0" t="str">
        <f aca="false">IF(D2230&lt;5,"1) Under 5%",IF(D2230&lt;10,"2) 5-9%",IF(D2230&lt;15,"3) 10-14%",IF(D2230&lt;25,"4) 15-24%","5) 25%+"))))</f>
        <v>1) Under 5%</v>
      </c>
      <c r="N2230" s="0" t="str">
        <f aca="false">IF(F2230&lt;50,"1) Under Rs 50",IF(F2230&lt;100,"2) Rs 50-99",IF(F2230&lt;200,"3) Rs 100-199",IF(F2230&lt;500,"4) Rs 200-499","5) Rs 500+"))))</f>
        <v>3) Rs 100-199</v>
      </c>
      <c r="O2230" s="0" t="n">
        <f aca="false">G2230*E2230/1000</f>
        <v>0.48</v>
      </c>
    </row>
    <row r="2231" customFormat="false" ht="15" hidden="false" customHeight="false" outlineLevel="0" collapsed="false">
      <c r="A2231" s="0" t="s">
        <v>90</v>
      </c>
      <c r="B2231" s="0" t="s">
        <v>859</v>
      </c>
      <c r="C2231" s="0" t="n">
        <v>60</v>
      </c>
      <c r="D2231" s="0" t="n">
        <v>6</v>
      </c>
      <c r="E2231" s="0" t="n">
        <v>6</v>
      </c>
      <c r="F2231" s="0" t="n">
        <v>56</v>
      </c>
      <c r="G2231" s="0" t="n">
        <v>200</v>
      </c>
      <c r="H2231" s="0" t="s">
        <v>145</v>
      </c>
      <c r="I2231" s="0" t="n">
        <v>200</v>
      </c>
      <c r="J2231" s="0" t="n">
        <f aca="false">F2231*E2231</f>
        <v>336</v>
      </c>
      <c r="K2231" s="0" t="str">
        <f aca="false">IF(G2231&lt;1000,"1-Low",IF(G2231&lt;5000,"2-Medium","3-Bulk"))</f>
        <v>1-Low</v>
      </c>
      <c r="L2231" s="0" t="str">
        <f aca="false">IF(H2231="TRUE","Out of stock","In stock")</f>
        <v>In stock</v>
      </c>
      <c r="M2231" s="0" t="str">
        <f aca="false">IF(D2231&lt;5,"1) Under 5%",IF(D2231&lt;10,"2) 5-9%",IF(D2231&lt;15,"3) 10-14%",IF(D2231&lt;25,"4) 15-24%","5) 25%+"))))</f>
        <v>2) 5-9%</v>
      </c>
      <c r="N2231" s="0" t="str">
        <f aca="false">IF(F2231&lt;50,"1) Under Rs 50",IF(F2231&lt;100,"2) Rs 50-99",IF(F2231&lt;200,"3) Rs 100-199",IF(F2231&lt;500,"4) Rs 200-499","5) Rs 500+"))))</f>
        <v>2) Rs 50-99</v>
      </c>
      <c r="O2231" s="0" t="n">
        <f aca="false">G2231*E2231/1000</f>
        <v>1.2</v>
      </c>
    </row>
    <row r="2232" customFormat="false" ht="15" hidden="false" customHeight="false" outlineLevel="0" collapsed="false">
      <c r="A2232" s="0" t="s">
        <v>90</v>
      </c>
      <c r="B2232" s="0" t="s">
        <v>860</v>
      </c>
      <c r="C2232" s="0" t="n">
        <v>120</v>
      </c>
      <c r="D2232" s="0" t="n">
        <v>5</v>
      </c>
      <c r="E2232" s="0" t="n">
        <v>5</v>
      </c>
      <c r="F2232" s="0" t="n">
        <v>114</v>
      </c>
      <c r="G2232" s="0" t="n">
        <v>400</v>
      </c>
      <c r="H2232" s="0" t="s">
        <v>145</v>
      </c>
      <c r="I2232" s="0" t="n">
        <v>400</v>
      </c>
      <c r="J2232" s="0" t="n">
        <f aca="false">F2232*E2232</f>
        <v>570</v>
      </c>
      <c r="K2232" s="0" t="str">
        <f aca="false">IF(G2232&lt;1000,"1-Low",IF(G2232&lt;5000,"2-Medium","3-Bulk"))</f>
        <v>1-Low</v>
      </c>
      <c r="L2232" s="0" t="str">
        <f aca="false">IF(H2232="TRUE","Out of stock","In stock")</f>
        <v>In stock</v>
      </c>
      <c r="M2232" s="0" t="str">
        <f aca="false">IF(D2232&lt;5,"1) Under 5%",IF(D2232&lt;10,"2) 5-9%",IF(D2232&lt;15,"3) 10-14%",IF(D2232&lt;25,"4) 15-24%","5) 25%+"))))</f>
        <v>2) 5-9%</v>
      </c>
      <c r="N2232" s="0" t="str">
        <f aca="false">IF(F2232&lt;50,"1) Under Rs 50",IF(F2232&lt;100,"2) Rs 50-99",IF(F2232&lt;200,"3) Rs 100-199",IF(F2232&lt;500,"4) Rs 200-499","5) Rs 500+"))))</f>
        <v>3) Rs 100-199</v>
      </c>
      <c r="O2232" s="0" t="n">
        <f aca="false">G2232*E2232/1000</f>
        <v>2</v>
      </c>
    </row>
    <row r="2233" customFormat="false" ht="15" hidden="false" customHeight="false" outlineLevel="0" collapsed="false">
      <c r="A2233" s="0" t="s">
        <v>90</v>
      </c>
      <c r="B2233" s="0" t="s">
        <v>861</v>
      </c>
      <c r="C2233" s="0" t="n">
        <v>40</v>
      </c>
      <c r="D2233" s="0" t="n">
        <v>12</v>
      </c>
      <c r="E2233" s="0" t="n">
        <v>4</v>
      </c>
      <c r="F2233" s="0" t="n">
        <v>35</v>
      </c>
      <c r="G2233" s="0" t="n">
        <v>38</v>
      </c>
      <c r="H2233" s="0" t="s">
        <v>145</v>
      </c>
      <c r="I2233" s="0" t="n">
        <v>38</v>
      </c>
      <c r="J2233" s="0" t="n">
        <f aca="false">F2233*E2233</f>
        <v>140</v>
      </c>
      <c r="K2233" s="0" t="str">
        <f aca="false">IF(G2233&lt;1000,"1-Low",IF(G2233&lt;5000,"2-Medium","3-Bulk"))</f>
        <v>1-Low</v>
      </c>
      <c r="L2233" s="0" t="str">
        <f aca="false">IF(H2233="TRUE","Out of stock","In stock")</f>
        <v>In stock</v>
      </c>
      <c r="M2233" s="0" t="str">
        <f aca="false">IF(D2233&lt;5,"1) Under 5%",IF(D2233&lt;10,"2) 5-9%",IF(D2233&lt;15,"3) 10-14%",IF(D2233&lt;25,"4) 15-24%","5) 25%+"))))</f>
        <v>3) 10-14%</v>
      </c>
      <c r="N2233" s="0" t="str">
        <f aca="false">IF(F2233&lt;50,"1) Under Rs 50",IF(F2233&lt;100,"2) Rs 50-99",IF(F2233&lt;200,"3) Rs 100-199",IF(F2233&lt;500,"4) Rs 200-499","5) Rs 500+"))))</f>
        <v>1) Under Rs 50</v>
      </c>
      <c r="O2233" s="0" t="n">
        <f aca="false">G2233*E2233/1000</f>
        <v>0.152</v>
      </c>
    </row>
    <row r="2234" customFormat="false" ht="15" hidden="false" customHeight="false" outlineLevel="0" collapsed="false">
      <c r="A2234" s="0" t="s">
        <v>90</v>
      </c>
      <c r="B2234" s="0" t="s">
        <v>862</v>
      </c>
      <c r="C2234" s="0" t="n">
        <v>55</v>
      </c>
      <c r="D2234" s="0" t="n">
        <v>0</v>
      </c>
      <c r="E2234" s="0" t="n">
        <v>5</v>
      </c>
      <c r="F2234" s="0" t="n">
        <v>55</v>
      </c>
      <c r="G2234" s="0" t="n">
        <v>190</v>
      </c>
      <c r="H2234" s="0" t="s">
        <v>145</v>
      </c>
      <c r="I2234" s="0" t="n">
        <v>190</v>
      </c>
      <c r="J2234" s="0" t="n">
        <f aca="false">F2234*E2234</f>
        <v>275</v>
      </c>
      <c r="K2234" s="0" t="str">
        <f aca="false">IF(G2234&lt;1000,"1-Low",IF(G2234&lt;5000,"2-Medium","3-Bulk"))</f>
        <v>1-Low</v>
      </c>
      <c r="L2234" s="0" t="str">
        <f aca="false">IF(H2234="TRUE","Out of stock","In stock")</f>
        <v>In stock</v>
      </c>
      <c r="M2234" s="0" t="str">
        <f aca="false">IF(D2234&lt;5,"1) Under 5%",IF(D2234&lt;10,"2) 5-9%",IF(D2234&lt;15,"3) 10-14%",IF(D2234&lt;25,"4) 15-24%","5) 25%+"))))</f>
        <v>1) Under 5%</v>
      </c>
      <c r="N2234" s="0" t="str">
        <f aca="false">IF(F2234&lt;50,"1) Under Rs 50",IF(F2234&lt;100,"2) Rs 50-99",IF(F2234&lt;200,"3) Rs 100-199",IF(F2234&lt;500,"4) Rs 200-499","5) Rs 500+"))))</f>
        <v>2) Rs 50-99</v>
      </c>
      <c r="O2234" s="0" t="n">
        <f aca="false">G2234*E2234/1000</f>
        <v>0.95</v>
      </c>
    </row>
    <row r="2235" customFormat="false" ht="15" hidden="false" customHeight="false" outlineLevel="0" collapsed="false">
      <c r="A2235" s="0" t="s">
        <v>90</v>
      </c>
      <c r="B2235" s="0" t="s">
        <v>863</v>
      </c>
      <c r="C2235" s="0" t="n">
        <v>75</v>
      </c>
      <c r="D2235" s="0" t="n">
        <v>6</v>
      </c>
      <c r="E2235" s="0" t="n">
        <v>4</v>
      </c>
      <c r="F2235" s="0" t="n">
        <v>70</v>
      </c>
      <c r="G2235" s="0" t="n">
        <v>280</v>
      </c>
      <c r="H2235" s="0" t="s">
        <v>145</v>
      </c>
      <c r="I2235" s="0" t="n">
        <v>280</v>
      </c>
      <c r="J2235" s="0" t="n">
        <f aca="false">F2235*E2235</f>
        <v>280</v>
      </c>
      <c r="K2235" s="0" t="str">
        <f aca="false">IF(G2235&lt;1000,"1-Low",IF(G2235&lt;5000,"2-Medium","3-Bulk"))</f>
        <v>1-Low</v>
      </c>
      <c r="L2235" s="0" t="str">
        <f aca="false">IF(H2235="TRUE","Out of stock","In stock")</f>
        <v>In stock</v>
      </c>
      <c r="M2235" s="0" t="str">
        <f aca="false">IF(D2235&lt;5,"1) Under 5%",IF(D2235&lt;10,"2) 5-9%",IF(D2235&lt;15,"3) 10-14%",IF(D2235&lt;25,"4) 15-24%","5) 25%+"))))</f>
        <v>2) 5-9%</v>
      </c>
      <c r="N2235" s="0" t="str">
        <f aca="false">IF(F2235&lt;50,"1) Under Rs 50",IF(F2235&lt;100,"2) Rs 50-99",IF(F2235&lt;200,"3) Rs 100-199",IF(F2235&lt;500,"4) Rs 200-499","5) Rs 500+"))))</f>
        <v>2) Rs 50-99</v>
      </c>
      <c r="O2235" s="0" t="n">
        <f aca="false">G2235*E2235/1000</f>
        <v>1.12</v>
      </c>
    </row>
    <row r="2236" customFormat="false" ht="15" hidden="false" customHeight="false" outlineLevel="0" collapsed="false">
      <c r="A2236" s="0" t="s">
        <v>90</v>
      </c>
      <c r="B2236" s="0" t="s">
        <v>864</v>
      </c>
      <c r="C2236" s="0" t="n">
        <v>110</v>
      </c>
      <c r="D2236" s="0" t="n">
        <v>4</v>
      </c>
      <c r="E2236" s="0" t="n">
        <v>6</v>
      </c>
      <c r="F2236" s="0" t="n">
        <v>105</v>
      </c>
      <c r="G2236" s="0" t="n">
        <v>400</v>
      </c>
      <c r="H2236" s="0" t="s">
        <v>145</v>
      </c>
      <c r="I2236" s="0" t="n">
        <v>400</v>
      </c>
      <c r="J2236" s="0" t="n">
        <f aca="false">F2236*E2236</f>
        <v>630</v>
      </c>
      <c r="K2236" s="0" t="str">
        <f aca="false">IF(G2236&lt;1000,"1-Low",IF(G2236&lt;5000,"2-Medium","3-Bulk"))</f>
        <v>1-Low</v>
      </c>
      <c r="L2236" s="0" t="str">
        <f aca="false">IF(H2236="TRUE","Out of stock","In stock")</f>
        <v>In stock</v>
      </c>
      <c r="M2236" s="0" t="str">
        <f aca="false">IF(D2236&lt;5,"1) Under 5%",IF(D2236&lt;10,"2) 5-9%",IF(D2236&lt;15,"3) 10-14%",IF(D2236&lt;25,"4) 15-24%","5) 25%+"))))</f>
        <v>1) Under 5%</v>
      </c>
      <c r="N2236" s="0" t="str">
        <f aca="false">IF(F2236&lt;50,"1) Under Rs 50",IF(F2236&lt;100,"2) Rs 50-99",IF(F2236&lt;200,"3) Rs 100-199",IF(F2236&lt;500,"4) Rs 200-499","5) Rs 500+"))))</f>
        <v>3) Rs 100-199</v>
      </c>
      <c r="O2236" s="0" t="n">
        <f aca="false">G2236*E2236/1000</f>
        <v>2.4</v>
      </c>
    </row>
    <row r="2237" customFormat="false" ht="15" hidden="false" customHeight="false" outlineLevel="0" collapsed="false">
      <c r="A2237" s="0" t="s">
        <v>90</v>
      </c>
      <c r="B2237" s="0" t="s">
        <v>865</v>
      </c>
      <c r="C2237" s="0" t="n">
        <v>325</v>
      </c>
      <c r="D2237" s="0" t="n">
        <v>6</v>
      </c>
      <c r="E2237" s="0" t="n">
        <v>6</v>
      </c>
      <c r="F2237" s="0" t="n">
        <v>305</v>
      </c>
      <c r="G2237" s="0" t="n">
        <v>500</v>
      </c>
      <c r="H2237" s="0" t="s">
        <v>145</v>
      </c>
      <c r="I2237" s="0" t="n">
        <v>500</v>
      </c>
      <c r="J2237" s="0" t="n">
        <f aca="false">F2237*E2237</f>
        <v>1830</v>
      </c>
      <c r="K2237" s="0" t="str">
        <f aca="false">IF(G2237&lt;1000,"1-Low",IF(G2237&lt;5000,"2-Medium","3-Bulk"))</f>
        <v>1-Low</v>
      </c>
      <c r="L2237" s="0" t="str">
        <f aca="false">IF(H2237="TRUE","Out of stock","In stock")</f>
        <v>In stock</v>
      </c>
      <c r="M2237" s="0" t="str">
        <f aca="false">IF(D2237&lt;5,"1) Under 5%",IF(D2237&lt;10,"2) 5-9%",IF(D2237&lt;15,"3) 10-14%",IF(D2237&lt;25,"4) 15-24%","5) 25%+"))))</f>
        <v>2) 5-9%</v>
      </c>
      <c r="N2237" s="0" t="str">
        <f aca="false">IF(F2237&lt;50,"1) Under Rs 50",IF(F2237&lt;100,"2) Rs 50-99",IF(F2237&lt;200,"3) Rs 100-199",IF(F2237&lt;500,"4) Rs 200-499","5) Rs 500+"))))</f>
        <v>4) Rs 200-499</v>
      </c>
      <c r="O2237" s="0" t="n">
        <f aca="false">G2237*E2237/1000</f>
        <v>3</v>
      </c>
    </row>
    <row r="2238" customFormat="false" ht="15" hidden="false" customHeight="false" outlineLevel="0" collapsed="false">
      <c r="A2238" s="0" t="s">
        <v>90</v>
      </c>
      <c r="B2238" s="0" t="s">
        <v>866</v>
      </c>
      <c r="C2238" s="0" t="n">
        <v>55</v>
      </c>
      <c r="D2238" s="0" t="n">
        <v>20</v>
      </c>
      <c r="E2238" s="0" t="n">
        <v>5</v>
      </c>
      <c r="F2238" s="0" t="n">
        <v>44</v>
      </c>
      <c r="G2238" s="0" t="n">
        <v>27</v>
      </c>
      <c r="H2238" s="0" t="s">
        <v>145</v>
      </c>
      <c r="I2238" s="0" t="n">
        <v>27</v>
      </c>
      <c r="J2238" s="0" t="n">
        <f aca="false">F2238*E2238</f>
        <v>220</v>
      </c>
      <c r="K2238" s="0" t="str">
        <f aca="false">IF(G2238&lt;1000,"1-Low",IF(G2238&lt;5000,"2-Medium","3-Bulk"))</f>
        <v>1-Low</v>
      </c>
      <c r="L2238" s="0" t="str">
        <f aca="false">IF(H2238="TRUE","Out of stock","In stock")</f>
        <v>In stock</v>
      </c>
      <c r="M2238" s="0" t="str">
        <f aca="false">IF(D2238&lt;5,"1) Under 5%",IF(D2238&lt;10,"2) 5-9%",IF(D2238&lt;15,"3) 10-14%",IF(D2238&lt;25,"4) 15-24%","5) 25%+"))))</f>
        <v>4) 15-24%</v>
      </c>
      <c r="N2238" s="0" t="str">
        <f aca="false">IF(F2238&lt;50,"1) Under Rs 50",IF(F2238&lt;100,"2) Rs 50-99",IF(F2238&lt;200,"3) Rs 100-199",IF(F2238&lt;500,"4) Rs 200-499","5) Rs 500+"))))</f>
        <v>1) Under Rs 50</v>
      </c>
      <c r="O2238" s="0" t="n">
        <f aca="false">G2238*E2238/1000</f>
        <v>0.135</v>
      </c>
    </row>
    <row r="2239" customFormat="false" ht="15" hidden="false" customHeight="false" outlineLevel="0" collapsed="false">
      <c r="A2239" s="0" t="s">
        <v>90</v>
      </c>
      <c r="B2239" s="0" t="s">
        <v>867</v>
      </c>
      <c r="C2239" s="0" t="n">
        <v>28</v>
      </c>
      <c r="D2239" s="0" t="n">
        <v>17</v>
      </c>
      <c r="E2239" s="0" t="n">
        <v>1</v>
      </c>
      <c r="F2239" s="0" t="n">
        <v>23</v>
      </c>
      <c r="G2239" s="0" t="n">
        <v>65</v>
      </c>
      <c r="H2239" s="0" t="s">
        <v>145</v>
      </c>
      <c r="I2239" s="0" t="n">
        <v>65</v>
      </c>
      <c r="J2239" s="0" t="n">
        <f aca="false">F2239*E2239</f>
        <v>23</v>
      </c>
      <c r="K2239" s="0" t="str">
        <f aca="false">IF(G2239&lt;1000,"1-Low",IF(G2239&lt;5000,"2-Medium","3-Bulk"))</f>
        <v>1-Low</v>
      </c>
      <c r="L2239" s="0" t="str">
        <f aca="false">IF(H2239="TRUE","Out of stock","In stock")</f>
        <v>In stock</v>
      </c>
      <c r="M2239" s="0" t="str">
        <f aca="false">IF(D2239&lt;5,"1) Under 5%",IF(D2239&lt;10,"2) 5-9%",IF(D2239&lt;15,"3) 10-14%",IF(D2239&lt;25,"4) 15-24%","5) 25%+"))))</f>
        <v>4) 15-24%</v>
      </c>
      <c r="N2239" s="0" t="str">
        <f aca="false">IF(F2239&lt;50,"1) Under Rs 50",IF(F2239&lt;100,"2) Rs 50-99",IF(F2239&lt;200,"3) Rs 100-199",IF(F2239&lt;500,"4) Rs 200-499","5) Rs 500+"))))</f>
        <v>1) Under Rs 50</v>
      </c>
      <c r="O2239" s="0" t="n">
        <f aca="false">G2239*E2239/1000</f>
        <v>0.065</v>
      </c>
    </row>
    <row r="2240" customFormat="false" ht="15" hidden="false" customHeight="false" outlineLevel="0" collapsed="false">
      <c r="A2240" s="0" t="s">
        <v>90</v>
      </c>
      <c r="B2240" s="0" t="s">
        <v>868</v>
      </c>
      <c r="C2240" s="0" t="n">
        <v>99</v>
      </c>
      <c r="D2240" s="0" t="n">
        <v>49</v>
      </c>
      <c r="E2240" s="0" t="n">
        <v>1</v>
      </c>
      <c r="F2240" s="0" t="n">
        <v>50</v>
      </c>
      <c r="G2240" s="0" t="n">
        <v>130</v>
      </c>
      <c r="H2240" s="0" t="s">
        <v>145</v>
      </c>
      <c r="I2240" s="0" t="n">
        <v>130</v>
      </c>
      <c r="J2240" s="0" t="n">
        <f aca="false">F2240*E2240</f>
        <v>50</v>
      </c>
      <c r="K2240" s="0" t="str">
        <f aca="false">IF(G2240&lt;1000,"1-Low",IF(G2240&lt;5000,"2-Medium","3-Bulk"))</f>
        <v>1-Low</v>
      </c>
      <c r="L2240" s="0" t="str">
        <f aca="false">IF(H2240="TRUE","Out of stock","In stock")</f>
        <v>In stock</v>
      </c>
      <c r="M2240" s="0" t="str">
        <f aca="false">IF(D2240&lt;5,"1) Under 5%",IF(D2240&lt;10,"2) 5-9%",IF(D2240&lt;15,"3) 10-14%",IF(D2240&lt;25,"4) 15-24%","5) 25%+"))))</f>
        <v>5) 25%+</v>
      </c>
      <c r="N2240" s="0" t="str">
        <f aca="false">IF(F2240&lt;50,"1) Under Rs 50",IF(F2240&lt;100,"2) Rs 50-99",IF(F2240&lt;200,"3) Rs 100-199",IF(F2240&lt;500,"4) Rs 200-499","5) Rs 500+"))))</f>
        <v>2) Rs 50-99</v>
      </c>
      <c r="O2240" s="0" t="n">
        <f aca="false">G2240*E2240/1000</f>
        <v>0.13</v>
      </c>
    </row>
    <row r="2241" customFormat="false" ht="15" hidden="false" customHeight="false" outlineLevel="0" collapsed="false">
      <c r="A2241" s="0" t="s">
        <v>90</v>
      </c>
      <c r="B2241" s="0" t="s">
        <v>869</v>
      </c>
      <c r="C2241" s="0" t="n">
        <v>105</v>
      </c>
      <c r="D2241" s="0" t="n">
        <v>4</v>
      </c>
      <c r="E2241" s="0" t="n">
        <v>2</v>
      </c>
      <c r="F2241" s="0" t="n">
        <v>100</v>
      </c>
      <c r="G2241" s="0" t="n">
        <v>500</v>
      </c>
      <c r="H2241" s="0" t="s">
        <v>145</v>
      </c>
      <c r="I2241" s="0" t="n">
        <v>500</v>
      </c>
      <c r="J2241" s="0" t="n">
        <f aca="false">F2241*E2241</f>
        <v>200</v>
      </c>
      <c r="K2241" s="0" t="str">
        <f aca="false">IF(G2241&lt;1000,"1-Low",IF(G2241&lt;5000,"2-Medium","3-Bulk"))</f>
        <v>1-Low</v>
      </c>
      <c r="L2241" s="0" t="str">
        <f aca="false">IF(H2241="TRUE","Out of stock","In stock")</f>
        <v>In stock</v>
      </c>
      <c r="M2241" s="0" t="str">
        <f aca="false">IF(D2241&lt;5,"1) Under 5%",IF(D2241&lt;10,"2) 5-9%",IF(D2241&lt;15,"3) 10-14%",IF(D2241&lt;25,"4) 15-24%","5) 25%+"))))</f>
        <v>1) Under 5%</v>
      </c>
      <c r="N2241" s="0" t="str">
        <f aca="false">IF(F2241&lt;50,"1) Under Rs 50",IF(F2241&lt;100,"2) Rs 50-99",IF(F2241&lt;200,"3) Rs 100-199",IF(F2241&lt;500,"4) Rs 200-499","5) Rs 500+"))))</f>
        <v>3) Rs 100-199</v>
      </c>
      <c r="O2241" s="0" t="n">
        <f aca="false">G2241*E2241/1000</f>
        <v>1</v>
      </c>
    </row>
    <row r="2242" customFormat="false" ht="15" hidden="false" customHeight="false" outlineLevel="0" collapsed="false">
      <c r="A2242" s="0" t="s">
        <v>90</v>
      </c>
      <c r="B2242" s="0" t="s">
        <v>746</v>
      </c>
      <c r="C2242" s="0" t="n">
        <v>235</v>
      </c>
      <c r="D2242" s="0" t="n">
        <v>25</v>
      </c>
      <c r="E2242" s="0" t="n">
        <v>6</v>
      </c>
      <c r="F2242" s="0" t="n">
        <v>174</v>
      </c>
      <c r="G2242" s="0" t="n">
        <v>325</v>
      </c>
      <c r="H2242" s="0" t="s">
        <v>145</v>
      </c>
      <c r="I2242" s="0" t="n">
        <v>325</v>
      </c>
      <c r="J2242" s="0" t="n">
        <f aca="false">F2242*E2242</f>
        <v>1044</v>
      </c>
      <c r="K2242" s="0" t="str">
        <f aca="false">IF(G2242&lt;1000,"1-Low",IF(G2242&lt;5000,"2-Medium","3-Bulk"))</f>
        <v>1-Low</v>
      </c>
      <c r="L2242" s="0" t="str">
        <f aca="false">IF(H2242="TRUE","Out of stock","In stock")</f>
        <v>In stock</v>
      </c>
      <c r="M2242" s="0" t="str">
        <f aca="false">IF(D2242&lt;5,"1) Under 5%",IF(D2242&lt;10,"2) 5-9%",IF(D2242&lt;15,"3) 10-14%",IF(D2242&lt;25,"4) 15-24%","5) 25%+"))))</f>
        <v>5) 25%+</v>
      </c>
      <c r="N2242" s="0" t="str">
        <f aca="false">IF(F2242&lt;50,"1) Under Rs 50",IF(F2242&lt;100,"2) Rs 50-99",IF(F2242&lt;200,"3) Rs 100-199",IF(F2242&lt;500,"4) Rs 200-499","5) Rs 500+"))))</f>
        <v>3) Rs 100-199</v>
      </c>
      <c r="O2242" s="0" t="n">
        <f aca="false">G2242*E2242/1000</f>
        <v>1.95</v>
      </c>
    </row>
    <row r="2243" customFormat="false" ht="15" hidden="false" customHeight="false" outlineLevel="0" collapsed="false">
      <c r="A2243" s="0" t="s">
        <v>90</v>
      </c>
      <c r="B2243" s="0" t="s">
        <v>375</v>
      </c>
      <c r="C2243" s="0" t="n">
        <v>325</v>
      </c>
      <c r="D2243" s="0" t="n">
        <v>9</v>
      </c>
      <c r="E2243" s="0" t="n">
        <v>1</v>
      </c>
      <c r="F2243" s="0" t="n">
        <v>293</v>
      </c>
      <c r="G2243" s="0" t="n">
        <v>500</v>
      </c>
      <c r="H2243" s="0" t="s">
        <v>145</v>
      </c>
      <c r="I2243" s="0" t="n">
        <v>500</v>
      </c>
      <c r="J2243" s="0" t="n">
        <f aca="false">F2243*E2243</f>
        <v>293</v>
      </c>
      <c r="K2243" s="0" t="str">
        <f aca="false">IF(G2243&lt;1000,"1-Low",IF(G2243&lt;5000,"2-Medium","3-Bulk"))</f>
        <v>1-Low</v>
      </c>
      <c r="L2243" s="0" t="str">
        <f aca="false">IF(H2243="TRUE","Out of stock","In stock")</f>
        <v>In stock</v>
      </c>
      <c r="M2243" s="0" t="str">
        <f aca="false">IF(D2243&lt;5,"1) Under 5%",IF(D2243&lt;10,"2) 5-9%",IF(D2243&lt;15,"3) 10-14%",IF(D2243&lt;25,"4) 15-24%","5) 25%+"))))</f>
        <v>2) 5-9%</v>
      </c>
      <c r="N2243" s="0" t="str">
        <f aca="false">IF(F2243&lt;50,"1) Under Rs 50",IF(F2243&lt;100,"2) Rs 50-99",IF(F2243&lt;200,"3) Rs 100-199",IF(F2243&lt;500,"4) Rs 200-499","5) Rs 500+"))))</f>
        <v>4) Rs 200-499</v>
      </c>
      <c r="O2243" s="0" t="n">
        <f aca="false">G2243*E2243/1000</f>
        <v>0.5</v>
      </c>
    </row>
    <row r="2244" customFormat="false" ht="15" hidden="false" customHeight="false" outlineLevel="0" collapsed="false">
      <c r="A2244" s="0" t="s">
        <v>90</v>
      </c>
      <c r="B2244" s="0" t="s">
        <v>749</v>
      </c>
      <c r="C2244" s="0" t="n">
        <v>99</v>
      </c>
      <c r="D2244" s="0" t="n">
        <v>5</v>
      </c>
      <c r="E2244" s="0" t="n">
        <v>6</v>
      </c>
      <c r="F2244" s="0" t="n">
        <v>94</v>
      </c>
      <c r="G2244" s="0" t="n">
        <v>200</v>
      </c>
      <c r="H2244" s="0" t="s">
        <v>145</v>
      </c>
      <c r="I2244" s="0" t="n">
        <v>200</v>
      </c>
      <c r="J2244" s="0" t="n">
        <f aca="false">F2244*E2244</f>
        <v>564</v>
      </c>
      <c r="K2244" s="0" t="str">
        <f aca="false">IF(G2244&lt;1000,"1-Low",IF(G2244&lt;5000,"2-Medium","3-Bulk"))</f>
        <v>1-Low</v>
      </c>
      <c r="L2244" s="0" t="str">
        <f aca="false">IF(H2244="TRUE","Out of stock","In stock")</f>
        <v>In stock</v>
      </c>
      <c r="M2244" s="0" t="str">
        <f aca="false">IF(D2244&lt;5,"1) Under 5%",IF(D2244&lt;10,"2) 5-9%",IF(D2244&lt;15,"3) 10-14%",IF(D2244&lt;25,"4) 15-24%","5) 25%+"))))</f>
        <v>2) 5-9%</v>
      </c>
      <c r="N2244" s="0" t="str">
        <f aca="false">IF(F2244&lt;50,"1) Under Rs 50",IF(F2244&lt;100,"2) Rs 50-99",IF(F2244&lt;200,"3) Rs 100-199",IF(F2244&lt;500,"4) Rs 200-499","5) Rs 500+"))))</f>
        <v>2) Rs 50-99</v>
      </c>
      <c r="O2244" s="0" t="n">
        <f aca="false">G2244*E2244/1000</f>
        <v>1.2</v>
      </c>
    </row>
    <row r="2245" customFormat="false" ht="15" hidden="false" customHeight="false" outlineLevel="0" collapsed="false">
      <c r="A2245" s="0" t="s">
        <v>90</v>
      </c>
      <c r="B2245" s="0" t="s">
        <v>120</v>
      </c>
      <c r="C2245" s="0" t="n">
        <v>175</v>
      </c>
      <c r="D2245" s="0" t="n">
        <v>9</v>
      </c>
      <c r="E2245" s="0" t="n">
        <v>6</v>
      </c>
      <c r="F2245" s="0" t="n">
        <v>158</v>
      </c>
      <c r="G2245" s="0" t="n">
        <v>300</v>
      </c>
      <c r="H2245" s="0" t="s">
        <v>145</v>
      </c>
      <c r="I2245" s="0" t="n">
        <v>300</v>
      </c>
      <c r="J2245" s="0" t="n">
        <f aca="false">F2245*E2245</f>
        <v>948</v>
      </c>
      <c r="K2245" s="0" t="str">
        <f aca="false">IF(G2245&lt;1000,"1-Low",IF(G2245&lt;5000,"2-Medium","3-Bulk"))</f>
        <v>1-Low</v>
      </c>
      <c r="L2245" s="0" t="str">
        <f aca="false">IF(H2245="TRUE","Out of stock","In stock")</f>
        <v>In stock</v>
      </c>
      <c r="M2245" s="0" t="str">
        <f aca="false">IF(D2245&lt;5,"1) Under 5%",IF(D2245&lt;10,"2) 5-9%",IF(D2245&lt;15,"3) 10-14%",IF(D2245&lt;25,"4) 15-24%","5) 25%+"))))</f>
        <v>2) 5-9%</v>
      </c>
      <c r="N2245" s="0" t="str">
        <f aca="false">IF(F2245&lt;50,"1) Under Rs 50",IF(F2245&lt;100,"2) Rs 50-99",IF(F2245&lt;200,"3) Rs 100-199",IF(F2245&lt;500,"4) Rs 200-499","5) Rs 500+"))))</f>
        <v>3) Rs 100-199</v>
      </c>
      <c r="O2245" s="0" t="n">
        <f aca="false">G2245*E2245/1000</f>
        <v>1.8</v>
      </c>
    </row>
    <row r="2246" customFormat="false" ht="15" hidden="false" customHeight="false" outlineLevel="0" collapsed="false">
      <c r="A2246" s="0" t="s">
        <v>90</v>
      </c>
      <c r="B2246" s="0" t="s">
        <v>870</v>
      </c>
      <c r="C2246" s="0" t="n">
        <v>60</v>
      </c>
      <c r="D2246" s="0" t="n">
        <v>20</v>
      </c>
      <c r="E2246" s="0" t="n">
        <v>6</v>
      </c>
      <c r="F2246" s="0" t="n">
        <v>48</v>
      </c>
      <c r="G2246" s="0" t="n">
        <v>40</v>
      </c>
      <c r="H2246" s="0" t="s">
        <v>145</v>
      </c>
      <c r="I2246" s="0" t="n">
        <v>40</v>
      </c>
      <c r="J2246" s="0" t="n">
        <f aca="false">F2246*E2246</f>
        <v>288</v>
      </c>
      <c r="K2246" s="0" t="str">
        <f aca="false">IF(G2246&lt;1000,"1-Low",IF(G2246&lt;5000,"2-Medium","3-Bulk"))</f>
        <v>1-Low</v>
      </c>
      <c r="L2246" s="0" t="str">
        <f aca="false">IF(H2246="TRUE","Out of stock","In stock")</f>
        <v>In stock</v>
      </c>
      <c r="M2246" s="0" t="str">
        <f aca="false">IF(D2246&lt;5,"1) Under 5%",IF(D2246&lt;10,"2) 5-9%",IF(D2246&lt;15,"3) 10-14%",IF(D2246&lt;25,"4) 15-24%","5) 25%+"))))</f>
        <v>4) 15-24%</v>
      </c>
      <c r="N2246" s="0" t="str">
        <f aca="false">IF(F2246&lt;50,"1) Under Rs 50",IF(F2246&lt;100,"2) Rs 50-99",IF(F2246&lt;200,"3) Rs 100-199",IF(F2246&lt;500,"4) Rs 200-499","5) Rs 500+"))))</f>
        <v>1) Under Rs 50</v>
      </c>
      <c r="O2246" s="0" t="n">
        <f aca="false">G2246*E2246/1000</f>
        <v>0.24</v>
      </c>
    </row>
    <row r="2247" customFormat="false" ht="15" hidden="false" customHeight="false" outlineLevel="0" collapsed="false">
      <c r="A2247" s="0" t="s">
        <v>90</v>
      </c>
      <c r="B2247" s="0" t="s">
        <v>871</v>
      </c>
      <c r="C2247" s="0" t="n">
        <v>270</v>
      </c>
      <c r="D2247" s="0" t="n">
        <v>0</v>
      </c>
      <c r="E2247" s="0" t="n">
        <v>5</v>
      </c>
      <c r="F2247" s="0" t="n">
        <v>270</v>
      </c>
      <c r="G2247" s="0" t="n">
        <v>24</v>
      </c>
      <c r="H2247" s="0" t="s">
        <v>145</v>
      </c>
      <c r="I2247" s="0" t="n">
        <v>24</v>
      </c>
      <c r="J2247" s="0" t="n">
        <f aca="false">F2247*E2247</f>
        <v>1350</v>
      </c>
      <c r="K2247" s="0" t="str">
        <f aca="false">IF(G2247&lt;1000,"1-Low",IF(G2247&lt;5000,"2-Medium","3-Bulk"))</f>
        <v>1-Low</v>
      </c>
      <c r="L2247" s="0" t="str">
        <f aca="false">IF(H2247="TRUE","Out of stock","In stock")</f>
        <v>In stock</v>
      </c>
      <c r="M2247" s="0" t="str">
        <f aca="false">IF(D2247&lt;5,"1) Under 5%",IF(D2247&lt;10,"2) 5-9%",IF(D2247&lt;15,"3) 10-14%",IF(D2247&lt;25,"4) 15-24%","5) 25%+"))))</f>
        <v>1) Under 5%</v>
      </c>
      <c r="N2247" s="0" t="str">
        <f aca="false">IF(F2247&lt;50,"1) Under Rs 50",IF(F2247&lt;100,"2) Rs 50-99",IF(F2247&lt;200,"3) Rs 100-199",IF(F2247&lt;500,"4) Rs 200-499","5) Rs 500+"))))</f>
        <v>4) Rs 200-499</v>
      </c>
      <c r="O2247" s="0" t="n">
        <f aca="false">G2247*E2247/1000</f>
        <v>0.12</v>
      </c>
    </row>
    <row r="2248" customFormat="false" ht="15" hidden="false" customHeight="false" outlineLevel="0" collapsed="false">
      <c r="A2248" s="0" t="s">
        <v>90</v>
      </c>
      <c r="B2248" s="0" t="s">
        <v>872</v>
      </c>
      <c r="C2248" s="0" t="n">
        <v>50</v>
      </c>
      <c r="D2248" s="0" t="n">
        <v>10</v>
      </c>
      <c r="E2248" s="0" t="n">
        <v>6</v>
      </c>
      <c r="F2248" s="0" t="n">
        <v>45</v>
      </c>
      <c r="G2248" s="0" t="n">
        <v>160</v>
      </c>
      <c r="H2248" s="0" t="s">
        <v>145</v>
      </c>
      <c r="I2248" s="0" t="n">
        <v>160</v>
      </c>
      <c r="J2248" s="0" t="n">
        <f aca="false">F2248*E2248</f>
        <v>270</v>
      </c>
      <c r="K2248" s="0" t="str">
        <f aca="false">IF(G2248&lt;1000,"1-Low",IF(G2248&lt;5000,"2-Medium","3-Bulk"))</f>
        <v>1-Low</v>
      </c>
      <c r="L2248" s="0" t="str">
        <f aca="false">IF(H2248="TRUE","Out of stock","In stock")</f>
        <v>In stock</v>
      </c>
      <c r="M2248" s="0" t="str">
        <f aca="false">IF(D2248&lt;5,"1) Under 5%",IF(D2248&lt;10,"2) 5-9%",IF(D2248&lt;15,"3) 10-14%",IF(D2248&lt;25,"4) 15-24%","5) 25%+"))))</f>
        <v>3) 10-14%</v>
      </c>
      <c r="N2248" s="0" t="str">
        <f aca="false">IF(F2248&lt;50,"1) Under Rs 50",IF(F2248&lt;100,"2) Rs 50-99",IF(F2248&lt;200,"3) Rs 100-199",IF(F2248&lt;500,"4) Rs 200-499","5) Rs 500+"))))</f>
        <v>1) Under Rs 50</v>
      </c>
      <c r="O2248" s="0" t="n">
        <f aca="false">G2248*E2248/1000</f>
        <v>0.96</v>
      </c>
    </row>
    <row r="2249" customFormat="false" ht="15" hidden="false" customHeight="false" outlineLevel="0" collapsed="false">
      <c r="A2249" s="0" t="s">
        <v>90</v>
      </c>
      <c r="B2249" s="0" t="s">
        <v>383</v>
      </c>
      <c r="C2249" s="0" t="n">
        <v>60</v>
      </c>
      <c r="D2249" s="0" t="n">
        <v>0</v>
      </c>
      <c r="E2249" s="0" t="n">
        <v>1</v>
      </c>
      <c r="F2249" s="0" t="n">
        <v>60</v>
      </c>
      <c r="G2249" s="0" t="n">
        <v>240</v>
      </c>
      <c r="H2249" s="0" t="s">
        <v>145</v>
      </c>
      <c r="I2249" s="0" t="n">
        <v>240</v>
      </c>
      <c r="J2249" s="0" t="n">
        <f aca="false">F2249*E2249</f>
        <v>60</v>
      </c>
      <c r="K2249" s="0" t="str">
        <f aca="false">IF(G2249&lt;1000,"1-Low",IF(G2249&lt;5000,"2-Medium","3-Bulk"))</f>
        <v>1-Low</v>
      </c>
      <c r="L2249" s="0" t="str">
        <f aca="false">IF(H2249="TRUE","Out of stock","In stock")</f>
        <v>In stock</v>
      </c>
      <c r="M2249" s="0" t="str">
        <f aca="false">IF(D2249&lt;5,"1) Under 5%",IF(D2249&lt;10,"2) 5-9%",IF(D2249&lt;15,"3) 10-14%",IF(D2249&lt;25,"4) 15-24%","5) 25%+"))))</f>
        <v>1) Under 5%</v>
      </c>
      <c r="N2249" s="0" t="str">
        <f aca="false">IF(F2249&lt;50,"1) Under Rs 50",IF(F2249&lt;100,"2) Rs 50-99",IF(F2249&lt;200,"3) Rs 100-199",IF(F2249&lt;500,"4) Rs 200-499","5) Rs 500+"))))</f>
        <v>2) Rs 50-99</v>
      </c>
      <c r="O2249" s="0" t="n">
        <f aca="false">G2249*E2249/1000</f>
        <v>0.24</v>
      </c>
    </row>
    <row r="2250" customFormat="false" ht="15" hidden="false" customHeight="false" outlineLevel="0" collapsed="false">
      <c r="A2250" s="0" t="s">
        <v>90</v>
      </c>
      <c r="B2250" s="0" t="s">
        <v>873</v>
      </c>
      <c r="C2250" s="0" t="n">
        <v>100</v>
      </c>
      <c r="D2250" s="0" t="n">
        <v>26</v>
      </c>
      <c r="E2250" s="0" t="n">
        <v>6</v>
      </c>
      <c r="F2250" s="0" t="n">
        <v>74</v>
      </c>
      <c r="G2250" s="0" t="n">
        <v>52</v>
      </c>
      <c r="H2250" s="0" t="s">
        <v>145</v>
      </c>
      <c r="I2250" s="0" t="n">
        <v>52</v>
      </c>
      <c r="J2250" s="0" t="n">
        <f aca="false">F2250*E2250</f>
        <v>444</v>
      </c>
      <c r="K2250" s="0" t="str">
        <f aca="false">IF(G2250&lt;1000,"1-Low",IF(G2250&lt;5000,"2-Medium","3-Bulk"))</f>
        <v>1-Low</v>
      </c>
      <c r="L2250" s="0" t="str">
        <f aca="false">IF(H2250="TRUE","Out of stock","In stock")</f>
        <v>In stock</v>
      </c>
      <c r="M2250" s="0" t="str">
        <f aca="false">IF(D2250&lt;5,"1) Under 5%",IF(D2250&lt;10,"2) 5-9%",IF(D2250&lt;15,"3) 10-14%",IF(D2250&lt;25,"4) 15-24%","5) 25%+"))))</f>
        <v>5) 25%+</v>
      </c>
      <c r="N2250" s="0" t="str">
        <f aca="false">IF(F2250&lt;50,"1) Under Rs 50",IF(F2250&lt;100,"2) Rs 50-99",IF(F2250&lt;200,"3) Rs 100-199",IF(F2250&lt;500,"4) Rs 200-499","5) Rs 500+"))))</f>
        <v>2) Rs 50-99</v>
      </c>
      <c r="O2250" s="0" t="n">
        <f aca="false">G2250*E2250/1000</f>
        <v>0.312</v>
      </c>
    </row>
    <row r="2251" customFormat="false" ht="15" hidden="false" customHeight="false" outlineLevel="0" collapsed="false">
      <c r="A2251" s="0" t="s">
        <v>90</v>
      </c>
      <c r="B2251" s="0" t="s">
        <v>387</v>
      </c>
      <c r="C2251" s="0" t="n">
        <v>20</v>
      </c>
      <c r="D2251" s="0" t="n">
        <v>0</v>
      </c>
      <c r="E2251" s="0" t="n">
        <v>2</v>
      </c>
      <c r="F2251" s="0" t="n">
        <v>20</v>
      </c>
      <c r="G2251" s="0" t="n">
        <v>46</v>
      </c>
      <c r="H2251" s="0" t="s">
        <v>145</v>
      </c>
      <c r="I2251" s="0" t="n">
        <v>46</v>
      </c>
      <c r="J2251" s="0" t="n">
        <f aca="false">F2251*E2251</f>
        <v>40</v>
      </c>
      <c r="K2251" s="0" t="str">
        <f aca="false">IF(G2251&lt;1000,"1-Low",IF(G2251&lt;5000,"2-Medium","3-Bulk"))</f>
        <v>1-Low</v>
      </c>
      <c r="L2251" s="0" t="str">
        <f aca="false">IF(H2251="TRUE","Out of stock","In stock")</f>
        <v>In stock</v>
      </c>
      <c r="M2251" s="0" t="str">
        <f aca="false">IF(D2251&lt;5,"1) Under 5%",IF(D2251&lt;10,"2) 5-9%",IF(D2251&lt;15,"3) 10-14%",IF(D2251&lt;25,"4) 15-24%","5) 25%+"))))</f>
        <v>1) Under 5%</v>
      </c>
      <c r="N2251" s="0" t="str">
        <f aca="false">IF(F2251&lt;50,"1) Under Rs 50",IF(F2251&lt;100,"2) Rs 50-99",IF(F2251&lt;200,"3) Rs 100-199",IF(F2251&lt;500,"4) Rs 200-499","5) Rs 500+"))))</f>
        <v>1) Under Rs 50</v>
      </c>
      <c r="O2251" s="0" t="n">
        <f aca="false">G2251*E2251/1000</f>
        <v>0.092</v>
      </c>
    </row>
    <row r="2252" customFormat="false" ht="15" hidden="false" customHeight="false" outlineLevel="0" collapsed="false">
      <c r="A2252" s="0" t="s">
        <v>90</v>
      </c>
      <c r="B2252" s="0" t="s">
        <v>874</v>
      </c>
      <c r="C2252" s="0" t="n">
        <v>74</v>
      </c>
      <c r="D2252" s="0" t="n">
        <v>6</v>
      </c>
      <c r="E2252" s="0" t="n">
        <v>2</v>
      </c>
      <c r="F2252" s="0" t="n">
        <v>69</v>
      </c>
      <c r="G2252" s="0" t="n">
        <v>300</v>
      </c>
      <c r="H2252" s="0" t="s">
        <v>145</v>
      </c>
      <c r="I2252" s="0" t="n">
        <v>300</v>
      </c>
      <c r="J2252" s="0" t="n">
        <f aca="false">F2252*E2252</f>
        <v>138</v>
      </c>
      <c r="K2252" s="0" t="str">
        <f aca="false">IF(G2252&lt;1000,"1-Low",IF(G2252&lt;5000,"2-Medium","3-Bulk"))</f>
        <v>1-Low</v>
      </c>
      <c r="L2252" s="0" t="str">
        <f aca="false">IF(H2252="TRUE","Out of stock","In stock")</f>
        <v>In stock</v>
      </c>
      <c r="M2252" s="0" t="str">
        <f aca="false">IF(D2252&lt;5,"1) Under 5%",IF(D2252&lt;10,"2) 5-9%",IF(D2252&lt;15,"3) 10-14%",IF(D2252&lt;25,"4) 15-24%","5) 25%+"))))</f>
        <v>2) 5-9%</v>
      </c>
      <c r="N2252" s="0" t="str">
        <f aca="false">IF(F2252&lt;50,"1) Under Rs 50",IF(F2252&lt;100,"2) Rs 50-99",IF(F2252&lt;200,"3) Rs 100-199",IF(F2252&lt;500,"4) Rs 200-499","5) Rs 500+"))))</f>
        <v>2) Rs 50-99</v>
      </c>
      <c r="O2252" s="0" t="n">
        <f aca="false">G2252*E2252/1000</f>
        <v>0.6</v>
      </c>
    </row>
    <row r="2253" customFormat="false" ht="15" hidden="false" customHeight="false" outlineLevel="0" collapsed="false">
      <c r="A2253" s="0" t="s">
        <v>90</v>
      </c>
      <c r="B2253" s="0" t="s">
        <v>394</v>
      </c>
      <c r="C2253" s="0" t="n">
        <v>48</v>
      </c>
      <c r="D2253" s="0" t="n">
        <v>6</v>
      </c>
      <c r="E2253" s="0" t="n">
        <v>6</v>
      </c>
      <c r="F2253" s="0" t="n">
        <v>45</v>
      </c>
      <c r="G2253" s="0" t="n">
        <v>200</v>
      </c>
      <c r="H2253" s="0" t="s">
        <v>145</v>
      </c>
      <c r="I2253" s="0" t="n">
        <v>200</v>
      </c>
      <c r="J2253" s="0" t="n">
        <f aca="false">F2253*E2253</f>
        <v>270</v>
      </c>
      <c r="K2253" s="0" t="str">
        <f aca="false">IF(G2253&lt;1000,"1-Low",IF(G2253&lt;5000,"2-Medium","3-Bulk"))</f>
        <v>1-Low</v>
      </c>
      <c r="L2253" s="0" t="str">
        <f aca="false">IF(H2253="TRUE","Out of stock","In stock")</f>
        <v>In stock</v>
      </c>
      <c r="M2253" s="0" t="str">
        <f aca="false">IF(D2253&lt;5,"1) Under 5%",IF(D2253&lt;10,"2) 5-9%",IF(D2253&lt;15,"3) 10-14%",IF(D2253&lt;25,"4) 15-24%","5) 25%+"))))</f>
        <v>2) 5-9%</v>
      </c>
      <c r="N2253" s="0" t="str">
        <f aca="false">IF(F2253&lt;50,"1) Under Rs 50",IF(F2253&lt;100,"2) Rs 50-99",IF(F2253&lt;200,"3) Rs 100-199",IF(F2253&lt;500,"4) Rs 200-499","5) Rs 500+"))))</f>
        <v>1) Under Rs 50</v>
      </c>
      <c r="O2253" s="0" t="n">
        <f aca="false">G2253*E2253/1000</f>
        <v>1.2</v>
      </c>
    </row>
    <row r="2254" customFormat="false" ht="15" hidden="false" customHeight="false" outlineLevel="0" collapsed="false">
      <c r="A2254" s="0" t="s">
        <v>90</v>
      </c>
      <c r="B2254" s="0" t="s">
        <v>875</v>
      </c>
      <c r="C2254" s="0" t="n">
        <v>325</v>
      </c>
      <c r="D2254" s="0" t="n">
        <v>4</v>
      </c>
      <c r="E2254" s="0" t="n">
        <v>6</v>
      </c>
      <c r="F2254" s="0" t="n">
        <v>309</v>
      </c>
      <c r="G2254" s="0" t="n">
        <v>400</v>
      </c>
      <c r="H2254" s="0" t="s">
        <v>145</v>
      </c>
      <c r="I2254" s="0" t="n">
        <v>400</v>
      </c>
      <c r="J2254" s="0" t="n">
        <f aca="false">F2254*E2254</f>
        <v>1854</v>
      </c>
      <c r="K2254" s="0" t="str">
        <f aca="false">IF(G2254&lt;1000,"1-Low",IF(G2254&lt;5000,"2-Medium","3-Bulk"))</f>
        <v>1-Low</v>
      </c>
      <c r="L2254" s="0" t="str">
        <f aca="false">IF(H2254="TRUE","Out of stock","In stock")</f>
        <v>In stock</v>
      </c>
      <c r="M2254" s="0" t="str">
        <f aca="false">IF(D2254&lt;5,"1) Under 5%",IF(D2254&lt;10,"2) 5-9%",IF(D2254&lt;15,"3) 10-14%",IF(D2254&lt;25,"4) 15-24%","5) 25%+"))))</f>
        <v>1) Under 5%</v>
      </c>
      <c r="N2254" s="0" t="str">
        <f aca="false">IF(F2254&lt;50,"1) Under Rs 50",IF(F2254&lt;100,"2) Rs 50-99",IF(F2254&lt;200,"3) Rs 100-199",IF(F2254&lt;500,"4) Rs 200-499","5) Rs 500+"))))</f>
        <v>4) Rs 200-499</v>
      </c>
      <c r="O2254" s="0" t="n">
        <f aca="false">G2254*E2254/1000</f>
        <v>2.4</v>
      </c>
    </row>
    <row r="2255" customFormat="false" ht="15" hidden="false" customHeight="false" outlineLevel="0" collapsed="false">
      <c r="A2255" s="0" t="s">
        <v>90</v>
      </c>
      <c r="B2255" s="0" t="s">
        <v>876</v>
      </c>
      <c r="C2255" s="0" t="n">
        <v>55</v>
      </c>
      <c r="D2255" s="0" t="n">
        <v>25</v>
      </c>
      <c r="E2255" s="0" t="n">
        <v>6</v>
      </c>
      <c r="F2255" s="0" t="n">
        <v>41</v>
      </c>
      <c r="G2255" s="0" t="n">
        <v>27</v>
      </c>
      <c r="H2255" s="0" t="s">
        <v>145</v>
      </c>
      <c r="I2255" s="0" t="n">
        <v>27</v>
      </c>
      <c r="J2255" s="0" t="n">
        <f aca="false">F2255*E2255</f>
        <v>246</v>
      </c>
      <c r="K2255" s="0" t="str">
        <f aca="false">IF(G2255&lt;1000,"1-Low",IF(G2255&lt;5000,"2-Medium","3-Bulk"))</f>
        <v>1-Low</v>
      </c>
      <c r="L2255" s="0" t="str">
        <f aca="false">IF(H2255="TRUE","Out of stock","In stock")</f>
        <v>In stock</v>
      </c>
      <c r="M2255" s="0" t="str">
        <f aca="false">IF(D2255&lt;5,"1) Under 5%",IF(D2255&lt;10,"2) 5-9%",IF(D2255&lt;15,"3) 10-14%",IF(D2255&lt;25,"4) 15-24%","5) 25%+"))))</f>
        <v>5) 25%+</v>
      </c>
      <c r="N2255" s="0" t="str">
        <f aca="false">IF(F2255&lt;50,"1) Under Rs 50",IF(F2255&lt;100,"2) Rs 50-99",IF(F2255&lt;200,"3) Rs 100-199",IF(F2255&lt;500,"4) Rs 200-499","5) Rs 500+"))))</f>
        <v>1) Under Rs 50</v>
      </c>
      <c r="O2255" s="0" t="n">
        <f aca="false">G2255*E2255/1000</f>
        <v>0.162</v>
      </c>
    </row>
    <row r="2256" customFormat="false" ht="15" hidden="false" customHeight="false" outlineLevel="0" collapsed="false">
      <c r="A2256" s="0" t="s">
        <v>90</v>
      </c>
      <c r="B2256" s="0" t="s">
        <v>877</v>
      </c>
      <c r="C2256" s="0" t="n">
        <v>170</v>
      </c>
      <c r="D2256" s="0" t="n">
        <v>4</v>
      </c>
      <c r="E2256" s="0" t="n">
        <v>3</v>
      </c>
      <c r="F2256" s="0" t="n">
        <v>162</v>
      </c>
      <c r="G2256" s="0" t="n">
        <v>280</v>
      </c>
      <c r="H2256" s="0" t="s">
        <v>145</v>
      </c>
      <c r="I2256" s="0" t="n">
        <v>280</v>
      </c>
      <c r="J2256" s="0" t="n">
        <f aca="false">F2256*E2256</f>
        <v>486</v>
      </c>
      <c r="K2256" s="0" t="str">
        <f aca="false">IF(G2256&lt;1000,"1-Low",IF(G2256&lt;5000,"2-Medium","3-Bulk"))</f>
        <v>1-Low</v>
      </c>
      <c r="L2256" s="0" t="str">
        <f aca="false">IF(H2256="TRUE","Out of stock","In stock")</f>
        <v>In stock</v>
      </c>
      <c r="M2256" s="0" t="str">
        <f aca="false">IF(D2256&lt;5,"1) Under 5%",IF(D2256&lt;10,"2) 5-9%",IF(D2256&lt;15,"3) 10-14%",IF(D2256&lt;25,"4) 15-24%","5) 25%+"))))</f>
        <v>1) Under 5%</v>
      </c>
      <c r="N2256" s="0" t="str">
        <f aca="false">IF(F2256&lt;50,"1) Under Rs 50",IF(F2256&lt;100,"2) Rs 50-99",IF(F2256&lt;200,"3) Rs 100-199",IF(F2256&lt;500,"4) Rs 200-499","5) Rs 500+"))))</f>
        <v>3) Rs 100-199</v>
      </c>
      <c r="O2256" s="0" t="n">
        <f aca="false">G2256*E2256/1000</f>
        <v>0.84</v>
      </c>
    </row>
    <row r="2257" customFormat="false" ht="15" hidden="false" customHeight="false" outlineLevel="0" collapsed="false">
      <c r="A2257" s="0" t="s">
        <v>90</v>
      </c>
      <c r="B2257" s="0" t="s">
        <v>878</v>
      </c>
      <c r="C2257" s="0" t="n">
        <v>99</v>
      </c>
      <c r="D2257" s="0" t="n">
        <v>13</v>
      </c>
      <c r="E2257" s="0" t="n">
        <v>6</v>
      </c>
      <c r="F2257" s="0" t="n">
        <v>86</v>
      </c>
      <c r="G2257" s="0" t="n">
        <v>250</v>
      </c>
      <c r="H2257" s="0" t="s">
        <v>145</v>
      </c>
      <c r="I2257" s="0" t="n">
        <v>250</v>
      </c>
      <c r="J2257" s="0" t="n">
        <f aca="false">F2257*E2257</f>
        <v>516</v>
      </c>
      <c r="K2257" s="0" t="str">
        <f aca="false">IF(G2257&lt;1000,"1-Low",IF(G2257&lt;5000,"2-Medium","3-Bulk"))</f>
        <v>1-Low</v>
      </c>
      <c r="L2257" s="0" t="str">
        <f aca="false">IF(H2257="TRUE","Out of stock","In stock")</f>
        <v>In stock</v>
      </c>
      <c r="M2257" s="0" t="str">
        <f aca="false">IF(D2257&lt;5,"1) Under 5%",IF(D2257&lt;10,"2) 5-9%",IF(D2257&lt;15,"3) 10-14%",IF(D2257&lt;25,"4) 15-24%","5) 25%+"))))</f>
        <v>3) 10-14%</v>
      </c>
      <c r="N2257" s="0" t="str">
        <f aca="false">IF(F2257&lt;50,"1) Under Rs 50",IF(F2257&lt;100,"2) Rs 50-99",IF(F2257&lt;200,"3) Rs 100-199",IF(F2257&lt;500,"4) Rs 200-499","5) Rs 500+"))))</f>
        <v>2) Rs 50-99</v>
      </c>
      <c r="O2257" s="0" t="n">
        <f aca="false">G2257*E2257/1000</f>
        <v>1.5</v>
      </c>
    </row>
    <row r="2258" customFormat="false" ht="15" hidden="false" customHeight="false" outlineLevel="0" collapsed="false">
      <c r="A2258" s="0" t="s">
        <v>90</v>
      </c>
      <c r="B2258" s="0" t="s">
        <v>399</v>
      </c>
      <c r="C2258" s="0" t="n">
        <v>50</v>
      </c>
      <c r="D2258" s="0" t="n">
        <v>10</v>
      </c>
      <c r="E2258" s="0" t="n">
        <v>2</v>
      </c>
      <c r="F2258" s="0" t="n">
        <v>45</v>
      </c>
      <c r="G2258" s="0" t="n">
        <v>70</v>
      </c>
      <c r="H2258" s="0" t="s">
        <v>145</v>
      </c>
      <c r="I2258" s="0" t="n">
        <v>70</v>
      </c>
      <c r="J2258" s="0" t="n">
        <f aca="false">F2258*E2258</f>
        <v>90</v>
      </c>
      <c r="K2258" s="0" t="str">
        <f aca="false">IF(G2258&lt;1000,"1-Low",IF(G2258&lt;5000,"2-Medium","3-Bulk"))</f>
        <v>1-Low</v>
      </c>
      <c r="L2258" s="0" t="str">
        <f aca="false">IF(H2258="TRUE","Out of stock","In stock")</f>
        <v>In stock</v>
      </c>
      <c r="M2258" s="0" t="str">
        <f aca="false">IF(D2258&lt;5,"1) Under 5%",IF(D2258&lt;10,"2) 5-9%",IF(D2258&lt;15,"3) 10-14%",IF(D2258&lt;25,"4) 15-24%","5) 25%+"))))</f>
        <v>3) 10-14%</v>
      </c>
      <c r="N2258" s="0" t="str">
        <f aca="false">IF(F2258&lt;50,"1) Under Rs 50",IF(F2258&lt;100,"2) Rs 50-99",IF(F2258&lt;200,"3) Rs 100-199",IF(F2258&lt;500,"4) Rs 200-499","5) Rs 500+"))))</f>
        <v>1) Under Rs 50</v>
      </c>
      <c r="O2258" s="0" t="n">
        <f aca="false">G2258*E2258/1000</f>
        <v>0.14</v>
      </c>
    </row>
    <row r="2259" customFormat="false" ht="15" hidden="false" customHeight="false" outlineLevel="0" collapsed="false">
      <c r="A2259" s="0" t="s">
        <v>90</v>
      </c>
      <c r="B2259" s="0" t="s">
        <v>879</v>
      </c>
      <c r="C2259" s="0" t="n">
        <v>40</v>
      </c>
      <c r="D2259" s="0" t="n">
        <v>0</v>
      </c>
      <c r="E2259" s="0" t="n">
        <v>3</v>
      </c>
      <c r="F2259" s="0" t="n">
        <v>40</v>
      </c>
      <c r="G2259" s="0" t="n">
        <v>46</v>
      </c>
      <c r="H2259" s="0" t="s">
        <v>145</v>
      </c>
      <c r="I2259" s="0" t="n">
        <v>46</v>
      </c>
      <c r="J2259" s="0" t="n">
        <f aca="false">F2259*E2259</f>
        <v>120</v>
      </c>
      <c r="K2259" s="0" t="str">
        <f aca="false">IF(G2259&lt;1000,"1-Low",IF(G2259&lt;5000,"2-Medium","3-Bulk"))</f>
        <v>1-Low</v>
      </c>
      <c r="L2259" s="0" t="str">
        <f aca="false">IF(H2259="TRUE","Out of stock","In stock")</f>
        <v>In stock</v>
      </c>
      <c r="M2259" s="0" t="str">
        <f aca="false">IF(D2259&lt;5,"1) Under 5%",IF(D2259&lt;10,"2) 5-9%",IF(D2259&lt;15,"3) 10-14%",IF(D2259&lt;25,"4) 15-24%","5) 25%+"))))</f>
        <v>1) Under 5%</v>
      </c>
      <c r="N2259" s="0" t="str">
        <f aca="false">IF(F2259&lt;50,"1) Under Rs 50",IF(F2259&lt;100,"2) Rs 50-99",IF(F2259&lt;200,"3) Rs 100-199",IF(F2259&lt;500,"4) Rs 200-499","5) Rs 500+"))))</f>
        <v>1) Under Rs 50</v>
      </c>
      <c r="O2259" s="0" t="n">
        <f aca="false">G2259*E2259/1000</f>
        <v>0.138</v>
      </c>
    </row>
    <row r="2260" customFormat="false" ht="15" hidden="false" customHeight="false" outlineLevel="0" collapsed="false">
      <c r="A2260" s="0" t="s">
        <v>90</v>
      </c>
      <c r="B2260" s="0" t="s">
        <v>406</v>
      </c>
      <c r="C2260" s="0" t="n">
        <v>28</v>
      </c>
      <c r="D2260" s="0" t="n">
        <v>10</v>
      </c>
      <c r="E2260" s="0" t="n">
        <v>1</v>
      </c>
      <c r="F2260" s="0" t="n">
        <v>25</v>
      </c>
      <c r="G2260" s="0" t="n">
        <v>65</v>
      </c>
      <c r="H2260" s="0" t="s">
        <v>145</v>
      </c>
      <c r="I2260" s="0" t="n">
        <v>65</v>
      </c>
      <c r="J2260" s="0" t="n">
        <f aca="false">F2260*E2260</f>
        <v>25</v>
      </c>
      <c r="K2260" s="0" t="str">
        <f aca="false">IF(G2260&lt;1000,"1-Low",IF(G2260&lt;5000,"2-Medium","3-Bulk"))</f>
        <v>1-Low</v>
      </c>
      <c r="L2260" s="0" t="str">
        <f aca="false">IF(H2260="TRUE","Out of stock","In stock")</f>
        <v>In stock</v>
      </c>
      <c r="M2260" s="0" t="str">
        <f aca="false">IF(D2260&lt;5,"1) Under 5%",IF(D2260&lt;10,"2) 5-9%",IF(D2260&lt;15,"3) 10-14%",IF(D2260&lt;25,"4) 15-24%","5) 25%+"))))</f>
        <v>3) 10-14%</v>
      </c>
      <c r="N2260" s="0" t="str">
        <f aca="false">IF(F2260&lt;50,"1) Under Rs 50",IF(F2260&lt;100,"2) Rs 50-99",IF(F2260&lt;200,"3) Rs 100-199",IF(F2260&lt;500,"4) Rs 200-499","5) Rs 500+"))))</f>
        <v>1) Under Rs 50</v>
      </c>
      <c r="O2260" s="0" t="n">
        <f aca="false">G2260*E2260/1000</f>
        <v>0.065</v>
      </c>
    </row>
    <row r="2261" customFormat="false" ht="15" hidden="false" customHeight="false" outlineLevel="0" collapsed="false">
      <c r="A2261" s="0" t="s">
        <v>90</v>
      </c>
      <c r="B2261" s="0" t="s">
        <v>880</v>
      </c>
      <c r="C2261" s="0" t="n">
        <v>55</v>
      </c>
      <c r="D2261" s="0" t="n">
        <v>9</v>
      </c>
      <c r="E2261" s="0" t="n">
        <v>2</v>
      </c>
      <c r="F2261" s="0" t="n">
        <v>50</v>
      </c>
      <c r="G2261" s="0" t="n">
        <v>200</v>
      </c>
      <c r="H2261" s="0" t="s">
        <v>145</v>
      </c>
      <c r="I2261" s="0" t="n">
        <v>200</v>
      </c>
      <c r="J2261" s="0" t="n">
        <f aca="false">F2261*E2261</f>
        <v>100</v>
      </c>
      <c r="K2261" s="0" t="str">
        <f aca="false">IF(G2261&lt;1000,"1-Low",IF(G2261&lt;5000,"2-Medium","3-Bulk"))</f>
        <v>1-Low</v>
      </c>
      <c r="L2261" s="0" t="str">
        <f aca="false">IF(H2261="TRUE","Out of stock","In stock")</f>
        <v>In stock</v>
      </c>
      <c r="M2261" s="0" t="str">
        <f aca="false">IF(D2261&lt;5,"1) Under 5%",IF(D2261&lt;10,"2) 5-9%",IF(D2261&lt;15,"3) 10-14%",IF(D2261&lt;25,"4) 15-24%","5) 25%+"))))</f>
        <v>2) 5-9%</v>
      </c>
      <c r="N2261" s="0" t="str">
        <f aca="false">IF(F2261&lt;50,"1) Under Rs 50",IF(F2261&lt;100,"2) Rs 50-99",IF(F2261&lt;200,"3) Rs 100-199",IF(F2261&lt;500,"4) Rs 200-499","5) Rs 500+"))))</f>
        <v>2) Rs 50-99</v>
      </c>
      <c r="O2261" s="0" t="n">
        <f aca="false">G2261*E2261/1000</f>
        <v>0.4</v>
      </c>
    </row>
    <row r="2262" customFormat="false" ht="15" hidden="false" customHeight="false" outlineLevel="0" collapsed="false">
      <c r="A2262" s="0" t="s">
        <v>90</v>
      </c>
      <c r="B2262" s="0" t="s">
        <v>881</v>
      </c>
      <c r="C2262" s="0" t="n">
        <v>169</v>
      </c>
      <c r="D2262" s="0" t="n">
        <v>8</v>
      </c>
      <c r="E2262" s="0" t="n">
        <v>4</v>
      </c>
      <c r="F2262" s="0" t="n">
        <v>155</v>
      </c>
      <c r="G2262" s="0" t="n">
        <v>300</v>
      </c>
      <c r="H2262" s="0" t="s">
        <v>145</v>
      </c>
      <c r="I2262" s="0" t="n">
        <v>300</v>
      </c>
      <c r="J2262" s="0" t="n">
        <f aca="false">F2262*E2262</f>
        <v>620</v>
      </c>
      <c r="K2262" s="0" t="str">
        <f aca="false">IF(G2262&lt;1000,"1-Low",IF(G2262&lt;5000,"2-Medium","3-Bulk"))</f>
        <v>1-Low</v>
      </c>
      <c r="L2262" s="0" t="str">
        <f aca="false">IF(H2262="TRUE","Out of stock","In stock")</f>
        <v>In stock</v>
      </c>
      <c r="M2262" s="0" t="str">
        <f aca="false">IF(D2262&lt;5,"1) Under 5%",IF(D2262&lt;10,"2) 5-9%",IF(D2262&lt;15,"3) 10-14%",IF(D2262&lt;25,"4) 15-24%","5) 25%+"))))</f>
        <v>2) 5-9%</v>
      </c>
      <c r="N2262" s="0" t="str">
        <f aca="false">IF(F2262&lt;50,"1) Under Rs 50",IF(F2262&lt;100,"2) Rs 50-99",IF(F2262&lt;200,"3) Rs 100-199",IF(F2262&lt;500,"4) Rs 200-499","5) Rs 500+"))))</f>
        <v>3) Rs 100-199</v>
      </c>
      <c r="O2262" s="0" t="n">
        <f aca="false">G2262*E2262/1000</f>
        <v>1.2</v>
      </c>
    </row>
    <row r="2263" customFormat="false" ht="15" hidden="false" customHeight="false" outlineLevel="0" collapsed="false">
      <c r="A2263" s="0" t="s">
        <v>90</v>
      </c>
      <c r="B2263" s="0" t="s">
        <v>882</v>
      </c>
      <c r="C2263" s="0" t="n">
        <v>130</v>
      </c>
      <c r="D2263" s="0" t="n">
        <v>0</v>
      </c>
      <c r="E2263" s="0" t="n">
        <v>6</v>
      </c>
      <c r="F2263" s="0" t="n">
        <v>129</v>
      </c>
      <c r="G2263" s="0" t="n">
        <v>415</v>
      </c>
      <c r="H2263" s="0" t="s">
        <v>145</v>
      </c>
      <c r="I2263" s="0" t="n">
        <v>415</v>
      </c>
      <c r="J2263" s="0" t="n">
        <f aca="false">F2263*E2263</f>
        <v>774</v>
      </c>
      <c r="K2263" s="0" t="str">
        <f aca="false">IF(G2263&lt;1000,"1-Low",IF(G2263&lt;5000,"2-Medium","3-Bulk"))</f>
        <v>1-Low</v>
      </c>
      <c r="L2263" s="0" t="str">
        <f aca="false">IF(H2263="TRUE","Out of stock","In stock")</f>
        <v>In stock</v>
      </c>
      <c r="M2263" s="0" t="str">
        <f aca="false">IF(D2263&lt;5,"1) Under 5%",IF(D2263&lt;10,"2) 5-9%",IF(D2263&lt;15,"3) 10-14%",IF(D2263&lt;25,"4) 15-24%","5) 25%+"))))</f>
        <v>1) Under 5%</v>
      </c>
      <c r="N2263" s="0" t="str">
        <f aca="false">IF(F2263&lt;50,"1) Under Rs 50",IF(F2263&lt;100,"2) Rs 50-99",IF(F2263&lt;200,"3) Rs 100-199",IF(F2263&lt;500,"4) Rs 200-499","5) Rs 500+"))))</f>
        <v>3) Rs 100-199</v>
      </c>
      <c r="O2263" s="0" t="n">
        <f aca="false">G2263*E2263/1000</f>
        <v>2.49</v>
      </c>
    </row>
    <row r="2264" customFormat="false" ht="15" hidden="false" customHeight="false" outlineLevel="0" collapsed="false">
      <c r="A2264" s="0" t="s">
        <v>90</v>
      </c>
      <c r="B2264" s="0" t="s">
        <v>883</v>
      </c>
      <c r="C2264" s="0" t="n">
        <v>60</v>
      </c>
      <c r="D2264" s="0" t="n">
        <v>26</v>
      </c>
      <c r="E2264" s="0" t="n">
        <v>6</v>
      </c>
      <c r="F2264" s="0" t="n">
        <v>44</v>
      </c>
      <c r="G2264" s="0" t="n">
        <v>40</v>
      </c>
      <c r="H2264" s="0" t="s">
        <v>145</v>
      </c>
      <c r="I2264" s="0" t="n">
        <v>40</v>
      </c>
      <c r="J2264" s="0" t="n">
        <f aca="false">F2264*E2264</f>
        <v>264</v>
      </c>
      <c r="K2264" s="0" t="str">
        <f aca="false">IF(G2264&lt;1000,"1-Low",IF(G2264&lt;5000,"2-Medium","3-Bulk"))</f>
        <v>1-Low</v>
      </c>
      <c r="L2264" s="0" t="str">
        <f aca="false">IF(H2264="TRUE","Out of stock","In stock")</f>
        <v>In stock</v>
      </c>
      <c r="M2264" s="0" t="str">
        <f aca="false">IF(D2264&lt;5,"1) Under 5%",IF(D2264&lt;10,"2) 5-9%",IF(D2264&lt;15,"3) 10-14%",IF(D2264&lt;25,"4) 15-24%","5) 25%+"))))</f>
        <v>5) 25%+</v>
      </c>
      <c r="N2264" s="0" t="str">
        <f aca="false">IF(F2264&lt;50,"1) Under Rs 50",IF(F2264&lt;100,"2) Rs 50-99",IF(F2264&lt;200,"3) Rs 100-199",IF(F2264&lt;500,"4) Rs 200-499","5) Rs 500+"))))</f>
        <v>1) Under Rs 50</v>
      </c>
      <c r="O2264" s="0" t="n">
        <f aca="false">G2264*E2264/1000</f>
        <v>0.24</v>
      </c>
    </row>
    <row r="2265" customFormat="false" ht="15" hidden="false" customHeight="false" outlineLevel="0" collapsed="false">
      <c r="A2265" s="0" t="s">
        <v>90</v>
      </c>
      <c r="B2265" s="0" t="s">
        <v>884</v>
      </c>
      <c r="C2265" s="0" t="n">
        <v>260</v>
      </c>
      <c r="D2265" s="0" t="n">
        <v>10</v>
      </c>
      <c r="E2265" s="0" t="n">
        <v>4</v>
      </c>
      <c r="F2265" s="0" t="n">
        <v>234</v>
      </c>
      <c r="G2265" s="0" t="n">
        <v>400</v>
      </c>
      <c r="H2265" s="0" t="s">
        <v>145</v>
      </c>
      <c r="I2265" s="0" t="n">
        <v>400</v>
      </c>
      <c r="J2265" s="0" t="n">
        <f aca="false">F2265*E2265</f>
        <v>936</v>
      </c>
      <c r="K2265" s="0" t="str">
        <f aca="false">IF(G2265&lt;1000,"1-Low",IF(G2265&lt;5000,"2-Medium","3-Bulk"))</f>
        <v>1-Low</v>
      </c>
      <c r="L2265" s="0" t="str">
        <f aca="false">IF(H2265="TRUE","Out of stock","In stock")</f>
        <v>In stock</v>
      </c>
      <c r="M2265" s="0" t="str">
        <f aca="false">IF(D2265&lt;5,"1) Under 5%",IF(D2265&lt;10,"2) 5-9%",IF(D2265&lt;15,"3) 10-14%",IF(D2265&lt;25,"4) 15-24%","5) 25%+"))))</f>
        <v>3) 10-14%</v>
      </c>
      <c r="N2265" s="0" t="str">
        <f aca="false">IF(F2265&lt;50,"1) Under Rs 50",IF(F2265&lt;100,"2) Rs 50-99",IF(F2265&lt;200,"3) Rs 100-199",IF(F2265&lt;500,"4) Rs 200-499","5) Rs 500+"))))</f>
        <v>4) Rs 200-499</v>
      </c>
      <c r="O2265" s="0" t="n">
        <f aca="false">G2265*E2265/1000</f>
        <v>1.6</v>
      </c>
    </row>
    <row r="2266" customFormat="false" ht="15" hidden="false" customHeight="false" outlineLevel="0" collapsed="false">
      <c r="A2266" s="0" t="s">
        <v>90</v>
      </c>
      <c r="B2266" s="0" t="s">
        <v>871</v>
      </c>
      <c r="C2266" s="0" t="n">
        <v>150</v>
      </c>
      <c r="D2266" s="0" t="n">
        <v>0</v>
      </c>
      <c r="E2266" s="0" t="n">
        <v>5</v>
      </c>
      <c r="F2266" s="0" t="n">
        <v>150</v>
      </c>
      <c r="G2266" s="0" t="n">
        <v>580</v>
      </c>
      <c r="H2266" s="0" t="s">
        <v>145</v>
      </c>
      <c r="I2266" s="0" t="n">
        <v>10</v>
      </c>
      <c r="J2266" s="0" t="n">
        <f aca="false">F2266*E2266</f>
        <v>750</v>
      </c>
      <c r="K2266" s="0" t="str">
        <f aca="false">IF(G2266&lt;1000,"1-Low",IF(G2266&lt;5000,"2-Medium","3-Bulk"))</f>
        <v>1-Low</v>
      </c>
      <c r="L2266" s="0" t="str">
        <f aca="false">IF(H2266="TRUE","Out of stock","In stock")</f>
        <v>In stock</v>
      </c>
      <c r="M2266" s="0" t="str">
        <f aca="false">IF(D2266&lt;5,"1) Under 5%",IF(D2266&lt;10,"2) 5-9%",IF(D2266&lt;15,"3) 10-14%",IF(D2266&lt;25,"4) 15-24%","5) 25%+"))))</f>
        <v>1) Under 5%</v>
      </c>
      <c r="N2266" s="0" t="str">
        <f aca="false">IF(F2266&lt;50,"1) Under Rs 50",IF(F2266&lt;100,"2) Rs 50-99",IF(F2266&lt;200,"3) Rs 100-199",IF(F2266&lt;500,"4) Rs 200-499","5) Rs 500+"))))</f>
        <v>3) Rs 100-199</v>
      </c>
      <c r="O2266" s="0" t="n">
        <f aca="false">G2266*E2266/1000</f>
        <v>2.9</v>
      </c>
    </row>
    <row r="2267" customFormat="false" ht="15" hidden="false" customHeight="false" outlineLevel="0" collapsed="false">
      <c r="A2267" s="0" t="s">
        <v>90</v>
      </c>
      <c r="B2267" s="0" t="s">
        <v>885</v>
      </c>
      <c r="C2267" s="0" t="n">
        <v>85</v>
      </c>
      <c r="D2267" s="0" t="n">
        <v>9</v>
      </c>
      <c r="E2267" s="0" t="n">
        <v>2</v>
      </c>
      <c r="F2267" s="0" t="n">
        <v>77</v>
      </c>
      <c r="G2267" s="0" t="n">
        <v>300</v>
      </c>
      <c r="H2267" s="0" t="s">
        <v>145</v>
      </c>
      <c r="I2267" s="0" t="n">
        <v>300</v>
      </c>
      <c r="J2267" s="0" t="n">
        <f aca="false">F2267*E2267</f>
        <v>154</v>
      </c>
      <c r="K2267" s="0" t="str">
        <f aca="false">IF(G2267&lt;1000,"1-Low",IF(G2267&lt;5000,"2-Medium","3-Bulk"))</f>
        <v>1-Low</v>
      </c>
      <c r="L2267" s="0" t="str">
        <f aca="false">IF(H2267="TRUE","Out of stock","In stock")</f>
        <v>In stock</v>
      </c>
      <c r="M2267" s="0" t="str">
        <f aca="false">IF(D2267&lt;5,"1) Under 5%",IF(D2267&lt;10,"2) 5-9%",IF(D2267&lt;15,"3) 10-14%",IF(D2267&lt;25,"4) 15-24%","5) 25%+"))))</f>
        <v>2) 5-9%</v>
      </c>
      <c r="N2267" s="0" t="str">
        <f aca="false">IF(F2267&lt;50,"1) Under Rs 50",IF(F2267&lt;100,"2) Rs 50-99",IF(F2267&lt;200,"3) Rs 100-199",IF(F2267&lt;500,"4) Rs 200-499","5) Rs 500+"))))</f>
        <v>2) Rs 50-99</v>
      </c>
      <c r="O2267" s="0" t="n">
        <f aca="false">G2267*E2267/1000</f>
        <v>0.6</v>
      </c>
    </row>
    <row r="2268" customFormat="false" ht="15" hidden="false" customHeight="false" outlineLevel="0" collapsed="false">
      <c r="A2268" s="0" t="s">
        <v>90</v>
      </c>
      <c r="B2268" s="0" t="s">
        <v>406</v>
      </c>
      <c r="C2268" s="0" t="n">
        <v>28</v>
      </c>
      <c r="D2268" s="0" t="n">
        <v>17</v>
      </c>
      <c r="E2268" s="0" t="n">
        <v>3</v>
      </c>
      <c r="F2268" s="0" t="n">
        <v>23</v>
      </c>
      <c r="G2268" s="0" t="n">
        <v>65</v>
      </c>
      <c r="H2268" s="0" t="s">
        <v>145</v>
      </c>
      <c r="I2268" s="0" t="n">
        <v>65</v>
      </c>
      <c r="J2268" s="0" t="n">
        <f aca="false">F2268*E2268</f>
        <v>69</v>
      </c>
      <c r="K2268" s="0" t="str">
        <f aca="false">IF(G2268&lt;1000,"1-Low",IF(G2268&lt;5000,"2-Medium","3-Bulk"))</f>
        <v>1-Low</v>
      </c>
      <c r="L2268" s="0" t="str">
        <f aca="false">IF(H2268="TRUE","Out of stock","In stock")</f>
        <v>In stock</v>
      </c>
      <c r="M2268" s="0" t="str">
        <f aca="false">IF(D2268&lt;5,"1) Under 5%",IF(D2268&lt;10,"2) 5-9%",IF(D2268&lt;15,"3) 10-14%",IF(D2268&lt;25,"4) 15-24%","5) 25%+"))))</f>
        <v>4) 15-24%</v>
      </c>
      <c r="N2268" s="0" t="str">
        <f aca="false">IF(F2268&lt;50,"1) Under Rs 50",IF(F2268&lt;100,"2) Rs 50-99",IF(F2268&lt;200,"3) Rs 100-199",IF(F2268&lt;500,"4) Rs 200-499","5) Rs 500+"))))</f>
        <v>1) Under Rs 50</v>
      </c>
      <c r="O2268" s="0" t="n">
        <f aca="false">G2268*E2268/1000</f>
        <v>0.195</v>
      </c>
    </row>
    <row r="2269" customFormat="false" ht="15" hidden="false" customHeight="false" outlineLevel="0" collapsed="false">
      <c r="A2269" s="0" t="s">
        <v>90</v>
      </c>
      <c r="B2269" s="0" t="s">
        <v>886</v>
      </c>
      <c r="C2269" s="0" t="n">
        <v>100</v>
      </c>
      <c r="D2269" s="0" t="n">
        <v>26</v>
      </c>
      <c r="E2269" s="0" t="n">
        <v>6</v>
      </c>
      <c r="F2269" s="0" t="n">
        <v>74</v>
      </c>
      <c r="G2269" s="0" t="n">
        <v>52</v>
      </c>
      <c r="H2269" s="0" t="s">
        <v>145</v>
      </c>
      <c r="I2269" s="0" t="n">
        <v>52</v>
      </c>
      <c r="J2269" s="0" t="n">
        <f aca="false">F2269*E2269</f>
        <v>444</v>
      </c>
      <c r="K2269" s="0" t="str">
        <f aca="false">IF(G2269&lt;1000,"1-Low",IF(G2269&lt;5000,"2-Medium","3-Bulk"))</f>
        <v>1-Low</v>
      </c>
      <c r="L2269" s="0" t="str">
        <f aca="false">IF(H2269="TRUE","Out of stock","In stock")</f>
        <v>In stock</v>
      </c>
      <c r="M2269" s="0" t="str">
        <f aca="false">IF(D2269&lt;5,"1) Under 5%",IF(D2269&lt;10,"2) 5-9%",IF(D2269&lt;15,"3) 10-14%",IF(D2269&lt;25,"4) 15-24%","5) 25%+"))))</f>
        <v>5) 25%+</v>
      </c>
      <c r="N2269" s="0" t="str">
        <f aca="false">IF(F2269&lt;50,"1) Under Rs 50",IF(F2269&lt;100,"2) Rs 50-99",IF(F2269&lt;200,"3) Rs 100-199",IF(F2269&lt;500,"4) Rs 200-499","5) Rs 500+"))))</f>
        <v>2) Rs 50-99</v>
      </c>
      <c r="O2269" s="0" t="n">
        <f aca="false">G2269*E2269/1000</f>
        <v>0.312</v>
      </c>
    </row>
    <row r="2270" customFormat="false" ht="15" hidden="false" customHeight="false" outlineLevel="0" collapsed="false">
      <c r="A2270" s="0" t="s">
        <v>90</v>
      </c>
      <c r="B2270" s="0" t="s">
        <v>887</v>
      </c>
      <c r="C2270" s="0" t="n">
        <v>325</v>
      </c>
      <c r="D2270" s="0" t="n">
        <v>4</v>
      </c>
      <c r="E2270" s="0" t="n">
        <v>6</v>
      </c>
      <c r="F2270" s="0" t="n">
        <v>309</v>
      </c>
      <c r="G2270" s="0" t="n">
        <v>400</v>
      </c>
      <c r="H2270" s="0" t="s">
        <v>145</v>
      </c>
      <c r="I2270" s="0" t="n">
        <v>400</v>
      </c>
      <c r="J2270" s="0" t="n">
        <f aca="false">F2270*E2270</f>
        <v>1854</v>
      </c>
      <c r="K2270" s="0" t="str">
        <f aca="false">IF(G2270&lt;1000,"1-Low",IF(G2270&lt;5000,"2-Medium","3-Bulk"))</f>
        <v>1-Low</v>
      </c>
      <c r="L2270" s="0" t="str">
        <f aca="false">IF(H2270="TRUE","Out of stock","In stock")</f>
        <v>In stock</v>
      </c>
      <c r="M2270" s="0" t="str">
        <f aca="false">IF(D2270&lt;5,"1) Under 5%",IF(D2270&lt;10,"2) 5-9%",IF(D2270&lt;15,"3) 10-14%",IF(D2270&lt;25,"4) 15-24%","5) 25%+"))))</f>
        <v>1) Under 5%</v>
      </c>
      <c r="N2270" s="0" t="str">
        <f aca="false">IF(F2270&lt;50,"1) Under Rs 50",IF(F2270&lt;100,"2) Rs 50-99",IF(F2270&lt;200,"3) Rs 100-199",IF(F2270&lt;500,"4) Rs 200-499","5) Rs 500+"))))</f>
        <v>4) Rs 200-499</v>
      </c>
      <c r="O2270" s="0" t="n">
        <f aca="false">G2270*E2270/1000</f>
        <v>2.4</v>
      </c>
    </row>
    <row r="2271" customFormat="false" ht="15" hidden="false" customHeight="false" outlineLevel="0" collapsed="false">
      <c r="A2271" s="0" t="s">
        <v>90</v>
      </c>
      <c r="B2271" s="0" t="s">
        <v>420</v>
      </c>
      <c r="C2271" s="0" t="n">
        <v>70</v>
      </c>
      <c r="D2271" s="0" t="n">
        <v>10</v>
      </c>
      <c r="E2271" s="0" t="n">
        <v>3</v>
      </c>
      <c r="F2271" s="0" t="n">
        <v>63</v>
      </c>
      <c r="G2271" s="0" t="n">
        <v>405</v>
      </c>
      <c r="H2271" s="0" t="s">
        <v>145</v>
      </c>
      <c r="I2271" s="0" t="n">
        <v>405</v>
      </c>
      <c r="J2271" s="0" t="n">
        <f aca="false">F2271*E2271</f>
        <v>189</v>
      </c>
      <c r="K2271" s="0" t="str">
        <f aca="false">IF(G2271&lt;1000,"1-Low",IF(G2271&lt;5000,"2-Medium","3-Bulk"))</f>
        <v>1-Low</v>
      </c>
      <c r="L2271" s="0" t="str">
        <f aca="false">IF(H2271="TRUE","Out of stock","In stock")</f>
        <v>In stock</v>
      </c>
      <c r="M2271" s="0" t="str">
        <f aca="false">IF(D2271&lt;5,"1) Under 5%",IF(D2271&lt;10,"2) 5-9%",IF(D2271&lt;15,"3) 10-14%",IF(D2271&lt;25,"4) 15-24%","5) 25%+"))))</f>
        <v>3) 10-14%</v>
      </c>
      <c r="N2271" s="0" t="str">
        <f aca="false">IF(F2271&lt;50,"1) Under Rs 50",IF(F2271&lt;100,"2) Rs 50-99",IF(F2271&lt;200,"3) Rs 100-199",IF(F2271&lt;500,"4) Rs 200-499","5) Rs 500+"))))</f>
        <v>2) Rs 50-99</v>
      </c>
      <c r="O2271" s="0" t="n">
        <f aca="false">G2271*E2271/1000</f>
        <v>1.215</v>
      </c>
    </row>
    <row r="2272" customFormat="false" ht="15" hidden="false" customHeight="false" outlineLevel="0" collapsed="false">
      <c r="A2272" s="0" t="s">
        <v>90</v>
      </c>
      <c r="B2272" s="0" t="s">
        <v>888</v>
      </c>
      <c r="C2272" s="0" t="n">
        <v>141</v>
      </c>
      <c r="D2272" s="0" t="n">
        <v>14</v>
      </c>
      <c r="E2272" s="0" t="n">
        <v>4</v>
      </c>
      <c r="F2272" s="0" t="n">
        <v>121</v>
      </c>
      <c r="G2272" s="0" t="n">
        <v>350</v>
      </c>
      <c r="H2272" s="0" t="s">
        <v>145</v>
      </c>
      <c r="I2272" s="0" t="n">
        <v>350</v>
      </c>
      <c r="J2272" s="0" t="n">
        <f aca="false">F2272*E2272</f>
        <v>484</v>
      </c>
      <c r="K2272" s="0" t="str">
        <f aca="false">IF(G2272&lt;1000,"1-Low",IF(G2272&lt;5000,"2-Medium","3-Bulk"))</f>
        <v>1-Low</v>
      </c>
      <c r="L2272" s="0" t="str">
        <f aca="false">IF(H2272="TRUE","Out of stock","In stock")</f>
        <v>In stock</v>
      </c>
      <c r="M2272" s="0" t="str">
        <f aca="false">IF(D2272&lt;5,"1) Under 5%",IF(D2272&lt;10,"2) 5-9%",IF(D2272&lt;15,"3) 10-14%",IF(D2272&lt;25,"4) 15-24%","5) 25%+"))))</f>
        <v>3) 10-14%</v>
      </c>
      <c r="N2272" s="0" t="str">
        <f aca="false">IF(F2272&lt;50,"1) Under Rs 50",IF(F2272&lt;100,"2) Rs 50-99",IF(F2272&lt;200,"3) Rs 100-199",IF(F2272&lt;500,"4) Rs 200-499","5) Rs 500+"))))</f>
        <v>3) Rs 100-199</v>
      </c>
      <c r="O2272" s="0" t="n">
        <f aca="false">G2272*E2272/1000</f>
        <v>1.4</v>
      </c>
    </row>
    <row r="2273" customFormat="false" ht="15" hidden="false" customHeight="false" outlineLevel="0" collapsed="false">
      <c r="A2273" s="0" t="s">
        <v>90</v>
      </c>
      <c r="B2273" s="0" t="s">
        <v>424</v>
      </c>
      <c r="C2273" s="0" t="n">
        <v>49</v>
      </c>
      <c r="D2273" s="0" t="n">
        <v>8</v>
      </c>
      <c r="E2273" s="0" t="n">
        <v>6</v>
      </c>
      <c r="F2273" s="0" t="n">
        <v>45</v>
      </c>
      <c r="G2273" s="0" t="n">
        <v>200</v>
      </c>
      <c r="H2273" s="0" t="s">
        <v>145</v>
      </c>
      <c r="I2273" s="0" t="n">
        <v>200</v>
      </c>
      <c r="J2273" s="0" t="n">
        <f aca="false">F2273*E2273</f>
        <v>270</v>
      </c>
      <c r="K2273" s="0" t="str">
        <f aca="false">IF(G2273&lt;1000,"1-Low",IF(G2273&lt;5000,"2-Medium","3-Bulk"))</f>
        <v>1-Low</v>
      </c>
      <c r="L2273" s="0" t="str">
        <f aca="false">IF(H2273="TRUE","Out of stock","In stock")</f>
        <v>In stock</v>
      </c>
      <c r="M2273" s="0" t="str">
        <f aca="false">IF(D2273&lt;5,"1) Under 5%",IF(D2273&lt;10,"2) 5-9%",IF(D2273&lt;15,"3) 10-14%",IF(D2273&lt;25,"4) 15-24%","5) 25%+"))))</f>
        <v>2) 5-9%</v>
      </c>
      <c r="N2273" s="0" t="str">
        <f aca="false">IF(F2273&lt;50,"1) Under Rs 50",IF(F2273&lt;100,"2) Rs 50-99",IF(F2273&lt;200,"3) Rs 100-199",IF(F2273&lt;500,"4) Rs 200-499","5) Rs 500+"))))</f>
        <v>1) Under Rs 50</v>
      </c>
      <c r="O2273" s="0" t="n">
        <f aca="false">G2273*E2273/1000</f>
        <v>1.2</v>
      </c>
    </row>
    <row r="2274" customFormat="false" ht="15" hidden="false" customHeight="false" outlineLevel="0" collapsed="false">
      <c r="A2274" s="0" t="s">
        <v>90</v>
      </c>
      <c r="B2274" s="0" t="s">
        <v>423</v>
      </c>
      <c r="C2274" s="0" t="n">
        <v>50</v>
      </c>
      <c r="D2274" s="0" t="n">
        <v>2</v>
      </c>
      <c r="E2274" s="0" t="n">
        <v>6</v>
      </c>
      <c r="F2274" s="0" t="n">
        <v>49</v>
      </c>
      <c r="G2274" s="0" t="n">
        <v>200</v>
      </c>
      <c r="H2274" s="0" t="s">
        <v>145</v>
      </c>
      <c r="I2274" s="0" t="n">
        <v>200</v>
      </c>
      <c r="J2274" s="0" t="n">
        <f aca="false">F2274*E2274</f>
        <v>294</v>
      </c>
      <c r="K2274" s="0" t="str">
        <f aca="false">IF(G2274&lt;1000,"1-Low",IF(G2274&lt;5000,"2-Medium","3-Bulk"))</f>
        <v>1-Low</v>
      </c>
      <c r="L2274" s="0" t="str">
        <f aca="false">IF(H2274="TRUE","Out of stock","In stock")</f>
        <v>In stock</v>
      </c>
      <c r="M2274" s="0" t="str">
        <f aca="false">IF(D2274&lt;5,"1) Under 5%",IF(D2274&lt;10,"2) 5-9%",IF(D2274&lt;15,"3) 10-14%",IF(D2274&lt;25,"4) 15-24%","5) 25%+"))))</f>
        <v>1) Under 5%</v>
      </c>
      <c r="N2274" s="0" t="str">
        <f aca="false">IF(F2274&lt;50,"1) Under Rs 50",IF(F2274&lt;100,"2) Rs 50-99",IF(F2274&lt;200,"3) Rs 100-199",IF(F2274&lt;500,"4) Rs 200-499","5) Rs 500+"))))</f>
        <v>1) Under Rs 50</v>
      </c>
      <c r="O2274" s="0" t="n">
        <f aca="false">G2274*E2274/1000</f>
        <v>1.2</v>
      </c>
    </row>
    <row r="2275" customFormat="false" ht="15" hidden="false" customHeight="false" outlineLevel="0" collapsed="false">
      <c r="A2275" s="0" t="s">
        <v>90</v>
      </c>
      <c r="B2275" s="0" t="s">
        <v>889</v>
      </c>
      <c r="C2275" s="0" t="n">
        <v>125</v>
      </c>
      <c r="D2275" s="0" t="n">
        <v>15</v>
      </c>
      <c r="E2275" s="0" t="n">
        <v>4</v>
      </c>
      <c r="F2275" s="0" t="n">
        <v>106</v>
      </c>
      <c r="G2275" s="0" t="n">
        <v>60</v>
      </c>
      <c r="H2275" s="0" t="s">
        <v>145</v>
      </c>
      <c r="I2275" s="0" t="n">
        <v>60</v>
      </c>
      <c r="J2275" s="0" t="n">
        <f aca="false">F2275*E2275</f>
        <v>424</v>
      </c>
      <c r="K2275" s="0" t="str">
        <f aca="false">IF(G2275&lt;1000,"1-Low",IF(G2275&lt;5000,"2-Medium","3-Bulk"))</f>
        <v>1-Low</v>
      </c>
      <c r="L2275" s="0" t="str">
        <f aca="false">IF(H2275="TRUE","Out of stock","In stock")</f>
        <v>In stock</v>
      </c>
      <c r="M2275" s="0" t="str">
        <f aca="false">IF(D2275&lt;5,"1) Under 5%",IF(D2275&lt;10,"2) 5-9%",IF(D2275&lt;15,"3) 10-14%",IF(D2275&lt;25,"4) 15-24%","5) 25%+"))))</f>
        <v>4) 15-24%</v>
      </c>
      <c r="N2275" s="0" t="str">
        <f aca="false">IF(F2275&lt;50,"1) Under Rs 50",IF(F2275&lt;100,"2) Rs 50-99",IF(F2275&lt;200,"3) Rs 100-199",IF(F2275&lt;500,"4) Rs 200-499","5) Rs 500+"))))</f>
        <v>3) Rs 100-199</v>
      </c>
      <c r="O2275" s="0" t="n">
        <f aca="false">G2275*E2275/1000</f>
        <v>0.24</v>
      </c>
    </row>
    <row r="2276" customFormat="false" ht="15" hidden="false" customHeight="false" outlineLevel="0" collapsed="false">
      <c r="A2276" s="0" t="s">
        <v>90</v>
      </c>
      <c r="B2276" s="0" t="s">
        <v>890</v>
      </c>
      <c r="C2276" s="0" t="n">
        <v>40</v>
      </c>
      <c r="D2276" s="0" t="n">
        <v>2</v>
      </c>
      <c r="E2276" s="0" t="n">
        <v>3</v>
      </c>
      <c r="F2276" s="0" t="n">
        <v>39</v>
      </c>
      <c r="G2276" s="0" t="n">
        <v>400</v>
      </c>
      <c r="H2276" s="0" t="s">
        <v>145</v>
      </c>
      <c r="I2276" s="0" t="n">
        <v>400</v>
      </c>
      <c r="J2276" s="0" t="n">
        <f aca="false">F2276*E2276</f>
        <v>117</v>
      </c>
      <c r="K2276" s="0" t="str">
        <f aca="false">IF(G2276&lt;1000,"1-Low",IF(G2276&lt;5000,"2-Medium","3-Bulk"))</f>
        <v>1-Low</v>
      </c>
      <c r="L2276" s="0" t="str">
        <f aca="false">IF(H2276="TRUE","Out of stock","In stock")</f>
        <v>In stock</v>
      </c>
      <c r="M2276" s="0" t="str">
        <f aca="false">IF(D2276&lt;5,"1) Under 5%",IF(D2276&lt;10,"2) 5-9%",IF(D2276&lt;15,"3) 10-14%",IF(D2276&lt;25,"4) 15-24%","5) 25%+"))))</f>
        <v>1) Under 5%</v>
      </c>
      <c r="N2276" s="0" t="str">
        <f aca="false">IF(F2276&lt;50,"1) Under Rs 50",IF(F2276&lt;100,"2) Rs 50-99",IF(F2276&lt;200,"3) Rs 100-199",IF(F2276&lt;500,"4) Rs 200-499","5) Rs 500+"))))</f>
        <v>1) Under Rs 50</v>
      </c>
      <c r="O2276" s="0" t="n">
        <f aca="false">G2276*E2276/1000</f>
        <v>1.2</v>
      </c>
    </row>
    <row r="2277" customFormat="false" ht="15" hidden="false" customHeight="false" outlineLevel="0" collapsed="false">
      <c r="A2277" s="0" t="s">
        <v>90</v>
      </c>
      <c r="B2277" s="0" t="s">
        <v>891</v>
      </c>
      <c r="C2277" s="0" t="n">
        <v>10</v>
      </c>
      <c r="D2277" s="0" t="n">
        <v>0</v>
      </c>
      <c r="E2277" s="0" t="n">
        <v>3</v>
      </c>
      <c r="F2277" s="0" t="n">
        <v>10</v>
      </c>
      <c r="G2277" s="0" t="n">
        <v>15</v>
      </c>
      <c r="H2277" s="0" t="s">
        <v>145</v>
      </c>
      <c r="I2277" s="0" t="n">
        <v>15</v>
      </c>
      <c r="J2277" s="0" t="n">
        <f aca="false">F2277*E2277</f>
        <v>30</v>
      </c>
      <c r="K2277" s="0" t="str">
        <f aca="false">IF(G2277&lt;1000,"1-Low",IF(G2277&lt;5000,"2-Medium","3-Bulk"))</f>
        <v>1-Low</v>
      </c>
      <c r="L2277" s="0" t="str">
        <f aca="false">IF(H2277="TRUE","Out of stock","In stock")</f>
        <v>In stock</v>
      </c>
      <c r="M2277" s="0" t="str">
        <f aca="false">IF(D2277&lt;5,"1) Under 5%",IF(D2277&lt;10,"2) 5-9%",IF(D2277&lt;15,"3) 10-14%",IF(D2277&lt;25,"4) 15-24%","5) 25%+"))))</f>
        <v>1) Under 5%</v>
      </c>
      <c r="N2277" s="0" t="str">
        <f aca="false">IF(F2277&lt;50,"1) Under Rs 50",IF(F2277&lt;100,"2) Rs 50-99",IF(F2277&lt;200,"3) Rs 100-199",IF(F2277&lt;500,"4) Rs 200-499","5) Rs 500+"))))</f>
        <v>1) Under Rs 50</v>
      </c>
      <c r="O2277" s="0" t="n">
        <f aca="false">G2277*E2277/1000</f>
        <v>0.045</v>
      </c>
    </row>
    <row r="2278" customFormat="false" ht="15" hidden="false" customHeight="false" outlineLevel="0" collapsed="false">
      <c r="A2278" s="0" t="s">
        <v>90</v>
      </c>
      <c r="B2278" s="0" t="s">
        <v>892</v>
      </c>
      <c r="C2278" s="0" t="n">
        <v>145</v>
      </c>
      <c r="D2278" s="0" t="n">
        <v>11</v>
      </c>
      <c r="E2278" s="0" t="n">
        <v>3</v>
      </c>
      <c r="F2278" s="0" t="n">
        <v>129</v>
      </c>
      <c r="G2278" s="0" t="n">
        <v>400</v>
      </c>
      <c r="H2278" s="0" t="s">
        <v>145</v>
      </c>
      <c r="I2278" s="0" t="n">
        <v>400</v>
      </c>
      <c r="J2278" s="0" t="n">
        <f aca="false">F2278*E2278</f>
        <v>387</v>
      </c>
      <c r="K2278" s="0" t="str">
        <f aca="false">IF(G2278&lt;1000,"1-Low",IF(G2278&lt;5000,"2-Medium","3-Bulk"))</f>
        <v>1-Low</v>
      </c>
      <c r="L2278" s="0" t="str">
        <f aca="false">IF(H2278="TRUE","Out of stock","In stock")</f>
        <v>In stock</v>
      </c>
      <c r="M2278" s="0" t="str">
        <f aca="false">IF(D2278&lt;5,"1) Under 5%",IF(D2278&lt;10,"2) 5-9%",IF(D2278&lt;15,"3) 10-14%",IF(D2278&lt;25,"4) 15-24%","5) 25%+"))))</f>
        <v>3) 10-14%</v>
      </c>
      <c r="N2278" s="0" t="str">
        <f aca="false">IF(F2278&lt;50,"1) Under Rs 50",IF(F2278&lt;100,"2) Rs 50-99",IF(F2278&lt;200,"3) Rs 100-199",IF(F2278&lt;500,"4) Rs 200-499","5) Rs 500+"))))</f>
        <v>3) Rs 100-199</v>
      </c>
      <c r="O2278" s="0" t="n">
        <f aca="false">G2278*E2278/1000</f>
        <v>1.2</v>
      </c>
    </row>
    <row r="2279" customFormat="false" ht="15" hidden="false" customHeight="false" outlineLevel="0" collapsed="false">
      <c r="A2279" s="0" t="s">
        <v>90</v>
      </c>
      <c r="B2279" s="0" t="s">
        <v>893</v>
      </c>
      <c r="C2279" s="0" t="n">
        <v>335</v>
      </c>
      <c r="D2279" s="0" t="n">
        <v>11</v>
      </c>
      <c r="E2279" s="0" t="n">
        <v>6</v>
      </c>
      <c r="F2279" s="0" t="n">
        <v>298</v>
      </c>
      <c r="G2279" s="0" t="n">
        <v>500</v>
      </c>
      <c r="H2279" s="0" t="s">
        <v>145</v>
      </c>
      <c r="I2279" s="0" t="n">
        <v>500</v>
      </c>
      <c r="J2279" s="0" t="n">
        <f aca="false">F2279*E2279</f>
        <v>1788</v>
      </c>
      <c r="K2279" s="0" t="str">
        <f aca="false">IF(G2279&lt;1000,"1-Low",IF(G2279&lt;5000,"2-Medium","3-Bulk"))</f>
        <v>1-Low</v>
      </c>
      <c r="L2279" s="0" t="str">
        <f aca="false">IF(H2279="TRUE","Out of stock","In stock")</f>
        <v>In stock</v>
      </c>
      <c r="M2279" s="0" t="str">
        <f aca="false">IF(D2279&lt;5,"1) Under 5%",IF(D2279&lt;10,"2) 5-9%",IF(D2279&lt;15,"3) 10-14%",IF(D2279&lt;25,"4) 15-24%","5) 25%+"))))</f>
        <v>3) 10-14%</v>
      </c>
      <c r="N2279" s="0" t="str">
        <f aca="false">IF(F2279&lt;50,"1) Under Rs 50",IF(F2279&lt;100,"2) Rs 50-99",IF(F2279&lt;200,"3) Rs 100-199",IF(F2279&lt;500,"4) Rs 200-499","5) Rs 500+"))))</f>
        <v>4) Rs 200-499</v>
      </c>
      <c r="O2279" s="0" t="n">
        <f aca="false">G2279*E2279/1000</f>
        <v>3</v>
      </c>
    </row>
    <row r="2280" customFormat="false" ht="15" hidden="false" customHeight="false" outlineLevel="0" collapsed="false">
      <c r="A2280" s="0" t="s">
        <v>90</v>
      </c>
      <c r="B2280" s="0" t="s">
        <v>894</v>
      </c>
      <c r="C2280" s="0" t="n">
        <v>119</v>
      </c>
      <c r="D2280" s="0" t="n">
        <v>6</v>
      </c>
      <c r="E2280" s="0" t="n">
        <v>6</v>
      </c>
      <c r="F2280" s="0" t="n">
        <v>111</v>
      </c>
      <c r="G2280" s="0" t="n">
        <v>360</v>
      </c>
      <c r="H2280" s="0" t="s">
        <v>145</v>
      </c>
      <c r="I2280" s="0" t="n">
        <v>360</v>
      </c>
      <c r="J2280" s="0" t="n">
        <f aca="false">F2280*E2280</f>
        <v>666</v>
      </c>
      <c r="K2280" s="0" t="str">
        <f aca="false">IF(G2280&lt;1000,"1-Low",IF(G2280&lt;5000,"2-Medium","3-Bulk"))</f>
        <v>1-Low</v>
      </c>
      <c r="L2280" s="0" t="str">
        <f aca="false">IF(H2280="TRUE","Out of stock","In stock")</f>
        <v>In stock</v>
      </c>
      <c r="M2280" s="0" t="str">
        <f aca="false">IF(D2280&lt;5,"1) Under 5%",IF(D2280&lt;10,"2) 5-9%",IF(D2280&lt;15,"3) 10-14%",IF(D2280&lt;25,"4) 15-24%","5) 25%+"))))</f>
        <v>2) 5-9%</v>
      </c>
      <c r="N2280" s="0" t="str">
        <f aca="false">IF(F2280&lt;50,"1) Under Rs 50",IF(F2280&lt;100,"2) Rs 50-99",IF(F2280&lt;200,"3) Rs 100-199",IF(F2280&lt;500,"4) Rs 200-499","5) Rs 500+"))))</f>
        <v>3) Rs 100-199</v>
      </c>
      <c r="O2280" s="0" t="n">
        <f aca="false">G2280*E2280/1000</f>
        <v>2.16</v>
      </c>
    </row>
    <row r="2281" customFormat="false" ht="15" hidden="false" customHeight="false" outlineLevel="0" collapsed="false">
      <c r="A2281" s="0" t="s">
        <v>90</v>
      </c>
      <c r="B2281" s="0" t="s">
        <v>895</v>
      </c>
      <c r="C2281" s="0" t="n">
        <v>149</v>
      </c>
      <c r="D2281" s="0" t="n">
        <v>8</v>
      </c>
      <c r="E2281" s="0" t="n">
        <v>6</v>
      </c>
      <c r="F2281" s="0" t="n">
        <v>137</v>
      </c>
      <c r="G2281" s="0" t="n">
        <v>300</v>
      </c>
      <c r="H2281" s="0" t="s">
        <v>145</v>
      </c>
      <c r="I2281" s="0" t="n">
        <v>300</v>
      </c>
      <c r="J2281" s="0" t="n">
        <f aca="false">F2281*E2281</f>
        <v>822</v>
      </c>
      <c r="K2281" s="0" t="str">
        <f aca="false">IF(G2281&lt;1000,"1-Low",IF(G2281&lt;5000,"2-Medium","3-Bulk"))</f>
        <v>1-Low</v>
      </c>
      <c r="L2281" s="0" t="str">
        <f aca="false">IF(H2281="TRUE","Out of stock","In stock")</f>
        <v>In stock</v>
      </c>
      <c r="M2281" s="0" t="str">
        <f aca="false">IF(D2281&lt;5,"1) Under 5%",IF(D2281&lt;10,"2) 5-9%",IF(D2281&lt;15,"3) 10-14%",IF(D2281&lt;25,"4) 15-24%","5) 25%+"))))</f>
        <v>2) 5-9%</v>
      </c>
      <c r="N2281" s="0" t="str">
        <f aca="false">IF(F2281&lt;50,"1) Under Rs 50",IF(F2281&lt;100,"2) Rs 50-99",IF(F2281&lt;200,"3) Rs 100-199",IF(F2281&lt;500,"4) Rs 200-499","5) Rs 500+"))))</f>
        <v>3) Rs 100-199</v>
      </c>
      <c r="O2281" s="0" t="n">
        <f aca="false">G2281*E2281/1000</f>
        <v>1.8</v>
      </c>
    </row>
    <row r="2282" customFormat="false" ht="15" hidden="false" customHeight="false" outlineLevel="0" collapsed="false">
      <c r="A2282" s="0" t="s">
        <v>90</v>
      </c>
      <c r="B2282" s="0" t="s">
        <v>896</v>
      </c>
      <c r="C2282" s="0" t="n">
        <v>130</v>
      </c>
      <c r="D2282" s="0" t="n">
        <v>0</v>
      </c>
      <c r="E2282" s="0" t="n">
        <v>5</v>
      </c>
      <c r="F2282" s="0" t="n">
        <v>130</v>
      </c>
      <c r="G2282" s="0" t="n">
        <v>200</v>
      </c>
      <c r="H2282" s="0" t="s">
        <v>145</v>
      </c>
      <c r="I2282" s="0" t="n">
        <v>200</v>
      </c>
      <c r="J2282" s="0" t="n">
        <f aca="false">F2282*E2282</f>
        <v>650</v>
      </c>
      <c r="K2282" s="0" t="str">
        <f aca="false">IF(G2282&lt;1000,"1-Low",IF(G2282&lt;5000,"2-Medium","3-Bulk"))</f>
        <v>1-Low</v>
      </c>
      <c r="L2282" s="0" t="str">
        <f aca="false">IF(H2282="TRUE","Out of stock","In stock")</f>
        <v>In stock</v>
      </c>
      <c r="M2282" s="0" t="str">
        <f aca="false">IF(D2282&lt;5,"1) Under 5%",IF(D2282&lt;10,"2) 5-9%",IF(D2282&lt;15,"3) 10-14%",IF(D2282&lt;25,"4) 15-24%","5) 25%+"))))</f>
        <v>1) Under 5%</v>
      </c>
      <c r="N2282" s="0" t="str">
        <f aca="false">IF(F2282&lt;50,"1) Under Rs 50",IF(F2282&lt;100,"2) Rs 50-99",IF(F2282&lt;200,"3) Rs 100-199",IF(F2282&lt;500,"4) Rs 200-499","5) Rs 500+"))))</f>
        <v>3) Rs 100-199</v>
      </c>
      <c r="O2282" s="0" t="n">
        <f aca="false">G2282*E2282/1000</f>
        <v>1</v>
      </c>
    </row>
    <row r="2283" customFormat="false" ht="15" hidden="false" customHeight="false" outlineLevel="0" collapsed="false">
      <c r="A2283" s="0" t="s">
        <v>90</v>
      </c>
      <c r="B2283" s="0" t="s">
        <v>897</v>
      </c>
      <c r="C2283" s="0" t="n">
        <v>55</v>
      </c>
      <c r="D2283" s="0" t="n">
        <v>3</v>
      </c>
      <c r="E2283" s="0" t="n">
        <v>1</v>
      </c>
      <c r="F2283" s="0" t="n">
        <v>53</v>
      </c>
      <c r="G2283" s="0" t="n">
        <v>43</v>
      </c>
      <c r="H2283" s="0" t="s">
        <v>145</v>
      </c>
      <c r="I2283" s="0" t="n">
        <v>43</v>
      </c>
      <c r="J2283" s="0" t="n">
        <f aca="false">F2283*E2283</f>
        <v>53</v>
      </c>
      <c r="K2283" s="0" t="str">
        <f aca="false">IF(G2283&lt;1000,"1-Low",IF(G2283&lt;5000,"2-Medium","3-Bulk"))</f>
        <v>1-Low</v>
      </c>
      <c r="L2283" s="0" t="str">
        <f aca="false">IF(H2283="TRUE","Out of stock","In stock")</f>
        <v>In stock</v>
      </c>
      <c r="M2283" s="0" t="str">
        <f aca="false">IF(D2283&lt;5,"1) Under 5%",IF(D2283&lt;10,"2) 5-9%",IF(D2283&lt;15,"3) 10-14%",IF(D2283&lt;25,"4) 15-24%","5) 25%+"))))</f>
        <v>1) Under 5%</v>
      </c>
      <c r="N2283" s="0" t="str">
        <f aca="false">IF(F2283&lt;50,"1) Under Rs 50",IF(F2283&lt;100,"2) Rs 50-99",IF(F2283&lt;200,"3) Rs 100-199",IF(F2283&lt;500,"4) Rs 200-499","5) Rs 500+"))))</f>
        <v>2) Rs 50-99</v>
      </c>
      <c r="O2283" s="0" t="n">
        <f aca="false">G2283*E2283/1000</f>
        <v>0.043</v>
      </c>
    </row>
    <row r="2284" customFormat="false" ht="15" hidden="false" customHeight="false" outlineLevel="0" collapsed="false">
      <c r="A2284" s="0" t="s">
        <v>90</v>
      </c>
      <c r="B2284" s="0" t="s">
        <v>755</v>
      </c>
      <c r="C2284" s="0" t="n">
        <v>99</v>
      </c>
      <c r="D2284" s="0" t="n">
        <v>5</v>
      </c>
      <c r="E2284" s="0" t="n">
        <v>6</v>
      </c>
      <c r="F2284" s="0" t="n">
        <v>94</v>
      </c>
      <c r="G2284" s="0" t="n">
        <v>200</v>
      </c>
      <c r="H2284" s="0" t="s">
        <v>145</v>
      </c>
      <c r="I2284" s="0" t="n">
        <v>200</v>
      </c>
      <c r="J2284" s="0" t="n">
        <f aca="false">F2284*E2284</f>
        <v>564</v>
      </c>
      <c r="K2284" s="0" t="str">
        <f aca="false">IF(G2284&lt;1000,"1-Low",IF(G2284&lt;5000,"2-Medium","3-Bulk"))</f>
        <v>1-Low</v>
      </c>
      <c r="L2284" s="0" t="str">
        <f aca="false">IF(H2284="TRUE","Out of stock","In stock")</f>
        <v>In stock</v>
      </c>
      <c r="M2284" s="0" t="str">
        <f aca="false">IF(D2284&lt;5,"1) Under 5%",IF(D2284&lt;10,"2) 5-9%",IF(D2284&lt;15,"3) 10-14%",IF(D2284&lt;25,"4) 15-24%","5) 25%+"))))</f>
        <v>2) 5-9%</v>
      </c>
      <c r="N2284" s="0" t="str">
        <f aca="false">IF(F2284&lt;50,"1) Under Rs 50",IF(F2284&lt;100,"2) Rs 50-99",IF(F2284&lt;200,"3) Rs 100-199",IF(F2284&lt;500,"4) Rs 200-499","5) Rs 500+"))))</f>
        <v>2) Rs 50-99</v>
      </c>
      <c r="O2284" s="0" t="n">
        <f aca="false">G2284*E2284/1000</f>
        <v>1.2</v>
      </c>
    </row>
    <row r="2285" customFormat="false" ht="15" hidden="false" customHeight="false" outlineLevel="0" collapsed="false">
      <c r="A2285" s="0" t="s">
        <v>90</v>
      </c>
      <c r="B2285" s="0" t="s">
        <v>758</v>
      </c>
      <c r="C2285" s="0" t="n">
        <v>215</v>
      </c>
      <c r="D2285" s="0" t="n">
        <v>9</v>
      </c>
      <c r="E2285" s="0" t="n">
        <v>6</v>
      </c>
      <c r="F2285" s="0" t="n">
        <v>194</v>
      </c>
      <c r="G2285" s="0" t="n">
        <v>325</v>
      </c>
      <c r="H2285" s="0" t="s">
        <v>145</v>
      </c>
      <c r="I2285" s="0" t="n">
        <v>325</v>
      </c>
      <c r="J2285" s="0" t="n">
        <f aca="false">F2285*E2285</f>
        <v>1164</v>
      </c>
      <c r="K2285" s="0" t="str">
        <f aca="false">IF(G2285&lt;1000,"1-Low",IF(G2285&lt;5000,"2-Medium","3-Bulk"))</f>
        <v>1-Low</v>
      </c>
      <c r="L2285" s="0" t="str">
        <f aca="false">IF(H2285="TRUE","Out of stock","In stock")</f>
        <v>In stock</v>
      </c>
      <c r="M2285" s="0" t="str">
        <f aca="false">IF(D2285&lt;5,"1) Under 5%",IF(D2285&lt;10,"2) 5-9%",IF(D2285&lt;15,"3) 10-14%",IF(D2285&lt;25,"4) 15-24%","5) 25%+"))))</f>
        <v>2) 5-9%</v>
      </c>
      <c r="N2285" s="0" t="str">
        <f aca="false">IF(F2285&lt;50,"1) Under Rs 50",IF(F2285&lt;100,"2) Rs 50-99",IF(F2285&lt;200,"3) Rs 100-199",IF(F2285&lt;500,"4) Rs 200-499","5) Rs 500+"))))</f>
        <v>3) Rs 100-199</v>
      </c>
      <c r="O2285" s="0" t="n">
        <f aca="false">G2285*E2285/1000</f>
        <v>1.95</v>
      </c>
    </row>
    <row r="2286" customFormat="false" ht="15" hidden="false" customHeight="false" outlineLevel="0" collapsed="false">
      <c r="A2286" s="0" t="s">
        <v>90</v>
      </c>
      <c r="B2286" s="0" t="s">
        <v>439</v>
      </c>
      <c r="C2286" s="0" t="n">
        <v>205</v>
      </c>
      <c r="D2286" s="0" t="n">
        <v>5</v>
      </c>
      <c r="E2286" s="0" t="n">
        <v>1</v>
      </c>
      <c r="F2286" s="0" t="n">
        <v>194</v>
      </c>
      <c r="G2286" s="0" t="n">
        <v>250</v>
      </c>
      <c r="H2286" s="0" t="s">
        <v>145</v>
      </c>
      <c r="I2286" s="0" t="n">
        <v>250</v>
      </c>
      <c r="J2286" s="0" t="n">
        <f aca="false">F2286*E2286</f>
        <v>194</v>
      </c>
      <c r="K2286" s="0" t="str">
        <f aca="false">IF(G2286&lt;1000,"1-Low",IF(G2286&lt;5000,"2-Medium","3-Bulk"))</f>
        <v>1-Low</v>
      </c>
      <c r="L2286" s="0" t="str">
        <f aca="false">IF(H2286="TRUE","Out of stock","In stock")</f>
        <v>In stock</v>
      </c>
      <c r="M2286" s="0" t="str">
        <f aca="false">IF(D2286&lt;5,"1) Under 5%",IF(D2286&lt;10,"2) 5-9%",IF(D2286&lt;15,"3) 10-14%",IF(D2286&lt;25,"4) 15-24%","5) 25%+"))))</f>
        <v>2) 5-9%</v>
      </c>
      <c r="N2286" s="0" t="str">
        <f aca="false">IF(F2286&lt;50,"1) Under Rs 50",IF(F2286&lt;100,"2) Rs 50-99",IF(F2286&lt;200,"3) Rs 100-199",IF(F2286&lt;500,"4) Rs 200-499","5) Rs 500+"))))</f>
        <v>3) Rs 100-199</v>
      </c>
      <c r="O2286" s="0" t="n">
        <f aca="false">G2286*E2286/1000</f>
        <v>0.25</v>
      </c>
    </row>
    <row r="2287" customFormat="false" ht="15" hidden="false" customHeight="false" outlineLevel="0" collapsed="false">
      <c r="A2287" s="0" t="s">
        <v>90</v>
      </c>
      <c r="B2287" s="0" t="s">
        <v>898</v>
      </c>
      <c r="C2287" s="0" t="n">
        <v>165</v>
      </c>
      <c r="D2287" s="0" t="n">
        <v>9</v>
      </c>
      <c r="E2287" s="0" t="n">
        <v>1</v>
      </c>
      <c r="F2287" s="0" t="n">
        <v>149</v>
      </c>
      <c r="G2287" s="0" t="n">
        <v>500</v>
      </c>
      <c r="H2287" s="0" t="s">
        <v>145</v>
      </c>
      <c r="I2287" s="0" t="n">
        <v>500</v>
      </c>
      <c r="J2287" s="0" t="n">
        <f aca="false">F2287*E2287</f>
        <v>149</v>
      </c>
      <c r="K2287" s="0" t="str">
        <f aca="false">IF(G2287&lt;1000,"1-Low",IF(G2287&lt;5000,"2-Medium","3-Bulk"))</f>
        <v>1-Low</v>
      </c>
      <c r="L2287" s="0" t="str">
        <f aca="false">IF(H2287="TRUE","Out of stock","In stock")</f>
        <v>In stock</v>
      </c>
      <c r="M2287" s="0" t="str">
        <f aca="false">IF(D2287&lt;5,"1) Under 5%",IF(D2287&lt;10,"2) 5-9%",IF(D2287&lt;15,"3) 10-14%",IF(D2287&lt;25,"4) 15-24%","5) 25%+"))))</f>
        <v>2) 5-9%</v>
      </c>
      <c r="N2287" s="0" t="str">
        <f aca="false">IF(F2287&lt;50,"1) Under Rs 50",IF(F2287&lt;100,"2) Rs 50-99",IF(F2287&lt;200,"3) Rs 100-199",IF(F2287&lt;500,"4) Rs 200-499","5) Rs 500+"))))</f>
        <v>3) Rs 100-199</v>
      </c>
      <c r="O2287" s="0" t="n">
        <f aca="false">G2287*E2287/1000</f>
        <v>0.5</v>
      </c>
    </row>
    <row r="2288" customFormat="false" ht="15" hidden="false" customHeight="false" outlineLevel="0" collapsed="false">
      <c r="A2288" s="0" t="s">
        <v>90</v>
      </c>
      <c r="B2288" s="0" t="s">
        <v>899</v>
      </c>
      <c r="C2288" s="0" t="n">
        <v>89</v>
      </c>
      <c r="D2288" s="0" t="n">
        <v>0</v>
      </c>
      <c r="E2288" s="0" t="n">
        <v>5</v>
      </c>
      <c r="F2288" s="0" t="n">
        <v>89</v>
      </c>
      <c r="G2288" s="0" t="n">
        <v>480</v>
      </c>
      <c r="H2288" s="0" t="s">
        <v>145</v>
      </c>
      <c r="I2288" s="0" t="n">
        <v>480</v>
      </c>
      <c r="J2288" s="0" t="n">
        <f aca="false">F2288*E2288</f>
        <v>445</v>
      </c>
      <c r="K2288" s="0" t="str">
        <f aca="false">IF(G2288&lt;1000,"1-Low",IF(G2288&lt;5000,"2-Medium","3-Bulk"))</f>
        <v>1-Low</v>
      </c>
      <c r="L2288" s="0" t="str">
        <f aca="false">IF(H2288="TRUE","Out of stock","In stock")</f>
        <v>In stock</v>
      </c>
      <c r="M2288" s="0" t="str">
        <f aca="false">IF(D2288&lt;5,"1) Under 5%",IF(D2288&lt;10,"2) 5-9%",IF(D2288&lt;15,"3) 10-14%",IF(D2288&lt;25,"4) 15-24%","5) 25%+"))))</f>
        <v>1) Under 5%</v>
      </c>
      <c r="N2288" s="0" t="str">
        <f aca="false">IF(F2288&lt;50,"1) Under Rs 50",IF(F2288&lt;100,"2) Rs 50-99",IF(F2288&lt;200,"3) Rs 100-199",IF(F2288&lt;500,"4) Rs 200-499","5) Rs 500+"))))</f>
        <v>2) Rs 50-99</v>
      </c>
      <c r="O2288" s="0" t="n">
        <f aca="false">G2288*E2288/1000</f>
        <v>2.4</v>
      </c>
    </row>
    <row r="2289" customFormat="false" ht="15" hidden="false" customHeight="false" outlineLevel="0" collapsed="false">
      <c r="A2289" s="0" t="s">
        <v>90</v>
      </c>
      <c r="B2289" s="0" t="s">
        <v>114</v>
      </c>
      <c r="C2289" s="0" t="n">
        <v>650</v>
      </c>
      <c r="D2289" s="0" t="n">
        <v>0</v>
      </c>
      <c r="E2289" s="0" t="n">
        <v>6</v>
      </c>
      <c r="F2289" s="0" t="n">
        <v>650</v>
      </c>
      <c r="G2289" s="0" t="n">
        <v>400</v>
      </c>
      <c r="H2289" s="0" t="s">
        <v>145</v>
      </c>
      <c r="I2289" s="0" t="n">
        <v>400</v>
      </c>
      <c r="J2289" s="0" t="n">
        <f aca="false">F2289*E2289</f>
        <v>3900</v>
      </c>
      <c r="K2289" s="0" t="str">
        <f aca="false">IF(G2289&lt;1000,"1-Low",IF(G2289&lt;5000,"2-Medium","3-Bulk"))</f>
        <v>1-Low</v>
      </c>
      <c r="L2289" s="0" t="str">
        <f aca="false">IF(H2289="TRUE","Out of stock","In stock")</f>
        <v>In stock</v>
      </c>
      <c r="M2289" s="0" t="str">
        <f aca="false">IF(D2289&lt;5,"1) Under 5%",IF(D2289&lt;10,"2) 5-9%",IF(D2289&lt;15,"3) 10-14%",IF(D2289&lt;25,"4) 15-24%","5) 25%+"))))</f>
        <v>1) Under 5%</v>
      </c>
      <c r="N2289" s="0" t="str">
        <f aca="false">IF(F2289&lt;50,"1) Under Rs 50",IF(F2289&lt;100,"2) Rs 50-99",IF(F2289&lt;200,"3) Rs 100-199",IF(F2289&lt;500,"4) Rs 200-499","5) Rs 500+"))))</f>
        <v>5) Rs 500+</v>
      </c>
      <c r="O2289" s="0" t="n">
        <f aca="false">G2289*E2289/1000</f>
        <v>2.4</v>
      </c>
    </row>
    <row r="2290" customFormat="false" ht="15" hidden="false" customHeight="false" outlineLevel="0" collapsed="false">
      <c r="A2290" s="0" t="s">
        <v>90</v>
      </c>
      <c r="B2290" s="0" t="s">
        <v>426</v>
      </c>
      <c r="C2290" s="0" t="n">
        <v>96</v>
      </c>
      <c r="D2290" s="0" t="n">
        <v>15</v>
      </c>
      <c r="E2290" s="0" t="n">
        <v>6</v>
      </c>
      <c r="F2290" s="0" t="n">
        <v>81</v>
      </c>
      <c r="G2290" s="0" t="n">
        <v>280</v>
      </c>
      <c r="H2290" s="0" t="s">
        <v>145</v>
      </c>
      <c r="I2290" s="0" t="n">
        <v>280</v>
      </c>
      <c r="J2290" s="0" t="n">
        <f aca="false">F2290*E2290</f>
        <v>486</v>
      </c>
      <c r="K2290" s="0" t="str">
        <f aca="false">IF(G2290&lt;1000,"1-Low",IF(G2290&lt;5000,"2-Medium","3-Bulk"))</f>
        <v>1-Low</v>
      </c>
      <c r="L2290" s="0" t="str">
        <f aca="false">IF(H2290="TRUE","Out of stock","In stock")</f>
        <v>In stock</v>
      </c>
      <c r="M2290" s="0" t="str">
        <f aca="false">IF(D2290&lt;5,"1) Under 5%",IF(D2290&lt;10,"2) 5-9%",IF(D2290&lt;15,"3) 10-14%",IF(D2290&lt;25,"4) 15-24%","5) 25%+"))))</f>
        <v>4) 15-24%</v>
      </c>
      <c r="N2290" s="0" t="str">
        <f aca="false">IF(F2290&lt;50,"1) Under Rs 50",IF(F2290&lt;100,"2) Rs 50-99",IF(F2290&lt;200,"3) Rs 100-199",IF(F2290&lt;500,"4) Rs 200-499","5) Rs 500+"))))</f>
        <v>2) Rs 50-99</v>
      </c>
      <c r="O2290" s="0" t="n">
        <f aca="false">G2290*E2290/1000</f>
        <v>1.68</v>
      </c>
    </row>
    <row r="2291" customFormat="false" ht="15" hidden="false" customHeight="false" outlineLevel="0" collapsed="false">
      <c r="A2291" s="0" t="s">
        <v>90</v>
      </c>
      <c r="B2291" s="0" t="s">
        <v>900</v>
      </c>
      <c r="C2291" s="0" t="n">
        <v>120</v>
      </c>
      <c r="D2291" s="0" t="n">
        <v>7</v>
      </c>
      <c r="E2291" s="0" t="n">
        <v>6</v>
      </c>
      <c r="F2291" s="0" t="n">
        <v>111</v>
      </c>
      <c r="G2291" s="0" t="n">
        <v>400</v>
      </c>
      <c r="H2291" s="0" t="s">
        <v>145</v>
      </c>
      <c r="I2291" s="0" t="n">
        <v>400</v>
      </c>
      <c r="J2291" s="0" t="n">
        <f aca="false">F2291*E2291</f>
        <v>666</v>
      </c>
      <c r="K2291" s="0" t="str">
        <f aca="false">IF(G2291&lt;1000,"1-Low",IF(G2291&lt;5000,"2-Medium","3-Bulk"))</f>
        <v>1-Low</v>
      </c>
      <c r="L2291" s="0" t="str">
        <f aca="false">IF(H2291="TRUE","Out of stock","In stock")</f>
        <v>In stock</v>
      </c>
      <c r="M2291" s="0" t="str">
        <f aca="false">IF(D2291&lt;5,"1) Under 5%",IF(D2291&lt;10,"2) 5-9%",IF(D2291&lt;15,"3) 10-14%",IF(D2291&lt;25,"4) 15-24%","5) 25%+"))))</f>
        <v>2) 5-9%</v>
      </c>
      <c r="N2291" s="0" t="str">
        <f aca="false">IF(F2291&lt;50,"1) Under Rs 50",IF(F2291&lt;100,"2) Rs 50-99",IF(F2291&lt;200,"3) Rs 100-199",IF(F2291&lt;500,"4) Rs 200-499","5) Rs 500+"))))</f>
        <v>3) Rs 100-199</v>
      </c>
      <c r="O2291" s="0" t="n">
        <f aca="false">G2291*E2291/1000</f>
        <v>2.4</v>
      </c>
    </row>
    <row r="2292" customFormat="false" ht="15" hidden="false" customHeight="false" outlineLevel="0" collapsed="false">
      <c r="A2292" s="0" t="s">
        <v>90</v>
      </c>
      <c r="B2292" s="0" t="s">
        <v>901</v>
      </c>
      <c r="C2292" s="0" t="n">
        <v>330</v>
      </c>
      <c r="D2292" s="0" t="n">
        <v>10</v>
      </c>
      <c r="E2292" s="0" t="n">
        <v>1</v>
      </c>
      <c r="F2292" s="0" t="n">
        <v>294</v>
      </c>
      <c r="G2292" s="0" t="n">
        <v>450</v>
      </c>
      <c r="H2292" s="0" t="s">
        <v>145</v>
      </c>
      <c r="I2292" s="0" t="n">
        <v>450</v>
      </c>
      <c r="J2292" s="0" t="n">
        <f aca="false">F2292*E2292</f>
        <v>294</v>
      </c>
      <c r="K2292" s="0" t="str">
        <f aca="false">IF(G2292&lt;1000,"1-Low",IF(G2292&lt;5000,"2-Medium","3-Bulk"))</f>
        <v>1-Low</v>
      </c>
      <c r="L2292" s="0" t="str">
        <f aca="false">IF(H2292="TRUE","Out of stock","In stock")</f>
        <v>In stock</v>
      </c>
      <c r="M2292" s="0" t="str">
        <f aca="false">IF(D2292&lt;5,"1) Under 5%",IF(D2292&lt;10,"2) 5-9%",IF(D2292&lt;15,"3) 10-14%",IF(D2292&lt;25,"4) 15-24%","5) 25%+"))))</f>
        <v>3) 10-14%</v>
      </c>
      <c r="N2292" s="0" t="str">
        <f aca="false">IF(F2292&lt;50,"1) Under Rs 50",IF(F2292&lt;100,"2) Rs 50-99",IF(F2292&lt;200,"3) Rs 100-199",IF(F2292&lt;500,"4) Rs 200-499","5) Rs 500+"))))</f>
        <v>4) Rs 200-499</v>
      </c>
      <c r="O2292" s="0" t="n">
        <f aca="false">G2292*E2292/1000</f>
        <v>0.45</v>
      </c>
    </row>
    <row r="2293" customFormat="false" ht="15" hidden="false" customHeight="false" outlineLevel="0" collapsed="false">
      <c r="A2293" s="0" t="s">
        <v>90</v>
      </c>
      <c r="B2293" s="0" t="s">
        <v>902</v>
      </c>
      <c r="C2293" s="0" t="n">
        <v>130</v>
      </c>
      <c r="D2293" s="0" t="n">
        <v>10</v>
      </c>
      <c r="E2293" s="0" t="n">
        <v>6</v>
      </c>
      <c r="F2293" s="0" t="n">
        <v>117</v>
      </c>
      <c r="G2293" s="0" t="n">
        <v>250</v>
      </c>
      <c r="H2293" s="0" t="s">
        <v>145</v>
      </c>
      <c r="I2293" s="0" t="n">
        <v>250</v>
      </c>
      <c r="J2293" s="0" t="n">
        <f aca="false">F2293*E2293</f>
        <v>702</v>
      </c>
      <c r="K2293" s="0" t="str">
        <f aca="false">IF(G2293&lt;1000,"1-Low",IF(G2293&lt;5000,"2-Medium","3-Bulk"))</f>
        <v>1-Low</v>
      </c>
      <c r="L2293" s="0" t="str">
        <f aca="false">IF(H2293="TRUE","Out of stock","In stock")</f>
        <v>In stock</v>
      </c>
      <c r="M2293" s="0" t="str">
        <f aca="false">IF(D2293&lt;5,"1) Under 5%",IF(D2293&lt;10,"2) 5-9%",IF(D2293&lt;15,"3) 10-14%",IF(D2293&lt;25,"4) 15-24%","5) 25%+"))))</f>
        <v>3) 10-14%</v>
      </c>
      <c r="N2293" s="0" t="str">
        <f aca="false">IF(F2293&lt;50,"1) Under Rs 50",IF(F2293&lt;100,"2) Rs 50-99",IF(F2293&lt;200,"3) Rs 100-199",IF(F2293&lt;500,"4) Rs 200-499","5) Rs 500+"))))</f>
        <v>3) Rs 100-199</v>
      </c>
      <c r="O2293" s="0" t="n">
        <f aca="false">G2293*E2293/1000</f>
        <v>1.5</v>
      </c>
    </row>
    <row r="2294" customFormat="false" ht="15" hidden="false" customHeight="false" outlineLevel="0" collapsed="false">
      <c r="A2294" s="0" t="s">
        <v>90</v>
      </c>
      <c r="B2294" s="0" t="s">
        <v>903</v>
      </c>
      <c r="C2294" s="0" t="n">
        <v>32</v>
      </c>
      <c r="D2294" s="0" t="n">
        <v>0</v>
      </c>
      <c r="E2294" s="0" t="n">
        <v>3</v>
      </c>
      <c r="F2294" s="0" t="n">
        <v>32</v>
      </c>
      <c r="G2294" s="0" t="n">
        <v>150</v>
      </c>
      <c r="H2294" s="0" t="s">
        <v>145</v>
      </c>
      <c r="I2294" s="0" t="n">
        <v>150</v>
      </c>
      <c r="J2294" s="0" t="n">
        <f aca="false">F2294*E2294</f>
        <v>96</v>
      </c>
      <c r="K2294" s="0" t="str">
        <f aca="false">IF(G2294&lt;1000,"1-Low",IF(G2294&lt;5000,"2-Medium","3-Bulk"))</f>
        <v>1-Low</v>
      </c>
      <c r="L2294" s="0" t="str">
        <f aca="false">IF(H2294="TRUE","Out of stock","In stock")</f>
        <v>In stock</v>
      </c>
      <c r="M2294" s="0" t="str">
        <f aca="false">IF(D2294&lt;5,"1) Under 5%",IF(D2294&lt;10,"2) 5-9%",IF(D2294&lt;15,"3) 10-14%",IF(D2294&lt;25,"4) 15-24%","5) 25%+"))))</f>
        <v>1) Under 5%</v>
      </c>
      <c r="N2294" s="0" t="str">
        <f aca="false">IF(F2294&lt;50,"1) Under Rs 50",IF(F2294&lt;100,"2) Rs 50-99",IF(F2294&lt;200,"3) Rs 100-199",IF(F2294&lt;500,"4) Rs 200-499","5) Rs 500+"))))</f>
        <v>1) Under Rs 50</v>
      </c>
      <c r="O2294" s="0" t="n">
        <f aca="false">G2294*E2294/1000</f>
        <v>0.45</v>
      </c>
    </row>
    <row r="2295" customFormat="false" ht="15" hidden="false" customHeight="false" outlineLevel="0" collapsed="false">
      <c r="A2295" s="0" t="s">
        <v>90</v>
      </c>
      <c r="B2295" s="0" t="s">
        <v>904</v>
      </c>
      <c r="C2295" s="0" t="n">
        <v>60</v>
      </c>
      <c r="D2295" s="0" t="n">
        <v>20</v>
      </c>
      <c r="E2295" s="0" t="n">
        <v>6</v>
      </c>
      <c r="F2295" s="0" t="n">
        <v>48</v>
      </c>
      <c r="G2295" s="0" t="n">
        <v>40</v>
      </c>
      <c r="H2295" s="0" t="s">
        <v>145</v>
      </c>
      <c r="I2295" s="0" t="n">
        <v>40</v>
      </c>
      <c r="J2295" s="0" t="n">
        <f aca="false">F2295*E2295</f>
        <v>288</v>
      </c>
      <c r="K2295" s="0" t="str">
        <f aca="false">IF(G2295&lt;1000,"1-Low",IF(G2295&lt;5000,"2-Medium","3-Bulk"))</f>
        <v>1-Low</v>
      </c>
      <c r="L2295" s="0" t="str">
        <f aca="false">IF(H2295="TRUE","Out of stock","In stock")</f>
        <v>In stock</v>
      </c>
      <c r="M2295" s="0" t="str">
        <f aca="false">IF(D2295&lt;5,"1) Under 5%",IF(D2295&lt;10,"2) 5-9%",IF(D2295&lt;15,"3) 10-14%",IF(D2295&lt;25,"4) 15-24%","5) 25%+"))))</f>
        <v>4) 15-24%</v>
      </c>
      <c r="N2295" s="0" t="str">
        <f aca="false">IF(F2295&lt;50,"1) Under Rs 50",IF(F2295&lt;100,"2) Rs 50-99",IF(F2295&lt;200,"3) Rs 100-199",IF(F2295&lt;500,"4) Rs 200-499","5) Rs 500+"))))</f>
        <v>1) Under Rs 50</v>
      </c>
      <c r="O2295" s="0" t="n">
        <f aca="false">G2295*E2295/1000</f>
        <v>0.24</v>
      </c>
    </row>
    <row r="2296" customFormat="false" ht="15" hidden="false" customHeight="false" outlineLevel="0" collapsed="false">
      <c r="A2296" s="0" t="s">
        <v>90</v>
      </c>
      <c r="B2296" s="0" t="s">
        <v>270</v>
      </c>
      <c r="C2296" s="0" t="n">
        <v>195</v>
      </c>
      <c r="D2296" s="0" t="n">
        <v>12</v>
      </c>
      <c r="E2296" s="0" t="n">
        <v>2</v>
      </c>
      <c r="F2296" s="0" t="n">
        <v>171</v>
      </c>
      <c r="G2296" s="0" t="n">
        <v>500</v>
      </c>
      <c r="H2296" s="0" t="s">
        <v>145</v>
      </c>
      <c r="I2296" s="0" t="n">
        <v>500</v>
      </c>
      <c r="J2296" s="0" t="n">
        <f aca="false">F2296*E2296</f>
        <v>342</v>
      </c>
      <c r="K2296" s="0" t="str">
        <f aca="false">IF(G2296&lt;1000,"1-Low",IF(G2296&lt;5000,"2-Medium","3-Bulk"))</f>
        <v>1-Low</v>
      </c>
      <c r="L2296" s="0" t="str">
        <f aca="false">IF(H2296="TRUE","Out of stock","In stock")</f>
        <v>In stock</v>
      </c>
      <c r="M2296" s="0" t="str">
        <f aca="false">IF(D2296&lt;5,"1) Under 5%",IF(D2296&lt;10,"2) 5-9%",IF(D2296&lt;15,"3) 10-14%",IF(D2296&lt;25,"4) 15-24%","5) 25%+"))))</f>
        <v>3) 10-14%</v>
      </c>
      <c r="N2296" s="0" t="str">
        <f aca="false">IF(F2296&lt;50,"1) Under Rs 50",IF(F2296&lt;100,"2) Rs 50-99",IF(F2296&lt;200,"3) Rs 100-199",IF(F2296&lt;500,"4) Rs 200-499","5) Rs 500+"))))</f>
        <v>3) Rs 100-199</v>
      </c>
      <c r="O2296" s="0" t="n">
        <f aca="false">G2296*E2296/1000</f>
        <v>1</v>
      </c>
    </row>
    <row r="2297" customFormat="false" ht="15" hidden="false" customHeight="false" outlineLevel="0" collapsed="false">
      <c r="A2297" s="0" t="s">
        <v>90</v>
      </c>
      <c r="B2297" s="0" t="s">
        <v>905</v>
      </c>
      <c r="C2297" s="0" t="n">
        <v>80</v>
      </c>
      <c r="D2297" s="0" t="n">
        <v>10</v>
      </c>
      <c r="E2297" s="0" t="n">
        <v>3</v>
      </c>
      <c r="F2297" s="0" t="n">
        <v>72</v>
      </c>
      <c r="G2297" s="0" t="n">
        <v>320</v>
      </c>
      <c r="H2297" s="0" t="s">
        <v>145</v>
      </c>
      <c r="I2297" s="0" t="n">
        <v>320</v>
      </c>
      <c r="J2297" s="0" t="n">
        <f aca="false">F2297*E2297</f>
        <v>216</v>
      </c>
      <c r="K2297" s="0" t="str">
        <f aca="false">IF(G2297&lt;1000,"1-Low",IF(G2297&lt;5000,"2-Medium","3-Bulk"))</f>
        <v>1-Low</v>
      </c>
      <c r="L2297" s="0" t="str">
        <f aca="false">IF(H2297="TRUE","Out of stock","In stock")</f>
        <v>In stock</v>
      </c>
      <c r="M2297" s="0" t="str">
        <f aca="false">IF(D2297&lt;5,"1) Under 5%",IF(D2297&lt;10,"2) 5-9%",IF(D2297&lt;15,"3) 10-14%",IF(D2297&lt;25,"4) 15-24%","5) 25%+"))))</f>
        <v>3) 10-14%</v>
      </c>
      <c r="N2297" s="0" t="str">
        <f aca="false">IF(F2297&lt;50,"1) Under Rs 50",IF(F2297&lt;100,"2) Rs 50-99",IF(F2297&lt;200,"3) Rs 100-199",IF(F2297&lt;500,"4) Rs 200-499","5) Rs 500+"))))</f>
        <v>2) Rs 50-99</v>
      </c>
      <c r="O2297" s="0" t="n">
        <f aca="false">G2297*E2297/1000</f>
        <v>0.96</v>
      </c>
    </row>
    <row r="2298" customFormat="false" ht="15" hidden="false" customHeight="false" outlineLevel="0" collapsed="false">
      <c r="A2298" s="0" t="s">
        <v>90</v>
      </c>
      <c r="B2298" s="0" t="s">
        <v>906</v>
      </c>
      <c r="C2298" s="0" t="n">
        <v>40</v>
      </c>
      <c r="D2298" s="0" t="n">
        <v>0</v>
      </c>
      <c r="E2298" s="0" t="n">
        <v>4</v>
      </c>
      <c r="F2298" s="0" t="n">
        <v>40</v>
      </c>
      <c r="G2298" s="0" t="n">
        <v>46</v>
      </c>
      <c r="H2298" s="0" t="s">
        <v>145</v>
      </c>
      <c r="I2298" s="0" t="n">
        <v>46</v>
      </c>
      <c r="J2298" s="0" t="n">
        <f aca="false">F2298*E2298</f>
        <v>160</v>
      </c>
      <c r="K2298" s="0" t="str">
        <f aca="false">IF(G2298&lt;1000,"1-Low",IF(G2298&lt;5000,"2-Medium","3-Bulk"))</f>
        <v>1-Low</v>
      </c>
      <c r="L2298" s="0" t="str">
        <f aca="false">IF(H2298="TRUE","Out of stock","In stock")</f>
        <v>In stock</v>
      </c>
      <c r="M2298" s="0" t="str">
        <f aca="false">IF(D2298&lt;5,"1) Under 5%",IF(D2298&lt;10,"2) 5-9%",IF(D2298&lt;15,"3) 10-14%",IF(D2298&lt;25,"4) 15-24%","5) 25%+"))))</f>
        <v>1) Under 5%</v>
      </c>
      <c r="N2298" s="0" t="str">
        <f aca="false">IF(F2298&lt;50,"1) Under Rs 50",IF(F2298&lt;100,"2) Rs 50-99",IF(F2298&lt;200,"3) Rs 100-199",IF(F2298&lt;500,"4) Rs 200-499","5) Rs 500+"))))</f>
        <v>1) Under Rs 50</v>
      </c>
      <c r="O2298" s="0" t="n">
        <f aca="false">G2298*E2298/1000</f>
        <v>0.184</v>
      </c>
    </row>
    <row r="2299" customFormat="false" ht="15" hidden="false" customHeight="false" outlineLevel="0" collapsed="false">
      <c r="A2299" s="0" t="s">
        <v>90</v>
      </c>
      <c r="B2299" s="0" t="s">
        <v>907</v>
      </c>
      <c r="C2299" s="0" t="n">
        <v>200</v>
      </c>
      <c r="D2299" s="0" t="n">
        <v>25</v>
      </c>
      <c r="E2299" s="0" t="n">
        <v>1</v>
      </c>
      <c r="F2299" s="0" t="n">
        <v>150</v>
      </c>
      <c r="G2299" s="0" t="n">
        <v>180</v>
      </c>
      <c r="H2299" s="0" t="s">
        <v>145</v>
      </c>
      <c r="I2299" s="0" t="n">
        <v>180</v>
      </c>
      <c r="J2299" s="0" t="n">
        <f aca="false">F2299*E2299</f>
        <v>150</v>
      </c>
      <c r="K2299" s="0" t="str">
        <f aca="false">IF(G2299&lt;1000,"1-Low",IF(G2299&lt;5000,"2-Medium","3-Bulk"))</f>
        <v>1-Low</v>
      </c>
      <c r="L2299" s="0" t="str">
        <f aca="false">IF(H2299="TRUE","Out of stock","In stock")</f>
        <v>In stock</v>
      </c>
      <c r="M2299" s="0" t="str">
        <f aca="false">IF(D2299&lt;5,"1) Under 5%",IF(D2299&lt;10,"2) 5-9%",IF(D2299&lt;15,"3) 10-14%",IF(D2299&lt;25,"4) 15-24%","5) 25%+"))))</f>
        <v>5) 25%+</v>
      </c>
      <c r="N2299" s="0" t="str">
        <f aca="false">IF(F2299&lt;50,"1) Under Rs 50",IF(F2299&lt;100,"2) Rs 50-99",IF(F2299&lt;200,"3) Rs 100-199",IF(F2299&lt;500,"4) Rs 200-499","5) Rs 500+"))))</f>
        <v>3) Rs 100-199</v>
      </c>
      <c r="O2299" s="0" t="n">
        <f aca="false">G2299*E2299/1000</f>
        <v>0.18</v>
      </c>
    </row>
    <row r="2300" customFormat="false" ht="15" hidden="false" customHeight="false" outlineLevel="0" collapsed="false">
      <c r="A2300" s="0" t="s">
        <v>90</v>
      </c>
      <c r="B2300" s="0" t="s">
        <v>120</v>
      </c>
      <c r="C2300" s="0" t="n">
        <v>550</v>
      </c>
      <c r="D2300" s="0" t="n">
        <v>5</v>
      </c>
      <c r="E2300" s="0" t="n">
        <v>3</v>
      </c>
      <c r="F2300" s="0" t="n">
        <v>520</v>
      </c>
      <c r="G2300" s="0" t="n">
        <v>1000</v>
      </c>
      <c r="H2300" s="0" t="s">
        <v>145</v>
      </c>
      <c r="I2300" s="0" t="n">
        <v>1</v>
      </c>
      <c r="J2300" s="0" t="n">
        <f aca="false">F2300*E2300</f>
        <v>1560</v>
      </c>
      <c r="K2300" s="0" t="str">
        <f aca="false">IF(G2300&lt;1000,"1-Low",IF(G2300&lt;5000,"2-Medium","3-Bulk"))</f>
        <v>2-Medium</v>
      </c>
      <c r="L2300" s="0" t="str">
        <f aca="false">IF(H2300="TRUE","Out of stock","In stock")</f>
        <v>In stock</v>
      </c>
      <c r="M2300" s="0" t="str">
        <f aca="false">IF(D2300&lt;5,"1) Under 5%",IF(D2300&lt;10,"2) 5-9%",IF(D2300&lt;15,"3) 10-14%",IF(D2300&lt;25,"4) 15-24%","5) 25%+"))))</f>
        <v>2) 5-9%</v>
      </c>
      <c r="N2300" s="0" t="str">
        <f aca="false">IF(F2300&lt;50,"1) Under Rs 50",IF(F2300&lt;100,"2) Rs 50-99",IF(F2300&lt;200,"3) Rs 100-199",IF(F2300&lt;500,"4) Rs 200-499","5) Rs 500+"))))</f>
        <v>5) Rs 500+</v>
      </c>
      <c r="O2300" s="0" t="n">
        <f aca="false">G2300*E2300/1000</f>
        <v>3</v>
      </c>
    </row>
    <row r="2301" customFormat="false" ht="15" hidden="false" customHeight="false" outlineLevel="0" collapsed="false">
      <c r="A2301" s="0" t="s">
        <v>90</v>
      </c>
      <c r="B2301" s="0" t="s">
        <v>908</v>
      </c>
      <c r="C2301" s="0" t="n">
        <v>330</v>
      </c>
      <c r="D2301" s="0" t="n">
        <v>10</v>
      </c>
      <c r="E2301" s="0" t="n">
        <v>3</v>
      </c>
      <c r="F2301" s="0" t="n">
        <v>294</v>
      </c>
      <c r="G2301" s="0" t="n">
        <v>450</v>
      </c>
      <c r="H2301" s="0" t="s">
        <v>145</v>
      </c>
      <c r="I2301" s="0" t="n">
        <v>450</v>
      </c>
      <c r="J2301" s="0" t="n">
        <f aca="false">F2301*E2301</f>
        <v>882</v>
      </c>
      <c r="K2301" s="0" t="str">
        <f aca="false">IF(G2301&lt;1000,"1-Low",IF(G2301&lt;5000,"2-Medium","3-Bulk"))</f>
        <v>1-Low</v>
      </c>
      <c r="L2301" s="0" t="str">
        <f aca="false">IF(H2301="TRUE","Out of stock","In stock")</f>
        <v>In stock</v>
      </c>
      <c r="M2301" s="0" t="str">
        <f aca="false">IF(D2301&lt;5,"1) Under 5%",IF(D2301&lt;10,"2) 5-9%",IF(D2301&lt;15,"3) 10-14%",IF(D2301&lt;25,"4) 15-24%","5) 25%+"))))</f>
        <v>3) 10-14%</v>
      </c>
      <c r="N2301" s="0" t="str">
        <f aca="false">IF(F2301&lt;50,"1) Under Rs 50",IF(F2301&lt;100,"2) Rs 50-99",IF(F2301&lt;200,"3) Rs 100-199",IF(F2301&lt;500,"4) Rs 200-499","5) Rs 500+"))))</f>
        <v>4) Rs 200-499</v>
      </c>
      <c r="O2301" s="0" t="n">
        <f aca="false">G2301*E2301/1000</f>
        <v>1.35</v>
      </c>
    </row>
    <row r="2302" customFormat="false" ht="15" hidden="false" customHeight="false" outlineLevel="0" collapsed="false">
      <c r="A2302" s="0" t="s">
        <v>90</v>
      </c>
      <c r="B2302" s="0" t="s">
        <v>909</v>
      </c>
      <c r="C2302" s="0" t="n">
        <v>160</v>
      </c>
      <c r="D2302" s="0" t="n">
        <v>20</v>
      </c>
      <c r="E2302" s="0" t="n">
        <v>4</v>
      </c>
      <c r="F2302" s="0" t="n">
        <v>128</v>
      </c>
      <c r="G2302" s="0" t="n">
        <v>180</v>
      </c>
      <c r="H2302" s="0" t="s">
        <v>145</v>
      </c>
      <c r="I2302" s="0" t="n">
        <v>180</v>
      </c>
      <c r="J2302" s="0" t="n">
        <f aca="false">F2302*E2302</f>
        <v>512</v>
      </c>
      <c r="K2302" s="0" t="str">
        <f aca="false">IF(G2302&lt;1000,"1-Low",IF(G2302&lt;5000,"2-Medium","3-Bulk"))</f>
        <v>1-Low</v>
      </c>
      <c r="L2302" s="0" t="str">
        <f aca="false">IF(H2302="TRUE","Out of stock","In stock")</f>
        <v>In stock</v>
      </c>
      <c r="M2302" s="0" t="str">
        <f aca="false">IF(D2302&lt;5,"1) Under 5%",IF(D2302&lt;10,"2) 5-9%",IF(D2302&lt;15,"3) 10-14%",IF(D2302&lt;25,"4) 15-24%","5) 25%+"))))</f>
        <v>4) 15-24%</v>
      </c>
      <c r="N2302" s="0" t="str">
        <f aca="false">IF(F2302&lt;50,"1) Under Rs 50",IF(F2302&lt;100,"2) Rs 50-99",IF(F2302&lt;200,"3) Rs 100-199",IF(F2302&lt;500,"4) Rs 200-499","5) Rs 500+"))))</f>
        <v>3) Rs 100-199</v>
      </c>
      <c r="O2302" s="0" t="n">
        <f aca="false">G2302*E2302/1000</f>
        <v>0.72</v>
      </c>
    </row>
    <row r="2303" customFormat="false" ht="15" hidden="false" customHeight="false" outlineLevel="0" collapsed="false">
      <c r="A2303" s="0" t="s">
        <v>90</v>
      </c>
      <c r="B2303" s="0" t="s">
        <v>910</v>
      </c>
      <c r="C2303" s="0" t="n">
        <v>15</v>
      </c>
      <c r="D2303" s="0" t="n">
        <v>0</v>
      </c>
      <c r="E2303" s="0" t="n">
        <v>3</v>
      </c>
      <c r="F2303" s="0" t="n">
        <v>15</v>
      </c>
      <c r="G2303" s="0" t="n">
        <v>60</v>
      </c>
      <c r="H2303" s="0" t="s">
        <v>145</v>
      </c>
      <c r="I2303" s="0" t="n">
        <v>60</v>
      </c>
      <c r="J2303" s="0" t="n">
        <f aca="false">F2303*E2303</f>
        <v>45</v>
      </c>
      <c r="K2303" s="0" t="str">
        <f aca="false">IF(G2303&lt;1000,"1-Low",IF(G2303&lt;5000,"2-Medium","3-Bulk"))</f>
        <v>1-Low</v>
      </c>
      <c r="L2303" s="0" t="str">
        <f aca="false">IF(H2303="TRUE","Out of stock","In stock")</f>
        <v>In stock</v>
      </c>
      <c r="M2303" s="0" t="str">
        <f aca="false">IF(D2303&lt;5,"1) Under 5%",IF(D2303&lt;10,"2) 5-9%",IF(D2303&lt;15,"3) 10-14%",IF(D2303&lt;25,"4) 15-24%","5) 25%+"))))</f>
        <v>1) Under 5%</v>
      </c>
      <c r="N2303" s="0" t="str">
        <f aca="false">IF(F2303&lt;50,"1) Under Rs 50",IF(F2303&lt;100,"2) Rs 50-99",IF(F2303&lt;200,"3) Rs 100-199",IF(F2303&lt;500,"4) Rs 200-499","5) Rs 500+"))))</f>
        <v>1) Under Rs 50</v>
      </c>
      <c r="O2303" s="0" t="n">
        <f aca="false">G2303*E2303/1000</f>
        <v>0.18</v>
      </c>
    </row>
    <row r="2304" customFormat="false" ht="15" hidden="false" customHeight="false" outlineLevel="0" collapsed="false">
      <c r="A2304" s="0" t="s">
        <v>90</v>
      </c>
      <c r="B2304" s="0" t="s">
        <v>911</v>
      </c>
      <c r="C2304" s="0" t="n">
        <v>125</v>
      </c>
      <c r="D2304" s="0" t="n">
        <v>9</v>
      </c>
      <c r="E2304" s="0" t="n">
        <v>6</v>
      </c>
      <c r="F2304" s="0" t="n">
        <v>113</v>
      </c>
      <c r="G2304" s="0" t="n">
        <v>400</v>
      </c>
      <c r="H2304" s="0" t="s">
        <v>145</v>
      </c>
      <c r="I2304" s="0" t="n">
        <v>500</v>
      </c>
      <c r="J2304" s="0" t="n">
        <f aca="false">F2304*E2304</f>
        <v>678</v>
      </c>
      <c r="K2304" s="0" t="str">
        <f aca="false">IF(G2304&lt;1000,"1-Low",IF(G2304&lt;5000,"2-Medium","3-Bulk"))</f>
        <v>1-Low</v>
      </c>
      <c r="L2304" s="0" t="str">
        <f aca="false">IF(H2304="TRUE","Out of stock","In stock")</f>
        <v>In stock</v>
      </c>
      <c r="M2304" s="0" t="str">
        <f aca="false">IF(D2304&lt;5,"1) Under 5%",IF(D2304&lt;10,"2) 5-9%",IF(D2304&lt;15,"3) 10-14%",IF(D2304&lt;25,"4) 15-24%","5) 25%+"))))</f>
        <v>2) 5-9%</v>
      </c>
      <c r="N2304" s="0" t="str">
        <f aca="false">IF(F2304&lt;50,"1) Under Rs 50",IF(F2304&lt;100,"2) Rs 50-99",IF(F2304&lt;200,"3) Rs 100-199",IF(F2304&lt;500,"4) Rs 200-499","5) Rs 500+"))))</f>
        <v>3) Rs 100-199</v>
      </c>
      <c r="O2304" s="0" t="n">
        <f aca="false">G2304*E2304/1000</f>
        <v>2.4</v>
      </c>
    </row>
    <row r="2305" customFormat="false" ht="15" hidden="false" customHeight="false" outlineLevel="0" collapsed="false">
      <c r="A2305" s="0" t="s">
        <v>90</v>
      </c>
      <c r="B2305" s="0" t="s">
        <v>450</v>
      </c>
      <c r="C2305" s="0" t="n">
        <v>160</v>
      </c>
      <c r="D2305" s="0" t="n">
        <v>10</v>
      </c>
      <c r="E2305" s="0" t="n">
        <v>3</v>
      </c>
      <c r="F2305" s="0" t="n">
        <v>144</v>
      </c>
      <c r="G2305" s="0" t="n">
        <v>250</v>
      </c>
      <c r="H2305" s="0" t="s">
        <v>145</v>
      </c>
      <c r="I2305" s="0" t="n">
        <v>250</v>
      </c>
      <c r="J2305" s="0" t="n">
        <f aca="false">F2305*E2305</f>
        <v>432</v>
      </c>
      <c r="K2305" s="0" t="str">
        <f aca="false">IF(G2305&lt;1000,"1-Low",IF(G2305&lt;5000,"2-Medium","3-Bulk"))</f>
        <v>1-Low</v>
      </c>
      <c r="L2305" s="0" t="str">
        <f aca="false">IF(H2305="TRUE","Out of stock","In stock")</f>
        <v>In stock</v>
      </c>
      <c r="M2305" s="0" t="str">
        <f aca="false">IF(D2305&lt;5,"1) Under 5%",IF(D2305&lt;10,"2) 5-9%",IF(D2305&lt;15,"3) 10-14%",IF(D2305&lt;25,"4) 15-24%","5) 25%+"))))</f>
        <v>3) 10-14%</v>
      </c>
      <c r="N2305" s="0" t="str">
        <f aca="false">IF(F2305&lt;50,"1) Under Rs 50",IF(F2305&lt;100,"2) Rs 50-99",IF(F2305&lt;200,"3) Rs 100-199",IF(F2305&lt;500,"4) Rs 200-499","5) Rs 500+"))))</f>
        <v>3) Rs 100-199</v>
      </c>
      <c r="O2305" s="0" t="n">
        <f aca="false">G2305*E2305/1000</f>
        <v>0.75</v>
      </c>
    </row>
    <row r="2306" customFormat="false" ht="15" hidden="false" customHeight="false" outlineLevel="0" collapsed="false">
      <c r="A2306" s="0" t="s">
        <v>90</v>
      </c>
      <c r="B2306" s="0" t="s">
        <v>912</v>
      </c>
      <c r="C2306" s="0" t="n">
        <v>175</v>
      </c>
      <c r="D2306" s="0" t="n">
        <v>20</v>
      </c>
      <c r="E2306" s="0" t="n">
        <v>6</v>
      </c>
      <c r="F2306" s="0" t="n">
        <v>140</v>
      </c>
      <c r="G2306" s="0" t="n">
        <v>180</v>
      </c>
      <c r="H2306" s="0" t="s">
        <v>145</v>
      </c>
      <c r="I2306" s="0" t="n">
        <v>180</v>
      </c>
      <c r="J2306" s="0" t="n">
        <f aca="false">F2306*E2306</f>
        <v>840</v>
      </c>
      <c r="K2306" s="0" t="str">
        <f aca="false">IF(G2306&lt;1000,"1-Low",IF(G2306&lt;5000,"2-Medium","3-Bulk"))</f>
        <v>1-Low</v>
      </c>
      <c r="L2306" s="0" t="str">
        <f aca="false">IF(H2306="TRUE","Out of stock","In stock")</f>
        <v>In stock</v>
      </c>
      <c r="M2306" s="0" t="str">
        <f aca="false">IF(D2306&lt;5,"1) Under 5%",IF(D2306&lt;10,"2) 5-9%",IF(D2306&lt;15,"3) 10-14%",IF(D2306&lt;25,"4) 15-24%","5) 25%+"))))</f>
        <v>4) 15-24%</v>
      </c>
      <c r="N2306" s="0" t="str">
        <f aca="false">IF(F2306&lt;50,"1) Under Rs 50",IF(F2306&lt;100,"2) Rs 50-99",IF(F2306&lt;200,"3) Rs 100-199",IF(F2306&lt;500,"4) Rs 200-499","5) Rs 500+"))))</f>
        <v>3) Rs 100-199</v>
      </c>
      <c r="O2306" s="0" t="n">
        <f aca="false">G2306*E2306/1000</f>
        <v>1.08</v>
      </c>
    </row>
    <row r="2307" customFormat="false" ht="15" hidden="false" customHeight="false" outlineLevel="0" collapsed="false">
      <c r="A2307" s="0" t="s">
        <v>90</v>
      </c>
      <c r="B2307" s="0" t="s">
        <v>913</v>
      </c>
      <c r="C2307" s="0" t="n">
        <v>170</v>
      </c>
      <c r="D2307" s="0" t="n">
        <v>10</v>
      </c>
      <c r="E2307" s="0" t="n">
        <v>1</v>
      </c>
      <c r="F2307" s="0" t="n">
        <v>153</v>
      </c>
      <c r="G2307" s="0" t="n">
        <v>1000</v>
      </c>
      <c r="H2307" s="0" t="s">
        <v>145</v>
      </c>
      <c r="I2307" s="0" t="n">
        <v>1</v>
      </c>
      <c r="J2307" s="0" t="n">
        <f aca="false">F2307*E2307</f>
        <v>153</v>
      </c>
      <c r="K2307" s="0" t="str">
        <f aca="false">IF(G2307&lt;1000,"1-Low",IF(G2307&lt;5000,"2-Medium","3-Bulk"))</f>
        <v>2-Medium</v>
      </c>
      <c r="L2307" s="0" t="str">
        <f aca="false">IF(H2307="TRUE","Out of stock","In stock")</f>
        <v>In stock</v>
      </c>
      <c r="M2307" s="0" t="str">
        <f aca="false">IF(D2307&lt;5,"1) Under 5%",IF(D2307&lt;10,"2) 5-9%",IF(D2307&lt;15,"3) 10-14%",IF(D2307&lt;25,"4) 15-24%","5) 25%+"))))</f>
        <v>3) 10-14%</v>
      </c>
      <c r="N2307" s="0" t="str">
        <f aca="false">IF(F2307&lt;50,"1) Under Rs 50",IF(F2307&lt;100,"2) Rs 50-99",IF(F2307&lt;200,"3) Rs 100-199",IF(F2307&lt;500,"4) Rs 200-499","5) Rs 500+"))))</f>
        <v>3) Rs 100-199</v>
      </c>
      <c r="O2307" s="0" t="n">
        <f aca="false">G2307*E2307/1000</f>
        <v>1</v>
      </c>
    </row>
    <row r="2308" customFormat="false" ht="15" hidden="false" customHeight="false" outlineLevel="0" collapsed="false">
      <c r="A2308" s="0" t="s">
        <v>90</v>
      </c>
      <c r="B2308" s="0" t="s">
        <v>914</v>
      </c>
      <c r="C2308" s="0" t="n">
        <v>15</v>
      </c>
      <c r="D2308" s="0" t="n">
        <v>0</v>
      </c>
      <c r="E2308" s="0" t="n">
        <v>3</v>
      </c>
      <c r="F2308" s="0" t="n">
        <v>15</v>
      </c>
      <c r="G2308" s="0" t="n">
        <v>15</v>
      </c>
      <c r="H2308" s="0" t="s">
        <v>145</v>
      </c>
      <c r="I2308" s="0" t="n">
        <v>15</v>
      </c>
      <c r="J2308" s="0" t="n">
        <f aca="false">F2308*E2308</f>
        <v>45</v>
      </c>
      <c r="K2308" s="0" t="str">
        <f aca="false">IF(G2308&lt;1000,"1-Low",IF(G2308&lt;5000,"2-Medium","3-Bulk"))</f>
        <v>1-Low</v>
      </c>
      <c r="L2308" s="0" t="str">
        <f aca="false">IF(H2308="TRUE","Out of stock","In stock")</f>
        <v>In stock</v>
      </c>
      <c r="M2308" s="0" t="str">
        <f aca="false">IF(D2308&lt;5,"1) Under 5%",IF(D2308&lt;10,"2) 5-9%",IF(D2308&lt;15,"3) 10-14%",IF(D2308&lt;25,"4) 15-24%","5) 25%+"))))</f>
        <v>1) Under 5%</v>
      </c>
      <c r="N2308" s="0" t="str">
        <f aca="false">IF(F2308&lt;50,"1) Under Rs 50",IF(F2308&lt;100,"2) Rs 50-99",IF(F2308&lt;200,"3) Rs 100-199",IF(F2308&lt;500,"4) Rs 200-499","5) Rs 500+"))))</f>
        <v>1) Under Rs 50</v>
      </c>
      <c r="O2308" s="0" t="n">
        <f aca="false">G2308*E2308/1000</f>
        <v>0.045</v>
      </c>
    </row>
    <row r="2309" customFormat="false" ht="15" hidden="false" customHeight="false" outlineLevel="0" collapsed="false">
      <c r="A2309" s="0" t="s">
        <v>90</v>
      </c>
      <c r="B2309" s="0" t="s">
        <v>129</v>
      </c>
      <c r="C2309" s="0" t="n">
        <v>499</v>
      </c>
      <c r="D2309" s="0" t="n">
        <v>11</v>
      </c>
      <c r="E2309" s="0" t="n">
        <v>6</v>
      </c>
      <c r="F2309" s="0" t="n">
        <v>444</v>
      </c>
      <c r="G2309" s="0" t="n">
        <v>1200</v>
      </c>
      <c r="H2309" s="0" t="s">
        <v>145</v>
      </c>
      <c r="I2309" s="0" t="n">
        <v>1</v>
      </c>
      <c r="J2309" s="0" t="n">
        <f aca="false">F2309*E2309</f>
        <v>2664</v>
      </c>
      <c r="K2309" s="0" t="str">
        <f aca="false">IF(G2309&lt;1000,"1-Low",IF(G2309&lt;5000,"2-Medium","3-Bulk"))</f>
        <v>2-Medium</v>
      </c>
      <c r="L2309" s="0" t="str">
        <f aca="false">IF(H2309="TRUE","Out of stock","In stock")</f>
        <v>In stock</v>
      </c>
      <c r="M2309" s="0" t="str">
        <f aca="false">IF(D2309&lt;5,"1) Under 5%",IF(D2309&lt;10,"2) 5-9%",IF(D2309&lt;15,"3) 10-14%",IF(D2309&lt;25,"4) 15-24%","5) 25%+"))))</f>
        <v>3) 10-14%</v>
      </c>
      <c r="N2309" s="0" t="str">
        <f aca="false">IF(F2309&lt;50,"1) Under Rs 50",IF(F2309&lt;100,"2) Rs 50-99",IF(F2309&lt;200,"3) Rs 100-199",IF(F2309&lt;500,"4) Rs 200-499","5) Rs 500+"))))</f>
        <v>4) Rs 200-499</v>
      </c>
      <c r="O2309" s="0" t="n">
        <f aca="false">G2309*E2309/1000</f>
        <v>7.2</v>
      </c>
    </row>
    <row r="2310" customFormat="false" ht="15" hidden="false" customHeight="false" outlineLevel="0" collapsed="false">
      <c r="A2310" s="0" t="s">
        <v>90</v>
      </c>
      <c r="B2310" s="0" t="s">
        <v>911</v>
      </c>
      <c r="C2310" s="0" t="n">
        <v>149</v>
      </c>
      <c r="D2310" s="0" t="n">
        <v>26</v>
      </c>
      <c r="E2310" s="0" t="n">
        <v>4</v>
      </c>
      <c r="F2310" s="0" t="n">
        <v>109</v>
      </c>
      <c r="G2310" s="0" t="n">
        <v>500</v>
      </c>
      <c r="H2310" s="0" t="s">
        <v>145</v>
      </c>
      <c r="I2310" s="0" t="n">
        <v>500</v>
      </c>
      <c r="J2310" s="0" t="n">
        <f aca="false">F2310*E2310</f>
        <v>436</v>
      </c>
      <c r="K2310" s="0" t="str">
        <f aca="false">IF(G2310&lt;1000,"1-Low",IF(G2310&lt;5000,"2-Medium","3-Bulk"))</f>
        <v>1-Low</v>
      </c>
      <c r="L2310" s="0" t="str">
        <f aca="false">IF(H2310="TRUE","Out of stock","In stock")</f>
        <v>In stock</v>
      </c>
      <c r="M2310" s="0" t="str">
        <f aca="false">IF(D2310&lt;5,"1) Under 5%",IF(D2310&lt;10,"2) 5-9%",IF(D2310&lt;15,"3) 10-14%",IF(D2310&lt;25,"4) 15-24%","5) 25%+"))))</f>
        <v>5) 25%+</v>
      </c>
      <c r="N2310" s="0" t="str">
        <f aca="false">IF(F2310&lt;50,"1) Under Rs 50",IF(F2310&lt;100,"2) Rs 50-99",IF(F2310&lt;200,"3) Rs 100-199",IF(F2310&lt;500,"4) Rs 200-499","5) Rs 500+"))))</f>
        <v>3) Rs 100-199</v>
      </c>
      <c r="O2310" s="0" t="n">
        <f aca="false">G2310*E2310/1000</f>
        <v>2</v>
      </c>
    </row>
    <row r="2311" customFormat="false" ht="15" hidden="false" customHeight="false" outlineLevel="0" collapsed="false">
      <c r="A2311" s="0" t="s">
        <v>90</v>
      </c>
      <c r="B2311" s="0" t="s">
        <v>915</v>
      </c>
      <c r="C2311" s="0" t="n">
        <v>60</v>
      </c>
      <c r="D2311" s="0" t="n">
        <v>0</v>
      </c>
      <c r="E2311" s="0" t="n">
        <v>6</v>
      </c>
      <c r="F2311" s="0" t="n">
        <v>60</v>
      </c>
      <c r="G2311" s="0" t="n">
        <v>240</v>
      </c>
      <c r="H2311" s="0" t="s">
        <v>145</v>
      </c>
      <c r="I2311" s="0" t="n">
        <v>240</v>
      </c>
      <c r="J2311" s="0" t="n">
        <f aca="false">F2311*E2311</f>
        <v>360</v>
      </c>
      <c r="K2311" s="0" t="str">
        <f aca="false">IF(G2311&lt;1000,"1-Low",IF(G2311&lt;5000,"2-Medium","3-Bulk"))</f>
        <v>1-Low</v>
      </c>
      <c r="L2311" s="0" t="str">
        <f aca="false">IF(H2311="TRUE","Out of stock","In stock")</f>
        <v>In stock</v>
      </c>
      <c r="M2311" s="0" t="str">
        <f aca="false">IF(D2311&lt;5,"1) Under 5%",IF(D2311&lt;10,"2) 5-9%",IF(D2311&lt;15,"3) 10-14%",IF(D2311&lt;25,"4) 15-24%","5) 25%+"))))</f>
        <v>1) Under 5%</v>
      </c>
      <c r="N2311" s="0" t="str">
        <f aca="false">IF(F2311&lt;50,"1) Under Rs 50",IF(F2311&lt;100,"2) Rs 50-99",IF(F2311&lt;200,"3) Rs 100-199",IF(F2311&lt;500,"4) Rs 200-499","5) Rs 500+"))))</f>
        <v>2) Rs 50-99</v>
      </c>
      <c r="O2311" s="0" t="n">
        <f aca="false">G2311*E2311/1000</f>
        <v>1.44</v>
      </c>
    </row>
    <row r="2312" customFormat="false" ht="15" hidden="false" customHeight="false" outlineLevel="0" collapsed="false">
      <c r="A2312" s="0" t="s">
        <v>90</v>
      </c>
      <c r="B2312" s="0" t="s">
        <v>127</v>
      </c>
      <c r="C2312" s="0" t="n">
        <v>310</v>
      </c>
      <c r="D2312" s="0" t="n">
        <v>6</v>
      </c>
      <c r="E2312" s="0" t="n">
        <v>6</v>
      </c>
      <c r="F2312" s="0" t="n">
        <v>290</v>
      </c>
      <c r="G2312" s="0" t="n">
        <v>875</v>
      </c>
      <c r="H2312" s="0" t="s">
        <v>145</v>
      </c>
      <c r="I2312" s="0" t="n">
        <v>875</v>
      </c>
      <c r="J2312" s="0" t="n">
        <f aca="false">F2312*E2312</f>
        <v>1740</v>
      </c>
      <c r="K2312" s="0" t="str">
        <f aca="false">IF(G2312&lt;1000,"1-Low",IF(G2312&lt;5000,"2-Medium","3-Bulk"))</f>
        <v>1-Low</v>
      </c>
      <c r="L2312" s="0" t="str">
        <f aca="false">IF(H2312="TRUE","Out of stock","In stock")</f>
        <v>In stock</v>
      </c>
      <c r="M2312" s="0" t="str">
        <f aca="false">IF(D2312&lt;5,"1) Under 5%",IF(D2312&lt;10,"2) 5-9%",IF(D2312&lt;15,"3) 10-14%",IF(D2312&lt;25,"4) 15-24%","5) 25%+"))))</f>
        <v>2) 5-9%</v>
      </c>
      <c r="N2312" s="0" t="str">
        <f aca="false">IF(F2312&lt;50,"1) Under Rs 50",IF(F2312&lt;100,"2) Rs 50-99",IF(F2312&lt;200,"3) Rs 100-199",IF(F2312&lt;500,"4) Rs 200-499","5) Rs 500+"))))</f>
        <v>4) Rs 200-499</v>
      </c>
      <c r="O2312" s="0" t="n">
        <f aca="false">G2312*E2312/1000</f>
        <v>5.25</v>
      </c>
    </row>
    <row r="2313" customFormat="false" ht="15" hidden="false" customHeight="false" outlineLevel="0" collapsed="false">
      <c r="A2313" s="0" t="s">
        <v>90</v>
      </c>
      <c r="B2313" s="0" t="s">
        <v>458</v>
      </c>
      <c r="C2313" s="0" t="n">
        <v>60</v>
      </c>
      <c r="D2313" s="0" t="n">
        <v>0</v>
      </c>
      <c r="E2313" s="0" t="n">
        <v>4</v>
      </c>
      <c r="F2313" s="0" t="n">
        <v>60</v>
      </c>
      <c r="G2313" s="0" t="n">
        <v>240</v>
      </c>
      <c r="H2313" s="0" t="s">
        <v>145</v>
      </c>
      <c r="I2313" s="0" t="n">
        <v>240</v>
      </c>
      <c r="J2313" s="0" t="n">
        <f aca="false">F2313*E2313</f>
        <v>240</v>
      </c>
      <c r="K2313" s="0" t="str">
        <f aca="false">IF(G2313&lt;1000,"1-Low",IF(G2313&lt;5000,"2-Medium","3-Bulk"))</f>
        <v>1-Low</v>
      </c>
      <c r="L2313" s="0" t="str">
        <f aca="false">IF(H2313="TRUE","Out of stock","In stock")</f>
        <v>In stock</v>
      </c>
      <c r="M2313" s="0" t="str">
        <f aca="false">IF(D2313&lt;5,"1) Under 5%",IF(D2313&lt;10,"2) 5-9%",IF(D2313&lt;15,"3) 10-14%",IF(D2313&lt;25,"4) 15-24%","5) 25%+"))))</f>
        <v>1) Under 5%</v>
      </c>
      <c r="N2313" s="0" t="str">
        <f aca="false">IF(F2313&lt;50,"1) Under Rs 50",IF(F2313&lt;100,"2) Rs 50-99",IF(F2313&lt;200,"3) Rs 100-199",IF(F2313&lt;500,"4) Rs 200-499","5) Rs 500+"))))</f>
        <v>2) Rs 50-99</v>
      </c>
      <c r="O2313" s="0" t="n">
        <f aca="false">G2313*E2313/1000</f>
        <v>0.96</v>
      </c>
    </row>
    <row r="2314" customFormat="false" ht="15" hidden="false" customHeight="false" outlineLevel="0" collapsed="false">
      <c r="A2314" s="0" t="s">
        <v>90</v>
      </c>
      <c r="B2314" s="0" t="s">
        <v>916</v>
      </c>
      <c r="C2314" s="0" t="n">
        <v>330</v>
      </c>
      <c r="D2314" s="0" t="n">
        <v>6</v>
      </c>
      <c r="E2314" s="0" t="n">
        <v>6</v>
      </c>
      <c r="F2314" s="0" t="n">
        <v>310</v>
      </c>
      <c r="G2314" s="0" t="n">
        <v>460</v>
      </c>
      <c r="H2314" s="0" t="s">
        <v>145</v>
      </c>
      <c r="I2314" s="0" t="n">
        <v>460</v>
      </c>
      <c r="J2314" s="0" t="n">
        <f aca="false">F2314*E2314</f>
        <v>1860</v>
      </c>
      <c r="K2314" s="0" t="str">
        <f aca="false">IF(G2314&lt;1000,"1-Low",IF(G2314&lt;5000,"2-Medium","3-Bulk"))</f>
        <v>1-Low</v>
      </c>
      <c r="L2314" s="0" t="str">
        <f aca="false">IF(H2314="TRUE","Out of stock","In stock")</f>
        <v>In stock</v>
      </c>
      <c r="M2314" s="0" t="str">
        <f aca="false">IF(D2314&lt;5,"1) Under 5%",IF(D2314&lt;10,"2) 5-9%",IF(D2314&lt;15,"3) 10-14%",IF(D2314&lt;25,"4) 15-24%","5) 25%+"))))</f>
        <v>2) 5-9%</v>
      </c>
      <c r="N2314" s="0" t="str">
        <f aca="false">IF(F2314&lt;50,"1) Under Rs 50",IF(F2314&lt;100,"2) Rs 50-99",IF(F2314&lt;200,"3) Rs 100-199",IF(F2314&lt;500,"4) Rs 200-499","5) Rs 500+"))))</f>
        <v>4) Rs 200-499</v>
      </c>
      <c r="O2314" s="0" t="n">
        <f aca="false">G2314*E2314/1000</f>
        <v>2.76</v>
      </c>
    </row>
    <row r="2315" customFormat="false" ht="15" hidden="false" customHeight="false" outlineLevel="0" collapsed="false">
      <c r="A2315" s="0" t="s">
        <v>90</v>
      </c>
      <c r="B2315" s="0" t="s">
        <v>917</v>
      </c>
      <c r="C2315" s="0" t="n">
        <v>292</v>
      </c>
      <c r="D2315" s="0" t="n">
        <v>0</v>
      </c>
      <c r="E2315" s="0" t="n">
        <v>6</v>
      </c>
      <c r="F2315" s="0" t="n">
        <v>292</v>
      </c>
      <c r="G2315" s="0" t="n">
        <v>300</v>
      </c>
      <c r="H2315" s="0" t="s">
        <v>145</v>
      </c>
      <c r="I2315" s="0" t="n">
        <v>300</v>
      </c>
      <c r="J2315" s="0" t="n">
        <f aca="false">F2315*E2315</f>
        <v>1752</v>
      </c>
      <c r="K2315" s="0" t="str">
        <f aca="false">IF(G2315&lt;1000,"1-Low",IF(G2315&lt;5000,"2-Medium","3-Bulk"))</f>
        <v>1-Low</v>
      </c>
      <c r="L2315" s="0" t="str">
        <f aca="false">IF(H2315="TRUE","Out of stock","In stock")</f>
        <v>In stock</v>
      </c>
      <c r="M2315" s="0" t="str">
        <f aca="false">IF(D2315&lt;5,"1) Under 5%",IF(D2315&lt;10,"2) 5-9%",IF(D2315&lt;15,"3) 10-14%",IF(D2315&lt;25,"4) 15-24%","5) 25%+"))))</f>
        <v>1) Under 5%</v>
      </c>
      <c r="N2315" s="0" t="str">
        <f aca="false">IF(F2315&lt;50,"1) Under Rs 50",IF(F2315&lt;100,"2) Rs 50-99",IF(F2315&lt;200,"3) Rs 100-199",IF(F2315&lt;500,"4) Rs 200-499","5) Rs 500+"))))</f>
        <v>4) Rs 200-499</v>
      </c>
      <c r="O2315" s="0" t="n">
        <f aca="false">G2315*E2315/1000</f>
        <v>1.8</v>
      </c>
    </row>
    <row r="2316" customFormat="false" ht="15" hidden="false" customHeight="false" outlineLevel="0" collapsed="false">
      <c r="A2316" s="0" t="s">
        <v>90</v>
      </c>
      <c r="B2316" s="0" t="s">
        <v>918</v>
      </c>
      <c r="C2316" s="0" t="n">
        <v>25</v>
      </c>
      <c r="D2316" s="0" t="n">
        <v>0</v>
      </c>
      <c r="E2316" s="0" t="n">
        <v>6</v>
      </c>
      <c r="F2316" s="0" t="n">
        <v>25</v>
      </c>
      <c r="G2316" s="0" t="n">
        <v>60</v>
      </c>
      <c r="H2316" s="0" t="s">
        <v>145</v>
      </c>
      <c r="I2316" s="0" t="n">
        <v>60</v>
      </c>
      <c r="J2316" s="0" t="n">
        <f aca="false">F2316*E2316</f>
        <v>150</v>
      </c>
      <c r="K2316" s="0" t="str">
        <f aca="false">IF(G2316&lt;1000,"1-Low",IF(G2316&lt;5000,"2-Medium","3-Bulk"))</f>
        <v>1-Low</v>
      </c>
      <c r="L2316" s="0" t="str">
        <f aca="false">IF(H2316="TRUE","Out of stock","In stock")</f>
        <v>In stock</v>
      </c>
      <c r="M2316" s="0" t="str">
        <f aca="false">IF(D2316&lt;5,"1) Under 5%",IF(D2316&lt;10,"2) 5-9%",IF(D2316&lt;15,"3) 10-14%",IF(D2316&lt;25,"4) 15-24%","5) 25%+"))))</f>
        <v>1) Under 5%</v>
      </c>
      <c r="N2316" s="0" t="str">
        <f aca="false">IF(F2316&lt;50,"1) Under Rs 50",IF(F2316&lt;100,"2) Rs 50-99",IF(F2316&lt;200,"3) Rs 100-199",IF(F2316&lt;500,"4) Rs 200-499","5) Rs 500+"))))</f>
        <v>1) Under Rs 50</v>
      </c>
      <c r="O2316" s="0" t="n">
        <f aca="false">G2316*E2316/1000</f>
        <v>0.36</v>
      </c>
    </row>
    <row r="2317" customFormat="false" ht="15" hidden="false" customHeight="false" outlineLevel="0" collapsed="false">
      <c r="A2317" s="0" t="s">
        <v>90</v>
      </c>
      <c r="B2317" s="0" t="s">
        <v>899</v>
      </c>
      <c r="C2317" s="0" t="n">
        <v>68</v>
      </c>
      <c r="D2317" s="0" t="n">
        <v>10</v>
      </c>
      <c r="E2317" s="0" t="n">
        <v>5</v>
      </c>
      <c r="F2317" s="0" t="n">
        <v>61</v>
      </c>
      <c r="G2317" s="0" t="n">
        <v>360</v>
      </c>
      <c r="H2317" s="0" t="s">
        <v>145</v>
      </c>
      <c r="I2317" s="0" t="n">
        <v>360</v>
      </c>
      <c r="J2317" s="0" t="n">
        <f aca="false">F2317*E2317</f>
        <v>305</v>
      </c>
      <c r="K2317" s="0" t="str">
        <f aca="false">IF(G2317&lt;1000,"1-Low",IF(G2317&lt;5000,"2-Medium","3-Bulk"))</f>
        <v>1-Low</v>
      </c>
      <c r="L2317" s="0" t="str">
        <f aca="false">IF(H2317="TRUE","Out of stock","In stock")</f>
        <v>In stock</v>
      </c>
      <c r="M2317" s="0" t="str">
        <f aca="false">IF(D2317&lt;5,"1) Under 5%",IF(D2317&lt;10,"2) 5-9%",IF(D2317&lt;15,"3) 10-14%",IF(D2317&lt;25,"4) 15-24%","5) 25%+"))))</f>
        <v>3) 10-14%</v>
      </c>
      <c r="N2317" s="0" t="str">
        <f aca="false">IF(F2317&lt;50,"1) Under Rs 50",IF(F2317&lt;100,"2) Rs 50-99",IF(F2317&lt;200,"3) Rs 100-199",IF(F2317&lt;500,"4) Rs 200-499","5) Rs 500+"))))</f>
        <v>2) Rs 50-99</v>
      </c>
      <c r="O2317" s="0" t="n">
        <f aca="false">G2317*E2317/1000</f>
        <v>1.8</v>
      </c>
    </row>
    <row r="2318" customFormat="false" ht="15" hidden="false" customHeight="false" outlineLevel="0" collapsed="false">
      <c r="A2318" s="0" t="s">
        <v>90</v>
      </c>
      <c r="B2318" s="0" t="s">
        <v>919</v>
      </c>
      <c r="C2318" s="0" t="n">
        <v>55</v>
      </c>
      <c r="D2318" s="0" t="n">
        <v>0</v>
      </c>
      <c r="E2318" s="0" t="n">
        <v>6</v>
      </c>
      <c r="F2318" s="0" t="n">
        <v>55</v>
      </c>
      <c r="G2318" s="0" t="n">
        <v>53</v>
      </c>
      <c r="H2318" s="0" t="s">
        <v>145</v>
      </c>
      <c r="I2318" s="0" t="n">
        <v>53</v>
      </c>
      <c r="J2318" s="0" t="n">
        <f aca="false">F2318*E2318</f>
        <v>330</v>
      </c>
      <c r="K2318" s="0" t="str">
        <f aca="false">IF(G2318&lt;1000,"1-Low",IF(G2318&lt;5000,"2-Medium","3-Bulk"))</f>
        <v>1-Low</v>
      </c>
      <c r="L2318" s="0" t="str">
        <f aca="false">IF(H2318="TRUE","Out of stock","In stock")</f>
        <v>In stock</v>
      </c>
      <c r="M2318" s="0" t="str">
        <f aca="false">IF(D2318&lt;5,"1) Under 5%",IF(D2318&lt;10,"2) 5-9%",IF(D2318&lt;15,"3) 10-14%",IF(D2318&lt;25,"4) 15-24%","5) 25%+"))))</f>
        <v>1) Under 5%</v>
      </c>
      <c r="N2318" s="0" t="str">
        <f aca="false">IF(F2318&lt;50,"1) Under Rs 50",IF(F2318&lt;100,"2) Rs 50-99",IF(F2318&lt;200,"3) Rs 100-199",IF(F2318&lt;500,"4) Rs 200-499","5) Rs 500+"))))</f>
        <v>2) Rs 50-99</v>
      </c>
      <c r="O2318" s="0" t="n">
        <f aca="false">G2318*E2318/1000</f>
        <v>0.318</v>
      </c>
    </row>
    <row r="2319" customFormat="false" ht="15" hidden="false" customHeight="false" outlineLevel="0" collapsed="false">
      <c r="A2319" s="0" t="s">
        <v>90</v>
      </c>
      <c r="B2319" s="0" t="s">
        <v>122</v>
      </c>
      <c r="C2319" s="0" t="n">
        <v>295</v>
      </c>
      <c r="D2319" s="0" t="n">
        <v>9</v>
      </c>
      <c r="E2319" s="0" t="n">
        <v>6</v>
      </c>
      <c r="F2319" s="0" t="n">
        <v>266</v>
      </c>
      <c r="G2319" s="0" t="n">
        <v>360</v>
      </c>
      <c r="H2319" s="0" t="s">
        <v>145</v>
      </c>
      <c r="I2319" s="0" t="n">
        <v>360</v>
      </c>
      <c r="J2319" s="0" t="n">
        <f aca="false">F2319*E2319</f>
        <v>1596</v>
      </c>
      <c r="K2319" s="0" t="str">
        <f aca="false">IF(G2319&lt;1000,"1-Low",IF(G2319&lt;5000,"2-Medium","3-Bulk"))</f>
        <v>1-Low</v>
      </c>
      <c r="L2319" s="0" t="str">
        <f aca="false">IF(H2319="TRUE","Out of stock","In stock")</f>
        <v>In stock</v>
      </c>
      <c r="M2319" s="0" t="str">
        <f aca="false">IF(D2319&lt;5,"1) Under 5%",IF(D2319&lt;10,"2) 5-9%",IF(D2319&lt;15,"3) 10-14%",IF(D2319&lt;25,"4) 15-24%","5) 25%+"))))</f>
        <v>2) 5-9%</v>
      </c>
      <c r="N2319" s="0" t="str">
        <f aca="false">IF(F2319&lt;50,"1) Under Rs 50",IF(F2319&lt;100,"2) Rs 50-99",IF(F2319&lt;200,"3) Rs 100-199",IF(F2319&lt;500,"4) Rs 200-499","5) Rs 500+"))))</f>
        <v>4) Rs 200-499</v>
      </c>
      <c r="O2319" s="0" t="n">
        <f aca="false">G2319*E2319/1000</f>
        <v>2.16</v>
      </c>
    </row>
    <row r="2320" customFormat="false" ht="15" hidden="false" customHeight="false" outlineLevel="0" collapsed="false">
      <c r="A2320" s="0" t="s">
        <v>90</v>
      </c>
      <c r="B2320" s="0" t="s">
        <v>920</v>
      </c>
      <c r="C2320" s="0" t="n">
        <v>425</v>
      </c>
      <c r="D2320" s="0" t="n">
        <v>9</v>
      </c>
      <c r="E2320" s="0" t="n">
        <v>1</v>
      </c>
      <c r="F2320" s="0" t="n">
        <v>383</v>
      </c>
      <c r="G2320" s="0" t="n">
        <v>1000</v>
      </c>
      <c r="H2320" s="0" t="s">
        <v>145</v>
      </c>
      <c r="I2320" s="0" t="n">
        <v>1</v>
      </c>
      <c r="J2320" s="0" t="n">
        <f aca="false">F2320*E2320</f>
        <v>383</v>
      </c>
      <c r="K2320" s="0" t="str">
        <f aca="false">IF(G2320&lt;1000,"1-Low",IF(G2320&lt;5000,"2-Medium","3-Bulk"))</f>
        <v>2-Medium</v>
      </c>
      <c r="L2320" s="0" t="str">
        <f aca="false">IF(H2320="TRUE","Out of stock","In stock")</f>
        <v>In stock</v>
      </c>
      <c r="M2320" s="0" t="str">
        <f aca="false">IF(D2320&lt;5,"1) Under 5%",IF(D2320&lt;10,"2) 5-9%",IF(D2320&lt;15,"3) 10-14%",IF(D2320&lt;25,"4) 15-24%","5) 25%+"))))</f>
        <v>2) 5-9%</v>
      </c>
      <c r="N2320" s="0" t="str">
        <f aca="false">IF(F2320&lt;50,"1) Under Rs 50",IF(F2320&lt;100,"2) Rs 50-99",IF(F2320&lt;200,"3) Rs 100-199",IF(F2320&lt;500,"4) Rs 200-499","5) Rs 500+"))))</f>
        <v>4) Rs 200-499</v>
      </c>
      <c r="O2320" s="0" t="n">
        <f aca="false">G2320*E2320/1000</f>
        <v>1</v>
      </c>
    </row>
    <row r="2321" customFormat="false" ht="15" hidden="false" customHeight="false" outlineLevel="0" collapsed="false">
      <c r="A2321" s="0" t="s">
        <v>90</v>
      </c>
      <c r="B2321" s="0" t="s">
        <v>921</v>
      </c>
      <c r="C2321" s="0" t="n">
        <v>170</v>
      </c>
      <c r="D2321" s="0" t="n">
        <v>5</v>
      </c>
      <c r="E2321" s="0" t="n">
        <v>4</v>
      </c>
      <c r="F2321" s="0" t="n">
        <v>160</v>
      </c>
      <c r="G2321" s="0" t="n">
        <v>385</v>
      </c>
      <c r="H2321" s="0" t="s">
        <v>145</v>
      </c>
      <c r="I2321" s="0" t="n">
        <v>385</v>
      </c>
      <c r="J2321" s="0" t="n">
        <f aca="false">F2321*E2321</f>
        <v>640</v>
      </c>
      <c r="K2321" s="0" t="str">
        <f aca="false">IF(G2321&lt;1000,"1-Low",IF(G2321&lt;5000,"2-Medium","3-Bulk"))</f>
        <v>1-Low</v>
      </c>
      <c r="L2321" s="0" t="str">
        <f aca="false">IF(H2321="TRUE","Out of stock","In stock")</f>
        <v>In stock</v>
      </c>
      <c r="M2321" s="0" t="str">
        <f aca="false">IF(D2321&lt;5,"1) Under 5%",IF(D2321&lt;10,"2) 5-9%",IF(D2321&lt;15,"3) 10-14%",IF(D2321&lt;25,"4) 15-24%","5) 25%+"))))</f>
        <v>2) 5-9%</v>
      </c>
      <c r="N2321" s="0" t="str">
        <f aca="false">IF(F2321&lt;50,"1) Under Rs 50",IF(F2321&lt;100,"2) Rs 50-99",IF(F2321&lt;200,"3) Rs 100-199",IF(F2321&lt;500,"4) Rs 200-499","5) Rs 500+"))))</f>
        <v>3) Rs 100-199</v>
      </c>
      <c r="O2321" s="0" t="n">
        <f aca="false">G2321*E2321/1000</f>
        <v>1.54</v>
      </c>
    </row>
    <row r="2322" customFormat="false" ht="15" hidden="false" customHeight="false" outlineLevel="0" collapsed="false">
      <c r="A2322" s="0" t="s">
        <v>90</v>
      </c>
      <c r="B2322" s="0" t="s">
        <v>128</v>
      </c>
      <c r="C2322" s="0" t="n">
        <v>290</v>
      </c>
      <c r="D2322" s="0" t="n">
        <v>20</v>
      </c>
      <c r="E2322" s="0" t="n">
        <v>6</v>
      </c>
      <c r="F2322" s="0" t="n">
        <v>232</v>
      </c>
      <c r="G2322" s="0" t="n">
        <v>1200</v>
      </c>
      <c r="H2322" s="0" t="s">
        <v>145</v>
      </c>
      <c r="I2322" s="0" t="n">
        <v>1200</v>
      </c>
      <c r="J2322" s="0" t="n">
        <f aca="false">F2322*E2322</f>
        <v>1392</v>
      </c>
      <c r="K2322" s="0" t="str">
        <f aca="false">IF(G2322&lt;1000,"1-Low",IF(G2322&lt;5000,"2-Medium","3-Bulk"))</f>
        <v>2-Medium</v>
      </c>
      <c r="L2322" s="0" t="str">
        <f aca="false">IF(H2322="TRUE","Out of stock","In stock")</f>
        <v>In stock</v>
      </c>
      <c r="M2322" s="0" t="str">
        <f aca="false">IF(D2322&lt;5,"1) Under 5%",IF(D2322&lt;10,"2) 5-9%",IF(D2322&lt;15,"3) 10-14%",IF(D2322&lt;25,"4) 15-24%","5) 25%+"))))</f>
        <v>4) 15-24%</v>
      </c>
      <c r="N2322" s="0" t="str">
        <f aca="false">IF(F2322&lt;50,"1) Under Rs 50",IF(F2322&lt;100,"2) Rs 50-99",IF(F2322&lt;200,"3) Rs 100-199",IF(F2322&lt;500,"4) Rs 200-499","5) Rs 500+"))))</f>
        <v>4) Rs 200-499</v>
      </c>
      <c r="O2322" s="0" t="n">
        <f aca="false">G2322*E2322/1000</f>
        <v>7.2</v>
      </c>
    </row>
    <row r="2323" customFormat="false" ht="15" hidden="false" customHeight="false" outlineLevel="0" collapsed="false">
      <c r="A2323" s="0" t="s">
        <v>90</v>
      </c>
      <c r="B2323" s="0" t="s">
        <v>922</v>
      </c>
      <c r="C2323" s="0" t="n">
        <v>15</v>
      </c>
      <c r="D2323" s="0" t="n">
        <v>0</v>
      </c>
      <c r="E2323" s="0" t="n">
        <v>5</v>
      </c>
      <c r="F2323" s="0" t="n">
        <v>15</v>
      </c>
      <c r="G2323" s="0" t="n">
        <v>15</v>
      </c>
      <c r="H2323" s="0" t="s">
        <v>145</v>
      </c>
      <c r="I2323" s="0" t="n">
        <v>15</v>
      </c>
      <c r="J2323" s="0" t="n">
        <f aca="false">F2323*E2323</f>
        <v>75</v>
      </c>
      <c r="K2323" s="0" t="str">
        <f aca="false">IF(G2323&lt;1000,"1-Low",IF(G2323&lt;5000,"2-Medium","3-Bulk"))</f>
        <v>1-Low</v>
      </c>
      <c r="L2323" s="0" t="str">
        <f aca="false">IF(H2323="TRUE","Out of stock","In stock")</f>
        <v>In stock</v>
      </c>
      <c r="M2323" s="0" t="str">
        <f aca="false">IF(D2323&lt;5,"1) Under 5%",IF(D2323&lt;10,"2) 5-9%",IF(D2323&lt;15,"3) 10-14%",IF(D2323&lt;25,"4) 15-24%","5) 25%+"))))</f>
        <v>1) Under 5%</v>
      </c>
      <c r="N2323" s="0" t="str">
        <f aca="false">IF(F2323&lt;50,"1) Under Rs 50",IF(F2323&lt;100,"2) Rs 50-99",IF(F2323&lt;200,"3) Rs 100-199",IF(F2323&lt;500,"4) Rs 200-499","5) Rs 500+"))))</f>
        <v>1) Under Rs 50</v>
      </c>
      <c r="O2323" s="0" t="n">
        <f aca="false">G2323*E2323/1000</f>
        <v>0.075</v>
      </c>
    </row>
    <row r="2324" customFormat="false" ht="15" hidden="false" customHeight="false" outlineLevel="0" collapsed="false">
      <c r="A2324" s="0" t="s">
        <v>90</v>
      </c>
      <c r="B2324" s="0" t="s">
        <v>923</v>
      </c>
      <c r="C2324" s="0" t="n">
        <v>261</v>
      </c>
      <c r="D2324" s="0" t="n">
        <v>0</v>
      </c>
      <c r="E2324" s="0" t="n">
        <v>6</v>
      </c>
      <c r="F2324" s="0" t="n">
        <v>261</v>
      </c>
      <c r="G2324" s="0" t="n">
        <v>300</v>
      </c>
      <c r="H2324" s="0" t="s">
        <v>145</v>
      </c>
      <c r="I2324" s="0" t="n">
        <v>300</v>
      </c>
      <c r="J2324" s="0" t="n">
        <f aca="false">F2324*E2324</f>
        <v>1566</v>
      </c>
      <c r="K2324" s="0" t="str">
        <f aca="false">IF(G2324&lt;1000,"1-Low",IF(G2324&lt;5000,"2-Medium","3-Bulk"))</f>
        <v>1-Low</v>
      </c>
      <c r="L2324" s="0" t="str">
        <f aca="false">IF(H2324="TRUE","Out of stock","In stock")</f>
        <v>In stock</v>
      </c>
      <c r="M2324" s="0" t="str">
        <f aca="false">IF(D2324&lt;5,"1) Under 5%",IF(D2324&lt;10,"2) 5-9%",IF(D2324&lt;15,"3) 10-14%",IF(D2324&lt;25,"4) 15-24%","5) 25%+"))))</f>
        <v>1) Under 5%</v>
      </c>
      <c r="N2324" s="0" t="str">
        <f aca="false">IF(F2324&lt;50,"1) Under Rs 50",IF(F2324&lt;100,"2) Rs 50-99",IF(F2324&lt;200,"3) Rs 100-199",IF(F2324&lt;500,"4) Rs 200-499","5) Rs 500+"))))</f>
        <v>4) Rs 200-499</v>
      </c>
      <c r="O2324" s="0" t="n">
        <f aca="false">G2324*E2324/1000</f>
        <v>1.8</v>
      </c>
    </row>
    <row r="2325" customFormat="false" ht="15" hidden="false" customHeight="false" outlineLevel="0" collapsed="false">
      <c r="A2325" s="0" t="s">
        <v>90</v>
      </c>
      <c r="B2325" s="0" t="s">
        <v>924</v>
      </c>
      <c r="C2325" s="0" t="n">
        <v>660</v>
      </c>
      <c r="D2325" s="0" t="n">
        <v>40</v>
      </c>
      <c r="E2325" s="0" t="n">
        <v>4</v>
      </c>
      <c r="F2325" s="0" t="n">
        <v>396</v>
      </c>
      <c r="G2325" s="0" t="n">
        <v>1200</v>
      </c>
      <c r="H2325" s="0" t="s">
        <v>145</v>
      </c>
      <c r="I2325" s="0" t="n">
        <v>1</v>
      </c>
      <c r="J2325" s="0" t="n">
        <f aca="false">F2325*E2325</f>
        <v>1584</v>
      </c>
      <c r="K2325" s="0" t="str">
        <f aca="false">IF(G2325&lt;1000,"1-Low",IF(G2325&lt;5000,"2-Medium","3-Bulk"))</f>
        <v>2-Medium</v>
      </c>
      <c r="L2325" s="0" t="str">
        <f aca="false">IF(H2325="TRUE","Out of stock","In stock")</f>
        <v>In stock</v>
      </c>
      <c r="M2325" s="0" t="str">
        <f aca="false">IF(D2325&lt;5,"1) Under 5%",IF(D2325&lt;10,"2) 5-9%",IF(D2325&lt;15,"3) 10-14%",IF(D2325&lt;25,"4) 15-24%","5) 25%+"))))</f>
        <v>5) 25%+</v>
      </c>
      <c r="N2325" s="0" t="str">
        <f aca="false">IF(F2325&lt;50,"1) Under Rs 50",IF(F2325&lt;100,"2) Rs 50-99",IF(F2325&lt;200,"3) Rs 100-199",IF(F2325&lt;500,"4) Rs 200-499","5) Rs 500+"))))</f>
        <v>4) Rs 200-499</v>
      </c>
      <c r="O2325" s="0" t="n">
        <f aca="false">G2325*E2325/1000</f>
        <v>4.8</v>
      </c>
    </row>
    <row r="2326" customFormat="false" ht="15" hidden="false" customHeight="false" outlineLevel="0" collapsed="false">
      <c r="A2326" s="0" t="s">
        <v>90</v>
      </c>
      <c r="B2326" s="0" t="s">
        <v>925</v>
      </c>
      <c r="C2326" s="0" t="n">
        <v>170</v>
      </c>
      <c r="D2326" s="0" t="n">
        <v>4</v>
      </c>
      <c r="E2326" s="0" t="n">
        <v>2</v>
      </c>
      <c r="F2326" s="0" t="n">
        <v>162</v>
      </c>
      <c r="G2326" s="0" t="n">
        <v>210</v>
      </c>
      <c r="H2326" s="0" t="s">
        <v>145</v>
      </c>
      <c r="I2326" s="0" t="n">
        <v>210</v>
      </c>
      <c r="J2326" s="0" t="n">
        <f aca="false">F2326*E2326</f>
        <v>324</v>
      </c>
      <c r="K2326" s="0" t="str">
        <f aca="false">IF(G2326&lt;1000,"1-Low",IF(G2326&lt;5000,"2-Medium","3-Bulk"))</f>
        <v>1-Low</v>
      </c>
      <c r="L2326" s="0" t="str">
        <f aca="false">IF(H2326="TRUE","Out of stock","In stock")</f>
        <v>In stock</v>
      </c>
      <c r="M2326" s="0" t="str">
        <f aca="false">IF(D2326&lt;5,"1) Under 5%",IF(D2326&lt;10,"2) 5-9%",IF(D2326&lt;15,"3) 10-14%",IF(D2326&lt;25,"4) 15-24%","5) 25%+"))))</f>
        <v>1) Under 5%</v>
      </c>
      <c r="N2326" s="0" t="str">
        <f aca="false">IF(F2326&lt;50,"1) Under Rs 50",IF(F2326&lt;100,"2) Rs 50-99",IF(F2326&lt;200,"3) Rs 100-199",IF(F2326&lt;500,"4) Rs 200-499","5) Rs 500+"))))</f>
        <v>3) Rs 100-199</v>
      </c>
      <c r="O2326" s="0" t="n">
        <f aca="false">G2326*E2326/1000</f>
        <v>0.42</v>
      </c>
    </row>
    <row r="2327" customFormat="false" ht="15" hidden="false" customHeight="false" outlineLevel="0" collapsed="false">
      <c r="A2327" s="0" t="s">
        <v>90</v>
      </c>
      <c r="B2327" s="0" t="s">
        <v>764</v>
      </c>
      <c r="C2327" s="0" t="n">
        <v>229</v>
      </c>
      <c r="D2327" s="0" t="n">
        <v>10</v>
      </c>
      <c r="E2327" s="0" t="n">
        <v>6</v>
      </c>
      <c r="F2327" s="0" t="n">
        <v>206</v>
      </c>
      <c r="G2327" s="0" t="n">
        <v>400</v>
      </c>
      <c r="H2327" s="0" t="s">
        <v>145</v>
      </c>
      <c r="I2327" s="0" t="n">
        <v>400</v>
      </c>
      <c r="J2327" s="0" t="n">
        <f aca="false">F2327*E2327</f>
        <v>1236</v>
      </c>
      <c r="K2327" s="0" t="str">
        <f aca="false">IF(G2327&lt;1000,"1-Low",IF(G2327&lt;5000,"2-Medium","3-Bulk"))</f>
        <v>1-Low</v>
      </c>
      <c r="L2327" s="0" t="str">
        <f aca="false">IF(H2327="TRUE","Out of stock","In stock")</f>
        <v>In stock</v>
      </c>
      <c r="M2327" s="0" t="str">
        <f aca="false">IF(D2327&lt;5,"1) Under 5%",IF(D2327&lt;10,"2) 5-9%",IF(D2327&lt;15,"3) 10-14%",IF(D2327&lt;25,"4) 15-24%","5) 25%+"))))</f>
        <v>3) 10-14%</v>
      </c>
      <c r="N2327" s="0" t="str">
        <f aca="false">IF(F2327&lt;50,"1) Under Rs 50",IF(F2327&lt;100,"2) Rs 50-99",IF(F2327&lt;200,"3) Rs 100-199",IF(F2327&lt;500,"4) Rs 200-499","5) Rs 500+"))))</f>
        <v>4) Rs 200-499</v>
      </c>
      <c r="O2327" s="0" t="n">
        <f aca="false">G2327*E2327/1000</f>
        <v>2.4</v>
      </c>
    </row>
    <row r="2328" customFormat="false" ht="15" hidden="false" customHeight="false" outlineLevel="0" collapsed="false">
      <c r="A2328" s="0" t="s">
        <v>90</v>
      </c>
      <c r="B2328" s="0" t="s">
        <v>926</v>
      </c>
      <c r="C2328" s="0" t="n">
        <v>130</v>
      </c>
      <c r="D2328" s="0" t="n">
        <v>30</v>
      </c>
      <c r="E2328" s="0" t="n">
        <v>6</v>
      </c>
      <c r="F2328" s="0" t="n">
        <v>91</v>
      </c>
      <c r="G2328" s="0" t="n">
        <v>285</v>
      </c>
      <c r="H2328" s="0" t="s">
        <v>145</v>
      </c>
      <c r="I2328" s="0" t="n">
        <v>285</v>
      </c>
      <c r="J2328" s="0" t="n">
        <f aca="false">F2328*E2328</f>
        <v>546</v>
      </c>
      <c r="K2328" s="0" t="str">
        <f aca="false">IF(G2328&lt;1000,"1-Low",IF(G2328&lt;5000,"2-Medium","3-Bulk"))</f>
        <v>1-Low</v>
      </c>
      <c r="L2328" s="0" t="str">
        <f aca="false">IF(H2328="TRUE","Out of stock","In stock")</f>
        <v>In stock</v>
      </c>
      <c r="M2328" s="0" t="str">
        <f aca="false">IF(D2328&lt;5,"1) Under 5%",IF(D2328&lt;10,"2) 5-9%",IF(D2328&lt;15,"3) 10-14%",IF(D2328&lt;25,"4) 15-24%","5) 25%+"))))</f>
        <v>5) 25%+</v>
      </c>
      <c r="N2328" s="0" t="str">
        <f aca="false">IF(F2328&lt;50,"1) Under Rs 50",IF(F2328&lt;100,"2) Rs 50-99",IF(F2328&lt;200,"3) Rs 100-199",IF(F2328&lt;500,"4) Rs 200-499","5) Rs 500+"))))</f>
        <v>2) Rs 50-99</v>
      </c>
      <c r="O2328" s="0" t="n">
        <f aca="false">G2328*E2328/1000</f>
        <v>1.71</v>
      </c>
    </row>
    <row r="2329" customFormat="false" ht="15" hidden="false" customHeight="false" outlineLevel="0" collapsed="false">
      <c r="A2329" s="0" t="s">
        <v>90</v>
      </c>
      <c r="B2329" s="0" t="s">
        <v>927</v>
      </c>
      <c r="C2329" s="0" t="n">
        <v>99</v>
      </c>
      <c r="D2329" s="0" t="n">
        <v>11</v>
      </c>
      <c r="E2329" s="0" t="n">
        <v>6</v>
      </c>
      <c r="F2329" s="0" t="n">
        <v>88</v>
      </c>
      <c r="G2329" s="0" t="n">
        <v>175</v>
      </c>
      <c r="H2329" s="0" t="s">
        <v>145</v>
      </c>
      <c r="I2329" s="0" t="n">
        <v>175</v>
      </c>
      <c r="J2329" s="0" t="n">
        <f aca="false">F2329*E2329</f>
        <v>528</v>
      </c>
      <c r="K2329" s="0" t="str">
        <f aca="false">IF(G2329&lt;1000,"1-Low",IF(G2329&lt;5000,"2-Medium","3-Bulk"))</f>
        <v>1-Low</v>
      </c>
      <c r="L2329" s="0" t="str">
        <f aca="false">IF(H2329="TRUE","Out of stock","In stock")</f>
        <v>In stock</v>
      </c>
      <c r="M2329" s="0" t="str">
        <f aca="false">IF(D2329&lt;5,"1) Under 5%",IF(D2329&lt;10,"2) 5-9%",IF(D2329&lt;15,"3) 10-14%",IF(D2329&lt;25,"4) 15-24%","5) 25%+"))))</f>
        <v>3) 10-14%</v>
      </c>
      <c r="N2329" s="0" t="str">
        <f aca="false">IF(F2329&lt;50,"1) Under Rs 50",IF(F2329&lt;100,"2) Rs 50-99",IF(F2329&lt;200,"3) Rs 100-199",IF(F2329&lt;500,"4) Rs 200-499","5) Rs 500+"))))</f>
        <v>2) Rs 50-99</v>
      </c>
      <c r="O2329" s="0" t="n">
        <f aca="false">G2329*E2329/1000</f>
        <v>1.05</v>
      </c>
    </row>
    <row r="2330" customFormat="false" ht="15" hidden="false" customHeight="false" outlineLevel="0" collapsed="false">
      <c r="A2330" s="0" t="s">
        <v>90</v>
      </c>
      <c r="B2330" s="0" t="s">
        <v>928</v>
      </c>
      <c r="C2330" s="0" t="n">
        <v>169</v>
      </c>
      <c r="D2330" s="0" t="n">
        <v>5</v>
      </c>
      <c r="E2330" s="0" t="n">
        <v>4</v>
      </c>
      <c r="F2330" s="0" t="n">
        <v>160</v>
      </c>
      <c r="G2330" s="0" t="n">
        <v>250</v>
      </c>
      <c r="H2330" s="0" t="s">
        <v>145</v>
      </c>
      <c r="I2330" s="0" t="n">
        <v>250</v>
      </c>
      <c r="J2330" s="0" t="n">
        <f aca="false">F2330*E2330</f>
        <v>640</v>
      </c>
      <c r="K2330" s="0" t="str">
        <f aca="false">IF(G2330&lt;1000,"1-Low",IF(G2330&lt;5000,"2-Medium","3-Bulk"))</f>
        <v>1-Low</v>
      </c>
      <c r="L2330" s="0" t="str">
        <f aca="false">IF(H2330="TRUE","Out of stock","In stock")</f>
        <v>In stock</v>
      </c>
      <c r="M2330" s="0" t="str">
        <f aca="false">IF(D2330&lt;5,"1) Under 5%",IF(D2330&lt;10,"2) 5-9%",IF(D2330&lt;15,"3) 10-14%",IF(D2330&lt;25,"4) 15-24%","5) 25%+"))))</f>
        <v>2) 5-9%</v>
      </c>
      <c r="N2330" s="0" t="str">
        <f aca="false">IF(F2330&lt;50,"1) Under Rs 50",IF(F2330&lt;100,"2) Rs 50-99",IF(F2330&lt;200,"3) Rs 100-199",IF(F2330&lt;500,"4) Rs 200-499","5) Rs 500+"))))</f>
        <v>3) Rs 100-199</v>
      </c>
      <c r="O2330" s="0" t="n">
        <f aca="false">G2330*E2330/1000</f>
        <v>1</v>
      </c>
    </row>
    <row r="2331" customFormat="false" ht="15" hidden="false" customHeight="false" outlineLevel="0" collapsed="false">
      <c r="A2331" s="0" t="s">
        <v>90</v>
      </c>
      <c r="B2331" s="0" t="s">
        <v>929</v>
      </c>
      <c r="C2331" s="0" t="n">
        <v>179</v>
      </c>
      <c r="D2331" s="0" t="n">
        <v>0</v>
      </c>
      <c r="E2331" s="0" t="n">
        <v>6</v>
      </c>
      <c r="F2331" s="0" t="n">
        <v>179</v>
      </c>
      <c r="G2331" s="0" t="n">
        <v>450</v>
      </c>
      <c r="H2331" s="0" t="s">
        <v>145</v>
      </c>
      <c r="I2331" s="0" t="n">
        <v>450</v>
      </c>
      <c r="J2331" s="0" t="n">
        <f aca="false">F2331*E2331</f>
        <v>1074</v>
      </c>
      <c r="K2331" s="0" t="str">
        <f aca="false">IF(G2331&lt;1000,"1-Low",IF(G2331&lt;5000,"2-Medium","3-Bulk"))</f>
        <v>1-Low</v>
      </c>
      <c r="L2331" s="0" t="str">
        <f aca="false">IF(H2331="TRUE","Out of stock","In stock")</f>
        <v>In stock</v>
      </c>
      <c r="M2331" s="0" t="str">
        <f aca="false">IF(D2331&lt;5,"1) Under 5%",IF(D2331&lt;10,"2) 5-9%",IF(D2331&lt;15,"3) 10-14%",IF(D2331&lt;25,"4) 15-24%","5) 25%+"))))</f>
        <v>1) Under 5%</v>
      </c>
      <c r="N2331" s="0" t="str">
        <f aca="false">IF(F2331&lt;50,"1) Under Rs 50",IF(F2331&lt;100,"2) Rs 50-99",IF(F2331&lt;200,"3) Rs 100-199",IF(F2331&lt;500,"4) Rs 200-499","5) Rs 500+"))))</f>
        <v>3) Rs 100-199</v>
      </c>
      <c r="O2331" s="0" t="n">
        <f aca="false">G2331*E2331/1000</f>
        <v>2.7</v>
      </c>
    </row>
    <row r="2332" customFormat="false" ht="15" hidden="false" customHeight="false" outlineLevel="0" collapsed="false">
      <c r="A2332" s="0" t="s">
        <v>90</v>
      </c>
      <c r="B2332" s="0" t="s">
        <v>930</v>
      </c>
      <c r="C2332" s="0" t="n">
        <v>149</v>
      </c>
      <c r="D2332" s="0" t="n">
        <v>8</v>
      </c>
      <c r="E2332" s="0" t="n">
        <v>6</v>
      </c>
      <c r="F2332" s="0" t="n">
        <v>137</v>
      </c>
      <c r="G2332" s="0" t="n">
        <v>330</v>
      </c>
      <c r="H2332" s="0" t="s">
        <v>145</v>
      </c>
      <c r="I2332" s="0" t="n">
        <v>330</v>
      </c>
      <c r="J2332" s="0" t="n">
        <f aca="false">F2332*E2332</f>
        <v>822</v>
      </c>
      <c r="K2332" s="0" t="str">
        <f aca="false">IF(G2332&lt;1000,"1-Low",IF(G2332&lt;5000,"2-Medium","3-Bulk"))</f>
        <v>1-Low</v>
      </c>
      <c r="L2332" s="0" t="str">
        <f aca="false">IF(H2332="TRUE","Out of stock","In stock")</f>
        <v>In stock</v>
      </c>
      <c r="M2332" s="0" t="str">
        <f aca="false">IF(D2332&lt;5,"1) Under 5%",IF(D2332&lt;10,"2) 5-9%",IF(D2332&lt;15,"3) 10-14%",IF(D2332&lt;25,"4) 15-24%","5) 25%+"))))</f>
        <v>2) 5-9%</v>
      </c>
      <c r="N2332" s="0" t="str">
        <f aca="false">IF(F2332&lt;50,"1) Under Rs 50",IF(F2332&lt;100,"2) Rs 50-99",IF(F2332&lt;200,"3) Rs 100-199",IF(F2332&lt;500,"4) Rs 200-499","5) Rs 500+"))))</f>
        <v>3) Rs 100-199</v>
      </c>
      <c r="O2332" s="0" t="n">
        <f aca="false">G2332*E2332/1000</f>
        <v>1.98</v>
      </c>
    </row>
    <row r="2333" customFormat="false" ht="15" hidden="false" customHeight="false" outlineLevel="0" collapsed="false">
      <c r="A2333" s="0" t="s">
        <v>90</v>
      </c>
      <c r="B2333" s="0" t="s">
        <v>931</v>
      </c>
      <c r="C2333" s="0" t="n">
        <v>60</v>
      </c>
      <c r="D2333" s="0" t="n">
        <v>20</v>
      </c>
      <c r="E2333" s="0" t="n">
        <v>6</v>
      </c>
      <c r="F2333" s="0" t="n">
        <v>48</v>
      </c>
      <c r="G2333" s="0" t="n">
        <v>40</v>
      </c>
      <c r="H2333" s="0" t="s">
        <v>145</v>
      </c>
      <c r="I2333" s="0" t="n">
        <v>40</v>
      </c>
      <c r="J2333" s="0" t="n">
        <f aca="false">F2333*E2333</f>
        <v>288</v>
      </c>
      <c r="K2333" s="0" t="str">
        <f aca="false">IF(G2333&lt;1000,"1-Low",IF(G2333&lt;5000,"2-Medium","3-Bulk"))</f>
        <v>1-Low</v>
      </c>
      <c r="L2333" s="0" t="str">
        <f aca="false">IF(H2333="TRUE","Out of stock","In stock")</f>
        <v>In stock</v>
      </c>
      <c r="M2333" s="0" t="str">
        <f aca="false">IF(D2333&lt;5,"1) Under 5%",IF(D2333&lt;10,"2) 5-9%",IF(D2333&lt;15,"3) 10-14%",IF(D2333&lt;25,"4) 15-24%","5) 25%+"))))</f>
        <v>4) 15-24%</v>
      </c>
      <c r="N2333" s="0" t="str">
        <f aca="false">IF(F2333&lt;50,"1) Under Rs 50",IF(F2333&lt;100,"2) Rs 50-99",IF(F2333&lt;200,"3) Rs 100-199",IF(F2333&lt;500,"4) Rs 200-499","5) Rs 500+"))))</f>
        <v>1) Under Rs 50</v>
      </c>
      <c r="O2333" s="0" t="n">
        <f aca="false">G2333*E2333/1000</f>
        <v>0.24</v>
      </c>
    </row>
    <row r="2334" customFormat="false" ht="15" hidden="false" customHeight="false" outlineLevel="0" collapsed="false">
      <c r="A2334" s="0" t="s">
        <v>90</v>
      </c>
      <c r="B2334" s="0" t="s">
        <v>932</v>
      </c>
      <c r="C2334" s="0" t="n">
        <v>325</v>
      </c>
      <c r="D2334" s="0" t="n">
        <v>20</v>
      </c>
      <c r="E2334" s="0" t="n">
        <v>6</v>
      </c>
      <c r="F2334" s="0" t="n">
        <v>260</v>
      </c>
      <c r="G2334" s="0" t="n">
        <v>350</v>
      </c>
      <c r="H2334" s="0" t="s">
        <v>145</v>
      </c>
      <c r="I2334" s="0" t="n">
        <v>350</v>
      </c>
      <c r="J2334" s="0" t="n">
        <f aca="false">F2334*E2334</f>
        <v>1560</v>
      </c>
      <c r="K2334" s="0" t="str">
        <f aca="false">IF(G2334&lt;1000,"1-Low",IF(G2334&lt;5000,"2-Medium","3-Bulk"))</f>
        <v>1-Low</v>
      </c>
      <c r="L2334" s="0" t="str">
        <f aca="false">IF(H2334="TRUE","Out of stock","In stock")</f>
        <v>In stock</v>
      </c>
      <c r="M2334" s="0" t="str">
        <f aca="false">IF(D2334&lt;5,"1) Under 5%",IF(D2334&lt;10,"2) 5-9%",IF(D2334&lt;15,"3) 10-14%",IF(D2334&lt;25,"4) 15-24%","5) 25%+"))))</f>
        <v>4) 15-24%</v>
      </c>
      <c r="N2334" s="0" t="str">
        <f aca="false">IF(F2334&lt;50,"1) Under Rs 50",IF(F2334&lt;100,"2) Rs 50-99",IF(F2334&lt;200,"3) Rs 100-199",IF(F2334&lt;500,"4) Rs 200-499","5) Rs 500+"))))</f>
        <v>4) Rs 200-499</v>
      </c>
      <c r="O2334" s="0" t="n">
        <f aca="false">G2334*E2334/1000</f>
        <v>2.1</v>
      </c>
    </row>
    <row r="2335" customFormat="false" ht="15" hidden="false" customHeight="false" outlineLevel="0" collapsed="false">
      <c r="A2335" s="0" t="s">
        <v>90</v>
      </c>
      <c r="B2335" s="0" t="s">
        <v>933</v>
      </c>
      <c r="C2335" s="0" t="n">
        <v>150</v>
      </c>
      <c r="D2335" s="0" t="n">
        <v>14</v>
      </c>
      <c r="E2335" s="0" t="n">
        <v>5</v>
      </c>
      <c r="F2335" s="0" t="n">
        <v>128</v>
      </c>
      <c r="G2335" s="0" t="n">
        <v>114</v>
      </c>
      <c r="H2335" s="0" t="s">
        <v>145</v>
      </c>
      <c r="I2335" s="0" t="n">
        <v>114</v>
      </c>
      <c r="J2335" s="0" t="n">
        <f aca="false">F2335*E2335</f>
        <v>640</v>
      </c>
      <c r="K2335" s="0" t="str">
        <f aca="false">IF(G2335&lt;1000,"1-Low",IF(G2335&lt;5000,"2-Medium","3-Bulk"))</f>
        <v>1-Low</v>
      </c>
      <c r="L2335" s="0" t="str">
        <f aca="false">IF(H2335="TRUE","Out of stock","In stock")</f>
        <v>In stock</v>
      </c>
      <c r="M2335" s="0" t="str">
        <f aca="false">IF(D2335&lt;5,"1) Under 5%",IF(D2335&lt;10,"2) 5-9%",IF(D2335&lt;15,"3) 10-14%",IF(D2335&lt;25,"4) 15-24%","5) 25%+"))))</f>
        <v>3) 10-14%</v>
      </c>
      <c r="N2335" s="0" t="str">
        <f aca="false">IF(F2335&lt;50,"1) Under Rs 50",IF(F2335&lt;100,"2) Rs 50-99",IF(F2335&lt;200,"3) Rs 100-199",IF(F2335&lt;500,"4) Rs 200-499","5) Rs 500+"))))</f>
        <v>3) Rs 100-199</v>
      </c>
      <c r="O2335" s="0" t="n">
        <f aca="false">G2335*E2335/1000</f>
        <v>0.57</v>
      </c>
    </row>
    <row r="2336" customFormat="false" ht="15" hidden="false" customHeight="false" outlineLevel="0" collapsed="false">
      <c r="A2336" s="0" t="s">
        <v>90</v>
      </c>
      <c r="B2336" s="0" t="s">
        <v>934</v>
      </c>
      <c r="C2336" s="0" t="n">
        <v>210</v>
      </c>
      <c r="D2336" s="0" t="n">
        <v>8</v>
      </c>
      <c r="E2336" s="0" t="n">
        <v>5</v>
      </c>
      <c r="F2336" s="0" t="n">
        <v>192</v>
      </c>
      <c r="G2336" s="0" t="n">
        <v>435</v>
      </c>
      <c r="H2336" s="0" t="s">
        <v>145</v>
      </c>
      <c r="I2336" s="0" t="n">
        <v>435</v>
      </c>
      <c r="J2336" s="0" t="n">
        <f aca="false">F2336*E2336</f>
        <v>960</v>
      </c>
      <c r="K2336" s="0" t="str">
        <f aca="false">IF(G2336&lt;1000,"1-Low",IF(G2336&lt;5000,"2-Medium","3-Bulk"))</f>
        <v>1-Low</v>
      </c>
      <c r="L2336" s="0" t="str">
        <f aca="false">IF(H2336="TRUE","Out of stock","In stock")</f>
        <v>In stock</v>
      </c>
      <c r="M2336" s="0" t="str">
        <f aca="false">IF(D2336&lt;5,"1) Under 5%",IF(D2336&lt;10,"2) 5-9%",IF(D2336&lt;15,"3) 10-14%",IF(D2336&lt;25,"4) 15-24%","5) 25%+"))))</f>
        <v>2) 5-9%</v>
      </c>
      <c r="N2336" s="0" t="str">
        <f aca="false">IF(F2336&lt;50,"1) Under Rs 50",IF(F2336&lt;100,"2) Rs 50-99",IF(F2336&lt;200,"3) Rs 100-199",IF(F2336&lt;500,"4) Rs 200-499","5) Rs 500+"))))</f>
        <v>3) Rs 100-199</v>
      </c>
      <c r="O2336" s="0" t="n">
        <f aca="false">G2336*E2336/1000</f>
        <v>2.175</v>
      </c>
    </row>
    <row r="2337" customFormat="false" ht="15" hidden="false" customHeight="false" outlineLevel="0" collapsed="false">
      <c r="A2337" s="0" t="s">
        <v>90</v>
      </c>
      <c r="B2337" s="0" t="s">
        <v>935</v>
      </c>
      <c r="C2337" s="0" t="n">
        <v>280</v>
      </c>
      <c r="D2337" s="0" t="n">
        <v>50</v>
      </c>
      <c r="E2337" s="0" t="n">
        <v>5</v>
      </c>
      <c r="F2337" s="0" t="n">
        <v>140</v>
      </c>
      <c r="G2337" s="0" t="n">
        <v>175</v>
      </c>
      <c r="H2337" s="0" t="s">
        <v>145</v>
      </c>
      <c r="I2337" s="0" t="n">
        <v>175</v>
      </c>
      <c r="J2337" s="0" t="n">
        <f aca="false">F2337*E2337</f>
        <v>700</v>
      </c>
      <c r="K2337" s="0" t="str">
        <f aca="false">IF(G2337&lt;1000,"1-Low",IF(G2337&lt;5000,"2-Medium","3-Bulk"))</f>
        <v>1-Low</v>
      </c>
      <c r="L2337" s="0" t="str">
        <f aca="false">IF(H2337="TRUE","Out of stock","In stock")</f>
        <v>In stock</v>
      </c>
      <c r="M2337" s="0" t="str">
        <f aca="false">IF(D2337&lt;5,"1) Under 5%",IF(D2337&lt;10,"2) 5-9%",IF(D2337&lt;15,"3) 10-14%",IF(D2337&lt;25,"4) 15-24%","5) 25%+"))))</f>
        <v>5) 25%+</v>
      </c>
      <c r="N2337" s="0" t="str">
        <f aca="false">IF(F2337&lt;50,"1) Under Rs 50",IF(F2337&lt;100,"2) Rs 50-99",IF(F2337&lt;200,"3) Rs 100-199",IF(F2337&lt;500,"4) Rs 200-499","5) Rs 500+"))))</f>
        <v>3) Rs 100-199</v>
      </c>
      <c r="O2337" s="0" t="n">
        <f aca="false">G2337*E2337/1000</f>
        <v>0.875</v>
      </c>
    </row>
    <row r="2338" customFormat="false" ht="15" hidden="false" customHeight="false" outlineLevel="0" collapsed="false">
      <c r="A2338" s="0" t="s">
        <v>90</v>
      </c>
      <c r="B2338" s="0" t="s">
        <v>936</v>
      </c>
      <c r="C2338" s="0" t="n">
        <v>50</v>
      </c>
      <c r="D2338" s="0" t="n">
        <v>10</v>
      </c>
      <c r="E2338" s="0" t="n">
        <v>6</v>
      </c>
      <c r="F2338" s="0" t="n">
        <v>45</v>
      </c>
      <c r="G2338" s="0" t="n">
        <v>100</v>
      </c>
      <c r="H2338" s="0" t="s">
        <v>145</v>
      </c>
      <c r="I2338" s="0" t="n">
        <v>100</v>
      </c>
      <c r="J2338" s="0" t="n">
        <f aca="false">F2338*E2338</f>
        <v>270</v>
      </c>
      <c r="K2338" s="0" t="str">
        <f aca="false">IF(G2338&lt;1000,"1-Low",IF(G2338&lt;5000,"2-Medium","3-Bulk"))</f>
        <v>1-Low</v>
      </c>
      <c r="L2338" s="0" t="str">
        <f aca="false">IF(H2338="TRUE","Out of stock","In stock")</f>
        <v>In stock</v>
      </c>
      <c r="M2338" s="0" t="str">
        <f aca="false">IF(D2338&lt;5,"1) Under 5%",IF(D2338&lt;10,"2) 5-9%",IF(D2338&lt;15,"3) 10-14%",IF(D2338&lt;25,"4) 15-24%","5) 25%+"))))</f>
        <v>3) 10-14%</v>
      </c>
      <c r="N2338" s="0" t="str">
        <f aca="false">IF(F2338&lt;50,"1) Under Rs 50",IF(F2338&lt;100,"2) Rs 50-99",IF(F2338&lt;200,"3) Rs 100-199",IF(F2338&lt;500,"4) Rs 200-499","5) Rs 500+"))))</f>
        <v>1) Under Rs 50</v>
      </c>
      <c r="O2338" s="0" t="n">
        <f aca="false">G2338*E2338/1000</f>
        <v>0.6</v>
      </c>
    </row>
    <row r="2339" customFormat="false" ht="15" hidden="false" customHeight="false" outlineLevel="0" collapsed="false">
      <c r="A2339" s="0" t="s">
        <v>90</v>
      </c>
      <c r="B2339" s="0" t="s">
        <v>937</v>
      </c>
      <c r="C2339" s="0" t="n">
        <v>80</v>
      </c>
      <c r="D2339" s="0" t="n">
        <v>10</v>
      </c>
      <c r="E2339" s="0" t="n">
        <v>6</v>
      </c>
      <c r="F2339" s="0" t="n">
        <v>72</v>
      </c>
      <c r="G2339" s="0" t="n">
        <v>280</v>
      </c>
      <c r="H2339" s="0" t="s">
        <v>145</v>
      </c>
      <c r="I2339" s="0" t="n">
        <v>280</v>
      </c>
      <c r="J2339" s="0" t="n">
        <f aca="false">F2339*E2339</f>
        <v>432</v>
      </c>
      <c r="K2339" s="0" t="str">
        <f aca="false">IF(G2339&lt;1000,"1-Low",IF(G2339&lt;5000,"2-Medium","3-Bulk"))</f>
        <v>1-Low</v>
      </c>
      <c r="L2339" s="0" t="str">
        <f aca="false">IF(H2339="TRUE","Out of stock","In stock")</f>
        <v>In stock</v>
      </c>
      <c r="M2339" s="0" t="str">
        <f aca="false">IF(D2339&lt;5,"1) Under 5%",IF(D2339&lt;10,"2) 5-9%",IF(D2339&lt;15,"3) 10-14%",IF(D2339&lt;25,"4) 15-24%","5) 25%+"))))</f>
        <v>3) 10-14%</v>
      </c>
      <c r="N2339" s="0" t="str">
        <f aca="false">IF(F2339&lt;50,"1) Under Rs 50",IF(F2339&lt;100,"2) Rs 50-99",IF(F2339&lt;200,"3) Rs 100-199",IF(F2339&lt;500,"4) Rs 200-499","5) Rs 500+"))))</f>
        <v>2) Rs 50-99</v>
      </c>
      <c r="O2339" s="0" t="n">
        <f aca="false">G2339*E2339/1000</f>
        <v>1.68</v>
      </c>
    </row>
    <row r="2340" customFormat="false" ht="15" hidden="false" customHeight="false" outlineLevel="0" collapsed="false">
      <c r="A2340" s="0" t="s">
        <v>90</v>
      </c>
      <c r="B2340" s="0" t="s">
        <v>474</v>
      </c>
      <c r="C2340" s="0" t="n">
        <v>195</v>
      </c>
      <c r="D2340" s="0" t="n">
        <v>12</v>
      </c>
      <c r="E2340" s="0" t="n">
        <v>6</v>
      </c>
      <c r="F2340" s="0" t="n">
        <v>171</v>
      </c>
      <c r="G2340" s="0" t="n">
        <v>500</v>
      </c>
      <c r="H2340" s="0" t="s">
        <v>145</v>
      </c>
      <c r="I2340" s="0" t="n">
        <v>500</v>
      </c>
      <c r="J2340" s="0" t="n">
        <f aca="false">F2340*E2340</f>
        <v>1026</v>
      </c>
      <c r="K2340" s="0" t="str">
        <f aca="false">IF(G2340&lt;1000,"1-Low",IF(G2340&lt;5000,"2-Medium","3-Bulk"))</f>
        <v>1-Low</v>
      </c>
      <c r="L2340" s="0" t="str">
        <f aca="false">IF(H2340="TRUE","Out of stock","In stock")</f>
        <v>In stock</v>
      </c>
      <c r="M2340" s="0" t="str">
        <f aca="false">IF(D2340&lt;5,"1) Under 5%",IF(D2340&lt;10,"2) 5-9%",IF(D2340&lt;15,"3) 10-14%",IF(D2340&lt;25,"4) 15-24%","5) 25%+"))))</f>
        <v>3) 10-14%</v>
      </c>
      <c r="N2340" s="0" t="str">
        <f aca="false">IF(F2340&lt;50,"1) Under Rs 50",IF(F2340&lt;100,"2) Rs 50-99",IF(F2340&lt;200,"3) Rs 100-199",IF(F2340&lt;500,"4) Rs 200-499","5) Rs 500+"))))</f>
        <v>3) Rs 100-199</v>
      </c>
      <c r="O2340" s="0" t="n">
        <f aca="false">G2340*E2340/1000</f>
        <v>3</v>
      </c>
    </row>
    <row r="2341" customFormat="false" ht="15" hidden="false" customHeight="false" outlineLevel="0" collapsed="false">
      <c r="A2341" s="0" t="s">
        <v>90</v>
      </c>
      <c r="B2341" s="0" t="s">
        <v>473</v>
      </c>
      <c r="C2341" s="0" t="n">
        <v>60</v>
      </c>
      <c r="D2341" s="0" t="n">
        <v>0</v>
      </c>
      <c r="E2341" s="0" t="n">
        <v>4</v>
      </c>
      <c r="F2341" s="0" t="n">
        <v>60</v>
      </c>
      <c r="G2341" s="0" t="n">
        <v>240</v>
      </c>
      <c r="H2341" s="0" t="s">
        <v>145</v>
      </c>
      <c r="I2341" s="0" t="n">
        <v>240</v>
      </c>
      <c r="J2341" s="0" t="n">
        <f aca="false">F2341*E2341</f>
        <v>240</v>
      </c>
      <c r="K2341" s="0" t="str">
        <f aca="false">IF(G2341&lt;1000,"1-Low",IF(G2341&lt;5000,"2-Medium","3-Bulk"))</f>
        <v>1-Low</v>
      </c>
      <c r="L2341" s="0" t="str">
        <f aca="false">IF(H2341="TRUE","Out of stock","In stock")</f>
        <v>In stock</v>
      </c>
      <c r="M2341" s="0" t="str">
        <f aca="false">IF(D2341&lt;5,"1) Under 5%",IF(D2341&lt;10,"2) 5-9%",IF(D2341&lt;15,"3) 10-14%",IF(D2341&lt;25,"4) 15-24%","5) 25%+"))))</f>
        <v>1) Under 5%</v>
      </c>
      <c r="N2341" s="0" t="str">
        <f aca="false">IF(F2341&lt;50,"1) Under Rs 50",IF(F2341&lt;100,"2) Rs 50-99",IF(F2341&lt;200,"3) Rs 100-199",IF(F2341&lt;500,"4) Rs 200-499","5) Rs 500+"))))</f>
        <v>2) Rs 50-99</v>
      </c>
      <c r="O2341" s="0" t="n">
        <f aca="false">G2341*E2341/1000</f>
        <v>0.96</v>
      </c>
    </row>
    <row r="2342" customFormat="false" ht="15" hidden="false" customHeight="false" outlineLevel="0" collapsed="false">
      <c r="A2342" s="0" t="s">
        <v>90</v>
      </c>
      <c r="B2342" s="0" t="s">
        <v>938</v>
      </c>
      <c r="C2342" s="0" t="n">
        <v>200</v>
      </c>
      <c r="D2342" s="0" t="n">
        <v>30</v>
      </c>
      <c r="E2342" s="0" t="n">
        <v>1</v>
      </c>
      <c r="F2342" s="0" t="n">
        <v>140</v>
      </c>
      <c r="G2342" s="0" t="n">
        <v>285</v>
      </c>
      <c r="H2342" s="0" t="s">
        <v>145</v>
      </c>
      <c r="I2342" s="0" t="n">
        <v>285</v>
      </c>
      <c r="J2342" s="0" t="n">
        <f aca="false">F2342*E2342</f>
        <v>140</v>
      </c>
      <c r="K2342" s="0" t="str">
        <f aca="false">IF(G2342&lt;1000,"1-Low",IF(G2342&lt;5000,"2-Medium","3-Bulk"))</f>
        <v>1-Low</v>
      </c>
      <c r="L2342" s="0" t="str">
        <f aca="false">IF(H2342="TRUE","Out of stock","In stock")</f>
        <v>In stock</v>
      </c>
      <c r="M2342" s="0" t="str">
        <f aca="false">IF(D2342&lt;5,"1) Under 5%",IF(D2342&lt;10,"2) 5-9%",IF(D2342&lt;15,"3) 10-14%",IF(D2342&lt;25,"4) 15-24%","5) 25%+"))))</f>
        <v>5) 25%+</v>
      </c>
      <c r="N2342" s="0" t="str">
        <f aca="false">IF(F2342&lt;50,"1) Under Rs 50",IF(F2342&lt;100,"2) Rs 50-99",IF(F2342&lt;200,"3) Rs 100-199",IF(F2342&lt;500,"4) Rs 200-499","5) Rs 500+"))))</f>
        <v>3) Rs 100-199</v>
      </c>
      <c r="O2342" s="0" t="n">
        <f aca="false">G2342*E2342/1000</f>
        <v>0.285</v>
      </c>
    </row>
    <row r="2343" customFormat="false" ht="15" hidden="false" customHeight="false" outlineLevel="0" collapsed="false">
      <c r="A2343" s="0" t="s">
        <v>90</v>
      </c>
      <c r="B2343" s="0" t="s">
        <v>939</v>
      </c>
      <c r="C2343" s="0" t="n">
        <v>190</v>
      </c>
      <c r="D2343" s="0" t="n">
        <v>0</v>
      </c>
      <c r="E2343" s="0" t="n">
        <v>6</v>
      </c>
      <c r="F2343" s="0" t="n">
        <v>190</v>
      </c>
      <c r="G2343" s="0" t="n">
        <v>300</v>
      </c>
      <c r="H2343" s="0" t="s">
        <v>145</v>
      </c>
      <c r="I2343" s="0" t="n">
        <v>300</v>
      </c>
      <c r="J2343" s="0" t="n">
        <f aca="false">F2343*E2343</f>
        <v>1140</v>
      </c>
      <c r="K2343" s="0" t="str">
        <f aca="false">IF(G2343&lt;1000,"1-Low",IF(G2343&lt;5000,"2-Medium","3-Bulk"))</f>
        <v>1-Low</v>
      </c>
      <c r="L2343" s="0" t="str">
        <f aca="false">IF(H2343="TRUE","Out of stock","In stock")</f>
        <v>In stock</v>
      </c>
      <c r="M2343" s="0" t="str">
        <f aca="false">IF(D2343&lt;5,"1) Under 5%",IF(D2343&lt;10,"2) 5-9%",IF(D2343&lt;15,"3) 10-14%",IF(D2343&lt;25,"4) 15-24%","5) 25%+"))))</f>
        <v>1) Under 5%</v>
      </c>
      <c r="N2343" s="0" t="str">
        <f aca="false">IF(F2343&lt;50,"1) Under Rs 50",IF(F2343&lt;100,"2) Rs 50-99",IF(F2343&lt;200,"3) Rs 100-199",IF(F2343&lt;500,"4) Rs 200-499","5) Rs 500+"))))</f>
        <v>3) Rs 100-199</v>
      </c>
      <c r="O2343" s="0" t="n">
        <f aca="false">G2343*E2343/1000</f>
        <v>1.8</v>
      </c>
    </row>
    <row r="2344" customFormat="false" ht="15" hidden="false" customHeight="false" outlineLevel="0" collapsed="false">
      <c r="A2344" s="0" t="s">
        <v>90</v>
      </c>
      <c r="B2344" s="0" t="s">
        <v>940</v>
      </c>
      <c r="C2344" s="0" t="n">
        <v>119</v>
      </c>
      <c r="D2344" s="0" t="n">
        <v>5</v>
      </c>
      <c r="E2344" s="0" t="n">
        <v>6</v>
      </c>
      <c r="F2344" s="0" t="n">
        <v>113</v>
      </c>
      <c r="G2344" s="0" t="n">
        <v>400</v>
      </c>
      <c r="H2344" s="0" t="s">
        <v>145</v>
      </c>
      <c r="I2344" s="0" t="n">
        <v>400</v>
      </c>
      <c r="J2344" s="0" t="n">
        <f aca="false">F2344*E2344</f>
        <v>678</v>
      </c>
      <c r="K2344" s="0" t="str">
        <f aca="false">IF(G2344&lt;1000,"1-Low",IF(G2344&lt;5000,"2-Medium","3-Bulk"))</f>
        <v>1-Low</v>
      </c>
      <c r="L2344" s="0" t="str">
        <f aca="false">IF(H2344="TRUE","Out of stock","In stock")</f>
        <v>In stock</v>
      </c>
      <c r="M2344" s="0" t="str">
        <f aca="false">IF(D2344&lt;5,"1) Under 5%",IF(D2344&lt;10,"2) 5-9%",IF(D2344&lt;15,"3) 10-14%",IF(D2344&lt;25,"4) 15-24%","5) 25%+"))))</f>
        <v>2) 5-9%</v>
      </c>
      <c r="N2344" s="0" t="str">
        <f aca="false">IF(F2344&lt;50,"1) Under Rs 50",IF(F2344&lt;100,"2) Rs 50-99",IF(F2344&lt;200,"3) Rs 100-199",IF(F2344&lt;500,"4) Rs 200-499","5) Rs 500+"))))</f>
        <v>3) Rs 100-199</v>
      </c>
      <c r="O2344" s="0" t="n">
        <f aca="false">G2344*E2344/1000</f>
        <v>2.4</v>
      </c>
    </row>
    <row r="2345" customFormat="false" ht="15" hidden="false" customHeight="false" outlineLevel="0" collapsed="false">
      <c r="A2345" s="0" t="s">
        <v>90</v>
      </c>
      <c r="B2345" s="0" t="s">
        <v>941</v>
      </c>
      <c r="C2345" s="0" t="n">
        <v>170</v>
      </c>
      <c r="D2345" s="0" t="n">
        <v>4</v>
      </c>
      <c r="E2345" s="0" t="n">
        <v>4</v>
      </c>
      <c r="F2345" s="0" t="n">
        <v>162</v>
      </c>
      <c r="G2345" s="0" t="n">
        <v>340</v>
      </c>
      <c r="H2345" s="0" t="s">
        <v>145</v>
      </c>
      <c r="I2345" s="0" t="n">
        <v>340</v>
      </c>
      <c r="J2345" s="0" t="n">
        <f aca="false">F2345*E2345</f>
        <v>648</v>
      </c>
      <c r="K2345" s="0" t="str">
        <f aca="false">IF(G2345&lt;1000,"1-Low",IF(G2345&lt;5000,"2-Medium","3-Bulk"))</f>
        <v>1-Low</v>
      </c>
      <c r="L2345" s="0" t="str">
        <f aca="false">IF(H2345="TRUE","Out of stock","In stock")</f>
        <v>In stock</v>
      </c>
      <c r="M2345" s="0" t="str">
        <f aca="false">IF(D2345&lt;5,"1) Under 5%",IF(D2345&lt;10,"2) 5-9%",IF(D2345&lt;15,"3) 10-14%",IF(D2345&lt;25,"4) 15-24%","5) 25%+"))))</f>
        <v>1) Under 5%</v>
      </c>
      <c r="N2345" s="0" t="str">
        <f aca="false">IF(F2345&lt;50,"1) Under Rs 50",IF(F2345&lt;100,"2) Rs 50-99",IF(F2345&lt;200,"3) Rs 100-199",IF(F2345&lt;500,"4) Rs 200-499","5) Rs 500+"))))</f>
        <v>3) Rs 100-199</v>
      </c>
      <c r="O2345" s="0" t="n">
        <f aca="false">G2345*E2345/1000</f>
        <v>1.36</v>
      </c>
    </row>
    <row r="2346" customFormat="false" ht="15" hidden="false" customHeight="false" outlineLevel="0" collapsed="false">
      <c r="A2346" s="0" t="s">
        <v>90</v>
      </c>
      <c r="B2346" s="0" t="s">
        <v>942</v>
      </c>
      <c r="C2346" s="0" t="n">
        <v>60</v>
      </c>
      <c r="D2346" s="0" t="n">
        <v>15</v>
      </c>
      <c r="E2346" s="0" t="n">
        <v>1</v>
      </c>
      <c r="F2346" s="0" t="n">
        <v>51</v>
      </c>
      <c r="G2346" s="0" t="n">
        <v>70</v>
      </c>
      <c r="H2346" s="0" t="s">
        <v>145</v>
      </c>
      <c r="I2346" s="0" t="n">
        <v>70</v>
      </c>
      <c r="J2346" s="0" t="n">
        <f aca="false">F2346*E2346</f>
        <v>51</v>
      </c>
      <c r="K2346" s="0" t="str">
        <f aca="false">IF(G2346&lt;1000,"1-Low",IF(G2346&lt;5000,"2-Medium","3-Bulk"))</f>
        <v>1-Low</v>
      </c>
      <c r="L2346" s="0" t="str">
        <f aca="false">IF(H2346="TRUE","Out of stock","In stock")</f>
        <v>In stock</v>
      </c>
      <c r="M2346" s="0" t="str">
        <f aca="false">IF(D2346&lt;5,"1) Under 5%",IF(D2346&lt;10,"2) 5-9%",IF(D2346&lt;15,"3) 10-14%",IF(D2346&lt;25,"4) 15-24%","5) 25%+"))))</f>
        <v>4) 15-24%</v>
      </c>
      <c r="N2346" s="0" t="str">
        <f aca="false">IF(F2346&lt;50,"1) Under Rs 50",IF(F2346&lt;100,"2) Rs 50-99",IF(F2346&lt;200,"3) Rs 100-199",IF(F2346&lt;500,"4) Rs 200-499","5) Rs 500+"))))</f>
        <v>2) Rs 50-99</v>
      </c>
      <c r="O2346" s="0" t="n">
        <f aca="false">G2346*E2346/1000</f>
        <v>0.07</v>
      </c>
    </row>
    <row r="2347" customFormat="false" ht="15" hidden="false" customHeight="false" outlineLevel="0" collapsed="false">
      <c r="A2347" s="0" t="s">
        <v>90</v>
      </c>
      <c r="B2347" s="0" t="s">
        <v>943</v>
      </c>
      <c r="C2347" s="0" t="n">
        <v>55</v>
      </c>
      <c r="D2347" s="0" t="n">
        <v>0</v>
      </c>
      <c r="E2347" s="0" t="n">
        <v>3</v>
      </c>
      <c r="F2347" s="0" t="n">
        <v>55</v>
      </c>
      <c r="G2347" s="0" t="n">
        <v>55</v>
      </c>
      <c r="H2347" s="0" t="s">
        <v>145</v>
      </c>
      <c r="I2347" s="0" t="n">
        <v>55</v>
      </c>
      <c r="J2347" s="0" t="n">
        <f aca="false">F2347*E2347</f>
        <v>165</v>
      </c>
      <c r="K2347" s="0" t="str">
        <f aca="false">IF(G2347&lt;1000,"1-Low",IF(G2347&lt;5000,"2-Medium","3-Bulk"))</f>
        <v>1-Low</v>
      </c>
      <c r="L2347" s="0" t="str">
        <f aca="false">IF(H2347="TRUE","Out of stock","In stock")</f>
        <v>In stock</v>
      </c>
      <c r="M2347" s="0" t="str">
        <f aca="false">IF(D2347&lt;5,"1) Under 5%",IF(D2347&lt;10,"2) 5-9%",IF(D2347&lt;15,"3) 10-14%",IF(D2347&lt;25,"4) 15-24%","5) 25%+"))))</f>
        <v>1) Under 5%</v>
      </c>
      <c r="N2347" s="0" t="str">
        <f aca="false">IF(F2347&lt;50,"1) Under Rs 50",IF(F2347&lt;100,"2) Rs 50-99",IF(F2347&lt;200,"3) Rs 100-199",IF(F2347&lt;500,"4) Rs 200-499","5) Rs 500+"))))</f>
        <v>2) Rs 50-99</v>
      </c>
      <c r="O2347" s="0" t="n">
        <f aca="false">G2347*E2347/1000</f>
        <v>0.165</v>
      </c>
    </row>
    <row r="2348" customFormat="false" ht="15" hidden="false" customHeight="false" outlineLevel="0" collapsed="false">
      <c r="A2348" s="0" t="s">
        <v>90</v>
      </c>
      <c r="B2348" s="0" t="s">
        <v>944</v>
      </c>
      <c r="C2348" s="0" t="n">
        <v>85</v>
      </c>
      <c r="D2348" s="0" t="n">
        <v>10</v>
      </c>
      <c r="E2348" s="0" t="n">
        <v>6</v>
      </c>
      <c r="F2348" s="0" t="n">
        <v>76</v>
      </c>
      <c r="G2348" s="0" t="n">
        <v>250</v>
      </c>
      <c r="H2348" s="0" t="s">
        <v>145</v>
      </c>
      <c r="I2348" s="0" t="n">
        <v>250</v>
      </c>
      <c r="J2348" s="0" t="n">
        <f aca="false">F2348*E2348</f>
        <v>456</v>
      </c>
      <c r="K2348" s="0" t="str">
        <f aca="false">IF(G2348&lt;1000,"1-Low",IF(G2348&lt;5000,"2-Medium","3-Bulk"))</f>
        <v>1-Low</v>
      </c>
      <c r="L2348" s="0" t="str">
        <f aca="false">IF(H2348="TRUE","Out of stock","In stock")</f>
        <v>In stock</v>
      </c>
      <c r="M2348" s="0" t="str">
        <f aca="false">IF(D2348&lt;5,"1) Under 5%",IF(D2348&lt;10,"2) 5-9%",IF(D2348&lt;15,"3) 10-14%",IF(D2348&lt;25,"4) 15-24%","5) 25%+"))))</f>
        <v>3) 10-14%</v>
      </c>
      <c r="N2348" s="0" t="str">
        <f aca="false">IF(F2348&lt;50,"1) Under Rs 50",IF(F2348&lt;100,"2) Rs 50-99",IF(F2348&lt;200,"3) Rs 100-199",IF(F2348&lt;500,"4) Rs 200-499","5) Rs 500+"))))</f>
        <v>2) Rs 50-99</v>
      </c>
      <c r="O2348" s="0" t="n">
        <f aca="false">G2348*E2348/1000</f>
        <v>1.5</v>
      </c>
    </row>
    <row r="2349" customFormat="false" ht="15" hidden="false" customHeight="false" outlineLevel="0" collapsed="false">
      <c r="A2349" s="0" t="s">
        <v>90</v>
      </c>
      <c r="B2349" s="0" t="s">
        <v>120</v>
      </c>
      <c r="C2349" s="0" t="n">
        <v>370</v>
      </c>
      <c r="D2349" s="0" t="n">
        <v>12</v>
      </c>
      <c r="E2349" s="0" t="n">
        <v>3</v>
      </c>
      <c r="F2349" s="0" t="n">
        <v>324</v>
      </c>
      <c r="G2349" s="0" t="n">
        <v>650</v>
      </c>
      <c r="H2349" s="0" t="s">
        <v>145</v>
      </c>
      <c r="I2349" s="0" t="n">
        <v>650</v>
      </c>
      <c r="J2349" s="0" t="n">
        <f aca="false">F2349*E2349</f>
        <v>972</v>
      </c>
      <c r="K2349" s="0" t="str">
        <f aca="false">IF(G2349&lt;1000,"1-Low",IF(G2349&lt;5000,"2-Medium","3-Bulk"))</f>
        <v>1-Low</v>
      </c>
      <c r="L2349" s="0" t="str">
        <f aca="false">IF(H2349="TRUE","Out of stock","In stock")</f>
        <v>In stock</v>
      </c>
      <c r="M2349" s="0" t="str">
        <f aca="false">IF(D2349&lt;5,"1) Under 5%",IF(D2349&lt;10,"2) 5-9%",IF(D2349&lt;15,"3) 10-14%",IF(D2349&lt;25,"4) 15-24%","5) 25%+"))))</f>
        <v>3) 10-14%</v>
      </c>
      <c r="N2349" s="0" t="str">
        <f aca="false">IF(F2349&lt;50,"1) Under Rs 50",IF(F2349&lt;100,"2) Rs 50-99",IF(F2349&lt;200,"3) Rs 100-199",IF(F2349&lt;500,"4) Rs 200-499","5) Rs 500+"))))</f>
        <v>4) Rs 200-499</v>
      </c>
      <c r="O2349" s="0" t="n">
        <f aca="false">G2349*E2349/1000</f>
        <v>1.95</v>
      </c>
    </row>
    <row r="2350" customFormat="false" ht="15" hidden="false" customHeight="false" outlineLevel="0" collapsed="false">
      <c r="A2350" s="0" t="s">
        <v>90</v>
      </c>
      <c r="B2350" s="0" t="s">
        <v>945</v>
      </c>
      <c r="C2350" s="0" t="n">
        <v>160</v>
      </c>
      <c r="D2350" s="0" t="n">
        <v>30</v>
      </c>
      <c r="E2350" s="0" t="n">
        <v>4</v>
      </c>
      <c r="F2350" s="0" t="n">
        <v>112</v>
      </c>
      <c r="G2350" s="0" t="n">
        <v>285</v>
      </c>
      <c r="H2350" s="0" t="s">
        <v>145</v>
      </c>
      <c r="I2350" s="0" t="n">
        <v>285</v>
      </c>
      <c r="J2350" s="0" t="n">
        <f aca="false">F2350*E2350</f>
        <v>448</v>
      </c>
      <c r="K2350" s="0" t="str">
        <f aca="false">IF(G2350&lt;1000,"1-Low",IF(G2350&lt;5000,"2-Medium","3-Bulk"))</f>
        <v>1-Low</v>
      </c>
      <c r="L2350" s="0" t="str">
        <f aca="false">IF(H2350="TRUE","Out of stock","In stock")</f>
        <v>In stock</v>
      </c>
      <c r="M2350" s="0" t="str">
        <f aca="false">IF(D2350&lt;5,"1) Under 5%",IF(D2350&lt;10,"2) 5-9%",IF(D2350&lt;15,"3) 10-14%",IF(D2350&lt;25,"4) 15-24%","5) 25%+"))))</f>
        <v>5) 25%+</v>
      </c>
      <c r="N2350" s="0" t="str">
        <f aca="false">IF(F2350&lt;50,"1) Under Rs 50",IF(F2350&lt;100,"2) Rs 50-99",IF(F2350&lt;200,"3) Rs 100-199",IF(F2350&lt;500,"4) Rs 200-499","5) Rs 500+"))))</f>
        <v>3) Rs 100-199</v>
      </c>
      <c r="O2350" s="0" t="n">
        <f aca="false">G2350*E2350/1000</f>
        <v>1.14</v>
      </c>
    </row>
    <row r="2351" customFormat="false" ht="15" hidden="false" customHeight="false" outlineLevel="0" collapsed="false">
      <c r="A2351" s="0" t="s">
        <v>90</v>
      </c>
      <c r="B2351" s="0" t="s">
        <v>946</v>
      </c>
      <c r="C2351" s="0" t="n">
        <v>30</v>
      </c>
      <c r="D2351" s="0" t="n">
        <v>0</v>
      </c>
      <c r="E2351" s="0" t="n">
        <v>5</v>
      </c>
      <c r="F2351" s="0" t="n">
        <v>30</v>
      </c>
      <c r="G2351" s="0" t="n">
        <v>150</v>
      </c>
      <c r="H2351" s="0" t="s">
        <v>145</v>
      </c>
      <c r="I2351" s="0" t="n">
        <v>150</v>
      </c>
      <c r="J2351" s="0" t="n">
        <f aca="false">F2351*E2351</f>
        <v>150</v>
      </c>
      <c r="K2351" s="0" t="str">
        <f aca="false">IF(G2351&lt;1000,"1-Low",IF(G2351&lt;5000,"2-Medium","3-Bulk"))</f>
        <v>1-Low</v>
      </c>
      <c r="L2351" s="0" t="str">
        <f aca="false">IF(H2351="TRUE","Out of stock","In stock")</f>
        <v>In stock</v>
      </c>
      <c r="M2351" s="0" t="str">
        <f aca="false">IF(D2351&lt;5,"1) Under 5%",IF(D2351&lt;10,"2) 5-9%",IF(D2351&lt;15,"3) 10-14%",IF(D2351&lt;25,"4) 15-24%","5) 25%+"))))</f>
        <v>1) Under 5%</v>
      </c>
      <c r="N2351" s="0" t="str">
        <f aca="false">IF(F2351&lt;50,"1) Under Rs 50",IF(F2351&lt;100,"2) Rs 50-99",IF(F2351&lt;200,"3) Rs 100-199",IF(F2351&lt;500,"4) Rs 200-499","5) Rs 500+"))))</f>
        <v>1) Under Rs 50</v>
      </c>
      <c r="O2351" s="0" t="n">
        <f aca="false">G2351*E2351/1000</f>
        <v>0.75</v>
      </c>
    </row>
    <row r="2352" customFormat="false" ht="15" hidden="false" customHeight="false" outlineLevel="0" collapsed="false">
      <c r="A2352" s="0" t="s">
        <v>90</v>
      </c>
      <c r="B2352" s="0" t="s">
        <v>947</v>
      </c>
      <c r="C2352" s="0" t="n">
        <v>60</v>
      </c>
      <c r="D2352" s="0" t="n">
        <v>10</v>
      </c>
      <c r="E2352" s="0" t="n">
        <v>2</v>
      </c>
      <c r="F2352" s="0" t="n">
        <v>54</v>
      </c>
      <c r="G2352" s="0" t="n">
        <v>100</v>
      </c>
      <c r="H2352" s="0" t="s">
        <v>145</v>
      </c>
      <c r="I2352" s="0" t="n">
        <v>100</v>
      </c>
      <c r="J2352" s="0" t="n">
        <f aca="false">F2352*E2352</f>
        <v>108</v>
      </c>
      <c r="K2352" s="0" t="str">
        <f aca="false">IF(G2352&lt;1000,"1-Low",IF(G2352&lt;5000,"2-Medium","3-Bulk"))</f>
        <v>1-Low</v>
      </c>
      <c r="L2352" s="0" t="str">
        <f aca="false">IF(H2352="TRUE","Out of stock","In stock")</f>
        <v>In stock</v>
      </c>
      <c r="M2352" s="0" t="str">
        <f aca="false">IF(D2352&lt;5,"1) Under 5%",IF(D2352&lt;10,"2) 5-9%",IF(D2352&lt;15,"3) 10-14%",IF(D2352&lt;25,"4) 15-24%","5) 25%+"))))</f>
        <v>3) 10-14%</v>
      </c>
      <c r="N2352" s="0" t="str">
        <f aca="false">IF(F2352&lt;50,"1) Under Rs 50",IF(F2352&lt;100,"2) Rs 50-99",IF(F2352&lt;200,"3) Rs 100-199",IF(F2352&lt;500,"4) Rs 200-499","5) Rs 500+"))))</f>
        <v>2) Rs 50-99</v>
      </c>
      <c r="O2352" s="0" t="n">
        <f aca="false">G2352*E2352/1000</f>
        <v>0.2</v>
      </c>
    </row>
    <row r="2353" customFormat="false" ht="15" hidden="false" customHeight="false" outlineLevel="0" collapsed="false">
      <c r="A2353" s="0" t="s">
        <v>90</v>
      </c>
      <c r="B2353" s="0" t="s">
        <v>766</v>
      </c>
      <c r="C2353" s="0" t="n">
        <v>235</v>
      </c>
      <c r="D2353" s="0" t="n">
        <v>20</v>
      </c>
      <c r="E2353" s="0" t="n">
        <v>5</v>
      </c>
      <c r="F2353" s="0" t="n">
        <v>188</v>
      </c>
      <c r="G2353" s="0" t="n">
        <v>325</v>
      </c>
      <c r="H2353" s="0" t="s">
        <v>145</v>
      </c>
      <c r="I2353" s="0" t="n">
        <v>325</v>
      </c>
      <c r="J2353" s="0" t="n">
        <f aca="false">F2353*E2353</f>
        <v>940</v>
      </c>
      <c r="K2353" s="0" t="str">
        <f aca="false">IF(G2353&lt;1000,"1-Low",IF(G2353&lt;5000,"2-Medium","3-Bulk"))</f>
        <v>1-Low</v>
      </c>
      <c r="L2353" s="0" t="str">
        <f aca="false">IF(H2353="TRUE","Out of stock","In stock")</f>
        <v>In stock</v>
      </c>
      <c r="M2353" s="0" t="str">
        <f aca="false">IF(D2353&lt;5,"1) Under 5%",IF(D2353&lt;10,"2) 5-9%",IF(D2353&lt;15,"3) 10-14%",IF(D2353&lt;25,"4) 15-24%","5) 25%+"))))</f>
        <v>4) 15-24%</v>
      </c>
      <c r="N2353" s="0" t="str">
        <f aca="false">IF(F2353&lt;50,"1) Under Rs 50",IF(F2353&lt;100,"2) Rs 50-99",IF(F2353&lt;200,"3) Rs 100-199",IF(F2353&lt;500,"4) Rs 200-499","5) Rs 500+"))))</f>
        <v>3) Rs 100-199</v>
      </c>
      <c r="O2353" s="0" t="n">
        <f aca="false">G2353*E2353/1000</f>
        <v>1.625</v>
      </c>
    </row>
    <row r="2354" customFormat="false" ht="15" hidden="false" customHeight="false" outlineLevel="0" collapsed="false">
      <c r="A2354" s="0" t="s">
        <v>90</v>
      </c>
      <c r="B2354" s="0" t="s">
        <v>948</v>
      </c>
      <c r="C2354" s="0" t="n">
        <v>55</v>
      </c>
      <c r="D2354" s="0" t="n">
        <v>9</v>
      </c>
      <c r="E2354" s="0" t="n">
        <v>4</v>
      </c>
      <c r="F2354" s="0" t="n">
        <v>50</v>
      </c>
      <c r="G2354" s="0" t="n">
        <v>200</v>
      </c>
      <c r="H2354" s="0" t="s">
        <v>145</v>
      </c>
      <c r="I2354" s="0" t="n">
        <v>200</v>
      </c>
      <c r="J2354" s="0" t="n">
        <f aca="false">F2354*E2354</f>
        <v>200</v>
      </c>
      <c r="K2354" s="0" t="str">
        <f aca="false">IF(G2354&lt;1000,"1-Low",IF(G2354&lt;5000,"2-Medium","3-Bulk"))</f>
        <v>1-Low</v>
      </c>
      <c r="L2354" s="0" t="str">
        <f aca="false">IF(H2354="TRUE","Out of stock","In stock")</f>
        <v>In stock</v>
      </c>
      <c r="M2354" s="0" t="str">
        <f aca="false">IF(D2354&lt;5,"1) Under 5%",IF(D2354&lt;10,"2) 5-9%",IF(D2354&lt;15,"3) 10-14%",IF(D2354&lt;25,"4) 15-24%","5) 25%+"))))</f>
        <v>2) 5-9%</v>
      </c>
      <c r="N2354" s="0" t="str">
        <f aca="false">IF(F2354&lt;50,"1) Under Rs 50",IF(F2354&lt;100,"2) Rs 50-99",IF(F2354&lt;200,"3) Rs 100-199",IF(F2354&lt;500,"4) Rs 200-499","5) Rs 500+"))))</f>
        <v>2) Rs 50-99</v>
      </c>
      <c r="O2354" s="0" t="n">
        <f aca="false">G2354*E2354/1000</f>
        <v>0.8</v>
      </c>
    </row>
    <row r="2355" customFormat="false" ht="15" hidden="false" customHeight="false" outlineLevel="0" collapsed="false">
      <c r="A2355" s="0" t="s">
        <v>90</v>
      </c>
      <c r="B2355" s="0" t="s">
        <v>949</v>
      </c>
      <c r="C2355" s="0" t="n">
        <v>330</v>
      </c>
      <c r="D2355" s="0" t="n">
        <v>10</v>
      </c>
      <c r="E2355" s="0" t="n">
        <v>6</v>
      </c>
      <c r="F2355" s="0" t="n">
        <v>294</v>
      </c>
      <c r="G2355" s="0" t="n">
        <v>680</v>
      </c>
      <c r="H2355" s="0" t="s">
        <v>145</v>
      </c>
      <c r="I2355" s="0" t="n">
        <v>680</v>
      </c>
      <c r="J2355" s="0" t="n">
        <f aca="false">F2355*E2355</f>
        <v>1764</v>
      </c>
      <c r="K2355" s="0" t="str">
        <f aca="false">IF(G2355&lt;1000,"1-Low",IF(G2355&lt;5000,"2-Medium","3-Bulk"))</f>
        <v>1-Low</v>
      </c>
      <c r="L2355" s="0" t="str">
        <f aca="false">IF(H2355="TRUE","Out of stock","In stock")</f>
        <v>In stock</v>
      </c>
      <c r="M2355" s="0" t="str">
        <f aca="false">IF(D2355&lt;5,"1) Under 5%",IF(D2355&lt;10,"2) 5-9%",IF(D2355&lt;15,"3) 10-14%",IF(D2355&lt;25,"4) 15-24%","5) 25%+"))))</f>
        <v>3) 10-14%</v>
      </c>
      <c r="N2355" s="0" t="str">
        <f aca="false">IF(F2355&lt;50,"1) Under Rs 50",IF(F2355&lt;100,"2) Rs 50-99",IF(F2355&lt;200,"3) Rs 100-199",IF(F2355&lt;500,"4) Rs 200-499","5) Rs 500+"))))</f>
        <v>4) Rs 200-499</v>
      </c>
      <c r="O2355" s="0" t="n">
        <f aca="false">G2355*E2355/1000</f>
        <v>4.08</v>
      </c>
    </row>
    <row r="2356" customFormat="false" ht="15" hidden="false" customHeight="false" outlineLevel="0" collapsed="false">
      <c r="A2356" s="0" t="s">
        <v>90</v>
      </c>
      <c r="B2356" s="0" t="s">
        <v>950</v>
      </c>
      <c r="C2356" s="0" t="n">
        <v>120</v>
      </c>
      <c r="D2356" s="0" t="n">
        <v>5</v>
      </c>
      <c r="E2356" s="0" t="n">
        <v>1</v>
      </c>
      <c r="F2356" s="0" t="n">
        <v>114</v>
      </c>
      <c r="G2356" s="0" t="n">
        <v>400</v>
      </c>
      <c r="H2356" s="0" t="s">
        <v>145</v>
      </c>
      <c r="I2356" s="0" t="n">
        <v>400</v>
      </c>
      <c r="J2356" s="0" t="n">
        <f aca="false">F2356*E2356</f>
        <v>114</v>
      </c>
      <c r="K2356" s="0" t="str">
        <f aca="false">IF(G2356&lt;1000,"1-Low",IF(G2356&lt;5000,"2-Medium","3-Bulk"))</f>
        <v>1-Low</v>
      </c>
      <c r="L2356" s="0" t="str">
        <f aca="false">IF(H2356="TRUE","Out of stock","In stock")</f>
        <v>In stock</v>
      </c>
      <c r="M2356" s="0" t="str">
        <f aca="false">IF(D2356&lt;5,"1) Under 5%",IF(D2356&lt;10,"2) 5-9%",IF(D2356&lt;15,"3) 10-14%",IF(D2356&lt;25,"4) 15-24%","5) 25%+"))))</f>
        <v>2) 5-9%</v>
      </c>
      <c r="N2356" s="0" t="str">
        <f aca="false">IF(F2356&lt;50,"1) Under Rs 50",IF(F2356&lt;100,"2) Rs 50-99",IF(F2356&lt;200,"3) Rs 100-199",IF(F2356&lt;500,"4) Rs 200-499","5) Rs 500+"))))</f>
        <v>3) Rs 100-199</v>
      </c>
      <c r="O2356" s="0" t="n">
        <f aca="false">G2356*E2356/1000</f>
        <v>0.4</v>
      </c>
    </row>
    <row r="2357" customFormat="false" ht="15" hidden="false" customHeight="false" outlineLevel="0" collapsed="false">
      <c r="A2357" s="0" t="s">
        <v>90</v>
      </c>
      <c r="B2357" s="0" t="s">
        <v>951</v>
      </c>
      <c r="C2357" s="0" t="n">
        <v>110</v>
      </c>
      <c r="D2357" s="0" t="n">
        <v>30</v>
      </c>
      <c r="E2357" s="0" t="n">
        <v>2</v>
      </c>
      <c r="F2357" s="0" t="n">
        <v>77</v>
      </c>
      <c r="G2357" s="0" t="n">
        <v>285</v>
      </c>
      <c r="H2357" s="0" t="s">
        <v>145</v>
      </c>
      <c r="I2357" s="0" t="n">
        <v>285</v>
      </c>
      <c r="J2357" s="0" t="n">
        <f aca="false">F2357*E2357</f>
        <v>154</v>
      </c>
      <c r="K2357" s="0" t="str">
        <f aca="false">IF(G2357&lt;1000,"1-Low",IF(G2357&lt;5000,"2-Medium","3-Bulk"))</f>
        <v>1-Low</v>
      </c>
      <c r="L2357" s="0" t="str">
        <f aca="false">IF(H2357="TRUE","Out of stock","In stock")</f>
        <v>In stock</v>
      </c>
      <c r="M2357" s="0" t="str">
        <f aca="false">IF(D2357&lt;5,"1) Under 5%",IF(D2357&lt;10,"2) 5-9%",IF(D2357&lt;15,"3) 10-14%",IF(D2357&lt;25,"4) 15-24%","5) 25%+"))))</f>
        <v>5) 25%+</v>
      </c>
      <c r="N2357" s="0" t="str">
        <f aca="false">IF(F2357&lt;50,"1) Under Rs 50",IF(F2357&lt;100,"2) Rs 50-99",IF(F2357&lt;200,"3) Rs 100-199",IF(F2357&lt;500,"4) Rs 200-499","5) Rs 500+"))))</f>
        <v>2) Rs 50-99</v>
      </c>
      <c r="O2357" s="0" t="n">
        <f aca="false">G2357*E2357/1000</f>
        <v>0.57</v>
      </c>
    </row>
    <row r="2358" customFormat="false" ht="15" hidden="false" customHeight="false" outlineLevel="0" collapsed="false">
      <c r="A2358" s="0" t="s">
        <v>90</v>
      </c>
      <c r="B2358" s="0" t="s">
        <v>952</v>
      </c>
      <c r="C2358" s="0" t="n">
        <v>275</v>
      </c>
      <c r="D2358" s="0" t="n">
        <v>14</v>
      </c>
      <c r="E2358" s="0" t="n">
        <v>5</v>
      </c>
      <c r="F2358" s="0" t="n">
        <v>234</v>
      </c>
      <c r="G2358" s="0" t="n">
        <v>200</v>
      </c>
      <c r="H2358" s="0" t="s">
        <v>145</v>
      </c>
      <c r="I2358" s="0" t="n">
        <v>200</v>
      </c>
      <c r="J2358" s="0" t="n">
        <f aca="false">F2358*E2358</f>
        <v>1170</v>
      </c>
      <c r="K2358" s="0" t="str">
        <f aca="false">IF(G2358&lt;1000,"1-Low",IF(G2358&lt;5000,"2-Medium","3-Bulk"))</f>
        <v>1-Low</v>
      </c>
      <c r="L2358" s="0" t="str">
        <f aca="false">IF(H2358="TRUE","Out of stock","In stock")</f>
        <v>In stock</v>
      </c>
      <c r="M2358" s="0" t="str">
        <f aca="false">IF(D2358&lt;5,"1) Under 5%",IF(D2358&lt;10,"2) 5-9%",IF(D2358&lt;15,"3) 10-14%",IF(D2358&lt;25,"4) 15-24%","5) 25%+"))))</f>
        <v>3) 10-14%</v>
      </c>
      <c r="N2358" s="0" t="str">
        <f aca="false">IF(F2358&lt;50,"1) Under Rs 50",IF(F2358&lt;100,"2) Rs 50-99",IF(F2358&lt;200,"3) Rs 100-199",IF(F2358&lt;500,"4) Rs 200-499","5) Rs 500+"))))</f>
        <v>4) Rs 200-499</v>
      </c>
      <c r="O2358" s="0" t="n">
        <f aca="false">G2358*E2358/1000</f>
        <v>1</v>
      </c>
    </row>
    <row r="2359" customFormat="false" ht="15" hidden="false" customHeight="false" outlineLevel="0" collapsed="false">
      <c r="A2359" s="0" t="s">
        <v>90</v>
      </c>
      <c r="B2359" s="0" t="s">
        <v>953</v>
      </c>
      <c r="C2359" s="0" t="n">
        <v>55</v>
      </c>
      <c r="D2359" s="0" t="n">
        <v>0</v>
      </c>
      <c r="E2359" s="0" t="n">
        <v>6</v>
      </c>
      <c r="F2359" s="0" t="n">
        <v>55</v>
      </c>
      <c r="G2359" s="0" t="n">
        <v>55</v>
      </c>
      <c r="H2359" s="0" t="s">
        <v>145</v>
      </c>
      <c r="I2359" s="0" t="n">
        <v>55</v>
      </c>
      <c r="J2359" s="0" t="n">
        <f aca="false">F2359*E2359</f>
        <v>330</v>
      </c>
      <c r="K2359" s="0" t="str">
        <f aca="false">IF(G2359&lt;1000,"1-Low",IF(G2359&lt;5000,"2-Medium","3-Bulk"))</f>
        <v>1-Low</v>
      </c>
      <c r="L2359" s="0" t="str">
        <f aca="false">IF(H2359="TRUE","Out of stock","In stock")</f>
        <v>In stock</v>
      </c>
      <c r="M2359" s="0" t="str">
        <f aca="false">IF(D2359&lt;5,"1) Under 5%",IF(D2359&lt;10,"2) 5-9%",IF(D2359&lt;15,"3) 10-14%",IF(D2359&lt;25,"4) 15-24%","5) 25%+"))))</f>
        <v>1) Under 5%</v>
      </c>
      <c r="N2359" s="0" t="str">
        <f aca="false">IF(F2359&lt;50,"1) Under Rs 50",IF(F2359&lt;100,"2) Rs 50-99",IF(F2359&lt;200,"3) Rs 100-199",IF(F2359&lt;500,"4) Rs 200-499","5) Rs 500+"))))</f>
        <v>2) Rs 50-99</v>
      </c>
      <c r="O2359" s="0" t="n">
        <f aca="false">G2359*E2359/1000</f>
        <v>0.33</v>
      </c>
    </row>
    <row r="2360" customFormat="false" ht="15" hidden="false" customHeight="false" outlineLevel="0" collapsed="false">
      <c r="A2360" s="0" t="s">
        <v>90</v>
      </c>
      <c r="B2360" s="0" t="s">
        <v>502</v>
      </c>
      <c r="C2360" s="0" t="n">
        <v>80</v>
      </c>
      <c r="D2360" s="0" t="n">
        <v>0</v>
      </c>
      <c r="E2360" s="0" t="n">
        <v>1</v>
      </c>
      <c r="F2360" s="0" t="n">
        <v>80</v>
      </c>
      <c r="G2360" s="0" t="n">
        <v>280</v>
      </c>
      <c r="H2360" s="0" t="s">
        <v>145</v>
      </c>
      <c r="I2360" s="0" t="n">
        <v>280</v>
      </c>
      <c r="J2360" s="0" t="n">
        <f aca="false">F2360*E2360</f>
        <v>80</v>
      </c>
      <c r="K2360" s="0" t="str">
        <f aca="false">IF(G2360&lt;1000,"1-Low",IF(G2360&lt;5000,"2-Medium","3-Bulk"))</f>
        <v>1-Low</v>
      </c>
      <c r="L2360" s="0" t="str">
        <f aca="false">IF(H2360="TRUE","Out of stock","In stock")</f>
        <v>In stock</v>
      </c>
      <c r="M2360" s="0" t="str">
        <f aca="false">IF(D2360&lt;5,"1) Under 5%",IF(D2360&lt;10,"2) 5-9%",IF(D2360&lt;15,"3) 10-14%",IF(D2360&lt;25,"4) 15-24%","5) 25%+"))))</f>
        <v>1) Under 5%</v>
      </c>
      <c r="N2360" s="0" t="str">
        <f aca="false">IF(F2360&lt;50,"1) Under Rs 50",IF(F2360&lt;100,"2) Rs 50-99",IF(F2360&lt;200,"3) Rs 100-199",IF(F2360&lt;500,"4) Rs 200-499","5) Rs 500+"))))</f>
        <v>2) Rs 50-99</v>
      </c>
      <c r="O2360" s="0" t="n">
        <f aca="false">G2360*E2360/1000</f>
        <v>0.28</v>
      </c>
    </row>
    <row r="2361" customFormat="false" ht="15" hidden="false" customHeight="false" outlineLevel="0" collapsed="false">
      <c r="A2361" s="0" t="s">
        <v>90</v>
      </c>
      <c r="B2361" s="0" t="s">
        <v>954</v>
      </c>
      <c r="C2361" s="0" t="n">
        <v>225</v>
      </c>
      <c r="D2361" s="0" t="n">
        <v>15</v>
      </c>
      <c r="E2361" s="0" t="n">
        <v>5</v>
      </c>
      <c r="F2361" s="0" t="n">
        <v>191</v>
      </c>
      <c r="G2361" s="0" t="n">
        <v>190</v>
      </c>
      <c r="H2361" s="0" t="s">
        <v>145</v>
      </c>
      <c r="I2361" s="0" t="n">
        <v>190</v>
      </c>
      <c r="J2361" s="0" t="n">
        <f aca="false">F2361*E2361</f>
        <v>955</v>
      </c>
      <c r="K2361" s="0" t="str">
        <f aca="false">IF(G2361&lt;1000,"1-Low",IF(G2361&lt;5000,"2-Medium","3-Bulk"))</f>
        <v>1-Low</v>
      </c>
      <c r="L2361" s="0" t="str">
        <f aca="false">IF(H2361="TRUE","Out of stock","In stock")</f>
        <v>In stock</v>
      </c>
      <c r="M2361" s="0" t="str">
        <f aca="false">IF(D2361&lt;5,"1) Under 5%",IF(D2361&lt;10,"2) 5-9%",IF(D2361&lt;15,"3) 10-14%",IF(D2361&lt;25,"4) 15-24%","5) 25%+"))))</f>
        <v>4) 15-24%</v>
      </c>
      <c r="N2361" s="0" t="str">
        <f aca="false">IF(F2361&lt;50,"1) Under Rs 50",IF(F2361&lt;100,"2) Rs 50-99",IF(F2361&lt;200,"3) Rs 100-199",IF(F2361&lt;500,"4) Rs 200-499","5) Rs 500+"))))</f>
        <v>3) Rs 100-199</v>
      </c>
      <c r="O2361" s="0" t="n">
        <f aca="false">G2361*E2361/1000</f>
        <v>0.95</v>
      </c>
    </row>
    <row r="2362" customFormat="false" ht="15" hidden="false" customHeight="false" outlineLevel="0" collapsed="false">
      <c r="A2362" s="0" t="s">
        <v>90</v>
      </c>
      <c r="B2362" s="0" t="s">
        <v>955</v>
      </c>
      <c r="C2362" s="0" t="n">
        <v>65</v>
      </c>
      <c r="D2362" s="0" t="n">
        <v>6</v>
      </c>
      <c r="E2362" s="0" t="n">
        <v>6</v>
      </c>
      <c r="F2362" s="0" t="n">
        <v>61</v>
      </c>
      <c r="G2362" s="0" t="n">
        <v>200</v>
      </c>
      <c r="H2362" s="0" t="s">
        <v>145</v>
      </c>
      <c r="I2362" s="0" t="n">
        <v>200</v>
      </c>
      <c r="J2362" s="0" t="n">
        <f aca="false">F2362*E2362</f>
        <v>366</v>
      </c>
      <c r="K2362" s="0" t="str">
        <f aca="false">IF(G2362&lt;1000,"1-Low",IF(G2362&lt;5000,"2-Medium","3-Bulk"))</f>
        <v>1-Low</v>
      </c>
      <c r="L2362" s="0" t="str">
        <f aca="false">IF(H2362="TRUE","Out of stock","In stock")</f>
        <v>In stock</v>
      </c>
      <c r="M2362" s="0" t="str">
        <f aca="false">IF(D2362&lt;5,"1) Under 5%",IF(D2362&lt;10,"2) 5-9%",IF(D2362&lt;15,"3) 10-14%",IF(D2362&lt;25,"4) 15-24%","5) 25%+"))))</f>
        <v>2) 5-9%</v>
      </c>
      <c r="N2362" s="0" t="str">
        <f aca="false">IF(F2362&lt;50,"1) Under Rs 50",IF(F2362&lt;100,"2) Rs 50-99",IF(F2362&lt;200,"3) Rs 100-199",IF(F2362&lt;500,"4) Rs 200-499","5) Rs 500+"))))</f>
        <v>2) Rs 50-99</v>
      </c>
      <c r="O2362" s="0" t="n">
        <f aca="false">G2362*E2362/1000</f>
        <v>1.2</v>
      </c>
    </row>
    <row r="2363" customFormat="false" ht="15" hidden="false" customHeight="false" outlineLevel="0" collapsed="false">
      <c r="A2363" s="0" t="s">
        <v>90</v>
      </c>
      <c r="B2363" s="0" t="s">
        <v>956</v>
      </c>
      <c r="C2363" s="0" t="n">
        <v>42</v>
      </c>
      <c r="D2363" s="0" t="n">
        <v>0</v>
      </c>
      <c r="E2363" s="0" t="n">
        <v>2</v>
      </c>
      <c r="F2363" s="0" t="n">
        <v>42</v>
      </c>
      <c r="G2363" s="0" t="n">
        <v>400</v>
      </c>
      <c r="H2363" s="0" t="s">
        <v>145</v>
      </c>
      <c r="I2363" s="0" t="n">
        <v>400</v>
      </c>
      <c r="J2363" s="0" t="n">
        <f aca="false">F2363*E2363</f>
        <v>84</v>
      </c>
      <c r="K2363" s="0" t="str">
        <f aca="false">IF(G2363&lt;1000,"1-Low",IF(G2363&lt;5000,"2-Medium","3-Bulk"))</f>
        <v>1-Low</v>
      </c>
      <c r="L2363" s="0" t="str">
        <f aca="false">IF(H2363="TRUE","Out of stock","In stock")</f>
        <v>In stock</v>
      </c>
      <c r="M2363" s="0" t="str">
        <f aca="false">IF(D2363&lt;5,"1) Under 5%",IF(D2363&lt;10,"2) 5-9%",IF(D2363&lt;15,"3) 10-14%",IF(D2363&lt;25,"4) 15-24%","5) 25%+"))))</f>
        <v>1) Under 5%</v>
      </c>
      <c r="N2363" s="0" t="str">
        <f aca="false">IF(F2363&lt;50,"1) Under Rs 50",IF(F2363&lt;100,"2) Rs 50-99",IF(F2363&lt;200,"3) Rs 100-199",IF(F2363&lt;500,"4) Rs 200-499","5) Rs 500+"))))</f>
        <v>1) Under Rs 50</v>
      </c>
      <c r="O2363" s="0" t="n">
        <f aca="false">G2363*E2363/1000</f>
        <v>0.8</v>
      </c>
    </row>
    <row r="2364" customFormat="false" ht="15" hidden="false" customHeight="false" outlineLevel="0" collapsed="false">
      <c r="A2364" s="0" t="s">
        <v>90</v>
      </c>
      <c r="B2364" s="0" t="s">
        <v>957</v>
      </c>
      <c r="C2364" s="0" t="n">
        <v>275</v>
      </c>
      <c r="D2364" s="0" t="n">
        <v>14</v>
      </c>
      <c r="E2364" s="0" t="n">
        <v>4</v>
      </c>
      <c r="F2364" s="0" t="n">
        <v>234</v>
      </c>
      <c r="G2364" s="0" t="n">
        <v>200</v>
      </c>
      <c r="H2364" s="0" t="s">
        <v>145</v>
      </c>
      <c r="I2364" s="0" t="n">
        <v>200</v>
      </c>
      <c r="J2364" s="0" t="n">
        <f aca="false">F2364*E2364</f>
        <v>936</v>
      </c>
      <c r="K2364" s="0" t="str">
        <f aca="false">IF(G2364&lt;1000,"1-Low",IF(G2364&lt;5000,"2-Medium","3-Bulk"))</f>
        <v>1-Low</v>
      </c>
      <c r="L2364" s="0" t="str">
        <f aca="false">IF(H2364="TRUE","Out of stock","In stock")</f>
        <v>In stock</v>
      </c>
      <c r="M2364" s="0" t="str">
        <f aca="false">IF(D2364&lt;5,"1) Under 5%",IF(D2364&lt;10,"2) 5-9%",IF(D2364&lt;15,"3) 10-14%",IF(D2364&lt;25,"4) 15-24%","5) 25%+"))))</f>
        <v>3) 10-14%</v>
      </c>
      <c r="N2364" s="0" t="str">
        <f aca="false">IF(F2364&lt;50,"1) Under Rs 50",IF(F2364&lt;100,"2) Rs 50-99",IF(F2364&lt;200,"3) Rs 100-199",IF(F2364&lt;500,"4) Rs 200-499","5) Rs 500+"))))</f>
        <v>4) Rs 200-499</v>
      </c>
      <c r="O2364" s="0" t="n">
        <f aca="false">G2364*E2364/1000</f>
        <v>0.8</v>
      </c>
    </row>
    <row r="2365" customFormat="false" ht="15" hidden="false" customHeight="false" outlineLevel="0" collapsed="false">
      <c r="A2365" s="0" t="s">
        <v>90</v>
      </c>
      <c r="B2365" s="0" t="s">
        <v>770</v>
      </c>
      <c r="C2365" s="0" t="n">
        <v>99</v>
      </c>
      <c r="D2365" s="0" t="n">
        <v>5</v>
      </c>
      <c r="E2365" s="0" t="n">
        <v>6</v>
      </c>
      <c r="F2365" s="0" t="n">
        <v>94</v>
      </c>
      <c r="G2365" s="0" t="n">
        <v>200</v>
      </c>
      <c r="H2365" s="0" t="s">
        <v>145</v>
      </c>
      <c r="I2365" s="0" t="n">
        <v>200</v>
      </c>
      <c r="J2365" s="0" t="n">
        <f aca="false">F2365*E2365</f>
        <v>564</v>
      </c>
      <c r="K2365" s="0" t="str">
        <f aca="false">IF(G2365&lt;1000,"1-Low",IF(G2365&lt;5000,"2-Medium","3-Bulk"))</f>
        <v>1-Low</v>
      </c>
      <c r="L2365" s="0" t="str">
        <f aca="false">IF(H2365="TRUE","Out of stock","In stock")</f>
        <v>In stock</v>
      </c>
      <c r="M2365" s="0" t="str">
        <f aca="false">IF(D2365&lt;5,"1) Under 5%",IF(D2365&lt;10,"2) 5-9%",IF(D2365&lt;15,"3) 10-14%",IF(D2365&lt;25,"4) 15-24%","5) 25%+"))))</f>
        <v>2) 5-9%</v>
      </c>
      <c r="N2365" s="0" t="str">
        <f aca="false">IF(F2365&lt;50,"1) Under Rs 50",IF(F2365&lt;100,"2) Rs 50-99",IF(F2365&lt;200,"3) Rs 100-199",IF(F2365&lt;500,"4) Rs 200-499","5) Rs 500+"))))</f>
        <v>2) Rs 50-99</v>
      </c>
      <c r="O2365" s="0" t="n">
        <f aca="false">G2365*E2365/1000</f>
        <v>1.2</v>
      </c>
    </row>
    <row r="2366" customFormat="false" ht="15" hidden="false" customHeight="false" outlineLevel="0" collapsed="false">
      <c r="A2366" s="0" t="s">
        <v>90</v>
      </c>
      <c r="B2366" s="0" t="s">
        <v>958</v>
      </c>
      <c r="C2366" s="0" t="n">
        <v>135</v>
      </c>
      <c r="D2366" s="0" t="n">
        <v>9</v>
      </c>
      <c r="E2366" s="0" t="n">
        <v>2</v>
      </c>
      <c r="F2366" s="0" t="n">
        <v>122</v>
      </c>
      <c r="G2366" s="0" t="n">
        <v>300</v>
      </c>
      <c r="H2366" s="0" t="s">
        <v>145</v>
      </c>
      <c r="I2366" s="0" t="n">
        <v>300</v>
      </c>
      <c r="J2366" s="0" t="n">
        <f aca="false">F2366*E2366</f>
        <v>244</v>
      </c>
      <c r="K2366" s="0" t="str">
        <f aca="false">IF(G2366&lt;1000,"1-Low",IF(G2366&lt;5000,"2-Medium","3-Bulk"))</f>
        <v>1-Low</v>
      </c>
      <c r="L2366" s="0" t="str">
        <f aca="false">IF(H2366="TRUE","Out of stock","In stock")</f>
        <v>In stock</v>
      </c>
      <c r="M2366" s="0" t="str">
        <f aca="false">IF(D2366&lt;5,"1) Under 5%",IF(D2366&lt;10,"2) 5-9%",IF(D2366&lt;15,"3) 10-14%",IF(D2366&lt;25,"4) 15-24%","5) 25%+"))))</f>
        <v>2) 5-9%</v>
      </c>
      <c r="N2366" s="0" t="str">
        <f aca="false">IF(F2366&lt;50,"1) Under Rs 50",IF(F2366&lt;100,"2) Rs 50-99",IF(F2366&lt;200,"3) Rs 100-199",IF(F2366&lt;500,"4) Rs 200-499","5) Rs 500+"))))</f>
        <v>3) Rs 100-199</v>
      </c>
      <c r="O2366" s="0" t="n">
        <f aca="false">G2366*E2366/1000</f>
        <v>0.6</v>
      </c>
    </row>
    <row r="2367" customFormat="false" ht="15" hidden="false" customHeight="false" outlineLevel="0" collapsed="false">
      <c r="A2367" s="0" t="s">
        <v>90</v>
      </c>
      <c r="B2367" s="0" t="s">
        <v>959</v>
      </c>
      <c r="C2367" s="0" t="n">
        <v>340</v>
      </c>
      <c r="D2367" s="0" t="n">
        <v>0</v>
      </c>
      <c r="E2367" s="0" t="n">
        <v>2</v>
      </c>
      <c r="F2367" s="0" t="n">
        <v>340</v>
      </c>
      <c r="G2367" s="0" t="n">
        <v>400</v>
      </c>
      <c r="H2367" s="0" t="s">
        <v>145</v>
      </c>
      <c r="I2367" s="0" t="n">
        <v>400</v>
      </c>
      <c r="J2367" s="0" t="n">
        <f aca="false">F2367*E2367</f>
        <v>680</v>
      </c>
      <c r="K2367" s="0" t="str">
        <f aca="false">IF(G2367&lt;1000,"1-Low",IF(G2367&lt;5000,"2-Medium","3-Bulk"))</f>
        <v>1-Low</v>
      </c>
      <c r="L2367" s="0" t="str">
        <f aca="false">IF(H2367="TRUE","Out of stock","In stock")</f>
        <v>In stock</v>
      </c>
      <c r="M2367" s="0" t="str">
        <f aca="false">IF(D2367&lt;5,"1) Under 5%",IF(D2367&lt;10,"2) 5-9%",IF(D2367&lt;15,"3) 10-14%",IF(D2367&lt;25,"4) 15-24%","5) 25%+"))))</f>
        <v>1) Under 5%</v>
      </c>
      <c r="N2367" s="0" t="str">
        <f aca="false">IF(F2367&lt;50,"1) Under Rs 50",IF(F2367&lt;100,"2) Rs 50-99",IF(F2367&lt;200,"3) Rs 100-199",IF(F2367&lt;500,"4) Rs 200-499","5) Rs 500+"))))</f>
        <v>4) Rs 200-499</v>
      </c>
      <c r="O2367" s="0" t="n">
        <f aca="false">G2367*E2367/1000</f>
        <v>0.8</v>
      </c>
    </row>
    <row r="2368" customFormat="false" ht="15" hidden="false" customHeight="false" outlineLevel="0" collapsed="false">
      <c r="A2368" s="0" t="s">
        <v>90</v>
      </c>
      <c r="B2368" s="0" t="s">
        <v>960</v>
      </c>
      <c r="C2368" s="0" t="n">
        <v>190</v>
      </c>
      <c r="D2368" s="0" t="n">
        <v>10</v>
      </c>
      <c r="E2368" s="0" t="n">
        <v>6</v>
      </c>
      <c r="F2368" s="0" t="n">
        <v>171</v>
      </c>
      <c r="G2368" s="0" t="n">
        <v>375</v>
      </c>
      <c r="H2368" s="0" t="s">
        <v>145</v>
      </c>
      <c r="I2368" s="0" t="n">
        <v>375</v>
      </c>
      <c r="J2368" s="0" t="n">
        <f aca="false">F2368*E2368</f>
        <v>1026</v>
      </c>
      <c r="K2368" s="0" t="str">
        <f aca="false">IF(G2368&lt;1000,"1-Low",IF(G2368&lt;5000,"2-Medium","3-Bulk"))</f>
        <v>1-Low</v>
      </c>
      <c r="L2368" s="0" t="str">
        <f aca="false">IF(H2368="TRUE","Out of stock","In stock")</f>
        <v>In stock</v>
      </c>
      <c r="M2368" s="0" t="str">
        <f aca="false">IF(D2368&lt;5,"1) Under 5%",IF(D2368&lt;10,"2) 5-9%",IF(D2368&lt;15,"3) 10-14%",IF(D2368&lt;25,"4) 15-24%","5) 25%+"))))</f>
        <v>3) 10-14%</v>
      </c>
      <c r="N2368" s="0" t="str">
        <f aca="false">IF(F2368&lt;50,"1) Under Rs 50",IF(F2368&lt;100,"2) Rs 50-99",IF(F2368&lt;200,"3) Rs 100-199",IF(F2368&lt;500,"4) Rs 200-499","5) Rs 500+"))))</f>
        <v>3) Rs 100-199</v>
      </c>
      <c r="O2368" s="0" t="n">
        <f aca="false">G2368*E2368/1000</f>
        <v>2.25</v>
      </c>
    </row>
    <row r="2369" customFormat="false" ht="15" hidden="false" customHeight="false" outlineLevel="0" collapsed="false">
      <c r="A2369" s="0" t="s">
        <v>90</v>
      </c>
      <c r="B2369" s="0" t="s">
        <v>961</v>
      </c>
      <c r="C2369" s="0" t="n">
        <v>104</v>
      </c>
      <c r="D2369" s="0" t="n">
        <v>20</v>
      </c>
      <c r="E2369" s="0" t="n">
        <v>3</v>
      </c>
      <c r="F2369" s="0" t="n">
        <v>83</v>
      </c>
      <c r="G2369" s="0" t="n">
        <v>500</v>
      </c>
      <c r="H2369" s="0" t="s">
        <v>145</v>
      </c>
      <c r="I2369" s="0" t="n">
        <v>500</v>
      </c>
      <c r="J2369" s="0" t="n">
        <f aca="false">F2369*E2369</f>
        <v>249</v>
      </c>
      <c r="K2369" s="0" t="str">
        <f aca="false">IF(G2369&lt;1000,"1-Low",IF(G2369&lt;5000,"2-Medium","3-Bulk"))</f>
        <v>1-Low</v>
      </c>
      <c r="L2369" s="0" t="str">
        <f aca="false">IF(H2369="TRUE","Out of stock","In stock")</f>
        <v>In stock</v>
      </c>
      <c r="M2369" s="0" t="str">
        <f aca="false">IF(D2369&lt;5,"1) Under 5%",IF(D2369&lt;10,"2) 5-9%",IF(D2369&lt;15,"3) 10-14%",IF(D2369&lt;25,"4) 15-24%","5) 25%+"))))</f>
        <v>4) 15-24%</v>
      </c>
      <c r="N2369" s="0" t="str">
        <f aca="false">IF(F2369&lt;50,"1) Under Rs 50",IF(F2369&lt;100,"2) Rs 50-99",IF(F2369&lt;200,"3) Rs 100-199",IF(F2369&lt;500,"4) Rs 200-499","5) Rs 500+"))))</f>
        <v>2) Rs 50-99</v>
      </c>
      <c r="O2369" s="0" t="n">
        <f aca="false">G2369*E2369/1000</f>
        <v>1.5</v>
      </c>
    </row>
    <row r="2370" customFormat="false" ht="15" hidden="false" customHeight="false" outlineLevel="0" collapsed="false">
      <c r="A2370" s="0" t="s">
        <v>90</v>
      </c>
      <c r="B2370" s="0" t="s">
        <v>507</v>
      </c>
      <c r="C2370" s="0" t="n">
        <v>250</v>
      </c>
      <c r="D2370" s="0" t="n">
        <v>40</v>
      </c>
      <c r="E2370" s="0" t="n">
        <v>6</v>
      </c>
      <c r="F2370" s="0" t="n">
        <v>149</v>
      </c>
      <c r="G2370" s="0" t="n">
        <v>500</v>
      </c>
      <c r="H2370" s="0" t="s">
        <v>145</v>
      </c>
      <c r="I2370" s="0" t="n">
        <v>500</v>
      </c>
      <c r="J2370" s="0" t="n">
        <f aca="false">F2370*E2370</f>
        <v>894</v>
      </c>
      <c r="K2370" s="0" t="str">
        <f aca="false">IF(G2370&lt;1000,"1-Low",IF(G2370&lt;5000,"2-Medium","3-Bulk"))</f>
        <v>1-Low</v>
      </c>
      <c r="L2370" s="0" t="str">
        <f aca="false">IF(H2370="TRUE","Out of stock","In stock")</f>
        <v>In stock</v>
      </c>
      <c r="M2370" s="0" t="str">
        <f aca="false">IF(D2370&lt;5,"1) Under 5%",IF(D2370&lt;10,"2) 5-9%",IF(D2370&lt;15,"3) 10-14%",IF(D2370&lt;25,"4) 15-24%","5) 25%+"))))</f>
        <v>5) 25%+</v>
      </c>
      <c r="N2370" s="0" t="str">
        <f aca="false">IF(F2370&lt;50,"1) Under Rs 50",IF(F2370&lt;100,"2) Rs 50-99",IF(F2370&lt;200,"3) Rs 100-199",IF(F2370&lt;500,"4) Rs 200-499","5) Rs 500+"))))</f>
        <v>3) Rs 100-199</v>
      </c>
      <c r="O2370" s="0" t="n">
        <f aca="false">G2370*E2370/1000</f>
        <v>3</v>
      </c>
    </row>
    <row r="2371" customFormat="false" ht="15" hidden="false" customHeight="false" outlineLevel="0" collapsed="false">
      <c r="A2371" s="0" t="s">
        <v>90</v>
      </c>
      <c r="B2371" s="0" t="s">
        <v>768</v>
      </c>
      <c r="C2371" s="0" t="n">
        <v>169</v>
      </c>
      <c r="D2371" s="0" t="n">
        <v>7</v>
      </c>
      <c r="E2371" s="0" t="n">
        <v>1</v>
      </c>
      <c r="F2371" s="0" t="n">
        <v>156</v>
      </c>
      <c r="G2371" s="0" t="n">
        <v>400</v>
      </c>
      <c r="H2371" s="0" t="s">
        <v>145</v>
      </c>
      <c r="I2371" s="0" t="n">
        <v>400</v>
      </c>
      <c r="J2371" s="0" t="n">
        <f aca="false">F2371*E2371</f>
        <v>156</v>
      </c>
      <c r="K2371" s="0" t="str">
        <f aca="false">IF(G2371&lt;1000,"1-Low",IF(G2371&lt;5000,"2-Medium","3-Bulk"))</f>
        <v>1-Low</v>
      </c>
      <c r="L2371" s="0" t="str">
        <f aca="false">IF(H2371="TRUE","Out of stock","In stock")</f>
        <v>In stock</v>
      </c>
      <c r="M2371" s="0" t="str">
        <f aca="false">IF(D2371&lt;5,"1) Under 5%",IF(D2371&lt;10,"2) 5-9%",IF(D2371&lt;15,"3) 10-14%",IF(D2371&lt;25,"4) 15-24%","5) 25%+"))))</f>
        <v>2) 5-9%</v>
      </c>
      <c r="N2371" s="0" t="str">
        <f aca="false">IF(F2371&lt;50,"1) Under Rs 50",IF(F2371&lt;100,"2) Rs 50-99",IF(F2371&lt;200,"3) Rs 100-199",IF(F2371&lt;500,"4) Rs 200-499","5) Rs 500+"))))</f>
        <v>3) Rs 100-199</v>
      </c>
      <c r="O2371" s="0" t="n">
        <f aca="false">G2371*E2371/1000</f>
        <v>0.4</v>
      </c>
    </row>
    <row r="2372" customFormat="false" ht="15" hidden="false" customHeight="false" outlineLevel="0" collapsed="false">
      <c r="A2372" s="0" t="s">
        <v>90</v>
      </c>
      <c r="B2372" s="0" t="s">
        <v>962</v>
      </c>
      <c r="C2372" s="0" t="n">
        <v>60</v>
      </c>
      <c r="D2372" s="0" t="n">
        <v>0</v>
      </c>
      <c r="E2372" s="0" t="n">
        <v>4</v>
      </c>
      <c r="F2372" s="0" t="n">
        <v>60</v>
      </c>
      <c r="G2372" s="0" t="n">
        <v>50</v>
      </c>
      <c r="H2372" s="0" t="s">
        <v>145</v>
      </c>
      <c r="I2372" s="0" t="n">
        <v>50</v>
      </c>
      <c r="J2372" s="0" t="n">
        <f aca="false">F2372*E2372</f>
        <v>240</v>
      </c>
      <c r="K2372" s="0" t="str">
        <f aca="false">IF(G2372&lt;1000,"1-Low",IF(G2372&lt;5000,"2-Medium","3-Bulk"))</f>
        <v>1-Low</v>
      </c>
      <c r="L2372" s="0" t="str">
        <f aca="false">IF(H2372="TRUE","Out of stock","In stock")</f>
        <v>In stock</v>
      </c>
      <c r="M2372" s="0" t="str">
        <f aca="false">IF(D2372&lt;5,"1) Under 5%",IF(D2372&lt;10,"2) 5-9%",IF(D2372&lt;15,"3) 10-14%",IF(D2372&lt;25,"4) 15-24%","5) 25%+"))))</f>
        <v>1) Under 5%</v>
      </c>
      <c r="N2372" s="0" t="str">
        <f aca="false">IF(F2372&lt;50,"1) Under Rs 50",IF(F2372&lt;100,"2) Rs 50-99",IF(F2372&lt;200,"3) Rs 100-199",IF(F2372&lt;500,"4) Rs 200-499","5) Rs 500+"))))</f>
        <v>2) Rs 50-99</v>
      </c>
      <c r="O2372" s="0" t="n">
        <f aca="false">G2372*E2372/1000</f>
        <v>0.2</v>
      </c>
    </row>
    <row r="2373" customFormat="false" ht="15" hidden="false" customHeight="false" outlineLevel="0" collapsed="false">
      <c r="A2373" s="0" t="s">
        <v>90</v>
      </c>
      <c r="B2373" s="0" t="s">
        <v>963</v>
      </c>
      <c r="C2373" s="0" t="n">
        <v>325</v>
      </c>
      <c r="D2373" s="0" t="n">
        <v>0</v>
      </c>
      <c r="E2373" s="0" t="n">
        <v>6</v>
      </c>
      <c r="F2373" s="0" t="n">
        <v>325</v>
      </c>
      <c r="G2373" s="0" t="n">
        <v>500</v>
      </c>
      <c r="H2373" s="0" t="s">
        <v>145</v>
      </c>
      <c r="I2373" s="0" t="n">
        <v>500</v>
      </c>
      <c r="J2373" s="0" t="n">
        <f aca="false">F2373*E2373</f>
        <v>1950</v>
      </c>
      <c r="K2373" s="0" t="str">
        <f aca="false">IF(G2373&lt;1000,"1-Low",IF(G2373&lt;5000,"2-Medium","3-Bulk"))</f>
        <v>1-Low</v>
      </c>
      <c r="L2373" s="0" t="str">
        <f aca="false">IF(H2373="TRUE","Out of stock","In stock")</f>
        <v>In stock</v>
      </c>
      <c r="M2373" s="0" t="str">
        <f aca="false">IF(D2373&lt;5,"1) Under 5%",IF(D2373&lt;10,"2) 5-9%",IF(D2373&lt;15,"3) 10-14%",IF(D2373&lt;25,"4) 15-24%","5) 25%+"))))</f>
        <v>1) Under 5%</v>
      </c>
      <c r="N2373" s="0" t="str">
        <f aca="false">IF(F2373&lt;50,"1) Under Rs 50",IF(F2373&lt;100,"2) Rs 50-99",IF(F2373&lt;200,"3) Rs 100-199",IF(F2373&lt;500,"4) Rs 200-499","5) Rs 500+"))))</f>
        <v>4) Rs 200-499</v>
      </c>
      <c r="O2373" s="0" t="n">
        <f aca="false">G2373*E2373/1000</f>
        <v>3</v>
      </c>
    </row>
    <row r="2374" customFormat="false" ht="15" hidden="false" customHeight="false" outlineLevel="0" collapsed="false">
      <c r="A2374" s="0" t="s">
        <v>90</v>
      </c>
      <c r="B2374" s="0" t="s">
        <v>964</v>
      </c>
      <c r="C2374" s="0" t="n">
        <v>99</v>
      </c>
      <c r="D2374" s="0" t="n">
        <v>0</v>
      </c>
      <c r="E2374" s="0" t="n">
        <v>3</v>
      </c>
      <c r="F2374" s="0" t="n">
        <v>99</v>
      </c>
      <c r="G2374" s="0" t="n">
        <v>400</v>
      </c>
      <c r="H2374" s="0" t="s">
        <v>145</v>
      </c>
      <c r="I2374" s="0" t="n">
        <v>400</v>
      </c>
      <c r="J2374" s="0" t="n">
        <f aca="false">F2374*E2374</f>
        <v>297</v>
      </c>
      <c r="K2374" s="0" t="str">
        <f aca="false">IF(G2374&lt;1000,"1-Low",IF(G2374&lt;5000,"2-Medium","3-Bulk"))</f>
        <v>1-Low</v>
      </c>
      <c r="L2374" s="0" t="str">
        <f aca="false">IF(H2374="TRUE","Out of stock","In stock")</f>
        <v>In stock</v>
      </c>
      <c r="M2374" s="0" t="str">
        <f aca="false">IF(D2374&lt;5,"1) Under 5%",IF(D2374&lt;10,"2) 5-9%",IF(D2374&lt;15,"3) 10-14%",IF(D2374&lt;25,"4) 15-24%","5) 25%+"))))</f>
        <v>1) Under 5%</v>
      </c>
      <c r="N2374" s="0" t="str">
        <f aca="false">IF(F2374&lt;50,"1) Under Rs 50",IF(F2374&lt;100,"2) Rs 50-99",IF(F2374&lt;200,"3) Rs 100-199",IF(F2374&lt;500,"4) Rs 200-499","5) Rs 500+"))))</f>
        <v>2) Rs 50-99</v>
      </c>
      <c r="O2374" s="0" t="n">
        <f aca="false">G2374*E2374/1000</f>
        <v>1.2</v>
      </c>
    </row>
    <row r="2375" customFormat="false" ht="15" hidden="false" customHeight="false" outlineLevel="0" collapsed="false">
      <c r="A2375" s="0" t="s">
        <v>90</v>
      </c>
      <c r="B2375" s="0" t="s">
        <v>965</v>
      </c>
      <c r="C2375" s="0" t="n">
        <v>225</v>
      </c>
      <c r="D2375" s="0" t="n">
        <v>15</v>
      </c>
      <c r="E2375" s="0" t="n">
        <v>6</v>
      </c>
      <c r="F2375" s="0" t="n">
        <v>191</v>
      </c>
      <c r="G2375" s="0" t="n">
        <v>200</v>
      </c>
      <c r="H2375" s="0" t="s">
        <v>145</v>
      </c>
      <c r="I2375" s="0" t="n">
        <v>200</v>
      </c>
      <c r="J2375" s="0" t="n">
        <f aca="false">F2375*E2375</f>
        <v>1146</v>
      </c>
      <c r="K2375" s="0" t="str">
        <f aca="false">IF(G2375&lt;1000,"1-Low",IF(G2375&lt;5000,"2-Medium","3-Bulk"))</f>
        <v>1-Low</v>
      </c>
      <c r="L2375" s="0" t="str">
        <f aca="false">IF(H2375="TRUE","Out of stock","In stock")</f>
        <v>In stock</v>
      </c>
      <c r="M2375" s="0" t="str">
        <f aca="false">IF(D2375&lt;5,"1) Under 5%",IF(D2375&lt;10,"2) 5-9%",IF(D2375&lt;15,"3) 10-14%",IF(D2375&lt;25,"4) 15-24%","5) 25%+"))))</f>
        <v>4) 15-24%</v>
      </c>
      <c r="N2375" s="0" t="str">
        <f aca="false">IF(F2375&lt;50,"1) Under Rs 50",IF(F2375&lt;100,"2) Rs 50-99",IF(F2375&lt;200,"3) Rs 100-199",IF(F2375&lt;500,"4) Rs 200-499","5) Rs 500+"))))</f>
        <v>3) Rs 100-199</v>
      </c>
      <c r="O2375" s="0" t="n">
        <f aca="false">G2375*E2375/1000</f>
        <v>1.2</v>
      </c>
    </row>
    <row r="2376" customFormat="false" ht="15" hidden="false" customHeight="false" outlineLevel="0" collapsed="false">
      <c r="A2376" s="0" t="s">
        <v>90</v>
      </c>
      <c r="B2376" s="0" t="s">
        <v>966</v>
      </c>
      <c r="C2376" s="0" t="n">
        <v>295</v>
      </c>
      <c r="D2376" s="0" t="n">
        <v>0</v>
      </c>
      <c r="E2376" s="0" t="n">
        <v>3</v>
      </c>
      <c r="F2376" s="0" t="n">
        <v>295</v>
      </c>
      <c r="G2376" s="0" t="n">
        <v>350</v>
      </c>
      <c r="H2376" s="0" t="s">
        <v>145</v>
      </c>
      <c r="I2376" s="0" t="n">
        <v>350</v>
      </c>
      <c r="J2376" s="0" t="n">
        <f aca="false">F2376*E2376</f>
        <v>885</v>
      </c>
      <c r="K2376" s="0" t="str">
        <f aca="false">IF(G2376&lt;1000,"1-Low",IF(G2376&lt;5000,"2-Medium","3-Bulk"))</f>
        <v>1-Low</v>
      </c>
      <c r="L2376" s="0" t="str">
        <f aca="false">IF(H2376="TRUE","Out of stock","In stock")</f>
        <v>In stock</v>
      </c>
      <c r="M2376" s="0" t="str">
        <f aca="false">IF(D2376&lt;5,"1) Under 5%",IF(D2376&lt;10,"2) 5-9%",IF(D2376&lt;15,"3) 10-14%",IF(D2376&lt;25,"4) 15-24%","5) 25%+"))))</f>
        <v>1) Under 5%</v>
      </c>
      <c r="N2376" s="0" t="str">
        <f aca="false">IF(F2376&lt;50,"1) Under Rs 50",IF(F2376&lt;100,"2) Rs 50-99",IF(F2376&lt;200,"3) Rs 100-199",IF(F2376&lt;500,"4) Rs 200-499","5) Rs 500+"))))</f>
        <v>4) Rs 200-499</v>
      </c>
      <c r="O2376" s="0" t="n">
        <f aca="false">G2376*E2376/1000</f>
        <v>1.05</v>
      </c>
    </row>
    <row r="2377" customFormat="false" ht="15" hidden="false" customHeight="false" outlineLevel="0" collapsed="false">
      <c r="A2377" s="0" t="s">
        <v>90</v>
      </c>
      <c r="B2377" s="0" t="s">
        <v>967</v>
      </c>
      <c r="C2377" s="0" t="n">
        <v>25</v>
      </c>
      <c r="D2377" s="0" t="n">
        <v>0</v>
      </c>
      <c r="E2377" s="0" t="n">
        <v>6</v>
      </c>
      <c r="F2377" s="0" t="n">
        <v>25</v>
      </c>
      <c r="G2377" s="0" t="n">
        <v>65</v>
      </c>
      <c r="H2377" s="0" t="s">
        <v>145</v>
      </c>
      <c r="I2377" s="0" t="n">
        <v>65</v>
      </c>
      <c r="J2377" s="0" t="n">
        <f aca="false">F2377*E2377</f>
        <v>150</v>
      </c>
      <c r="K2377" s="0" t="str">
        <f aca="false">IF(G2377&lt;1000,"1-Low",IF(G2377&lt;5000,"2-Medium","3-Bulk"))</f>
        <v>1-Low</v>
      </c>
      <c r="L2377" s="0" t="str">
        <f aca="false">IF(H2377="TRUE","Out of stock","In stock")</f>
        <v>In stock</v>
      </c>
      <c r="M2377" s="0" t="str">
        <f aca="false">IF(D2377&lt;5,"1) Under 5%",IF(D2377&lt;10,"2) 5-9%",IF(D2377&lt;15,"3) 10-14%",IF(D2377&lt;25,"4) 15-24%","5) 25%+"))))</f>
        <v>1) Under 5%</v>
      </c>
      <c r="N2377" s="0" t="str">
        <f aca="false">IF(F2377&lt;50,"1) Under Rs 50",IF(F2377&lt;100,"2) Rs 50-99",IF(F2377&lt;200,"3) Rs 100-199",IF(F2377&lt;500,"4) Rs 200-499","5) Rs 500+"))))</f>
        <v>1) Under Rs 50</v>
      </c>
      <c r="O2377" s="0" t="n">
        <f aca="false">G2377*E2377/1000</f>
        <v>0.39</v>
      </c>
    </row>
    <row r="2378" customFormat="false" ht="15" hidden="false" customHeight="false" outlineLevel="0" collapsed="false">
      <c r="A2378" s="0" t="s">
        <v>90</v>
      </c>
      <c r="B2378" s="0" t="s">
        <v>968</v>
      </c>
      <c r="C2378" s="0" t="n">
        <v>91</v>
      </c>
      <c r="D2378" s="0" t="n">
        <v>0</v>
      </c>
      <c r="E2378" s="0" t="n">
        <v>5</v>
      </c>
      <c r="F2378" s="0" t="n">
        <v>91</v>
      </c>
      <c r="G2378" s="0" t="n">
        <v>360</v>
      </c>
      <c r="H2378" s="0" t="s">
        <v>145</v>
      </c>
      <c r="I2378" s="0" t="n">
        <v>360</v>
      </c>
      <c r="J2378" s="0" t="n">
        <f aca="false">F2378*E2378</f>
        <v>455</v>
      </c>
      <c r="K2378" s="0" t="str">
        <f aca="false">IF(G2378&lt;1000,"1-Low",IF(G2378&lt;5000,"2-Medium","3-Bulk"))</f>
        <v>1-Low</v>
      </c>
      <c r="L2378" s="0" t="str">
        <f aca="false">IF(H2378="TRUE","Out of stock","In stock")</f>
        <v>In stock</v>
      </c>
      <c r="M2378" s="0" t="str">
        <f aca="false">IF(D2378&lt;5,"1) Under 5%",IF(D2378&lt;10,"2) 5-9%",IF(D2378&lt;15,"3) 10-14%",IF(D2378&lt;25,"4) 15-24%","5) 25%+"))))</f>
        <v>1) Under 5%</v>
      </c>
      <c r="N2378" s="0" t="str">
        <f aca="false">IF(F2378&lt;50,"1) Under Rs 50",IF(F2378&lt;100,"2) Rs 50-99",IF(F2378&lt;200,"3) Rs 100-199",IF(F2378&lt;500,"4) Rs 200-499","5) Rs 500+"))))</f>
        <v>2) Rs 50-99</v>
      </c>
      <c r="O2378" s="0" t="n">
        <f aca="false">G2378*E2378/1000</f>
        <v>1.8</v>
      </c>
    </row>
    <row r="2379" customFormat="false" ht="15" hidden="false" customHeight="false" outlineLevel="0" collapsed="false">
      <c r="A2379" s="0" t="s">
        <v>90</v>
      </c>
      <c r="B2379" s="0" t="s">
        <v>969</v>
      </c>
      <c r="C2379" s="0" t="n">
        <v>220</v>
      </c>
      <c r="D2379" s="0" t="n">
        <v>6</v>
      </c>
      <c r="E2379" s="0" t="n">
        <v>5</v>
      </c>
      <c r="F2379" s="0" t="n">
        <v>205</v>
      </c>
      <c r="G2379" s="0" t="n">
        <v>425</v>
      </c>
      <c r="H2379" s="0" t="s">
        <v>145</v>
      </c>
      <c r="I2379" s="0" t="n">
        <v>425</v>
      </c>
      <c r="J2379" s="0" t="n">
        <f aca="false">F2379*E2379</f>
        <v>1025</v>
      </c>
      <c r="K2379" s="0" t="str">
        <f aca="false">IF(G2379&lt;1000,"1-Low",IF(G2379&lt;5000,"2-Medium","3-Bulk"))</f>
        <v>1-Low</v>
      </c>
      <c r="L2379" s="0" t="str">
        <f aca="false">IF(H2379="TRUE","Out of stock","In stock")</f>
        <v>In stock</v>
      </c>
      <c r="M2379" s="0" t="str">
        <f aca="false">IF(D2379&lt;5,"1) Under 5%",IF(D2379&lt;10,"2) 5-9%",IF(D2379&lt;15,"3) 10-14%",IF(D2379&lt;25,"4) 15-24%","5) 25%+"))))</f>
        <v>2) 5-9%</v>
      </c>
      <c r="N2379" s="0" t="str">
        <f aca="false">IF(F2379&lt;50,"1) Under Rs 50",IF(F2379&lt;100,"2) Rs 50-99",IF(F2379&lt;200,"3) Rs 100-199",IF(F2379&lt;500,"4) Rs 200-499","5) Rs 500+"))))</f>
        <v>4) Rs 200-499</v>
      </c>
      <c r="O2379" s="0" t="n">
        <f aca="false">G2379*E2379/1000</f>
        <v>2.125</v>
      </c>
    </row>
    <row r="2380" customFormat="false" ht="15" hidden="false" customHeight="false" outlineLevel="0" collapsed="false">
      <c r="A2380" s="0" t="s">
        <v>90</v>
      </c>
      <c r="B2380" s="0" t="s">
        <v>970</v>
      </c>
      <c r="C2380" s="0" t="n">
        <v>150</v>
      </c>
      <c r="D2380" s="0" t="n">
        <v>0</v>
      </c>
      <c r="E2380" s="0" t="n">
        <v>3</v>
      </c>
      <c r="F2380" s="0" t="n">
        <v>150</v>
      </c>
      <c r="G2380" s="0" t="n">
        <v>250</v>
      </c>
      <c r="H2380" s="0" t="s">
        <v>145</v>
      </c>
      <c r="I2380" s="0" t="n">
        <v>250</v>
      </c>
      <c r="J2380" s="0" t="n">
        <f aca="false">F2380*E2380</f>
        <v>450</v>
      </c>
      <c r="K2380" s="0" t="str">
        <f aca="false">IF(G2380&lt;1000,"1-Low",IF(G2380&lt;5000,"2-Medium","3-Bulk"))</f>
        <v>1-Low</v>
      </c>
      <c r="L2380" s="0" t="str">
        <f aca="false">IF(H2380="TRUE","Out of stock","In stock")</f>
        <v>In stock</v>
      </c>
      <c r="M2380" s="0" t="str">
        <f aca="false">IF(D2380&lt;5,"1) Under 5%",IF(D2380&lt;10,"2) 5-9%",IF(D2380&lt;15,"3) 10-14%",IF(D2380&lt;25,"4) 15-24%","5) 25%+"))))</f>
        <v>1) Under 5%</v>
      </c>
      <c r="N2380" s="0" t="str">
        <f aca="false">IF(F2380&lt;50,"1) Under Rs 50",IF(F2380&lt;100,"2) Rs 50-99",IF(F2380&lt;200,"3) Rs 100-199",IF(F2380&lt;500,"4) Rs 200-499","5) Rs 500+"))))</f>
        <v>3) Rs 100-199</v>
      </c>
      <c r="O2380" s="0" t="n">
        <f aca="false">G2380*E2380/1000</f>
        <v>0.75</v>
      </c>
    </row>
    <row r="2381" customFormat="false" ht="15" hidden="false" customHeight="false" outlineLevel="0" collapsed="false">
      <c r="A2381" s="0" t="s">
        <v>90</v>
      </c>
      <c r="B2381" s="0" t="s">
        <v>962</v>
      </c>
      <c r="C2381" s="0" t="n">
        <v>150</v>
      </c>
      <c r="D2381" s="0" t="n">
        <v>14</v>
      </c>
      <c r="E2381" s="0" t="n">
        <v>3</v>
      </c>
      <c r="F2381" s="0" t="n">
        <v>128</v>
      </c>
      <c r="G2381" s="0" t="n">
        <v>114</v>
      </c>
      <c r="H2381" s="0" t="s">
        <v>145</v>
      </c>
      <c r="I2381" s="0" t="n">
        <v>114</v>
      </c>
      <c r="J2381" s="0" t="n">
        <f aca="false">F2381*E2381</f>
        <v>384</v>
      </c>
      <c r="K2381" s="0" t="str">
        <f aca="false">IF(G2381&lt;1000,"1-Low",IF(G2381&lt;5000,"2-Medium","3-Bulk"))</f>
        <v>1-Low</v>
      </c>
      <c r="L2381" s="0" t="str">
        <f aca="false">IF(H2381="TRUE","Out of stock","In stock")</f>
        <v>In stock</v>
      </c>
      <c r="M2381" s="0" t="str">
        <f aca="false">IF(D2381&lt;5,"1) Under 5%",IF(D2381&lt;10,"2) 5-9%",IF(D2381&lt;15,"3) 10-14%",IF(D2381&lt;25,"4) 15-24%","5) 25%+"))))</f>
        <v>3) 10-14%</v>
      </c>
      <c r="N2381" s="0" t="str">
        <f aca="false">IF(F2381&lt;50,"1) Under Rs 50",IF(F2381&lt;100,"2) Rs 50-99",IF(F2381&lt;200,"3) Rs 100-199",IF(F2381&lt;500,"4) Rs 200-499","5) Rs 500+"))))</f>
        <v>3) Rs 100-199</v>
      </c>
      <c r="O2381" s="0" t="n">
        <f aca="false">G2381*E2381/1000</f>
        <v>0.342</v>
      </c>
    </row>
    <row r="2382" customFormat="false" ht="15" hidden="false" customHeight="false" outlineLevel="0" collapsed="false">
      <c r="A2382" s="0" t="s">
        <v>90</v>
      </c>
      <c r="B2382" s="0" t="s">
        <v>971</v>
      </c>
      <c r="C2382" s="0" t="n">
        <v>330</v>
      </c>
      <c r="D2382" s="0" t="n">
        <v>10</v>
      </c>
      <c r="E2382" s="0" t="n">
        <v>6</v>
      </c>
      <c r="F2382" s="0" t="n">
        <v>297</v>
      </c>
      <c r="G2382" s="0" t="n">
        <v>400</v>
      </c>
      <c r="H2382" s="0" t="s">
        <v>145</v>
      </c>
      <c r="I2382" s="0" t="n">
        <v>400</v>
      </c>
      <c r="J2382" s="0" t="n">
        <f aca="false">F2382*E2382</f>
        <v>1782</v>
      </c>
      <c r="K2382" s="0" t="str">
        <f aca="false">IF(G2382&lt;1000,"1-Low",IF(G2382&lt;5000,"2-Medium","3-Bulk"))</f>
        <v>1-Low</v>
      </c>
      <c r="L2382" s="0" t="str">
        <f aca="false">IF(H2382="TRUE","Out of stock","In stock")</f>
        <v>In stock</v>
      </c>
      <c r="M2382" s="0" t="str">
        <f aca="false">IF(D2382&lt;5,"1) Under 5%",IF(D2382&lt;10,"2) 5-9%",IF(D2382&lt;15,"3) 10-14%",IF(D2382&lt;25,"4) 15-24%","5) 25%+"))))</f>
        <v>3) 10-14%</v>
      </c>
      <c r="N2382" s="0" t="str">
        <f aca="false">IF(F2382&lt;50,"1) Under Rs 50",IF(F2382&lt;100,"2) Rs 50-99",IF(F2382&lt;200,"3) Rs 100-199",IF(F2382&lt;500,"4) Rs 200-499","5) Rs 500+"))))</f>
        <v>4) Rs 200-499</v>
      </c>
      <c r="O2382" s="0" t="n">
        <f aca="false">G2382*E2382/1000</f>
        <v>2.4</v>
      </c>
    </row>
    <row r="2383" customFormat="false" ht="15" hidden="false" customHeight="false" outlineLevel="0" collapsed="false">
      <c r="A2383" s="0" t="s">
        <v>90</v>
      </c>
      <c r="B2383" s="0" t="s">
        <v>536</v>
      </c>
      <c r="C2383" s="0" t="n">
        <v>276</v>
      </c>
      <c r="D2383" s="0" t="n">
        <v>10</v>
      </c>
      <c r="E2383" s="0" t="n">
        <v>6</v>
      </c>
      <c r="F2383" s="0" t="n">
        <v>248</v>
      </c>
      <c r="G2383" s="0" t="n">
        <v>1500</v>
      </c>
      <c r="H2383" s="0" t="s">
        <v>145</v>
      </c>
      <c r="I2383" s="0" t="n">
        <v>1</v>
      </c>
      <c r="J2383" s="0" t="n">
        <f aca="false">F2383*E2383</f>
        <v>1488</v>
      </c>
      <c r="K2383" s="0" t="str">
        <f aca="false">IF(G2383&lt;1000,"1-Low",IF(G2383&lt;5000,"2-Medium","3-Bulk"))</f>
        <v>2-Medium</v>
      </c>
      <c r="L2383" s="0" t="str">
        <f aca="false">IF(H2383="TRUE","Out of stock","In stock")</f>
        <v>In stock</v>
      </c>
      <c r="M2383" s="0" t="str">
        <f aca="false">IF(D2383&lt;5,"1) Under 5%",IF(D2383&lt;10,"2) 5-9%",IF(D2383&lt;15,"3) 10-14%",IF(D2383&lt;25,"4) 15-24%","5) 25%+"))))</f>
        <v>3) 10-14%</v>
      </c>
      <c r="N2383" s="0" t="str">
        <f aca="false">IF(F2383&lt;50,"1) Under Rs 50",IF(F2383&lt;100,"2) Rs 50-99",IF(F2383&lt;200,"3) Rs 100-199",IF(F2383&lt;500,"4) Rs 200-499","5) Rs 500+"))))</f>
        <v>4) Rs 200-499</v>
      </c>
      <c r="O2383" s="0" t="n">
        <f aca="false">G2383*E2383/1000</f>
        <v>9</v>
      </c>
    </row>
    <row r="2384" customFormat="false" ht="15" hidden="false" customHeight="false" outlineLevel="0" collapsed="false">
      <c r="A2384" s="0" t="s">
        <v>90</v>
      </c>
      <c r="B2384" s="0" t="s">
        <v>972</v>
      </c>
      <c r="C2384" s="0" t="n">
        <v>295</v>
      </c>
      <c r="D2384" s="0" t="n">
        <v>0</v>
      </c>
      <c r="E2384" s="0" t="n">
        <v>6</v>
      </c>
      <c r="F2384" s="0" t="n">
        <v>295</v>
      </c>
      <c r="G2384" s="0" t="n">
        <v>24</v>
      </c>
      <c r="H2384" s="0" t="s">
        <v>145</v>
      </c>
      <c r="I2384" s="0" t="n">
        <v>24</v>
      </c>
      <c r="J2384" s="0" t="n">
        <f aca="false">F2384*E2384</f>
        <v>1770</v>
      </c>
      <c r="K2384" s="0" t="str">
        <f aca="false">IF(G2384&lt;1000,"1-Low",IF(G2384&lt;5000,"2-Medium","3-Bulk"))</f>
        <v>1-Low</v>
      </c>
      <c r="L2384" s="0" t="str">
        <f aca="false">IF(H2384="TRUE","Out of stock","In stock")</f>
        <v>In stock</v>
      </c>
      <c r="M2384" s="0" t="str">
        <f aca="false">IF(D2384&lt;5,"1) Under 5%",IF(D2384&lt;10,"2) 5-9%",IF(D2384&lt;15,"3) 10-14%",IF(D2384&lt;25,"4) 15-24%","5) 25%+"))))</f>
        <v>1) Under 5%</v>
      </c>
      <c r="N2384" s="0" t="str">
        <f aca="false">IF(F2384&lt;50,"1) Under Rs 50",IF(F2384&lt;100,"2) Rs 50-99",IF(F2384&lt;200,"3) Rs 100-199",IF(F2384&lt;500,"4) Rs 200-499","5) Rs 500+"))))</f>
        <v>4) Rs 200-499</v>
      </c>
      <c r="O2384" s="0" t="n">
        <f aca="false">G2384*E2384/1000</f>
        <v>0.144</v>
      </c>
    </row>
    <row r="2385" customFormat="false" ht="15" hidden="false" customHeight="false" outlineLevel="0" collapsed="false">
      <c r="A2385" s="0" t="s">
        <v>90</v>
      </c>
      <c r="B2385" s="0" t="s">
        <v>973</v>
      </c>
      <c r="C2385" s="0" t="n">
        <v>149</v>
      </c>
      <c r="D2385" s="0" t="n">
        <v>8</v>
      </c>
      <c r="E2385" s="0" t="n">
        <v>5</v>
      </c>
      <c r="F2385" s="0" t="n">
        <v>137</v>
      </c>
      <c r="G2385" s="0" t="n">
        <v>320</v>
      </c>
      <c r="H2385" s="0" t="s">
        <v>145</v>
      </c>
      <c r="I2385" s="0" t="n">
        <v>320</v>
      </c>
      <c r="J2385" s="0" t="n">
        <f aca="false">F2385*E2385</f>
        <v>685</v>
      </c>
      <c r="K2385" s="0" t="str">
        <f aca="false">IF(G2385&lt;1000,"1-Low",IF(G2385&lt;5000,"2-Medium","3-Bulk"))</f>
        <v>1-Low</v>
      </c>
      <c r="L2385" s="0" t="str">
        <f aca="false">IF(H2385="TRUE","Out of stock","In stock")</f>
        <v>In stock</v>
      </c>
      <c r="M2385" s="0" t="str">
        <f aca="false">IF(D2385&lt;5,"1) Under 5%",IF(D2385&lt;10,"2) 5-9%",IF(D2385&lt;15,"3) 10-14%",IF(D2385&lt;25,"4) 15-24%","5) 25%+"))))</f>
        <v>2) 5-9%</v>
      </c>
      <c r="N2385" s="0" t="str">
        <f aca="false">IF(F2385&lt;50,"1) Under Rs 50",IF(F2385&lt;100,"2) Rs 50-99",IF(F2385&lt;200,"3) Rs 100-199",IF(F2385&lt;500,"4) Rs 200-499","5) Rs 500+"))))</f>
        <v>3) Rs 100-199</v>
      </c>
      <c r="O2385" s="0" t="n">
        <f aca="false">G2385*E2385/1000</f>
        <v>1.6</v>
      </c>
    </row>
    <row r="2386" customFormat="false" ht="15" hidden="false" customHeight="false" outlineLevel="0" collapsed="false">
      <c r="A2386" s="0" t="s">
        <v>90</v>
      </c>
      <c r="B2386" s="0" t="s">
        <v>946</v>
      </c>
      <c r="C2386" s="0" t="n">
        <v>115</v>
      </c>
      <c r="D2386" s="0" t="n">
        <v>0</v>
      </c>
      <c r="E2386" s="0" t="n">
        <v>6</v>
      </c>
      <c r="F2386" s="0" t="n">
        <v>115</v>
      </c>
      <c r="G2386" s="0" t="n">
        <v>600</v>
      </c>
      <c r="H2386" s="0" t="s">
        <v>145</v>
      </c>
      <c r="I2386" s="0" t="n">
        <v>600</v>
      </c>
      <c r="J2386" s="0" t="n">
        <f aca="false">F2386*E2386</f>
        <v>690</v>
      </c>
      <c r="K2386" s="0" t="str">
        <f aca="false">IF(G2386&lt;1000,"1-Low",IF(G2386&lt;5000,"2-Medium","3-Bulk"))</f>
        <v>1-Low</v>
      </c>
      <c r="L2386" s="0" t="str">
        <f aca="false">IF(H2386="TRUE","Out of stock","In stock")</f>
        <v>In stock</v>
      </c>
      <c r="M2386" s="0" t="str">
        <f aca="false">IF(D2386&lt;5,"1) Under 5%",IF(D2386&lt;10,"2) 5-9%",IF(D2386&lt;15,"3) 10-14%",IF(D2386&lt;25,"4) 15-24%","5) 25%+"))))</f>
        <v>1) Under 5%</v>
      </c>
      <c r="N2386" s="0" t="str">
        <f aca="false">IF(F2386&lt;50,"1) Under Rs 50",IF(F2386&lt;100,"2) Rs 50-99",IF(F2386&lt;200,"3) Rs 100-199",IF(F2386&lt;500,"4) Rs 200-499","5) Rs 500+"))))</f>
        <v>3) Rs 100-199</v>
      </c>
      <c r="O2386" s="0" t="n">
        <f aca="false">G2386*E2386/1000</f>
        <v>3.6</v>
      </c>
    </row>
    <row r="2387" customFormat="false" ht="15" hidden="false" customHeight="false" outlineLevel="0" collapsed="false">
      <c r="A2387" s="0" t="s">
        <v>90</v>
      </c>
      <c r="B2387" s="0" t="s">
        <v>974</v>
      </c>
      <c r="C2387" s="0" t="n">
        <v>280</v>
      </c>
      <c r="D2387" s="0" t="n">
        <v>50</v>
      </c>
      <c r="E2387" s="0" t="n">
        <v>5</v>
      </c>
      <c r="F2387" s="0" t="n">
        <v>140</v>
      </c>
      <c r="G2387" s="0" t="n">
        <v>175</v>
      </c>
      <c r="H2387" s="0" t="s">
        <v>145</v>
      </c>
      <c r="I2387" s="0" t="n">
        <v>175</v>
      </c>
      <c r="J2387" s="0" t="n">
        <f aca="false">F2387*E2387</f>
        <v>700</v>
      </c>
      <c r="K2387" s="0" t="str">
        <f aca="false">IF(G2387&lt;1000,"1-Low",IF(G2387&lt;5000,"2-Medium","3-Bulk"))</f>
        <v>1-Low</v>
      </c>
      <c r="L2387" s="0" t="str">
        <f aca="false">IF(H2387="TRUE","Out of stock","In stock")</f>
        <v>In stock</v>
      </c>
      <c r="M2387" s="0" t="str">
        <f aca="false">IF(D2387&lt;5,"1) Under 5%",IF(D2387&lt;10,"2) 5-9%",IF(D2387&lt;15,"3) 10-14%",IF(D2387&lt;25,"4) 15-24%","5) 25%+"))))</f>
        <v>5) 25%+</v>
      </c>
      <c r="N2387" s="0" t="str">
        <f aca="false">IF(F2387&lt;50,"1) Under Rs 50",IF(F2387&lt;100,"2) Rs 50-99",IF(F2387&lt;200,"3) Rs 100-199",IF(F2387&lt;500,"4) Rs 200-499","5) Rs 500+"))))</f>
        <v>3) Rs 100-199</v>
      </c>
      <c r="O2387" s="0" t="n">
        <f aca="false">G2387*E2387/1000</f>
        <v>0.875</v>
      </c>
    </row>
    <row r="2388" customFormat="false" ht="15" hidden="false" customHeight="false" outlineLevel="0" collapsed="false">
      <c r="A2388" s="0" t="s">
        <v>90</v>
      </c>
      <c r="B2388" s="0" t="s">
        <v>975</v>
      </c>
      <c r="C2388" s="0" t="n">
        <v>179</v>
      </c>
      <c r="D2388" s="0" t="n">
        <v>0</v>
      </c>
      <c r="E2388" s="0" t="n">
        <v>6</v>
      </c>
      <c r="F2388" s="0" t="n">
        <v>179</v>
      </c>
      <c r="G2388" s="0" t="n">
        <v>450</v>
      </c>
      <c r="H2388" s="0" t="s">
        <v>145</v>
      </c>
      <c r="I2388" s="0" t="n">
        <v>450</v>
      </c>
      <c r="J2388" s="0" t="n">
        <f aca="false">F2388*E2388</f>
        <v>1074</v>
      </c>
      <c r="K2388" s="0" t="str">
        <f aca="false">IF(G2388&lt;1000,"1-Low",IF(G2388&lt;5000,"2-Medium","3-Bulk"))</f>
        <v>1-Low</v>
      </c>
      <c r="L2388" s="0" t="str">
        <f aca="false">IF(H2388="TRUE","Out of stock","In stock")</f>
        <v>In stock</v>
      </c>
      <c r="M2388" s="0" t="str">
        <f aca="false">IF(D2388&lt;5,"1) Under 5%",IF(D2388&lt;10,"2) 5-9%",IF(D2388&lt;15,"3) 10-14%",IF(D2388&lt;25,"4) 15-24%","5) 25%+"))))</f>
        <v>1) Under 5%</v>
      </c>
      <c r="N2388" s="0" t="str">
        <f aca="false">IF(F2388&lt;50,"1) Under Rs 50",IF(F2388&lt;100,"2) Rs 50-99",IF(F2388&lt;200,"3) Rs 100-199",IF(F2388&lt;500,"4) Rs 200-499","5) Rs 500+"))))</f>
        <v>3) Rs 100-199</v>
      </c>
      <c r="O2388" s="0" t="n">
        <f aca="false">G2388*E2388/1000</f>
        <v>2.7</v>
      </c>
    </row>
    <row r="2389" customFormat="false" ht="15" hidden="false" customHeight="false" outlineLevel="0" collapsed="false">
      <c r="A2389" s="0" t="s">
        <v>90</v>
      </c>
      <c r="B2389" s="0" t="s">
        <v>976</v>
      </c>
      <c r="C2389" s="0" t="n">
        <v>140</v>
      </c>
      <c r="D2389" s="0" t="n">
        <v>10</v>
      </c>
      <c r="E2389" s="0" t="n">
        <v>3</v>
      </c>
      <c r="F2389" s="0" t="n">
        <v>126</v>
      </c>
      <c r="G2389" s="0" t="n">
        <v>500</v>
      </c>
      <c r="H2389" s="0" t="s">
        <v>145</v>
      </c>
      <c r="I2389" s="0" t="n">
        <v>500</v>
      </c>
      <c r="J2389" s="0" t="n">
        <f aca="false">F2389*E2389</f>
        <v>378</v>
      </c>
      <c r="K2389" s="0" t="str">
        <f aca="false">IF(G2389&lt;1000,"1-Low",IF(G2389&lt;5000,"2-Medium","3-Bulk"))</f>
        <v>1-Low</v>
      </c>
      <c r="L2389" s="0" t="str">
        <f aca="false">IF(H2389="TRUE","Out of stock","In stock")</f>
        <v>In stock</v>
      </c>
      <c r="M2389" s="0" t="str">
        <f aca="false">IF(D2389&lt;5,"1) Under 5%",IF(D2389&lt;10,"2) 5-9%",IF(D2389&lt;15,"3) 10-14%",IF(D2389&lt;25,"4) 15-24%","5) 25%+"))))</f>
        <v>3) 10-14%</v>
      </c>
      <c r="N2389" s="0" t="str">
        <f aca="false">IF(F2389&lt;50,"1) Under Rs 50",IF(F2389&lt;100,"2) Rs 50-99",IF(F2389&lt;200,"3) Rs 100-199",IF(F2389&lt;500,"4) Rs 200-499","5) Rs 500+"))))</f>
        <v>3) Rs 100-199</v>
      </c>
      <c r="O2389" s="0" t="n">
        <f aca="false">G2389*E2389/1000</f>
        <v>1.5</v>
      </c>
    </row>
    <row r="2390" customFormat="false" ht="15" hidden="false" customHeight="false" outlineLevel="0" collapsed="false">
      <c r="A2390" s="0" t="s">
        <v>90</v>
      </c>
      <c r="B2390" s="0" t="s">
        <v>977</v>
      </c>
      <c r="C2390" s="0" t="n">
        <v>320</v>
      </c>
      <c r="D2390" s="0" t="n">
        <v>0</v>
      </c>
      <c r="E2390" s="0" t="n">
        <v>6</v>
      </c>
      <c r="F2390" s="0" t="n">
        <v>320</v>
      </c>
      <c r="G2390" s="0" t="n">
        <v>500</v>
      </c>
      <c r="H2390" s="0" t="s">
        <v>145</v>
      </c>
      <c r="I2390" s="0" t="n">
        <v>500</v>
      </c>
      <c r="J2390" s="0" t="n">
        <f aca="false">F2390*E2390</f>
        <v>1920</v>
      </c>
      <c r="K2390" s="0" t="str">
        <f aca="false">IF(G2390&lt;1000,"1-Low",IF(G2390&lt;5000,"2-Medium","3-Bulk"))</f>
        <v>1-Low</v>
      </c>
      <c r="L2390" s="0" t="str">
        <f aca="false">IF(H2390="TRUE","Out of stock","In stock")</f>
        <v>In stock</v>
      </c>
      <c r="M2390" s="0" t="str">
        <f aca="false">IF(D2390&lt;5,"1) Under 5%",IF(D2390&lt;10,"2) 5-9%",IF(D2390&lt;15,"3) 10-14%",IF(D2390&lt;25,"4) 15-24%","5) 25%+"))))</f>
        <v>1) Under 5%</v>
      </c>
      <c r="N2390" s="0" t="str">
        <f aca="false">IF(F2390&lt;50,"1) Under Rs 50",IF(F2390&lt;100,"2) Rs 50-99",IF(F2390&lt;200,"3) Rs 100-199",IF(F2390&lt;500,"4) Rs 200-499","5) Rs 500+"))))</f>
        <v>4) Rs 200-499</v>
      </c>
      <c r="O2390" s="0" t="n">
        <f aca="false">G2390*E2390/1000</f>
        <v>3</v>
      </c>
    </row>
    <row r="2391" customFormat="false" ht="15" hidden="false" customHeight="false" outlineLevel="0" collapsed="false">
      <c r="A2391" s="0" t="s">
        <v>90</v>
      </c>
      <c r="B2391" s="0" t="s">
        <v>525</v>
      </c>
      <c r="C2391" s="0" t="n">
        <v>250</v>
      </c>
      <c r="D2391" s="0" t="n">
        <v>0</v>
      </c>
      <c r="E2391" s="0" t="n">
        <v>5</v>
      </c>
      <c r="F2391" s="0" t="n">
        <v>250</v>
      </c>
      <c r="G2391" s="0" t="n">
        <v>500</v>
      </c>
      <c r="H2391" s="0" t="s">
        <v>145</v>
      </c>
      <c r="I2391" s="0" t="n">
        <v>500</v>
      </c>
      <c r="J2391" s="0" t="n">
        <f aca="false">F2391*E2391</f>
        <v>1250</v>
      </c>
      <c r="K2391" s="0" t="str">
        <f aca="false">IF(G2391&lt;1000,"1-Low",IF(G2391&lt;5000,"2-Medium","3-Bulk"))</f>
        <v>1-Low</v>
      </c>
      <c r="L2391" s="0" t="str">
        <f aca="false">IF(H2391="TRUE","Out of stock","In stock")</f>
        <v>In stock</v>
      </c>
      <c r="M2391" s="0" t="str">
        <f aca="false">IF(D2391&lt;5,"1) Under 5%",IF(D2391&lt;10,"2) 5-9%",IF(D2391&lt;15,"3) 10-14%",IF(D2391&lt;25,"4) 15-24%","5) 25%+"))))</f>
        <v>1) Under 5%</v>
      </c>
      <c r="N2391" s="0" t="str">
        <f aca="false">IF(F2391&lt;50,"1) Under Rs 50",IF(F2391&lt;100,"2) Rs 50-99",IF(F2391&lt;200,"3) Rs 100-199",IF(F2391&lt;500,"4) Rs 200-499","5) Rs 500+"))))</f>
        <v>4) Rs 200-499</v>
      </c>
      <c r="O2391" s="0" t="n">
        <f aca="false">G2391*E2391/1000</f>
        <v>2.5</v>
      </c>
    </row>
    <row r="2392" customFormat="false" ht="15" hidden="false" customHeight="false" outlineLevel="0" collapsed="false">
      <c r="A2392" s="0" t="s">
        <v>90</v>
      </c>
      <c r="B2392" s="0" t="s">
        <v>902</v>
      </c>
      <c r="C2392" s="0" t="n">
        <v>299</v>
      </c>
      <c r="D2392" s="0" t="n">
        <v>10</v>
      </c>
      <c r="E2392" s="0" t="n">
        <v>4</v>
      </c>
      <c r="F2392" s="0" t="n">
        <v>269</v>
      </c>
      <c r="G2392" s="0" t="n">
        <v>700</v>
      </c>
      <c r="H2392" s="0" t="s">
        <v>145</v>
      </c>
      <c r="I2392" s="0" t="n">
        <v>700</v>
      </c>
      <c r="J2392" s="0" t="n">
        <f aca="false">F2392*E2392</f>
        <v>1076</v>
      </c>
      <c r="K2392" s="0" t="str">
        <f aca="false">IF(G2392&lt;1000,"1-Low",IF(G2392&lt;5000,"2-Medium","3-Bulk"))</f>
        <v>1-Low</v>
      </c>
      <c r="L2392" s="0" t="str">
        <f aca="false">IF(H2392="TRUE","Out of stock","In stock")</f>
        <v>In stock</v>
      </c>
      <c r="M2392" s="0" t="str">
        <f aca="false">IF(D2392&lt;5,"1) Under 5%",IF(D2392&lt;10,"2) 5-9%",IF(D2392&lt;15,"3) 10-14%",IF(D2392&lt;25,"4) 15-24%","5) 25%+"))))</f>
        <v>3) 10-14%</v>
      </c>
      <c r="N2392" s="0" t="str">
        <f aca="false">IF(F2392&lt;50,"1) Under Rs 50",IF(F2392&lt;100,"2) Rs 50-99",IF(F2392&lt;200,"3) Rs 100-199",IF(F2392&lt;500,"4) Rs 200-499","5) Rs 500+"))))</f>
        <v>4) Rs 200-499</v>
      </c>
      <c r="O2392" s="0" t="n">
        <f aca="false">G2392*E2392/1000</f>
        <v>2.8</v>
      </c>
    </row>
    <row r="2393" customFormat="false" ht="15" hidden="false" customHeight="false" outlineLevel="0" collapsed="false">
      <c r="A2393" s="0" t="s">
        <v>90</v>
      </c>
      <c r="B2393" s="0" t="s">
        <v>978</v>
      </c>
      <c r="C2393" s="0" t="n">
        <v>620</v>
      </c>
      <c r="D2393" s="0" t="n">
        <v>0</v>
      </c>
      <c r="E2393" s="0" t="n">
        <v>1</v>
      </c>
      <c r="F2393" s="0" t="n">
        <v>620</v>
      </c>
      <c r="G2393" s="0" t="n">
        <v>400</v>
      </c>
      <c r="H2393" s="0" t="s">
        <v>145</v>
      </c>
      <c r="I2393" s="0" t="n">
        <v>400</v>
      </c>
      <c r="J2393" s="0" t="n">
        <f aca="false">F2393*E2393</f>
        <v>620</v>
      </c>
      <c r="K2393" s="0" t="str">
        <f aca="false">IF(G2393&lt;1000,"1-Low",IF(G2393&lt;5000,"2-Medium","3-Bulk"))</f>
        <v>1-Low</v>
      </c>
      <c r="L2393" s="0" t="str">
        <f aca="false">IF(H2393="TRUE","Out of stock","In stock")</f>
        <v>In stock</v>
      </c>
      <c r="M2393" s="0" t="str">
        <f aca="false">IF(D2393&lt;5,"1) Under 5%",IF(D2393&lt;10,"2) 5-9%",IF(D2393&lt;15,"3) 10-14%",IF(D2393&lt;25,"4) 15-24%","5) 25%+"))))</f>
        <v>1) Under 5%</v>
      </c>
      <c r="N2393" s="0" t="str">
        <f aca="false">IF(F2393&lt;50,"1) Under Rs 50",IF(F2393&lt;100,"2) Rs 50-99",IF(F2393&lt;200,"3) Rs 100-199",IF(F2393&lt;500,"4) Rs 200-499","5) Rs 500+"))))</f>
        <v>5) Rs 500+</v>
      </c>
      <c r="O2393" s="0" t="n">
        <f aca="false">G2393*E2393/1000</f>
        <v>0.4</v>
      </c>
    </row>
    <row r="2394" customFormat="false" ht="15" hidden="false" customHeight="false" outlineLevel="0" collapsed="false">
      <c r="A2394" s="0" t="s">
        <v>90</v>
      </c>
      <c r="B2394" s="0" t="s">
        <v>979</v>
      </c>
      <c r="C2394" s="0" t="n">
        <v>99</v>
      </c>
      <c r="D2394" s="0" t="n">
        <v>20</v>
      </c>
      <c r="E2394" s="0" t="n">
        <v>6</v>
      </c>
      <c r="F2394" s="0" t="n">
        <v>79</v>
      </c>
      <c r="G2394" s="0" t="n">
        <v>500</v>
      </c>
      <c r="H2394" s="0" t="s">
        <v>145</v>
      </c>
      <c r="I2394" s="0" t="n">
        <v>500</v>
      </c>
      <c r="J2394" s="0" t="n">
        <f aca="false">F2394*E2394</f>
        <v>474</v>
      </c>
      <c r="K2394" s="0" t="str">
        <f aca="false">IF(G2394&lt;1000,"1-Low",IF(G2394&lt;5000,"2-Medium","3-Bulk"))</f>
        <v>1-Low</v>
      </c>
      <c r="L2394" s="0" t="str">
        <f aca="false">IF(H2394="TRUE","Out of stock","In stock")</f>
        <v>In stock</v>
      </c>
      <c r="M2394" s="0" t="str">
        <f aca="false">IF(D2394&lt;5,"1) Under 5%",IF(D2394&lt;10,"2) 5-9%",IF(D2394&lt;15,"3) 10-14%",IF(D2394&lt;25,"4) 15-24%","5) 25%+"))))</f>
        <v>4) 15-24%</v>
      </c>
      <c r="N2394" s="0" t="str">
        <f aca="false">IF(F2394&lt;50,"1) Under Rs 50",IF(F2394&lt;100,"2) Rs 50-99",IF(F2394&lt;200,"3) Rs 100-199",IF(F2394&lt;500,"4) Rs 200-499","5) Rs 500+"))))</f>
        <v>2) Rs 50-99</v>
      </c>
      <c r="O2394" s="0" t="n">
        <f aca="false">G2394*E2394/1000</f>
        <v>3</v>
      </c>
    </row>
    <row r="2395" customFormat="false" ht="15" hidden="false" customHeight="false" outlineLevel="0" collapsed="false">
      <c r="A2395" s="0" t="s">
        <v>90</v>
      </c>
      <c r="B2395" s="0" t="s">
        <v>980</v>
      </c>
      <c r="C2395" s="0" t="n">
        <v>85</v>
      </c>
      <c r="D2395" s="0" t="n">
        <v>4</v>
      </c>
      <c r="E2395" s="0" t="n">
        <v>1</v>
      </c>
      <c r="F2395" s="0" t="n">
        <v>81</v>
      </c>
      <c r="G2395" s="0" t="n">
        <v>680</v>
      </c>
      <c r="H2395" s="0" t="s">
        <v>145</v>
      </c>
      <c r="I2395" s="0" t="n">
        <v>680</v>
      </c>
      <c r="J2395" s="0" t="n">
        <f aca="false">F2395*E2395</f>
        <v>81</v>
      </c>
      <c r="K2395" s="0" t="str">
        <f aca="false">IF(G2395&lt;1000,"1-Low",IF(G2395&lt;5000,"2-Medium","3-Bulk"))</f>
        <v>1-Low</v>
      </c>
      <c r="L2395" s="0" t="str">
        <f aca="false">IF(H2395="TRUE","Out of stock","In stock")</f>
        <v>In stock</v>
      </c>
      <c r="M2395" s="0" t="str">
        <f aca="false">IF(D2395&lt;5,"1) Under 5%",IF(D2395&lt;10,"2) 5-9%",IF(D2395&lt;15,"3) 10-14%",IF(D2395&lt;25,"4) 15-24%","5) 25%+"))))</f>
        <v>1) Under 5%</v>
      </c>
      <c r="N2395" s="0" t="str">
        <f aca="false">IF(F2395&lt;50,"1) Under Rs 50",IF(F2395&lt;100,"2) Rs 50-99",IF(F2395&lt;200,"3) Rs 100-199",IF(F2395&lt;500,"4) Rs 200-499","5) Rs 500+"))))</f>
        <v>2) Rs 50-99</v>
      </c>
      <c r="O2395" s="0" t="n">
        <f aca="false">G2395*E2395/1000</f>
        <v>0.68</v>
      </c>
    </row>
    <row r="2396" customFormat="false" ht="15" hidden="false" customHeight="false" outlineLevel="0" collapsed="false">
      <c r="A2396" s="0" t="s">
        <v>90</v>
      </c>
      <c r="B2396" s="0" t="s">
        <v>981</v>
      </c>
      <c r="C2396" s="0" t="n">
        <v>55</v>
      </c>
      <c r="D2396" s="0" t="n">
        <v>0</v>
      </c>
      <c r="E2396" s="0" t="n">
        <v>1</v>
      </c>
      <c r="F2396" s="0" t="n">
        <v>55</v>
      </c>
      <c r="G2396" s="0" t="n">
        <v>400</v>
      </c>
      <c r="H2396" s="0" t="s">
        <v>145</v>
      </c>
      <c r="I2396" s="0" t="n">
        <v>400</v>
      </c>
      <c r="J2396" s="0" t="n">
        <f aca="false">F2396*E2396</f>
        <v>55</v>
      </c>
      <c r="K2396" s="0" t="str">
        <f aca="false">IF(G2396&lt;1000,"1-Low",IF(G2396&lt;5000,"2-Medium","3-Bulk"))</f>
        <v>1-Low</v>
      </c>
      <c r="L2396" s="0" t="str">
        <f aca="false">IF(H2396="TRUE","Out of stock","In stock")</f>
        <v>In stock</v>
      </c>
      <c r="M2396" s="0" t="str">
        <f aca="false">IF(D2396&lt;5,"1) Under 5%",IF(D2396&lt;10,"2) 5-9%",IF(D2396&lt;15,"3) 10-14%",IF(D2396&lt;25,"4) 15-24%","5) 25%+"))))</f>
        <v>1) Under 5%</v>
      </c>
      <c r="N2396" s="0" t="str">
        <f aca="false">IF(F2396&lt;50,"1) Under Rs 50",IF(F2396&lt;100,"2) Rs 50-99",IF(F2396&lt;200,"3) Rs 100-199",IF(F2396&lt;500,"4) Rs 200-499","5) Rs 500+"))))</f>
        <v>2) Rs 50-99</v>
      </c>
      <c r="O2396" s="0" t="n">
        <f aca="false">G2396*E2396/1000</f>
        <v>0.4</v>
      </c>
    </row>
    <row r="2397" customFormat="false" ht="15" hidden="false" customHeight="false" outlineLevel="0" collapsed="false">
      <c r="A2397" s="0" t="s">
        <v>90</v>
      </c>
      <c r="B2397" s="0" t="s">
        <v>982</v>
      </c>
      <c r="C2397" s="0" t="n">
        <v>120</v>
      </c>
      <c r="D2397" s="0" t="n">
        <v>10</v>
      </c>
      <c r="E2397" s="0" t="n">
        <v>4</v>
      </c>
      <c r="F2397" s="0" t="n">
        <v>108</v>
      </c>
      <c r="G2397" s="0" t="n">
        <v>400</v>
      </c>
      <c r="H2397" s="0" t="s">
        <v>145</v>
      </c>
      <c r="I2397" s="0" t="n">
        <v>400</v>
      </c>
      <c r="J2397" s="0" t="n">
        <f aca="false">F2397*E2397</f>
        <v>432</v>
      </c>
      <c r="K2397" s="0" t="str">
        <f aca="false">IF(G2397&lt;1000,"1-Low",IF(G2397&lt;5000,"2-Medium","3-Bulk"))</f>
        <v>1-Low</v>
      </c>
      <c r="L2397" s="0" t="str">
        <f aca="false">IF(H2397="TRUE","Out of stock","In stock")</f>
        <v>In stock</v>
      </c>
      <c r="M2397" s="0" t="str">
        <f aca="false">IF(D2397&lt;5,"1) Under 5%",IF(D2397&lt;10,"2) 5-9%",IF(D2397&lt;15,"3) 10-14%",IF(D2397&lt;25,"4) 15-24%","5) 25%+"))))</f>
        <v>3) 10-14%</v>
      </c>
      <c r="N2397" s="0" t="str">
        <f aca="false">IF(F2397&lt;50,"1) Under Rs 50",IF(F2397&lt;100,"2) Rs 50-99",IF(F2397&lt;200,"3) Rs 100-199",IF(F2397&lt;500,"4) Rs 200-499","5) Rs 500+"))))</f>
        <v>3) Rs 100-199</v>
      </c>
      <c r="O2397" s="0" t="n">
        <f aca="false">G2397*E2397/1000</f>
        <v>1.6</v>
      </c>
    </row>
    <row r="2398" customFormat="false" ht="15" hidden="false" customHeight="false" outlineLevel="0" collapsed="false">
      <c r="A2398" s="0" t="s">
        <v>90</v>
      </c>
      <c r="B2398" s="0" t="s">
        <v>983</v>
      </c>
      <c r="C2398" s="0" t="n">
        <v>114</v>
      </c>
      <c r="D2398" s="0" t="n">
        <v>0</v>
      </c>
      <c r="E2398" s="0" t="n">
        <v>6</v>
      </c>
      <c r="F2398" s="0" t="n">
        <v>114</v>
      </c>
      <c r="G2398" s="0" t="n">
        <v>480</v>
      </c>
      <c r="H2398" s="0" t="s">
        <v>145</v>
      </c>
      <c r="I2398" s="0" t="n">
        <v>480</v>
      </c>
      <c r="J2398" s="0" t="n">
        <f aca="false">F2398*E2398</f>
        <v>684</v>
      </c>
      <c r="K2398" s="0" t="str">
        <f aca="false">IF(G2398&lt;1000,"1-Low",IF(G2398&lt;5000,"2-Medium","3-Bulk"))</f>
        <v>1-Low</v>
      </c>
      <c r="L2398" s="0" t="str">
        <f aca="false">IF(H2398="TRUE","Out of stock","In stock")</f>
        <v>In stock</v>
      </c>
      <c r="M2398" s="0" t="str">
        <f aca="false">IF(D2398&lt;5,"1) Under 5%",IF(D2398&lt;10,"2) 5-9%",IF(D2398&lt;15,"3) 10-14%",IF(D2398&lt;25,"4) 15-24%","5) 25%+"))))</f>
        <v>1) Under 5%</v>
      </c>
      <c r="N2398" s="0" t="str">
        <f aca="false">IF(F2398&lt;50,"1) Under Rs 50",IF(F2398&lt;100,"2) Rs 50-99",IF(F2398&lt;200,"3) Rs 100-199",IF(F2398&lt;500,"4) Rs 200-499","5) Rs 500+"))))</f>
        <v>3) Rs 100-199</v>
      </c>
      <c r="O2398" s="0" t="n">
        <f aca="false">G2398*E2398/1000</f>
        <v>2.88</v>
      </c>
    </row>
    <row r="2399" customFormat="false" ht="15" hidden="false" customHeight="false" outlineLevel="0" collapsed="false">
      <c r="A2399" s="0" t="s">
        <v>90</v>
      </c>
      <c r="B2399" s="0" t="s">
        <v>984</v>
      </c>
      <c r="C2399" s="0" t="n">
        <v>290</v>
      </c>
      <c r="D2399" s="0" t="n">
        <v>7</v>
      </c>
      <c r="E2399" s="0" t="n">
        <v>5</v>
      </c>
      <c r="F2399" s="0" t="n">
        <v>267</v>
      </c>
      <c r="G2399" s="0" t="n">
        <v>630</v>
      </c>
      <c r="H2399" s="0" t="s">
        <v>145</v>
      </c>
      <c r="I2399" s="0" t="n">
        <v>630</v>
      </c>
      <c r="J2399" s="0" t="n">
        <f aca="false">F2399*E2399</f>
        <v>1335</v>
      </c>
      <c r="K2399" s="0" t="str">
        <f aca="false">IF(G2399&lt;1000,"1-Low",IF(G2399&lt;5000,"2-Medium","3-Bulk"))</f>
        <v>1-Low</v>
      </c>
      <c r="L2399" s="0" t="str">
        <f aca="false">IF(H2399="TRUE","Out of stock","In stock")</f>
        <v>In stock</v>
      </c>
      <c r="M2399" s="0" t="str">
        <f aca="false">IF(D2399&lt;5,"1) Under 5%",IF(D2399&lt;10,"2) 5-9%",IF(D2399&lt;15,"3) 10-14%",IF(D2399&lt;25,"4) 15-24%","5) 25%+"))))</f>
        <v>2) 5-9%</v>
      </c>
      <c r="N2399" s="0" t="str">
        <f aca="false">IF(F2399&lt;50,"1) Under Rs 50",IF(F2399&lt;100,"2) Rs 50-99",IF(F2399&lt;200,"3) Rs 100-199",IF(F2399&lt;500,"4) Rs 200-499","5) Rs 500+"))))</f>
        <v>4) Rs 200-499</v>
      </c>
      <c r="O2399" s="0" t="n">
        <f aca="false">G2399*E2399/1000</f>
        <v>3.15</v>
      </c>
    </row>
    <row r="2400" customFormat="false" ht="15" hidden="false" customHeight="false" outlineLevel="0" collapsed="false">
      <c r="A2400" s="0" t="s">
        <v>90</v>
      </c>
      <c r="B2400" s="0" t="s">
        <v>985</v>
      </c>
      <c r="C2400" s="0" t="n">
        <v>130</v>
      </c>
      <c r="D2400" s="0" t="n">
        <v>4</v>
      </c>
      <c r="E2400" s="0" t="n">
        <v>4</v>
      </c>
      <c r="F2400" s="0" t="n">
        <v>124</v>
      </c>
      <c r="G2400" s="0" t="n">
        <v>230</v>
      </c>
      <c r="H2400" s="0" t="s">
        <v>145</v>
      </c>
      <c r="I2400" s="0" t="n">
        <v>230</v>
      </c>
      <c r="J2400" s="0" t="n">
        <f aca="false">F2400*E2400</f>
        <v>496</v>
      </c>
      <c r="K2400" s="0" t="str">
        <f aca="false">IF(G2400&lt;1000,"1-Low",IF(G2400&lt;5000,"2-Medium","3-Bulk"))</f>
        <v>1-Low</v>
      </c>
      <c r="L2400" s="0" t="str">
        <f aca="false">IF(H2400="TRUE","Out of stock","In stock")</f>
        <v>In stock</v>
      </c>
      <c r="M2400" s="0" t="str">
        <f aca="false">IF(D2400&lt;5,"1) Under 5%",IF(D2400&lt;10,"2) 5-9%",IF(D2400&lt;15,"3) 10-14%",IF(D2400&lt;25,"4) 15-24%","5) 25%+"))))</f>
        <v>1) Under 5%</v>
      </c>
      <c r="N2400" s="0" t="str">
        <f aca="false">IF(F2400&lt;50,"1) Under Rs 50",IF(F2400&lt;100,"2) Rs 50-99",IF(F2400&lt;200,"3) Rs 100-199",IF(F2400&lt;500,"4) Rs 200-499","5) Rs 500+"))))</f>
        <v>3) Rs 100-199</v>
      </c>
      <c r="O2400" s="0" t="n">
        <f aca="false">G2400*E2400/1000</f>
        <v>0.92</v>
      </c>
    </row>
    <row r="2401" customFormat="false" ht="15" hidden="false" customHeight="false" outlineLevel="0" collapsed="false">
      <c r="A2401" s="0" t="s">
        <v>90</v>
      </c>
      <c r="B2401" s="0" t="s">
        <v>986</v>
      </c>
      <c r="C2401" s="0" t="n">
        <v>185</v>
      </c>
      <c r="D2401" s="0" t="n">
        <v>10</v>
      </c>
      <c r="E2401" s="0" t="n">
        <v>5</v>
      </c>
      <c r="F2401" s="0" t="n">
        <v>165</v>
      </c>
      <c r="G2401" s="0" t="n">
        <v>250</v>
      </c>
      <c r="H2401" s="0" t="s">
        <v>145</v>
      </c>
      <c r="I2401" s="0" t="n">
        <v>250</v>
      </c>
      <c r="J2401" s="0" t="n">
        <f aca="false">F2401*E2401</f>
        <v>825</v>
      </c>
      <c r="K2401" s="0" t="str">
        <f aca="false">IF(G2401&lt;1000,"1-Low",IF(G2401&lt;5000,"2-Medium","3-Bulk"))</f>
        <v>1-Low</v>
      </c>
      <c r="L2401" s="0" t="str">
        <f aca="false">IF(H2401="TRUE","Out of stock","In stock")</f>
        <v>In stock</v>
      </c>
      <c r="M2401" s="0" t="str">
        <f aca="false">IF(D2401&lt;5,"1) Under 5%",IF(D2401&lt;10,"2) 5-9%",IF(D2401&lt;15,"3) 10-14%",IF(D2401&lt;25,"4) 15-24%","5) 25%+"))))</f>
        <v>3) 10-14%</v>
      </c>
      <c r="N2401" s="0" t="str">
        <f aca="false">IF(F2401&lt;50,"1) Under Rs 50",IF(F2401&lt;100,"2) Rs 50-99",IF(F2401&lt;200,"3) Rs 100-199",IF(F2401&lt;500,"4) Rs 200-499","5) Rs 500+"))))</f>
        <v>3) Rs 100-199</v>
      </c>
      <c r="O2401" s="0" t="n">
        <f aca="false">G2401*E2401/1000</f>
        <v>1.25</v>
      </c>
    </row>
    <row r="2402" customFormat="false" ht="15" hidden="false" customHeight="false" outlineLevel="0" collapsed="false">
      <c r="A2402" s="0" t="s">
        <v>90</v>
      </c>
      <c r="B2402" s="0" t="s">
        <v>987</v>
      </c>
      <c r="C2402" s="0" t="n">
        <v>595</v>
      </c>
      <c r="D2402" s="0" t="n">
        <v>9</v>
      </c>
      <c r="E2402" s="0" t="n">
        <v>2</v>
      </c>
      <c r="F2402" s="0" t="n">
        <v>536</v>
      </c>
      <c r="G2402" s="0" t="n">
        <v>500</v>
      </c>
      <c r="H2402" s="0" t="s">
        <v>145</v>
      </c>
      <c r="I2402" s="0" t="n">
        <v>500</v>
      </c>
      <c r="J2402" s="0" t="n">
        <f aca="false">F2402*E2402</f>
        <v>1072</v>
      </c>
      <c r="K2402" s="0" t="str">
        <f aca="false">IF(G2402&lt;1000,"1-Low",IF(G2402&lt;5000,"2-Medium","3-Bulk"))</f>
        <v>1-Low</v>
      </c>
      <c r="L2402" s="0" t="str">
        <f aca="false">IF(H2402="TRUE","Out of stock","In stock")</f>
        <v>In stock</v>
      </c>
      <c r="M2402" s="0" t="str">
        <f aca="false">IF(D2402&lt;5,"1) Under 5%",IF(D2402&lt;10,"2) 5-9%",IF(D2402&lt;15,"3) 10-14%",IF(D2402&lt;25,"4) 15-24%","5) 25%+"))))</f>
        <v>2) 5-9%</v>
      </c>
      <c r="N2402" s="0" t="str">
        <f aca="false">IF(F2402&lt;50,"1) Under Rs 50",IF(F2402&lt;100,"2) Rs 50-99",IF(F2402&lt;200,"3) Rs 100-199",IF(F2402&lt;500,"4) Rs 200-499","5) Rs 500+"))))</f>
        <v>5) Rs 500+</v>
      </c>
      <c r="O2402" s="0" t="n">
        <f aca="false">G2402*E2402/1000</f>
        <v>1</v>
      </c>
    </row>
    <row r="2403" customFormat="false" ht="15" hidden="false" customHeight="false" outlineLevel="0" collapsed="false">
      <c r="A2403" s="0" t="s">
        <v>90</v>
      </c>
      <c r="B2403" s="0" t="s">
        <v>562</v>
      </c>
      <c r="C2403" s="0" t="n">
        <v>195</v>
      </c>
      <c r="D2403" s="0" t="n">
        <v>9</v>
      </c>
      <c r="E2403" s="0" t="n">
        <v>5</v>
      </c>
      <c r="F2403" s="0" t="n">
        <v>176</v>
      </c>
      <c r="G2403" s="0" t="n">
        <v>500</v>
      </c>
      <c r="H2403" s="0" t="s">
        <v>145</v>
      </c>
      <c r="I2403" s="0" t="n">
        <v>500</v>
      </c>
      <c r="J2403" s="0" t="n">
        <f aca="false">F2403*E2403</f>
        <v>880</v>
      </c>
      <c r="K2403" s="0" t="str">
        <f aca="false">IF(G2403&lt;1000,"1-Low",IF(G2403&lt;5000,"2-Medium","3-Bulk"))</f>
        <v>1-Low</v>
      </c>
      <c r="L2403" s="0" t="str">
        <f aca="false">IF(H2403="TRUE","Out of stock","In stock")</f>
        <v>In stock</v>
      </c>
      <c r="M2403" s="0" t="str">
        <f aca="false">IF(D2403&lt;5,"1) Under 5%",IF(D2403&lt;10,"2) 5-9%",IF(D2403&lt;15,"3) 10-14%",IF(D2403&lt;25,"4) 15-24%","5) 25%+"))))</f>
        <v>2) 5-9%</v>
      </c>
      <c r="N2403" s="0" t="str">
        <f aca="false">IF(F2403&lt;50,"1) Under Rs 50",IF(F2403&lt;100,"2) Rs 50-99",IF(F2403&lt;200,"3) Rs 100-199",IF(F2403&lt;500,"4) Rs 200-499","5) Rs 500+"))))</f>
        <v>3) Rs 100-199</v>
      </c>
      <c r="O2403" s="0" t="n">
        <f aca="false">G2403*E2403/1000</f>
        <v>2.5</v>
      </c>
    </row>
    <row r="2404" customFormat="false" ht="15" hidden="false" customHeight="false" outlineLevel="0" collapsed="false">
      <c r="A2404" s="0" t="s">
        <v>90</v>
      </c>
      <c r="B2404" s="0" t="s">
        <v>988</v>
      </c>
      <c r="C2404" s="0" t="n">
        <v>200</v>
      </c>
      <c r="D2404" s="0" t="n">
        <v>0</v>
      </c>
      <c r="E2404" s="0" t="n">
        <v>5</v>
      </c>
      <c r="F2404" s="0" t="n">
        <v>200</v>
      </c>
      <c r="G2404" s="0" t="n">
        <v>130</v>
      </c>
      <c r="H2404" s="0" t="s">
        <v>145</v>
      </c>
      <c r="I2404" s="0" t="n">
        <v>130</v>
      </c>
      <c r="J2404" s="0" t="n">
        <f aca="false">F2404*E2404</f>
        <v>1000</v>
      </c>
      <c r="K2404" s="0" t="str">
        <f aca="false">IF(G2404&lt;1000,"1-Low",IF(G2404&lt;5000,"2-Medium","3-Bulk"))</f>
        <v>1-Low</v>
      </c>
      <c r="L2404" s="0" t="str">
        <f aca="false">IF(H2404="TRUE","Out of stock","In stock")</f>
        <v>In stock</v>
      </c>
      <c r="M2404" s="0" t="str">
        <f aca="false">IF(D2404&lt;5,"1) Under 5%",IF(D2404&lt;10,"2) 5-9%",IF(D2404&lt;15,"3) 10-14%",IF(D2404&lt;25,"4) 15-24%","5) 25%+"))))</f>
        <v>1) Under 5%</v>
      </c>
      <c r="N2404" s="0" t="str">
        <f aca="false">IF(F2404&lt;50,"1) Under Rs 50",IF(F2404&lt;100,"2) Rs 50-99",IF(F2404&lt;200,"3) Rs 100-199",IF(F2404&lt;500,"4) Rs 200-499","5) Rs 500+"))))</f>
        <v>4) Rs 200-499</v>
      </c>
      <c r="O2404" s="0" t="n">
        <f aca="false">G2404*E2404/1000</f>
        <v>0.65</v>
      </c>
    </row>
    <row r="2405" customFormat="false" ht="15" hidden="false" customHeight="false" outlineLevel="0" collapsed="false">
      <c r="A2405" s="0" t="s">
        <v>90</v>
      </c>
      <c r="B2405" s="0" t="s">
        <v>989</v>
      </c>
      <c r="C2405" s="0" t="n">
        <v>499</v>
      </c>
      <c r="D2405" s="0" t="n">
        <v>0</v>
      </c>
      <c r="E2405" s="0" t="n">
        <v>5</v>
      </c>
      <c r="F2405" s="0" t="n">
        <v>499</v>
      </c>
      <c r="G2405" s="0" t="n">
        <v>750</v>
      </c>
      <c r="H2405" s="0" t="s">
        <v>145</v>
      </c>
      <c r="I2405" s="0" t="n">
        <v>750</v>
      </c>
      <c r="J2405" s="0" t="n">
        <f aca="false">F2405*E2405</f>
        <v>2495</v>
      </c>
      <c r="K2405" s="0" t="str">
        <f aca="false">IF(G2405&lt;1000,"1-Low",IF(G2405&lt;5000,"2-Medium","3-Bulk"))</f>
        <v>1-Low</v>
      </c>
      <c r="L2405" s="0" t="str">
        <f aca="false">IF(H2405="TRUE","Out of stock","In stock")</f>
        <v>In stock</v>
      </c>
      <c r="M2405" s="0" t="str">
        <f aca="false">IF(D2405&lt;5,"1) Under 5%",IF(D2405&lt;10,"2) 5-9%",IF(D2405&lt;15,"3) 10-14%",IF(D2405&lt;25,"4) 15-24%","5) 25%+"))))</f>
        <v>1) Under 5%</v>
      </c>
      <c r="N2405" s="0" t="str">
        <f aca="false">IF(F2405&lt;50,"1) Under Rs 50",IF(F2405&lt;100,"2) Rs 50-99",IF(F2405&lt;200,"3) Rs 100-199",IF(F2405&lt;500,"4) Rs 200-499","5) Rs 500+"))))</f>
        <v>4) Rs 200-499</v>
      </c>
      <c r="O2405" s="0" t="n">
        <f aca="false">G2405*E2405/1000</f>
        <v>3.75</v>
      </c>
    </row>
    <row r="2406" customFormat="false" ht="15" hidden="false" customHeight="false" outlineLevel="0" collapsed="false">
      <c r="A2406" s="0" t="s">
        <v>90</v>
      </c>
      <c r="B2406" s="0" t="s">
        <v>990</v>
      </c>
      <c r="C2406" s="0" t="n">
        <v>110</v>
      </c>
      <c r="D2406" s="0" t="n">
        <v>30</v>
      </c>
      <c r="E2406" s="0" t="n">
        <v>6</v>
      </c>
      <c r="F2406" s="0" t="n">
        <v>77</v>
      </c>
      <c r="G2406" s="0" t="n">
        <v>285</v>
      </c>
      <c r="H2406" s="0" t="s">
        <v>145</v>
      </c>
      <c r="I2406" s="0" t="n">
        <v>285</v>
      </c>
      <c r="J2406" s="0" t="n">
        <f aca="false">F2406*E2406</f>
        <v>462</v>
      </c>
      <c r="K2406" s="0" t="str">
        <f aca="false">IF(G2406&lt;1000,"1-Low",IF(G2406&lt;5000,"2-Medium","3-Bulk"))</f>
        <v>1-Low</v>
      </c>
      <c r="L2406" s="0" t="str">
        <f aca="false">IF(H2406="TRUE","Out of stock","In stock")</f>
        <v>In stock</v>
      </c>
      <c r="M2406" s="0" t="str">
        <f aca="false">IF(D2406&lt;5,"1) Under 5%",IF(D2406&lt;10,"2) 5-9%",IF(D2406&lt;15,"3) 10-14%",IF(D2406&lt;25,"4) 15-24%","5) 25%+"))))</f>
        <v>5) 25%+</v>
      </c>
      <c r="N2406" s="0" t="str">
        <f aca="false">IF(F2406&lt;50,"1) Under Rs 50",IF(F2406&lt;100,"2) Rs 50-99",IF(F2406&lt;200,"3) Rs 100-199",IF(F2406&lt;500,"4) Rs 200-499","5) Rs 500+"))))</f>
        <v>2) Rs 50-99</v>
      </c>
      <c r="O2406" s="0" t="n">
        <f aca="false">G2406*E2406/1000</f>
        <v>1.71</v>
      </c>
    </row>
    <row r="2407" customFormat="false" ht="15" hidden="false" customHeight="false" outlineLevel="0" collapsed="false">
      <c r="A2407" s="0" t="s">
        <v>90</v>
      </c>
      <c r="B2407" s="0" t="s">
        <v>991</v>
      </c>
      <c r="C2407" s="0" t="n">
        <v>169</v>
      </c>
      <c r="D2407" s="0" t="n">
        <v>5</v>
      </c>
      <c r="E2407" s="0" t="n">
        <v>6</v>
      </c>
      <c r="F2407" s="0" t="n">
        <v>160</v>
      </c>
      <c r="G2407" s="0" t="n">
        <v>250</v>
      </c>
      <c r="H2407" s="0" t="s">
        <v>145</v>
      </c>
      <c r="I2407" s="0" t="n">
        <v>250</v>
      </c>
      <c r="J2407" s="0" t="n">
        <f aca="false">F2407*E2407</f>
        <v>960</v>
      </c>
      <c r="K2407" s="0" t="str">
        <f aca="false">IF(G2407&lt;1000,"1-Low",IF(G2407&lt;5000,"2-Medium","3-Bulk"))</f>
        <v>1-Low</v>
      </c>
      <c r="L2407" s="0" t="str">
        <f aca="false">IF(H2407="TRUE","Out of stock","In stock")</f>
        <v>In stock</v>
      </c>
      <c r="M2407" s="0" t="str">
        <f aca="false">IF(D2407&lt;5,"1) Under 5%",IF(D2407&lt;10,"2) 5-9%",IF(D2407&lt;15,"3) 10-14%",IF(D2407&lt;25,"4) 15-24%","5) 25%+"))))</f>
        <v>2) 5-9%</v>
      </c>
      <c r="N2407" s="0" t="str">
        <f aca="false">IF(F2407&lt;50,"1) Under Rs 50",IF(F2407&lt;100,"2) Rs 50-99",IF(F2407&lt;200,"3) Rs 100-199",IF(F2407&lt;500,"4) Rs 200-499","5) Rs 500+"))))</f>
        <v>3) Rs 100-199</v>
      </c>
      <c r="O2407" s="0" t="n">
        <f aca="false">G2407*E2407/1000</f>
        <v>1.5</v>
      </c>
    </row>
    <row r="2408" customFormat="false" ht="15" hidden="false" customHeight="false" outlineLevel="0" collapsed="false">
      <c r="A2408" s="0" t="s">
        <v>90</v>
      </c>
      <c r="B2408" s="0" t="s">
        <v>992</v>
      </c>
      <c r="C2408" s="0" t="n">
        <v>325</v>
      </c>
      <c r="D2408" s="0" t="n">
        <v>15</v>
      </c>
      <c r="E2408" s="0" t="n">
        <v>6</v>
      </c>
      <c r="F2408" s="0" t="n">
        <v>276</v>
      </c>
      <c r="G2408" s="0" t="n">
        <v>200</v>
      </c>
      <c r="H2408" s="0" t="s">
        <v>145</v>
      </c>
      <c r="I2408" s="0" t="n">
        <v>200</v>
      </c>
      <c r="J2408" s="0" t="n">
        <f aca="false">F2408*E2408</f>
        <v>1656</v>
      </c>
      <c r="K2408" s="0" t="str">
        <f aca="false">IF(G2408&lt;1000,"1-Low",IF(G2408&lt;5000,"2-Medium","3-Bulk"))</f>
        <v>1-Low</v>
      </c>
      <c r="L2408" s="0" t="str">
        <f aca="false">IF(H2408="TRUE","Out of stock","In stock")</f>
        <v>In stock</v>
      </c>
      <c r="M2408" s="0" t="str">
        <f aca="false">IF(D2408&lt;5,"1) Under 5%",IF(D2408&lt;10,"2) 5-9%",IF(D2408&lt;15,"3) 10-14%",IF(D2408&lt;25,"4) 15-24%","5) 25%+"))))</f>
        <v>4) 15-24%</v>
      </c>
      <c r="N2408" s="0" t="str">
        <f aca="false">IF(F2408&lt;50,"1) Under Rs 50",IF(F2408&lt;100,"2) Rs 50-99",IF(F2408&lt;200,"3) Rs 100-199",IF(F2408&lt;500,"4) Rs 200-499","5) Rs 500+"))))</f>
        <v>4) Rs 200-499</v>
      </c>
      <c r="O2408" s="0" t="n">
        <f aca="false">G2408*E2408/1000</f>
        <v>1.2</v>
      </c>
    </row>
    <row r="2409" customFormat="false" ht="15" hidden="false" customHeight="false" outlineLevel="0" collapsed="false">
      <c r="A2409" s="0" t="s">
        <v>90</v>
      </c>
      <c r="B2409" s="0" t="s">
        <v>993</v>
      </c>
      <c r="C2409" s="0" t="n">
        <v>410</v>
      </c>
      <c r="D2409" s="0" t="n">
        <v>0</v>
      </c>
      <c r="E2409" s="0" t="n">
        <v>1</v>
      </c>
      <c r="F2409" s="0" t="n">
        <v>410</v>
      </c>
      <c r="G2409" s="0" t="n">
        <v>1200</v>
      </c>
      <c r="H2409" s="0" t="s">
        <v>145</v>
      </c>
      <c r="I2409" s="0" t="n">
        <v>1</v>
      </c>
      <c r="J2409" s="0" t="n">
        <f aca="false">F2409*E2409</f>
        <v>410</v>
      </c>
      <c r="K2409" s="0" t="str">
        <f aca="false">IF(G2409&lt;1000,"1-Low",IF(G2409&lt;5000,"2-Medium","3-Bulk"))</f>
        <v>2-Medium</v>
      </c>
      <c r="L2409" s="0" t="str">
        <f aca="false">IF(H2409="TRUE","Out of stock","In stock")</f>
        <v>In stock</v>
      </c>
      <c r="M2409" s="0" t="str">
        <f aca="false">IF(D2409&lt;5,"1) Under 5%",IF(D2409&lt;10,"2) 5-9%",IF(D2409&lt;15,"3) 10-14%",IF(D2409&lt;25,"4) 15-24%","5) 25%+"))))</f>
        <v>1) Under 5%</v>
      </c>
      <c r="N2409" s="0" t="str">
        <f aca="false">IF(F2409&lt;50,"1) Under Rs 50",IF(F2409&lt;100,"2) Rs 50-99",IF(F2409&lt;200,"3) Rs 100-199",IF(F2409&lt;500,"4) Rs 200-499","5) Rs 500+"))))</f>
        <v>4) Rs 200-499</v>
      </c>
      <c r="O2409" s="0" t="n">
        <f aca="false">G2409*E2409/1000</f>
        <v>1.2</v>
      </c>
    </row>
    <row r="2410" customFormat="false" ht="15" hidden="false" customHeight="false" outlineLevel="0" collapsed="false">
      <c r="A2410" s="0" t="s">
        <v>90</v>
      </c>
      <c r="B2410" s="0" t="s">
        <v>994</v>
      </c>
      <c r="C2410" s="0" t="n">
        <v>200</v>
      </c>
      <c r="D2410" s="0" t="n">
        <v>30</v>
      </c>
      <c r="E2410" s="0" t="n">
        <v>4</v>
      </c>
      <c r="F2410" s="0" t="n">
        <v>140</v>
      </c>
      <c r="G2410" s="0" t="n">
        <v>285</v>
      </c>
      <c r="H2410" s="0" t="s">
        <v>145</v>
      </c>
      <c r="I2410" s="0" t="n">
        <v>285</v>
      </c>
      <c r="J2410" s="0" t="n">
        <f aca="false">F2410*E2410</f>
        <v>560</v>
      </c>
      <c r="K2410" s="0" t="str">
        <f aca="false">IF(G2410&lt;1000,"1-Low",IF(G2410&lt;5000,"2-Medium","3-Bulk"))</f>
        <v>1-Low</v>
      </c>
      <c r="L2410" s="0" t="str">
        <f aca="false">IF(H2410="TRUE","Out of stock","In stock")</f>
        <v>In stock</v>
      </c>
      <c r="M2410" s="0" t="str">
        <f aca="false">IF(D2410&lt;5,"1) Under 5%",IF(D2410&lt;10,"2) 5-9%",IF(D2410&lt;15,"3) 10-14%",IF(D2410&lt;25,"4) 15-24%","5) 25%+"))))</f>
        <v>5) 25%+</v>
      </c>
      <c r="N2410" s="0" t="str">
        <f aca="false">IF(F2410&lt;50,"1) Under Rs 50",IF(F2410&lt;100,"2) Rs 50-99",IF(F2410&lt;200,"3) Rs 100-199",IF(F2410&lt;500,"4) Rs 200-499","5) Rs 500+"))))</f>
        <v>3) Rs 100-199</v>
      </c>
      <c r="O2410" s="0" t="n">
        <f aca="false">G2410*E2410/1000</f>
        <v>1.14</v>
      </c>
    </row>
    <row r="2411" customFormat="false" ht="15" hidden="false" customHeight="false" outlineLevel="0" collapsed="false">
      <c r="A2411" s="0" t="s">
        <v>90</v>
      </c>
      <c r="B2411" s="0" t="s">
        <v>995</v>
      </c>
      <c r="C2411" s="0" t="n">
        <v>299</v>
      </c>
      <c r="D2411" s="0" t="n">
        <v>10</v>
      </c>
      <c r="E2411" s="0" t="n">
        <v>6</v>
      </c>
      <c r="F2411" s="0" t="n">
        <v>269</v>
      </c>
      <c r="G2411" s="0" t="n">
        <v>400</v>
      </c>
      <c r="H2411" s="0" t="s">
        <v>145</v>
      </c>
      <c r="I2411" s="0" t="n">
        <v>400</v>
      </c>
      <c r="J2411" s="0" t="n">
        <f aca="false">F2411*E2411</f>
        <v>1614</v>
      </c>
      <c r="K2411" s="0" t="str">
        <f aca="false">IF(G2411&lt;1000,"1-Low",IF(G2411&lt;5000,"2-Medium","3-Bulk"))</f>
        <v>1-Low</v>
      </c>
      <c r="L2411" s="0" t="str">
        <f aca="false">IF(H2411="TRUE","Out of stock","In stock")</f>
        <v>In stock</v>
      </c>
      <c r="M2411" s="0" t="str">
        <f aca="false">IF(D2411&lt;5,"1) Under 5%",IF(D2411&lt;10,"2) 5-9%",IF(D2411&lt;15,"3) 10-14%",IF(D2411&lt;25,"4) 15-24%","5) 25%+"))))</f>
        <v>3) 10-14%</v>
      </c>
      <c r="N2411" s="0" t="str">
        <f aca="false">IF(F2411&lt;50,"1) Under Rs 50",IF(F2411&lt;100,"2) Rs 50-99",IF(F2411&lt;200,"3) Rs 100-199",IF(F2411&lt;500,"4) Rs 200-499","5) Rs 500+"))))</f>
        <v>4) Rs 200-499</v>
      </c>
      <c r="O2411" s="0" t="n">
        <f aca="false">G2411*E2411/1000</f>
        <v>2.4</v>
      </c>
    </row>
    <row r="2412" customFormat="false" ht="15" hidden="false" customHeight="false" outlineLevel="0" collapsed="false">
      <c r="A2412" s="0" t="s">
        <v>90</v>
      </c>
      <c r="B2412" s="0" t="s">
        <v>996</v>
      </c>
      <c r="C2412" s="0" t="n">
        <v>40</v>
      </c>
      <c r="D2412" s="0" t="n">
        <v>0</v>
      </c>
      <c r="E2412" s="0" t="n">
        <v>6</v>
      </c>
      <c r="F2412" s="0" t="n">
        <v>40</v>
      </c>
      <c r="G2412" s="0" t="n">
        <v>46</v>
      </c>
      <c r="H2412" s="0" t="s">
        <v>145</v>
      </c>
      <c r="I2412" s="0" t="n">
        <v>46</v>
      </c>
      <c r="J2412" s="0" t="n">
        <f aca="false">F2412*E2412</f>
        <v>240</v>
      </c>
      <c r="K2412" s="0" t="str">
        <f aca="false">IF(G2412&lt;1000,"1-Low",IF(G2412&lt;5000,"2-Medium","3-Bulk"))</f>
        <v>1-Low</v>
      </c>
      <c r="L2412" s="0" t="str">
        <f aca="false">IF(H2412="TRUE","Out of stock","In stock")</f>
        <v>In stock</v>
      </c>
      <c r="M2412" s="0" t="str">
        <f aca="false">IF(D2412&lt;5,"1) Under 5%",IF(D2412&lt;10,"2) 5-9%",IF(D2412&lt;15,"3) 10-14%",IF(D2412&lt;25,"4) 15-24%","5) 25%+"))))</f>
        <v>1) Under 5%</v>
      </c>
      <c r="N2412" s="0" t="str">
        <f aca="false">IF(F2412&lt;50,"1) Under Rs 50",IF(F2412&lt;100,"2) Rs 50-99",IF(F2412&lt;200,"3) Rs 100-199",IF(F2412&lt;500,"4) Rs 200-499","5) Rs 500+"))))</f>
        <v>1) Under Rs 50</v>
      </c>
      <c r="O2412" s="0" t="n">
        <f aca="false">G2412*E2412/1000</f>
        <v>0.276</v>
      </c>
    </row>
    <row r="2413" customFormat="false" ht="15" hidden="false" customHeight="false" outlineLevel="0" collapsed="false">
      <c r="A2413" s="0" t="s">
        <v>90</v>
      </c>
      <c r="B2413" s="0" t="s">
        <v>997</v>
      </c>
      <c r="C2413" s="0" t="n">
        <v>425</v>
      </c>
      <c r="D2413" s="0" t="n">
        <v>9</v>
      </c>
      <c r="E2413" s="0" t="n">
        <v>3</v>
      </c>
      <c r="F2413" s="0" t="n">
        <v>383</v>
      </c>
      <c r="G2413" s="0" t="n">
        <v>750</v>
      </c>
      <c r="H2413" s="0" t="s">
        <v>145</v>
      </c>
      <c r="I2413" s="0" t="n">
        <v>750</v>
      </c>
      <c r="J2413" s="0" t="n">
        <f aca="false">F2413*E2413</f>
        <v>1149</v>
      </c>
      <c r="K2413" s="0" t="str">
        <f aca="false">IF(G2413&lt;1000,"1-Low",IF(G2413&lt;5000,"2-Medium","3-Bulk"))</f>
        <v>1-Low</v>
      </c>
      <c r="L2413" s="0" t="str">
        <f aca="false">IF(H2413="TRUE","Out of stock","In stock")</f>
        <v>In stock</v>
      </c>
      <c r="M2413" s="0" t="str">
        <f aca="false">IF(D2413&lt;5,"1) Under 5%",IF(D2413&lt;10,"2) 5-9%",IF(D2413&lt;15,"3) 10-14%",IF(D2413&lt;25,"4) 15-24%","5) 25%+"))))</f>
        <v>2) 5-9%</v>
      </c>
      <c r="N2413" s="0" t="str">
        <f aca="false">IF(F2413&lt;50,"1) Under Rs 50",IF(F2413&lt;100,"2) Rs 50-99",IF(F2413&lt;200,"3) Rs 100-199",IF(F2413&lt;500,"4) Rs 200-499","5) Rs 500+"))))</f>
        <v>4) Rs 200-499</v>
      </c>
      <c r="O2413" s="0" t="n">
        <f aca="false">G2413*E2413/1000</f>
        <v>2.25</v>
      </c>
    </row>
    <row r="2414" customFormat="false" ht="15" hidden="false" customHeight="false" outlineLevel="0" collapsed="false">
      <c r="A2414" s="0" t="s">
        <v>90</v>
      </c>
      <c r="B2414" s="0" t="s">
        <v>564</v>
      </c>
      <c r="C2414" s="0" t="n">
        <v>110</v>
      </c>
      <c r="D2414" s="0" t="n">
        <v>30</v>
      </c>
      <c r="E2414" s="0" t="n">
        <v>6</v>
      </c>
      <c r="F2414" s="0" t="n">
        <v>77</v>
      </c>
      <c r="G2414" s="0" t="n">
        <v>285</v>
      </c>
      <c r="H2414" s="0" t="s">
        <v>145</v>
      </c>
      <c r="I2414" s="0" t="n">
        <v>285</v>
      </c>
      <c r="J2414" s="0" t="n">
        <f aca="false">F2414*E2414</f>
        <v>462</v>
      </c>
      <c r="K2414" s="0" t="str">
        <f aca="false">IF(G2414&lt;1000,"1-Low",IF(G2414&lt;5000,"2-Medium","3-Bulk"))</f>
        <v>1-Low</v>
      </c>
      <c r="L2414" s="0" t="str">
        <f aca="false">IF(H2414="TRUE","Out of stock","In stock")</f>
        <v>In stock</v>
      </c>
      <c r="M2414" s="0" t="str">
        <f aca="false">IF(D2414&lt;5,"1) Under 5%",IF(D2414&lt;10,"2) 5-9%",IF(D2414&lt;15,"3) 10-14%",IF(D2414&lt;25,"4) 15-24%","5) 25%+"))))</f>
        <v>5) 25%+</v>
      </c>
      <c r="N2414" s="0" t="str">
        <f aca="false">IF(F2414&lt;50,"1) Under Rs 50",IF(F2414&lt;100,"2) Rs 50-99",IF(F2414&lt;200,"3) Rs 100-199",IF(F2414&lt;500,"4) Rs 200-499","5) Rs 500+"))))</f>
        <v>2) Rs 50-99</v>
      </c>
      <c r="O2414" s="0" t="n">
        <f aca="false">G2414*E2414/1000</f>
        <v>1.71</v>
      </c>
    </row>
    <row r="2415" customFormat="false" ht="15" hidden="false" customHeight="false" outlineLevel="0" collapsed="false">
      <c r="A2415" s="0" t="s">
        <v>90</v>
      </c>
      <c r="B2415" s="0" t="s">
        <v>772</v>
      </c>
      <c r="C2415" s="0" t="n">
        <v>215</v>
      </c>
      <c r="D2415" s="0" t="n">
        <v>20</v>
      </c>
      <c r="E2415" s="0" t="n">
        <v>6</v>
      </c>
      <c r="F2415" s="0" t="n">
        <v>172</v>
      </c>
      <c r="G2415" s="0" t="n">
        <v>325</v>
      </c>
      <c r="H2415" s="0" t="s">
        <v>145</v>
      </c>
      <c r="I2415" s="0" t="n">
        <v>325</v>
      </c>
      <c r="J2415" s="0" t="n">
        <f aca="false">F2415*E2415</f>
        <v>1032</v>
      </c>
      <c r="K2415" s="0" t="str">
        <f aca="false">IF(G2415&lt;1000,"1-Low",IF(G2415&lt;5000,"2-Medium","3-Bulk"))</f>
        <v>1-Low</v>
      </c>
      <c r="L2415" s="0" t="str">
        <f aca="false">IF(H2415="TRUE","Out of stock","In stock")</f>
        <v>In stock</v>
      </c>
      <c r="M2415" s="0" t="str">
        <f aca="false">IF(D2415&lt;5,"1) Under 5%",IF(D2415&lt;10,"2) 5-9%",IF(D2415&lt;15,"3) 10-14%",IF(D2415&lt;25,"4) 15-24%","5) 25%+"))))</f>
        <v>4) 15-24%</v>
      </c>
      <c r="N2415" s="0" t="str">
        <f aca="false">IF(F2415&lt;50,"1) Under Rs 50",IF(F2415&lt;100,"2) Rs 50-99",IF(F2415&lt;200,"3) Rs 100-199",IF(F2415&lt;500,"4) Rs 200-499","5) Rs 500+"))))</f>
        <v>3) Rs 100-199</v>
      </c>
      <c r="O2415" s="0" t="n">
        <f aca="false">G2415*E2415/1000</f>
        <v>1.95</v>
      </c>
    </row>
    <row r="2416" customFormat="false" ht="15" hidden="false" customHeight="false" outlineLevel="0" collapsed="false">
      <c r="A2416" s="0" t="s">
        <v>90</v>
      </c>
      <c r="B2416" s="0" t="s">
        <v>998</v>
      </c>
      <c r="C2416" s="0" t="n">
        <v>230</v>
      </c>
      <c r="D2416" s="0" t="n">
        <v>0</v>
      </c>
      <c r="E2416" s="0" t="n">
        <v>6</v>
      </c>
      <c r="F2416" s="0" t="n">
        <v>230</v>
      </c>
      <c r="G2416" s="0" t="n">
        <v>241</v>
      </c>
      <c r="H2416" s="0" t="s">
        <v>145</v>
      </c>
      <c r="I2416" s="0" t="n">
        <v>241</v>
      </c>
      <c r="J2416" s="0" t="n">
        <f aca="false">F2416*E2416</f>
        <v>1380</v>
      </c>
      <c r="K2416" s="0" t="str">
        <f aca="false">IF(G2416&lt;1000,"1-Low",IF(G2416&lt;5000,"2-Medium","3-Bulk"))</f>
        <v>1-Low</v>
      </c>
      <c r="L2416" s="0" t="str">
        <f aca="false">IF(H2416="TRUE","Out of stock","In stock")</f>
        <v>In stock</v>
      </c>
      <c r="M2416" s="0" t="str">
        <f aca="false">IF(D2416&lt;5,"1) Under 5%",IF(D2416&lt;10,"2) 5-9%",IF(D2416&lt;15,"3) 10-14%",IF(D2416&lt;25,"4) 15-24%","5) 25%+"))))</f>
        <v>1) Under 5%</v>
      </c>
      <c r="N2416" s="0" t="str">
        <f aca="false">IF(F2416&lt;50,"1) Under Rs 50",IF(F2416&lt;100,"2) Rs 50-99",IF(F2416&lt;200,"3) Rs 100-199",IF(F2416&lt;500,"4) Rs 200-499","5) Rs 500+"))))</f>
        <v>4) Rs 200-499</v>
      </c>
      <c r="O2416" s="0" t="n">
        <f aca="false">G2416*E2416/1000</f>
        <v>1.446</v>
      </c>
    </row>
    <row r="2417" customFormat="false" ht="15" hidden="false" customHeight="false" outlineLevel="0" collapsed="false">
      <c r="A2417" s="0" t="s">
        <v>90</v>
      </c>
      <c r="B2417" s="0" t="s">
        <v>980</v>
      </c>
      <c r="C2417" s="0" t="n">
        <v>105</v>
      </c>
      <c r="D2417" s="0" t="n">
        <v>0</v>
      </c>
      <c r="E2417" s="0" t="n">
        <v>6</v>
      </c>
      <c r="F2417" s="0" t="n">
        <v>105</v>
      </c>
      <c r="G2417" s="0" t="n">
        <v>425</v>
      </c>
      <c r="H2417" s="0" t="s">
        <v>145</v>
      </c>
      <c r="I2417" s="0" t="n">
        <v>425</v>
      </c>
      <c r="J2417" s="0" t="n">
        <f aca="false">F2417*E2417</f>
        <v>630</v>
      </c>
      <c r="K2417" s="0" t="str">
        <f aca="false">IF(G2417&lt;1000,"1-Low",IF(G2417&lt;5000,"2-Medium","3-Bulk"))</f>
        <v>1-Low</v>
      </c>
      <c r="L2417" s="0" t="str">
        <f aca="false">IF(H2417="TRUE","Out of stock","In stock")</f>
        <v>In stock</v>
      </c>
      <c r="M2417" s="0" t="str">
        <f aca="false">IF(D2417&lt;5,"1) Under 5%",IF(D2417&lt;10,"2) 5-9%",IF(D2417&lt;15,"3) 10-14%",IF(D2417&lt;25,"4) 15-24%","5) 25%+"))))</f>
        <v>1) Under 5%</v>
      </c>
      <c r="N2417" s="0" t="str">
        <f aca="false">IF(F2417&lt;50,"1) Under Rs 50",IF(F2417&lt;100,"2) Rs 50-99",IF(F2417&lt;200,"3) Rs 100-199",IF(F2417&lt;500,"4) Rs 200-499","5) Rs 500+"))))</f>
        <v>3) Rs 100-199</v>
      </c>
      <c r="O2417" s="0" t="n">
        <f aca="false">G2417*E2417/1000</f>
        <v>2.55</v>
      </c>
    </row>
    <row r="2418" customFormat="false" ht="15" hidden="false" customHeight="false" outlineLevel="0" collapsed="false">
      <c r="A2418" s="0" t="s">
        <v>90</v>
      </c>
      <c r="B2418" s="0" t="s">
        <v>999</v>
      </c>
      <c r="C2418" s="0" t="n">
        <v>595</v>
      </c>
      <c r="D2418" s="0" t="n">
        <v>0</v>
      </c>
      <c r="E2418" s="0" t="n">
        <v>1</v>
      </c>
      <c r="F2418" s="0" t="n">
        <v>595</v>
      </c>
      <c r="G2418" s="0" t="n">
        <v>1000</v>
      </c>
      <c r="H2418" s="0" t="s">
        <v>145</v>
      </c>
      <c r="I2418" s="0" t="n">
        <v>1</v>
      </c>
      <c r="J2418" s="0" t="n">
        <f aca="false">F2418*E2418</f>
        <v>595</v>
      </c>
      <c r="K2418" s="0" t="str">
        <f aca="false">IF(G2418&lt;1000,"1-Low",IF(G2418&lt;5000,"2-Medium","3-Bulk"))</f>
        <v>2-Medium</v>
      </c>
      <c r="L2418" s="0" t="str">
        <f aca="false">IF(H2418="TRUE","Out of stock","In stock")</f>
        <v>In stock</v>
      </c>
      <c r="M2418" s="0" t="str">
        <f aca="false">IF(D2418&lt;5,"1) Under 5%",IF(D2418&lt;10,"2) 5-9%",IF(D2418&lt;15,"3) 10-14%",IF(D2418&lt;25,"4) 15-24%","5) 25%+"))))</f>
        <v>1) Under 5%</v>
      </c>
      <c r="N2418" s="0" t="str">
        <f aca="false">IF(F2418&lt;50,"1) Under Rs 50",IF(F2418&lt;100,"2) Rs 50-99",IF(F2418&lt;200,"3) Rs 100-199",IF(F2418&lt;500,"4) Rs 200-499","5) Rs 500+"))))</f>
        <v>5) Rs 500+</v>
      </c>
      <c r="O2418" s="0" t="n">
        <f aca="false">G2418*E2418/1000</f>
        <v>1</v>
      </c>
    </row>
    <row r="2419" customFormat="false" ht="15" hidden="false" customHeight="false" outlineLevel="0" collapsed="false">
      <c r="A2419" s="0" t="s">
        <v>90</v>
      </c>
      <c r="B2419" s="0" t="s">
        <v>1000</v>
      </c>
      <c r="C2419" s="0" t="n">
        <v>15</v>
      </c>
      <c r="D2419" s="0" t="n">
        <v>0</v>
      </c>
      <c r="E2419" s="0" t="n">
        <v>3</v>
      </c>
      <c r="F2419" s="0" t="n">
        <v>15</v>
      </c>
      <c r="G2419" s="0" t="n">
        <v>20</v>
      </c>
      <c r="H2419" s="0" t="s">
        <v>145</v>
      </c>
      <c r="I2419" s="0" t="n">
        <v>20</v>
      </c>
      <c r="J2419" s="0" t="n">
        <f aca="false">F2419*E2419</f>
        <v>45</v>
      </c>
      <c r="K2419" s="0" t="str">
        <f aca="false">IF(G2419&lt;1000,"1-Low",IF(G2419&lt;5000,"2-Medium","3-Bulk"))</f>
        <v>1-Low</v>
      </c>
      <c r="L2419" s="0" t="str">
        <f aca="false">IF(H2419="TRUE","Out of stock","In stock")</f>
        <v>In stock</v>
      </c>
      <c r="M2419" s="0" t="str">
        <f aca="false">IF(D2419&lt;5,"1) Under 5%",IF(D2419&lt;10,"2) 5-9%",IF(D2419&lt;15,"3) 10-14%",IF(D2419&lt;25,"4) 15-24%","5) 25%+"))))</f>
        <v>1) Under 5%</v>
      </c>
      <c r="N2419" s="0" t="str">
        <f aca="false">IF(F2419&lt;50,"1) Under Rs 50",IF(F2419&lt;100,"2) Rs 50-99",IF(F2419&lt;200,"3) Rs 100-199",IF(F2419&lt;500,"4) Rs 200-499","5) Rs 500+"))))</f>
        <v>1) Under Rs 50</v>
      </c>
      <c r="O2419" s="0" t="n">
        <f aca="false">G2419*E2419/1000</f>
        <v>0.06</v>
      </c>
    </row>
    <row r="2420" customFormat="false" ht="15" hidden="false" customHeight="false" outlineLevel="0" collapsed="false">
      <c r="A2420" s="0" t="s">
        <v>90</v>
      </c>
      <c r="B2420" s="0" t="s">
        <v>1001</v>
      </c>
      <c r="C2420" s="0" t="n">
        <v>140</v>
      </c>
      <c r="D2420" s="0" t="n">
        <v>5</v>
      </c>
      <c r="E2420" s="0" t="n">
        <v>1</v>
      </c>
      <c r="F2420" s="0" t="n">
        <v>133</v>
      </c>
      <c r="G2420" s="0" t="n">
        <v>290</v>
      </c>
      <c r="H2420" s="0" t="s">
        <v>145</v>
      </c>
      <c r="I2420" s="0" t="n">
        <v>290</v>
      </c>
      <c r="J2420" s="0" t="n">
        <f aca="false">F2420*E2420</f>
        <v>133</v>
      </c>
      <c r="K2420" s="0" t="str">
        <f aca="false">IF(G2420&lt;1000,"1-Low",IF(G2420&lt;5000,"2-Medium","3-Bulk"))</f>
        <v>1-Low</v>
      </c>
      <c r="L2420" s="0" t="str">
        <f aca="false">IF(H2420="TRUE","Out of stock","In stock")</f>
        <v>In stock</v>
      </c>
      <c r="M2420" s="0" t="str">
        <f aca="false">IF(D2420&lt;5,"1) Under 5%",IF(D2420&lt;10,"2) 5-9%",IF(D2420&lt;15,"3) 10-14%",IF(D2420&lt;25,"4) 15-24%","5) 25%+"))))</f>
        <v>2) 5-9%</v>
      </c>
      <c r="N2420" s="0" t="str">
        <f aca="false">IF(F2420&lt;50,"1) Under Rs 50",IF(F2420&lt;100,"2) Rs 50-99",IF(F2420&lt;200,"3) Rs 100-199",IF(F2420&lt;500,"4) Rs 200-499","5) Rs 500+"))))</f>
        <v>3) Rs 100-199</v>
      </c>
      <c r="O2420" s="0" t="n">
        <f aca="false">G2420*E2420/1000</f>
        <v>0.29</v>
      </c>
    </row>
    <row r="2421" customFormat="false" ht="15" hidden="false" customHeight="false" outlineLevel="0" collapsed="false">
      <c r="A2421" s="0" t="s">
        <v>90</v>
      </c>
      <c r="B2421" s="0" t="s">
        <v>1002</v>
      </c>
      <c r="C2421" s="0" t="n">
        <v>280</v>
      </c>
      <c r="D2421" s="0" t="n">
        <v>50</v>
      </c>
      <c r="E2421" s="0" t="n">
        <v>5</v>
      </c>
      <c r="F2421" s="0" t="n">
        <v>140</v>
      </c>
      <c r="G2421" s="0" t="n">
        <v>175</v>
      </c>
      <c r="H2421" s="0" t="s">
        <v>145</v>
      </c>
      <c r="I2421" s="0" t="n">
        <v>175</v>
      </c>
      <c r="J2421" s="0" t="n">
        <f aca="false">F2421*E2421</f>
        <v>700</v>
      </c>
      <c r="K2421" s="0" t="str">
        <f aca="false">IF(G2421&lt;1000,"1-Low",IF(G2421&lt;5000,"2-Medium","3-Bulk"))</f>
        <v>1-Low</v>
      </c>
      <c r="L2421" s="0" t="str">
        <f aca="false">IF(H2421="TRUE","Out of stock","In stock")</f>
        <v>In stock</v>
      </c>
      <c r="M2421" s="0" t="str">
        <f aca="false">IF(D2421&lt;5,"1) Under 5%",IF(D2421&lt;10,"2) 5-9%",IF(D2421&lt;15,"3) 10-14%",IF(D2421&lt;25,"4) 15-24%","5) 25%+"))))</f>
        <v>5) 25%+</v>
      </c>
      <c r="N2421" s="0" t="str">
        <f aca="false">IF(F2421&lt;50,"1) Under Rs 50",IF(F2421&lt;100,"2) Rs 50-99",IF(F2421&lt;200,"3) Rs 100-199",IF(F2421&lt;500,"4) Rs 200-499","5) Rs 500+"))))</f>
        <v>3) Rs 100-199</v>
      </c>
      <c r="O2421" s="0" t="n">
        <f aca="false">G2421*E2421/1000</f>
        <v>0.875</v>
      </c>
    </row>
    <row r="2422" customFormat="false" ht="15" hidden="false" customHeight="false" outlineLevel="0" collapsed="false">
      <c r="A2422" s="0" t="s">
        <v>90</v>
      </c>
      <c r="B2422" s="0" t="s">
        <v>1003</v>
      </c>
      <c r="C2422" s="0" t="n">
        <v>175</v>
      </c>
      <c r="D2422" s="0" t="n">
        <v>4</v>
      </c>
      <c r="E2422" s="0" t="n">
        <v>6</v>
      </c>
      <c r="F2422" s="0" t="n">
        <v>167</v>
      </c>
      <c r="G2422" s="0" t="n">
        <v>150</v>
      </c>
      <c r="H2422" s="0" t="s">
        <v>145</v>
      </c>
      <c r="I2422" s="0" t="n">
        <v>150</v>
      </c>
      <c r="J2422" s="0" t="n">
        <f aca="false">F2422*E2422</f>
        <v>1002</v>
      </c>
      <c r="K2422" s="0" t="str">
        <f aca="false">IF(G2422&lt;1000,"1-Low",IF(G2422&lt;5000,"2-Medium","3-Bulk"))</f>
        <v>1-Low</v>
      </c>
      <c r="L2422" s="0" t="str">
        <f aca="false">IF(H2422="TRUE","Out of stock","In stock")</f>
        <v>In stock</v>
      </c>
      <c r="M2422" s="0" t="str">
        <f aca="false">IF(D2422&lt;5,"1) Under 5%",IF(D2422&lt;10,"2) 5-9%",IF(D2422&lt;15,"3) 10-14%",IF(D2422&lt;25,"4) 15-24%","5) 25%+"))))</f>
        <v>1) Under 5%</v>
      </c>
      <c r="N2422" s="0" t="str">
        <f aca="false">IF(F2422&lt;50,"1) Under Rs 50",IF(F2422&lt;100,"2) Rs 50-99",IF(F2422&lt;200,"3) Rs 100-199",IF(F2422&lt;500,"4) Rs 200-499","5) Rs 500+"))))</f>
        <v>3) Rs 100-199</v>
      </c>
      <c r="O2422" s="0" t="n">
        <f aca="false">G2422*E2422/1000</f>
        <v>0.9</v>
      </c>
    </row>
    <row r="2423" customFormat="false" ht="15" hidden="false" customHeight="false" outlineLevel="0" collapsed="false">
      <c r="A2423" s="0" t="s">
        <v>90</v>
      </c>
      <c r="B2423" s="0" t="s">
        <v>1004</v>
      </c>
      <c r="C2423" s="0" t="n">
        <v>105</v>
      </c>
      <c r="D2423" s="0" t="n">
        <v>0</v>
      </c>
      <c r="E2423" s="0" t="n">
        <v>4</v>
      </c>
      <c r="F2423" s="0" t="n">
        <v>105</v>
      </c>
      <c r="G2423" s="0" t="n">
        <v>440</v>
      </c>
      <c r="H2423" s="0" t="s">
        <v>145</v>
      </c>
      <c r="I2423" s="0" t="n">
        <v>440</v>
      </c>
      <c r="J2423" s="0" t="n">
        <f aca="false">F2423*E2423</f>
        <v>420</v>
      </c>
      <c r="K2423" s="0" t="str">
        <f aca="false">IF(G2423&lt;1000,"1-Low",IF(G2423&lt;5000,"2-Medium","3-Bulk"))</f>
        <v>1-Low</v>
      </c>
      <c r="L2423" s="0" t="str">
        <f aca="false">IF(H2423="TRUE","Out of stock","In stock")</f>
        <v>In stock</v>
      </c>
      <c r="M2423" s="0" t="str">
        <f aca="false">IF(D2423&lt;5,"1) Under 5%",IF(D2423&lt;10,"2) 5-9%",IF(D2423&lt;15,"3) 10-14%",IF(D2423&lt;25,"4) 15-24%","5) 25%+"))))</f>
        <v>1) Under 5%</v>
      </c>
      <c r="N2423" s="0" t="str">
        <f aca="false">IF(F2423&lt;50,"1) Under Rs 50",IF(F2423&lt;100,"2) Rs 50-99",IF(F2423&lt;200,"3) Rs 100-199",IF(F2423&lt;500,"4) Rs 200-499","5) Rs 500+"))))</f>
        <v>3) Rs 100-199</v>
      </c>
      <c r="O2423" s="0" t="n">
        <f aca="false">G2423*E2423/1000</f>
        <v>1.76</v>
      </c>
    </row>
    <row r="2424" customFormat="false" ht="15" hidden="false" customHeight="false" outlineLevel="0" collapsed="false">
      <c r="A2424" s="0" t="s">
        <v>90</v>
      </c>
      <c r="B2424" s="0" t="s">
        <v>1005</v>
      </c>
      <c r="C2424" s="0" t="n">
        <v>55</v>
      </c>
      <c r="D2424" s="0" t="n">
        <v>0</v>
      </c>
      <c r="E2424" s="0" t="n">
        <v>5</v>
      </c>
      <c r="F2424" s="0" t="n">
        <v>55</v>
      </c>
      <c r="G2424" s="0" t="n">
        <v>55</v>
      </c>
      <c r="H2424" s="0" t="s">
        <v>145</v>
      </c>
      <c r="I2424" s="0" t="n">
        <v>55</v>
      </c>
      <c r="J2424" s="0" t="n">
        <f aca="false">F2424*E2424</f>
        <v>275</v>
      </c>
      <c r="K2424" s="0" t="str">
        <f aca="false">IF(G2424&lt;1000,"1-Low",IF(G2424&lt;5000,"2-Medium","3-Bulk"))</f>
        <v>1-Low</v>
      </c>
      <c r="L2424" s="0" t="str">
        <f aca="false">IF(H2424="TRUE","Out of stock","In stock")</f>
        <v>In stock</v>
      </c>
      <c r="M2424" s="0" t="str">
        <f aca="false">IF(D2424&lt;5,"1) Under 5%",IF(D2424&lt;10,"2) 5-9%",IF(D2424&lt;15,"3) 10-14%",IF(D2424&lt;25,"4) 15-24%","5) 25%+"))))</f>
        <v>1) Under 5%</v>
      </c>
      <c r="N2424" s="0" t="str">
        <f aca="false">IF(F2424&lt;50,"1) Under Rs 50",IF(F2424&lt;100,"2) Rs 50-99",IF(F2424&lt;200,"3) Rs 100-199",IF(F2424&lt;500,"4) Rs 200-499","5) Rs 500+"))))</f>
        <v>2) Rs 50-99</v>
      </c>
      <c r="O2424" s="0" t="n">
        <f aca="false">G2424*E2424/1000</f>
        <v>0.275</v>
      </c>
    </row>
    <row r="2425" customFormat="false" ht="15" hidden="false" customHeight="false" outlineLevel="0" collapsed="false">
      <c r="A2425" s="0" t="s">
        <v>90</v>
      </c>
      <c r="B2425" s="0" t="s">
        <v>1006</v>
      </c>
      <c r="C2425" s="0" t="n">
        <v>200</v>
      </c>
      <c r="D2425" s="0" t="n">
        <v>0</v>
      </c>
      <c r="E2425" s="0" t="n">
        <v>6</v>
      </c>
      <c r="F2425" s="0" t="n">
        <v>200</v>
      </c>
      <c r="G2425" s="0" t="n">
        <v>130</v>
      </c>
      <c r="H2425" s="0" t="s">
        <v>145</v>
      </c>
      <c r="I2425" s="0" t="n">
        <v>130</v>
      </c>
      <c r="J2425" s="0" t="n">
        <f aca="false">F2425*E2425</f>
        <v>1200</v>
      </c>
      <c r="K2425" s="0" t="str">
        <f aca="false">IF(G2425&lt;1000,"1-Low",IF(G2425&lt;5000,"2-Medium","3-Bulk"))</f>
        <v>1-Low</v>
      </c>
      <c r="L2425" s="0" t="str">
        <f aca="false">IF(H2425="TRUE","Out of stock","In stock")</f>
        <v>In stock</v>
      </c>
      <c r="M2425" s="0" t="str">
        <f aca="false">IF(D2425&lt;5,"1) Under 5%",IF(D2425&lt;10,"2) 5-9%",IF(D2425&lt;15,"3) 10-14%",IF(D2425&lt;25,"4) 15-24%","5) 25%+"))))</f>
        <v>1) Under 5%</v>
      </c>
      <c r="N2425" s="0" t="str">
        <f aca="false">IF(F2425&lt;50,"1) Under Rs 50",IF(F2425&lt;100,"2) Rs 50-99",IF(F2425&lt;200,"3) Rs 100-199",IF(F2425&lt;500,"4) Rs 200-499","5) Rs 500+"))))</f>
        <v>4) Rs 200-499</v>
      </c>
      <c r="O2425" s="0" t="n">
        <f aca="false">G2425*E2425/1000</f>
        <v>0.78</v>
      </c>
    </row>
    <row r="2426" customFormat="false" ht="15" hidden="false" customHeight="false" outlineLevel="0" collapsed="false">
      <c r="A2426" s="0" t="s">
        <v>90</v>
      </c>
      <c r="B2426" s="0" t="s">
        <v>1007</v>
      </c>
      <c r="C2426" s="0" t="n">
        <v>55</v>
      </c>
      <c r="D2426" s="0" t="n">
        <v>30</v>
      </c>
      <c r="E2426" s="0" t="n">
        <v>5</v>
      </c>
      <c r="F2426" s="0" t="n">
        <v>38</v>
      </c>
      <c r="G2426" s="0" t="n">
        <v>80</v>
      </c>
      <c r="H2426" s="0" t="s">
        <v>145</v>
      </c>
      <c r="I2426" s="0" t="n">
        <v>80</v>
      </c>
      <c r="J2426" s="0" t="n">
        <f aca="false">F2426*E2426</f>
        <v>190</v>
      </c>
      <c r="K2426" s="0" t="str">
        <f aca="false">IF(G2426&lt;1000,"1-Low",IF(G2426&lt;5000,"2-Medium","3-Bulk"))</f>
        <v>1-Low</v>
      </c>
      <c r="L2426" s="0" t="str">
        <f aca="false">IF(H2426="TRUE","Out of stock","In stock")</f>
        <v>In stock</v>
      </c>
      <c r="M2426" s="0" t="str">
        <f aca="false">IF(D2426&lt;5,"1) Under 5%",IF(D2426&lt;10,"2) 5-9%",IF(D2426&lt;15,"3) 10-14%",IF(D2426&lt;25,"4) 15-24%","5) 25%+"))))</f>
        <v>5) 25%+</v>
      </c>
      <c r="N2426" s="0" t="str">
        <f aca="false">IF(F2426&lt;50,"1) Under Rs 50",IF(F2426&lt;100,"2) Rs 50-99",IF(F2426&lt;200,"3) Rs 100-199",IF(F2426&lt;500,"4) Rs 200-499","5) Rs 500+"))))</f>
        <v>1) Under Rs 50</v>
      </c>
      <c r="O2426" s="0" t="n">
        <f aca="false">G2426*E2426/1000</f>
        <v>0.4</v>
      </c>
    </row>
    <row r="2427" customFormat="false" ht="15" hidden="false" customHeight="false" outlineLevel="0" collapsed="false">
      <c r="A2427" s="0" t="s">
        <v>90</v>
      </c>
      <c r="B2427" s="0" t="s">
        <v>1008</v>
      </c>
      <c r="C2427" s="0" t="n">
        <v>250</v>
      </c>
      <c r="D2427" s="0" t="n">
        <v>0</v>
      </c>
      <c r="E2427" s="0" t="n">
        <v>1</v>
      </c>
      <c r="F2427" s="0" t="n">
        <v>250</v>
      </c>
      <c r="G2427" s="0" t="n">
        <v>450</v>
      </c>
      <c r="H2427" s="0" t="s">
        <v>145</v>
      </c>
      <c r="I2427" s="0" t="n">
        <v>450</v>
      </c>
      <c r="J2427" s="0" t="n">
        <f aca="false">F2427*E2427</f>
        <v>250</v>
      </c>
      <c r="K2427" s="0" t="str">
        <f aca="false">IF(G2427&lt;1000,"1-Low",IF(G2427&lt;5000,"2-Medium","3-Bulk"))</f>
        <v>1-Low</v>
      </c>
      <c r="L2427" s="0" t="str">
        <f aca="false">IF(H2427="TRUE","Out of stock","In stock")</f>
        <v>In stock</v>
      </c>
      <c r="M2427" s="0" t="str">
        <f aca="false">IF(D2427&lt;5,"1) Under 5%",IF(D2427&lt;10,"2) 5-9%",IF(D2427&lt;15,"3) 10-14%",IF(D2427&lt;25,"4) 15-24%","5) 25%+"))))</f>
        <v>1) Under 5%</v>
      </c>
      <c r="N2427" s="0" t="str">
        <f aca="false">IF(F2427&lt;50,"1) Under Rs 50",IF(F2427&lt;100,"2) Rs 50-99",IF(F2427&lt;200,"3) Rs 100-199",IF(F2427&lt;500,"4) Rs 200-499","5) Rs 500+"))))</f>
        <v>4) Rs 200-499</v>
      </c>
      <c r="O2427" s="0" t="n">
        <f aca="false">G2427*E2427/1000</f>
        <v>0.45</v>
      </c>
    </row>
    <row r="2428" customFormat="false" ht="15" hidden="false" customHeight="false" outlineLevel="0" collapsed="false">
      <c r="A2428" s="0" t="s">
        <v>90</v>
      </c>
      <c r="B2428" s="0" t="s">
        <v>1009</v>
      </c>
      <c r="C2428" s="0" t="n">
        <v>220</v>
      </c>
      <c r="D2428" s="0" t="n">
        <v>30</v>
      </c>
      <c r="E2428" s="0" t="n">
        <v>5</v>
      </c>
      <c r="F2428" s="0" t="n">
        <v>154</v>
      </c>
      <c r="G2428" s="0" t="n">
        <v>285</v>
      </c>
      <c r="H2428" s="0" t="s">
        <v>145</v>
      </c>
      <c r="I2428" s="0" t="n">
        <v>285</v>
      </c>
      <c r="J2428" s="0" t="n">
        <f aca="false">F2428*E2428</f>
        <v>770</v>
      </c>
      <c r="K2428" s="0" t="str">
        <f aca="false">IF(G2428&lt;1000,"1-Low",IF(G2428&lt;5000,"2-Medium","3-Bulk"))</f>
        <v>1-Low</v>
      </c>
      <c r="L2428" s="0" t="str">
        <f aca="false">IF(H2428="TRUE","Out of stock","In stock")</f>
        <v>In stock</v>
      </c>
      <c r="M2428" s="0" t="str">
        <f aca="false">IF(D2428&lt;5,"1) Under 5%",IF(D2428&lt;10,"2) 5-9%",IF(D2428&lt;15,"3) 10-14%",IF(D2428&lt;25,"4) 15-24%","5) 25%+"))))</f>
        <v>5) 25%+</v>
      </c>
      <c r="N2428" s="0" t="str">
        <f aca="false">IF(F2428&lt;50,"1) Under Rs 50",IF(F2428&lt;100,"2) Rs 50-99",IF(F2428&lt;200,"3) Rs 100-199",IF(F2428&lt;500,"4) Rs 200-499","5) Rs 500+"))))</f>
        <v>3) Rs 100-199</v>
      </c>
      <c r="O2428" s="0" t="n">
        <f aca="false">G2428*E2428/1000</f>
        <v>1.425</v>
      </c>
    </row>
    <row r="2429" customFormat="false" ht="15" hidden="false" customHeight="false" outlineLevel="0" collapsed="false">
      <c r="A2429" s="0" t="s">
        <v>90</v>
      </c>
      <c r="B2429" s="0" t="s">
        <v>1010</v>
      </c>
      <c r="C2429" s="0" t="n">
        <v>288</v>
      </c>
      <c r="D2429" s="0" t="n">
        <v>0</v>
      </c>
      <c r="E2429" s="0" t="n">
        <v>6</v>
      </c>
      <c r="F2429" s="0" t="n">
        <v>288</v>
      </c>
      <c r="G2429" s="0" t="n">
        <v>300</v>
      </c>
      <c r="H2429" s="0" t="s">
        <v>145</v>
      </c>
      <c r="I2429" s="0" t="n">
        <v>300</v>
      </c>
      <c r="J2429" s="0" t="n">
        <f aca="false">F2429*E2429</f>
        <v>1728</v>
      </c>
      <c r="K2429" s="0" t="str">
        <f aca="false">IF(G2429&lt;1000,"1-Low",IF(G2429&lt;5000,"2-Medium","3-Bulk"))</f>
        <v>1-Low</v>
      </c>
      <c r="L2429" s="0" t="str">
        <f aca="false">IF(H2429="TRUE","Out of stock","In stock")</f>
        <v>In stock</v>
      </c>
      <c r="M2429" s="0" t="str">
        <f aca="false">IF(D2429&lt;5,"1) Under 5%",IF(D2429&lt;10,"2) 5-9%",IF(D2429&lt;15,"3) 10-14%",IF(D2429&lt;25,"4) 15-24%","5) 25%+"))))</f>
        <v>1) Under 5%</v>
      </c>
      <c r="N2429" s="0" t="str">
        <f aca="false">IF(F2429&lt;50,"1) Under Rs 50",IF(F2429&lt;100,"2) Rs 50-99",IF(F2429&lt;200,"3) Rs 100-199",IF(F2429&lt;500,"4) Rs 200-499","5) Rs 500+"))))</f>
        <v>4) Rs 200-499</v>
      </c>
      <c r="O2429" s="0" t="n">
        <f aca="false">G2429*E2429/1000</f>
        <v>1.8</v>
      </c>
    </row>
    <row r="2430" customFormat="false" ht="15" hidden="false" customHeight="false" outlineLevel="0" collapsed="false">
      <c r="A2430" s="0" t="s">
        <v>90</v>
      </c>
      <c r="B2430" s="0" t="s">
        <v>1011</v>
      </c>
      <c r="C2430" s="0" t="n">
        <v>325</v>
      </c>
      <c r="D2430" s="0" t="n">
        <v>20</v>
      </c>
      <c r="E2430" s="0" t="n">
        <v>6</v>
      </c>
      <c r="F2430" s="0" t="n">
        <v>260</v>
      </c>
      <c r="G2430" s="0" t="n">
        <v>350</v>
      </c>
      <c r="H2430" s="0" t="s">
        <v>145</v>
      </c>
      <c r="I2430" s="0" t="n">
        <v>350</v>
      </c>
      <c r="J2430" s="0" t="n">
        <f aca="false">F2430*E2430</f>
        <v>1560</v>
      </c>
      <c r="K2430" s="0" t="str">
        <f aca="false">IF(G2430&lt;1000,"1-Low",IF(G2430&lt;5000,"2-Medium","3-Bulk"))</f>
        <v>1-Low</v>
      </c>
      <c r="L2430" s="0" t="str">
        <f aca="false">IF(H2430="TRUE","Out of stock","In stock")</f>
        <v>In stock</v>
      </c>
      <c r="M2430" s="0" t="str">
        <f aca="false">IF(D2430&lt;5,"1) Under 5%",IF(D2430&lt;10,"2) 5-9%",IF(D2430&lt;15,"3) 10-14%",IF(D2430&lt;25,"4) 15-24%","5) 25%+"))))</f>
        <v>4) 15-24%</v>
      </c>
      <c r="N2430" s="0" t="str">
        <f aca="false">IF(F2430&lt;50,"1) Under Rs 50",IF(F2430&lt;100,"2) Rs 50-99",IF(F2430&lt;200,"3) Rs 100-199",IF(F2430&lt;500,"4) Rs 200-499","5) Rs 500+"))))</f>
        <v>4) Rs 200-499</v>
      </c>
      <c r="O2430" s="0" t="n">
        <f aca="false">G2430*E2430/1000</f>
        <v>2.1</v>
      </c>
    </row>
    <row r="2431" customFormat="false" ht="15" hidden="false" customHeight="false" outlineLevel="0" collapsed="false">
      <c r="A2431" s="0" t="s">
        <v>90</v>
      </c>
      <c r="B2431" s="0" t="s">
        <v>1012</v>
      </c>
      <c r="C2431" s="0" t="n">
        <v>200</v>
      </c>
      <c r="D2431" s="0" t="n">
        <v>0</v>
      </c>
      <c r="E2431" s="0" t="n">
        <v>6</v>
      </c>
      <c r="F2431" s="0" t="n">
        <v>200</v>
      </c>
      <c r="G2431" s="0" t="n">
        <v>130</v>
      </c>
      <c r="H2431" s="0" t="s">
        <v>145</v>
      </c>
      <c r="I2431" s="0" t="n">
        <v>130</v>
      </c>
      <c r="J2431" s="0" t="n">
        <f aca="false">F2431*E2431</f>
        <v>1200</v>
      </c>
      <c r="K2431" s="0" t="str">
        <f aca="false">IF(G2431&lt;1000,"1-Low",IF(G2431&lt;5000,"2-Medium","3-Bulk"))</f>
        <v>1-Low</v>
      </c>
      <c r="L2431" s="0" t="str">
        <f aca="false">IF(H2431="TRUE","Out of stock","In stock")</f>
        <v>In stock</v>
      </c>
      <c r="M2431" s="0" t="str">
        <f aca="false">IF(D2431&lt;5,"1) Under 5%",IF(D2431&lt;10,"2) 5-9%",IF(D2431&lt;15,"3) 10-14%",IF(D2431&lt;25,"4) 15-24%","5) 25%+"))))</f>
        <v>1) Under 5%</v>
      </c>
      <c r="N2431" s="0" t="str">
        <f aca="false">IF(F2431&lt;50,"1) Under Rs 50",IF(F2431&lt;100,"2) Rs 50-99",IF(F2431&lt;200,"3) Rs 100-199",IF(F2431&lt;500,"4) Rs 200-499","5) Rs 500+"))))</f>
        <v>4) Rs 200-499</v>
      </c>
      <c r="O2431" s="0" t="n">
        <f aca="false">G2431*E2431/1000</f>
        <v>0.78</v>
      </c>
    </row>
    <row r="2432" customFormat="false" ht="15" hidden="false" customHeight="false" outlineLevel="0" collapsed="false">
      <c r="A2432" s="0" t="s">
        <v>90</v>
      </c>
      <c r="B2432" s="0" t="s">
        <v>1013</v>
      </c>
      <c r="C2432" s="0" t="n">
        <v>75</v>
      </c>
      <c r="D2432" s="0" t="n">
        <v>0</v>
      </c>
      <c r="E2432" s="0" t="n">
        <v>6</v>
      </c>
      <c r="F2432" s="0" t="n">
        <v>75</v>
      </c>
      <c r="G2432" s="0" t="n">
        <v>70</v>
      </c>
      <c r="H2432" s="0" t="s">
        <v>145</v>
      </c>
      <c r="I2432" s="0" t="n">
        <v>70</v>
      </c>
      <c r="J2432" s="0" t="n">
        <f aca="false">F2432*E2432</f>
        <v>450</v>
      </c>
      <c r="K2432" s="0" t="str">
        <f aca="false">IF(G2432&lt;1000,"1-Low",IF(G2432&lt;5000,"2-Medium","3-Bulk"))</f>
        <v>1-Low</v>
      </c>
      <c r="L2432" s="0" t="str">
        <f aca="false">IF(H2432="TRUE","Out of stock","In stock")</f>
        <v>In stock</v>
      </c>
      <c r="M2432" s="0" t="str">
        <f aca="false">IF(D2432&lt;5,"1) Under 5%",IF(D2432&lt;10,"2) 5-9%",IF(D2432&lt;15,"3) 10-14%",IF(D2432&lt;25,"4) 15-24%","5) 25%+"))))</f>
        <v>1) Under 5%</v>
      </c>
      <c r="N2432" s="0" t="str">
        <f aca="false">IF(F2432&lt;50,"1) Under Rs 50",IF(F2432&lt;100,"2) Rs 50-99",IF(F2432&lt;200,"3) Rs 100-199",IF(F2432&lt;500,"4) Rs 200-499","5) Rs 500+"))))</f>
        <v>2) Rs 50-99</v>
      </c>
      <c r="O2432" s="0" t="n">
        <f aca="false">G2432*E2432/1000</f>
        <v>0.42</v>
      </c>
    </row>
    <row r="2433" customFormat="false" ht="15" hidden="false" customHeight="false" outlineLevel="0" collapsed="false">
      <c r="A2433" s="0" t="s">
        <v>90</v>
      </c>
      <c r="B2433" s="0" t="s">
        <v>1014</v>
      </c>
      <c r="C2433" s="0" t="n">
        <v>120</v>
      </c>
      <c r="D2433" s="0" t="n">
        <v>0</v>
      </c>
      <c r="E2433" s="0" t="n">
        <v>1</v>
      </c>
      <c r="F2433" s="0" t="n">
        <v>120</v>
      </c>
      <c r="G2433" s="0" t="n">
        <v>400</v>
      </c>
      <c r="H2433" s="0" t="s">
        <v>145</v>
      </c>
      <c r="I2433" s="0" t="n">
        <v>400</v>
      </c>
      <c r="J2433" s="0" t="n">
        <f aca="false">F2433*E2433</f>
        <v>120</v>
      </c>
      <c r="K2433" s="0" t="str">
        <f aca="false">IF(G2433&lt;1000,"1-Low",IF(G2433&lt;5000,"2-Medium","3-Bulk"))</f>
        <v>1-Low</v>
      </c>
      <c r="L2433" s="0" t="str">
        <f aca="false">IF(H2433="TRUE","Out of stock","In stock")</f>
        <v>In stock</v>
      </c>
      <c r="M2433" s="0" t="str">
        <f aca="false">IF(D2433&lt;5,"1) Under 5%",IF(D2433&lt;10,"2) 5-9%",IF(D2433&lt;15,"3) 10-14%",IF(D2433&lt;25,"4) 15-24%","5) 25%+"))))</f>
        <v>1) Under 5%</v>
      </c>
      <c r="N2433" s="0" t="str">
        <f aca="false">IF(F2433&lt;50,"1) Under Rs 50",IF(F2433&lt;100,"2) Rs 50-99",IF(F2433&lt;200,"3) Rs 100-199",IF(F2433&lt;500,"4) Rs 200-499","5) Rs 500+"))))</f>
        <v>3) Rs 100-199</v>
      </c>
      <c r="O2433" s="0" t="n">
        <f aca="false">G2433*E2433/1000</f>
        <v>0.4</v>
      </c>
    </row>
    <row r="2434" customFormat="false" ht="15" hidden="false" customHeight="false" outlineLevel="0" collapsed="false">
      <c r="A2434" s="0" t="s">
        <v>90</v>
      </c>
      <c r="B2434" s="0" t="s">
        <v>1015</v>
      </c>
      <c r="C2434" s="0" t="n">
        <v>200</v>
      </c>
      <c r="D2434" s="0" t="n">
        <v>0</v>
      </c>
      <c r="E2434" s="0" t="n">
        <v>6</v>
      </c>
      <c r="F2434" s="0" t="n">
        <v>200</v>
      </c>
      <c r="G2434" s="0" t="n">
        <v>130</v>
      </c>
      <c r="H2434" s="0" t="s">
        <v>145</v>
      </c>
      <c r="I2434" s="0" t="n">
        <v>130</v>
      </c>
      <c r="J2434" s="0" t="n">
        <f aca="false">F2434*E2434</f>
        <v>1200</v>
      </c>
      <c r="K2434" s="0" t="str">
        <f aca="false">IF(G2434&lt;1000,"1-Low",IF(G2434&lt;5000,"2-Medium","3-Bulk"))</f>
        <v>1-Low</v>
      </c>
      <c r="L2434" s="0" t="str">
        <f aca="false">IF(H2434="TRUE","Out of stock","In stock")</f>
        <v>In stock</v>
      </c>
      <c r="M2434" s="0" t="str">
        <f aca="false">IF(D2434&lt;5,"1) Under 5%",IF(D2434&lt;10,"2) 5-9%",IF(D2434&lt;15,"3) 10-14%",IF(D2434&lt;25,"4) 15-24%","5) 25%+"))))</f>
        <v>1) Under 5%</v>
      </c>
      <c r="N2434" s="0" t="str">
        <f aca="false">IF(F2434&lt;50,"1) Under Rs 50",IF(F2434&lt;100,"2) Rs 50-99",IF(F2434&lt;200,"3) Rs 100-199",IF(F2434&lt;500,"4) Rs 200-499","5) Rs 500+"))))</f>
        <v>4) Rs 200-499</v>
      </c>
      <c r="O2434" s="0" t="n">
        <f aca="false">G2434*E2434/1000</f>
        <v>0.78</v>
      </c>
    </row>
    <row r="2435" customFormat="false" ht="15" hidden="false" customHeight="false" outlineLevel="0" collapsed="false">
      <c r="A2435" s="0" t="s">
        <v>90</v>
      </c>
      <c r="B2435" s="0" t="s">
        <v>1001</v>
      </c>
      <c r="C2435" s="0" t="n">
        <v>399</v>
      </c>
      <c r="D2435" s="0" t="n">
        <v>11</v>
      </c>
      <c r="E2435" s="0" t="n">
        <v>6</v>
      </c>
      <c r="F2435" s="0" t="n">
        <v>355</v>
      </c>
      <c r="G2435" s="0" t="n">
        <v>900</v>
      </c>
      <c r="H2435" s="0" t="s">
        <v>145</v>
      </c>
      <c r="I2435" s="0" t="n">
        <v>900</v>
      </c>
      <c r="J2435" s="0" t="n">
        <f aca="false">F2435*E2435</f>
        <v>2130</v>
      </c>
      <c r="K2435" s="0" t="str">
        <f aca="false">IF(G2435&lt;1000,"1-Low",IF(G2435&lt;5000,"2-Medium","3-Bulk"))</f>
        <v>1-Low</v>
      </c>
      <c r="L2435" s="0" t="str">
        <f aca="false">IF(H2435="TRUE","Out of stock","In stock")</f>
        <v>In stock</v>
      </c>
      <c r="M2435" s="0" t="str">
        <f aca="false">IF(D2435&lt;5,"1) Under 5%",IF(D2435&lt;10,"2) 5-9%",IF(D2435&lt;15,"3) 10-14%",IF(D2435&lt;25,"4) 15-24%","5) 25%+"))))</f>
        <v>3) 10-14%</v>
      </c>
      <c r="N2435" s="0" t="str">
        <f aca="false">IF(F2435&lt;50,"1) Under Rs 50",IF(F2435&lt;100,"2) Rs 50-99",IF(F2435&lt;200,"3) Rs 100-199",IF(F2435&lt;500,"4) Rs 200-499","5) Rs 500+"))))</f>
        <v>4) Rs 200-499</v>
      </c>
      <c r="O2435" s="0" t="n">
        <f aca="false">G2435*E2435/1000</f>
        <v>5.4</v>
      </c>
    </row>
    <row r="2436" customFormat="false" ht="15" hidden="false" customHeight="false" outlineLevel="0" collapsed="false">
      <c r="A2436" s="0" t="s">
        <v>90</v>
      </c>
      <c r="B2436" s="0" t="s">
        <v>1016</v>
      </c>
      <c r="C2436" s="0" t="n">
        <v>55</v>
      </c>
      <c r="D2436" s="0" t="n">
        <v>0</v>
      </c>
      <c r="E2436" s="0" t="n">
        <v>2</v>
      </c>
      <c r="F2436" s="0" t="n">
        <v>55</v>
      </c>
      <c r="G2436" s="0" t="n">
        <v>42</v>
      </c>
      <c r="H2436" s="0" t="s">
        <v>145</v>
      </c>
      <c r="I2436" s="0" t="n">
        <v>42</v>
      </c>
      <c r="J2436" s="0" t="n">
        <f aca="false">F2436*E2436</f>
        <v>110</v>
      </c>
      <c r="K2436" s="0" t="str">
        <f aca="false">IF(G2436&lt;1000,"1-Low",IF(G2436&lt;5000,"2-Medium","3-Bulk"))</f>
        <v>1-Low</v>
      </c>
      <c r="L2436" s="0" t="str">
        <f aca="false">IF(H2436="TRUE","Out of stock","In stock")</f>
        <v>In stock</v>
      </c>
      <c r="M2436" s="0" t="str">
        <f aca="false">IF(D2436&lt;5,"1) Under 5%",IF(D2436&lt;10,"2) 5-9%",IF(D2436&lt;15,"3) 10-14%",IF(D2436&lt;25,"4) 15-24%","5) 25%+"))))</f>
        <v>1) Under 5%</v>
      </c>
      <c r="N2436" s="0" t="str">
        <f aca="false">IF(F2436&lt;50,"1) Under Rs 50",IF(F2436&lt;100,"2) Rs 50-99",IF(F2436&lt;200,"3) Rs 100-199",IF(F2436&lt;500,"4) Rs 200-499","5) Rs 500+"))))</f>
        <v>2) Rs 50-99</v>
      </c>
      <c r="O2436" s="0" t="n">
        <f aca="false">G2436*E2436/1000</f>
        <v>0.084</v>
      </c>
    </row>
    <row r="2437" customFormat="false" ht="15" hidden="false" customHeight="false" outlineLevel="0" collapsed="false">
      <c r="A2437" s="0" t="s">
        <v>90</v>
      </c>
      <c r="B2437" s="0" t="s">
        <v>1017</v>
      </c>
      <c r="C2437" s="0" t="n">
        <v>55</v>
      </c>
      <c r="D2437" s="0" t="n">
        <v>0</v>
      </c>
      <c r="E2437" s="0" t="n">
        <v>6</v>
      </c>
      <c r="F2437" s="0" t="n">
        <v>55</v>
      </c>
      <c r="G2437" s="0" t="n">
        <v>55</v>
      </c>
      <c r="H2437" s="0" t="s">
        <v>145</v>
      </c>
      <c r="I2437" s="0" t="n">
        <v>55</v>
      </c>
      <c r="J2437" s="0" t="n">
        <f aca="false">F2437*E2437</f>
        <v>330</v>
      </c>
      <c r="K2437" s="0" t="str">
        <f aca="false">IF(G2437&lt;1000,"1-Low",IF(G2437&lt;5000,"2-Medium","3-Bulk"))</f>
        <v>1-Low</v>
      </c>
      <c r="L2437" s="0" t="str">
        <f aca="false">IF(H2437="TRUE","Out of stock","In stock")</f>
        <v>In stock</v>
      </c>
      <c r="M2437" s="0" t="str">
        <f aca="false">IF(D2437&lt;5,"1) Under 5%",IF(D2437&lt;10,"2) 5-9%",IF(D2437&lt;15,"3) 10-14%",IF(D2437&lt;25,"4) 15-24%","5) 25%+"))))</f>
        <v>1) Under 5%</v>
      </c>
      <c r="N2437" s="0" t="str">
        <f aca="false">IF(F2437&lt;50,"1) Under Rs 50",IF(F2437&lt;100,"2) Rs 50-99",IF(F2437&lt;200,"3) Rs 100-199",IF(F2437&lt;500,"4) Rs 200-499","5) Rs 500+"))))</f>
        <v>2) Rs 50-99</v>
      </c>
      <c r="O2437" s="0" t="n">
        <f aca="false">G2437*E2437/1000</f>
        <v>0.33</v>
      </c>
    </row>
    <row r="2438" customFormat="false" ht="15" hidden="false" customHeight="false" outlineLevel="0" collapsed="false">
      <c r="A2438" s="0" t="s">
        <v>90</v>
      </c>
      <c r="B2438" s="0" t="s">
        <v>778</v>
      </c>
      <c r="C2438" s="0" t="n">
        <v>169</v>
      </c>
      <c r="D2438" s="0" t="n">
        <v>0</v>
      </c>
      <c r="E2438" s="0" t="n">
        <v>1</v>
      </c>
      <c r="F2438" s="0" t="n">
        <v>169</v>
      </c>
      <c r="G2438" s="0" t="n">
        <v>400</v>
      </c>
      <c r="H2438" s="0" t="s">
        <v>145</v>
      </c>
      <c r="I2438" s="0" t="n">
        <v>400</v>
      </c>
      <c r="J2438" s="0" t="n">
        <f aca="false">F2438*E2438</f>
        <v>169</v>
      </c>
      <c r="K2438" s="0" t="str">
        <f aca="false">IF(G2438&lt;1000,"1-Low",IF(G2438&lt;5000,"2-Medium","3-Bulk"))</f>
        <v>1-Low</v>
      </c>
      <c r="L2438" s="0" t="str">
        <f aca="false">IF(H2438="TRUE","Out of stock","In stock")</f>
        <v>In stock</v>
      </c>
      <c r="M2438" s="0" t="str">
        <f aca="false">IF(D2438&lt;5,"1) Under 5%",IF(D2438&lt;10,"2) 5-9%",IF(D2438&lt;15,"3) 10-14%",IF(D2438&lt;25,"4) 15-24%","5) 25%+"))))</f>
        <v>1) Under 5%</v>
      </c>
      <c r="N2438" s="0" t="str">
        <f aca="false">IF(F2438&lt;50,"1) Under Rs 50",IF(F2438&lt;100,"2) Rs 50-99",IF(F2438&lt;200,"3) Rs 100-199",IF(F2438&lt;500,"4) Rs 200-499","5) Rs 500+"))))</f>
        <v>3) Rs 100-199</v>
      </c>
      <c r="O2438" s="0" t="n">
        <f aca="false">G2438*E2438/1000</f>
        <v>0.4</v>
      </c>
    </row>
    <row r="2439" customFormat="false" ht="15" hidden="false" customHeight="false" outlineLevel="0" collapsed="false">
      <c r="A2439" s="0" t="s">
        <v>90</v>
      </c>
      <c r="B2439" s="0" t="s">
        <v>130</v>
      </c>
      <c r="C2439" s="0" t="n">
        <v>295</v>
      </c>
      <c r="D2439" s="0" t="n">
        <v>9</v>
      </c>
      <c r="E2439" s="0" t="n">
        <v>6</v>
      </c>
      <c r="F2439" s="0" t="n">
        <v>266</v>
      </c>
      <c r="G2439" s="0" t="n">
        <v>250</v>
      </c>
      <c r="H2439" s="0" t="s">
        <v>145</v>
      </c>
      <c r="I2439" s="0" t="n">
        <v>250</v>
      </c>
      <c r="J2439" s="0" t="n">
        <f aca="false">F2439*E2439</f>
        <v>1596</v>
      </c>
      <c r="K2439" s="0" t="str">
        <f aca="false">IF(G2439&lt;1000,"1-Low",IF(G2439&lt;5000,"2-Medium","3-Bulk"))</f>
        <v>1-Low</v>
      </c>
      <c r="L2439" s="0" t="str">
        <f aca="false">IF(H2439="TRUE","Out of stock","In stock")</f>
        <v>In stock</v>
      </c>
      <c r="M2439" s="0" t="str">
        <f aca="false">IF(D2439&lt;5,"1) Under 5%",IF(D2439&lt;10,"2) 5-9%",IF(D2439&lt;15,"3) 10-14%",IF(D2439&lt;25,"4) 15-24%","5) 25%+"))))</f>
        <v>2) 5-9%</v>
      </c>
      <c r="N2439" s="0" t="str">
        <f aca="false">IF(F2439&lt;50,"1) Under Rs 50",IF(F2439&lt;100,"2) Rs 50-99",IF(F2439&lt;200,"3) Rs 100-199",IF(F2439&lt;500,"4) Rs 200-499","5) Rs 500+"))))</f>
        <v>4) Rs 200-499</v>
      </c>
      <c r="O2439" s="0" t="n">
        <f aca="false">G2439*E2439/1000</f>
        <v>1.5</v>
      </c>
    </row>
    <row r="2440" customFormat="false" ht="15" hidden="false" customHeight="false" outlineLevel="0" collapsed="false">
      <c r="A2440" s="0" t="s">
        <v>90</v>
      </c>
      <c r="B2440" s="0" t="s">
        <v>1018</v>
      </c>
      <c r="C2440" s="0" t="n">
        <v>320</v>
      </c>
      <c r="D2440" s="0" t="n">
        <v>10</v>
      </c>
      <c r="E2440" s="0" t="n">
        <v>5</v>
      </c>
      <c r="F2440" s="0" t="n">
        <v>288</v>
      </c>
      <c r="G2440" s="0" t="n">
        <v>500</v>
      </c>
      <c r="H2440" s="0" t="s">
        <v>145</v>
      </c>
      <c r="I2440" s="0" t="n">
        <v>500</v>
      </c>
      <c r="J2440" s="0" t="n">
        <f aca="false">F2440*E2440</f>
        <v>1440</v>
      </c>
      <c r="K2440" s="0" t="str">
        <f aca="false">IF(G2440&lt;1000,"1-Low",IF(G2440&lt;5000,"2-Medium","3-Bulk"))</f>
        <v>1-Low</v>
      </c>
      <c r="L2440" s="0" t="str">
        <f aca="false">IF(H2440="TRUE","Out of stock","In stock")</f>
        <v>In stock</v>
      </c>
      <c r="M2440" s="0" t="str">
        <f aca="false">IF(D2440&lt;5,"1) Under 5%",IF(D2440&lt;10,"2) 5-9%",IF(D2440&lt;15,"3) 10-14%",IF(D2440&lt;25,"4) 15-24%","5) 25%+"))))</f>
        <v>3) 10-14%</v>
      </c>
      <c r="N2440" s="0" t="str">
        <f aca="false">IF(F2440&lt;50,"1) Under Rs 50",IF(F2440&lt;100,"2) Rs 50-99",IF(F2440&lt;200,"3) Rs 100-199",IF(F2440&lt;500,"4) Rs 200-499","5) Rs 500+"))))</f>
        <v>4) Rs 200-499</v>
      </c>
      <c r="O2440" s="0" t="n">
        <f aca="false">G2440*E2440/1000</f>
        <v>2.5</v>
      </c>
    </row>
    <row r="2441" customFormat="false" ht="15" hidden="false" customHeight="false" outlineLevel="0" collapsed="false">
      <c r="A2441" s="0" t="s">
        <v>90</v>
      </c>
      <c r="B2441" s="0" t="s">
        <v>1019</v>
      </c>
      <c r="C2441" s="0" t="n">
        <v>65</v>
      </c>
      <c r="D2441" s="0" t="n">
        <v>6</v>
      </c>
      <c r="E2441" s="0" t="n">
        <v>6</v>
      </c>
      <c r="F2441" s="0" t="n">
        <v>61</v>
      </c>
      <c r="G2441" s="0" t="n">
        <v>200</v>
      </c>
      <c r="H2441" s="0" t="s">
        <v>145</v>
      </c>
      <c r="I2441" s="0" t="n">
        <v>200</v>
      </c>
      <c r="J2441" s="0" t="n">
        <f aca="false">F2441*E2441</f>
        <v>366</v>
      </c>
      <c r="K2441" s="0" t="str">
        <f aca="false">IF(G2441&lt;1000,"1-Low",IF(G2441&lt;5000,"2-Medium","3-Bulk"))</f>
        <v>1-Low</v>
      </c>
      <c r="L2441" s="0" t="str">
        <f aca="false">IF(H2441="TRUE","Out of stock","In stock")</f>
        <v>In stock</v>
      </c>
      <c r="M2441" s="0" t="str">
        <f aca="false">IF(D2441&lt;5,"1) Under 5%",IF(D2441&lt;10,"2) 5-9%",IF(D2441&lt;15,"3) 10-14%",IF(D2441&lt;25,"4) 15-24%","5) 25%+"))))</f>
        <v>2) 5-9%</v>
      </c>
      <c r="N2441" s="0" t="str">
        <f aca="false">IF(F2441&lt;50,"1) Under Rs 50",IF(F2441&lt;100,"2) Rs 50-99",IF(F2441&lt;200,"3) Rs 100-199",IF(F2441&lt;500,"4) Rs 200-499","5) Rs 500+"))))</f>
        <v>2) Rs 50-99</v>
      </c>
      <c r="O2441" s="0" t="n">
        <f aca="false">G2441*E2441/1000</f>
        <v>1.2</v>
      </c>
    </row>
    <row r="2442" customFormat="false" ht="15" hidden="false" customHeight="false" outlineLevel="0" collapsed="false">
      <c r="A2442" s="0" t="s">
        <v>90</v>
      </c>
      <c r="B2442" s="0" t="s">
        <v>1020</v>
      </c>
      <c r="C2442" s="0" t="n">
        <v>110</v>
      </c>
      <c r="D2442" s="0" t="n">
        <v>30</v>
      </c>
      <c r="E2442" s="0" t="n">
        <v>1</v>
      </c>
      <c r="F2442" s="0" t="n">
        <v>77</v>
      </c>
      <c r="G2442" s="0" t="n">
        <v>285</v>
      </c>
      <c r="H2442" s="0" t="s">
        <v>145</v>
      </c>
      <c r="I2442" s="0" t="n">
        <v>285</v>
      </c>
      <c r="J2442" s="0" t="n">
        <f aca="false">F2442*E2442</f>
        <v>77</v>
      </c>
      <c r="K2442" s="0" t="str">
        <f aca="false">IF(G2442&lt;1000,"1-Low",IF(G2442&lt;5000,"2-Medium","3-Bulk"))</f>
        <v>1-Low</v>
      </c>
      <c r="L2442" s="0" t="str">
        <f aca="false">IF(H2442="TRUE","Out of stock","In stock")</f>
        <v>In stock</v>
      </c>
      <c r="M2442" s="0" t="str">
        <f aca="false">IF(D2442&lt;5,"1) Under 5%",IF(D2442&lt;10,"2) 5-9%",IF(D2442&lt;15,"3) 10-14%",IF(D2442&lt;25,"4) 15-24%","5) 25%+"))))</f>
        <v>5) 25%+</v>
      </c>
      <c r="N2442" s="0" t="str">
        <f aca="false">IF(F2442&lt;50,"1) Under Rs 50",IF(F2442&lt;100,"2) Rs 50-99",IF(F2442&lt;200,"3) Rs 100-199",IF(F2442&lt;500,"4) Rs 200-499","5) Rs 500+"))))</f>
        <v>2) Rs 50-99</v>
      </c>
      <c r="O2442" s="0" t="n">
        <f aca="false">G2442*E2442/1000</f>
        <v>0.285</v>
      </c>
    </row>
    <row r="2443" customFormat="false" ht="15" hidden="false" customHeight="false" outlineLevel="0" collapsed="false">
      <c r="A2443" s="0" t="s">
        <v>90</v>
      </c>
      <c r="B2443" s="0" t="s">
        <v>1013</v>
      </c>
      <c r="C2443" s="0" t="n">
        <v>55</v>
      </c>
      <c r="D2443" s="0" t="n">
        <v>30</v>
      </c>
      <c r="E2443" s="0" t="n">
        <v>6</v>
      </c>
      <c r="F2443" s="0" t="n">
        <v>38</v>
      </c>
      <c r="G2443" s="0" t="n">
        <v>80</v>
      </c>
      <c r="H2443" s="0" t="s">
        <v>145</v>
      </c>
      <c r="I2443" s="0" t="n">
        <v>80</v>
      </c>
      <c r="J2443" s="0" t="n">
        <f aca="false">F2443*E2443</f>
        <v>228</v>
      </c>
      <c r="K2443" s="0" t="str">
        <f aca="false">IF(G2443&lt;1000,"1-Low",IF(G2443&lt;5000,"2-Medium","3-Bulk"))</f>
        <v>1-Low</v>
      </c>
      <c r="L2443" s="0" t="str">
        <f aca="false">IF(H2443="TRUE","Out of stock","In stock")</f>
        <v>In stock</v>
      </c>
      <c r="M2443" s="0" t="str">
        <f aca="false">IF(D2443&lt;5,"1) Under 5%",IF(D2443&lt;10,"2) 5-9%",IF(D2443&lt;15,"3) 10-14%",IF(D2443&lt;25,"4) 15-24%","5) 25%+"))))</f>
        <v>5) 25%+</v>
      </c>
      <c r="N2443" s="0" t="str">
        <f aca="false">IF(F2443&lt;50,"1) Under Rs 50",IF(F2443&lt;100,"2) Rs 50-99",IF(F2443&lt;200,"3) Rs 100-199",IF(F2443&lt;500,"4) Rs 200-499","5) Rs 500+"))))</f>
        <v>1) Under Rs 50</v>
      </c>
      <c r="O2443" s="0" t="n">
        <f aca="false">G2443*E2443/1000</f>
        <v>0.48</v>
      </c>
    </row>
    <row r="2444" customFormat="false" ht="15" hidden="false" customHeight="false" outlineLevel="0" collapsed="false">
      <c r="A2444" s="0" t="s">
        <v>90</v>
      </c>
      <c r="B2444" s="0" t="s">
        <v>1021</v>
      </c>
      <c r="C2444" s="0" t="n">
        <v>55</v>
      </c>
      <c r="D2444" s="0" t="n">
        <v>0</v>
      </c>
      <c r="E2444" s="0" t="n">
        <v>3</v>
      </c>
      <c r="F2444" s="0" t="n">
        <v>55</v>
      </c>
      <c r="G2444" s="0" t="n">
        <v>190</v>
      </c>
      <c r="H2444" s="0" t="s">
        <v>145</v>
      </c>
      <c r="I2444" s="0" t="n">
        <v>190</v>
      </c>
      <c r="J2444" s="0" t="n">
        <f aca="false">F2444*E2444</f>
        <v>165</v>
      </c>
      <c r="K2444" s="0" t="str">
        <f aca="false">IF(G2444&lt;1000,"1-Low",IF(G2444&lt;5000,"2-Medium","3-Bulk"))</f>
        <v>1-Low</v>
      </c>
      <c r="L2444" s="0" t="str">
        <f aca="false">IF(H2444="TRUE","Out of stock","In stock")</f>
        <v>In stock</v>
      </c>
      <c r="M2444" s="0" t="str">
        <f aca="false">IF(D2444&lt;5,"1) Under 5%",IF(D2444&lt;10,"2) 5-9%",IF(D2444&lt;15,"3) 10-14%",IF(D2444&lt;25,"4) 15-24%","5) 25%+"))))</f>
        <v>1) Under 5%</v>
      </c>
      <c r="N2444" s="0" t="str">
        <f aca="false">IF(F2444&lt;50,"1) Under Rs 50",IF(F2444&lt;100,"2) Rs 50-99",IF(F2444&lt;200,"3) Rs 100-199",IF(F2444&lt;500,"4) Rs 200-499","5) Rs 500+"))))</f>
        <v>2) Rs 50-99</v>
      </c>
      <c r="O2444" s="0" t="n">
        <f aca="false">G2444*E2444/1000</f>
        <v>0.57</v>
      </c>
    </row>
    <row r="2445" customFormat="false" ht="15" hidden="false" customHeight="false" outlineLevel="0" collapsed="false">
      <c r="A2445" s="0" t="s">
        <v>90</v>
      </c>
      <c r="B2445" s="0" t="s">
        <v>1022</v>
      </c>
      <c r="C2445" s="0" t="n">
        <v>660</v>
      </c>
      <c r="D2445" s="0" t="n">
        <v>10</v>
      </c>
      <c r="E2445" s="0" t="n">
        <v>1</v>
      </c>
      <c r="F2445" s="0" t="n">
        <v>594</v>
      </c>
      <c r="G2445" s="0" t="n">
        <v>3000</v>
      </c>
      <c r="H2445" s="0" t="s">
        <v>145</v>
      </c>
      <c r="I2445" s="0" t="n">
        <v>3</v>
      </c>
      <c r="J2445" s="0" t="n">
        <f aca="false">F2445*E2445</f>
        <v>594</v>
      </c>
      <c r="K2445" s="0" t="str">
        <f aca="false">IF(G2445&lt;1000,"1-Low",IF(G2445&lt;5000,"2-Medium","3-Bulk"))</f>
        <v>2-Medium</v>
      </c>
      <c r="L2445" s="0" t="str">
        <f aca="false">IF(H2445="TRUE","Out of stock","In stock")</f>
        <v>In stock</v>
      </c>
      <c r="M2445" s="0" t="str">
        <f aca="false">IF(D2445&lt;5,"1) Under 5%",IF(D2445&lt;10,"2) 5-9%",IF(D2445&lt;15,"3) 10-14%",IF(D2445&lt;25,"4) 15-24%","5) 25%+"))))</f>
        <v>3) 10-14%</v>
      </c>
      <c r="N2445" s="0" t="str">
        <f aca="false">IF(F2445&lt;50,"1) Under Rs 50",IF(F2445&lt;100,"2) Rs 50-99",IF(F2445&lt;200,"3) Rs 100-199",IF(F2445&lt;500,"4) Rs 200-499","5) Rs 500+"))))</f>
        <v>5) Rs 500+</v>
      </c>
      <c r="O2445" s="0" t="n">
        <f aca="false">G2445*E2445/1000</f>
        <v>3</v>
      </c>
    </row>
    <row r="2446" customFormat="false" ht="15" hidden="false" customHeight="false" outlineLevel="0" collapsed="false">
      <c r="A2446" s="0" t="s">
        <v>90</v>
      </c>
      <c r="B2446" s="0" t="s">
        <v>127</v>
      </c>
      <c r="C2446" s="0" t="n">
        <v>185</v>
      </c>
      <c r="D2446" s="0" t="n">
        <v>5</v>
      </c>
      <c r="E2446" s="0" t="n">
        <v>6</v>
      </c>
      <c r="F2446" s="0" t="n">
        <v>175</v>
      </c>
      <c r="G2446" s="0" t="n">
        <v>475</v>
      </c>
      <c r="H2446" s="0" t="s">
        <v>145</v>
      </c>
      <c r="I2446" s="0" t="n">
        <v>475</v>
      </c>
      <c r="J2446" s="0" t="n">
        <f aca="false">F2446*E2446</f>
        <v>1050</v>
      </c>
      <c r="K2446" s="0" t="str">
        <f aca="false">IF(G2446&lt;1000,"1-Low",IF(G2446&lt;5000,"2-Medium","3-Bulk"))</f>
        <v>1-Low</v>
      </c>
      <c r="L2446" s="0" t="str">
        <f aca="false">IF(H2446="TRUE","Out of stock","In stock")</f>
        <v>In stock</v>
      </c>
      <c r="M2446" s="0" t="str">
        <f aca="false">IF(D2446&lt;5,"1) Under 5%",IF(D2446&lt;10,"2) 5-9%",IF(D2446&lt;15,"3) 10-14%",IF(D2446&lt;25,"4) 15-24%","5) 25%+"))))</f>
        <v>2) 5-9%</v>
      </c>
      <c r="N2446" s="0" t="str">
        <f aca="false">IF(F2446&lt;50,"1) Under Rs 50",IF(F2446&lt;100,"2) Rs 50-99",IF(F2446&lt;200,"3) Rs 100-199",IF(F2446&lt;500,"4) Rs 200-499","5) Rs 500+"))))</f>
        <v>3) Rs 100-199</v>
      </c>
      <c r="O2446" s="0" t="n">
        <f aca="false">G2446*E2446/1000</f>
        <v>2.85</v>
      </c>
    </row>
    <row r="2447" customFormat="false" ht="15" hidden="false" customHeight="false" outlineLevel="0" collapsed="false">
      <c r="A2447" s="0" t="s">
        <v>90</v>
      </c>
      <c r="B2447" s="0" t="s">
        <v>128</v>
      </c>
      <c r="C2447" s="0" t="n">
        <v>690</v>
      </c>
      <c r="D2447" s="0" t="n">
        <v>6</v>
      </c>
      <c r="E2447" s="0" t="n">
        <v>2</v>
      </c>
      <c r="F2447" s="0" t="n">
        <v>648</v>
      </c>
      <c r="G2447" s="0" t="n">
        <v>3000</v>
      </c>
      <c r="H2447" s="0" t="s">
        <v>145</v>
      </c>
      <c r="I2447" s="0" t="n">
        <v>3</v>
      </c>
      <c r="J2447" s="0" t="n">
        <f aca="false">F2447*E2447</f>
        <v>1296</v>
      </c>
      <c r="K2447" s="0" t="str">
        <f aca="false">IF(G2447&lt;1000,"1-Low",IF(G2447&lt;5000,"2-Medium","3-Bulk"))</f>
        <v>2-Medium</v>
      </c>
      <c r="L2447" s="0" t="str">
        <f aca="false">IF(H2447="TRUE","Out of stock","In stock")</f>
        <v>In stock</v>
      </c>
      <c r="M2447" s="0" t="str">
        <f aca="false">IF(D2447&lt;5,"1) Under 5%",IF(D2447&lt;10,"2) 5-9%",IF(D2447&lt;15,"3) 10-14%",IF(D2447&lt;25,"4) 15-24%","5) 25%+"))))</f>
        <v>2) 5-9%</v>
      </c>
      <c r="N2447" s="0" t="str">
        <f aca="false">IF(F2447&lt;50,"1) Under Rs 50",IF(F2447&lt;100,"2) Rs 50-99",IF(F2447&lt;200,"3) Rs 100-199",IF(F2447&lt;500,"4) Rs 200-499","5) Rs 500+"))))</f>
        <v>5) Rs 500+</v>
      </c>
      <c r="O2447" s="0" t="n">
        <f aca="false">G2447*E2447/1000</f>
        <v>6</v>
      </c>
    </row>
    <row r="2448" customFormat="false" ht="15" hidden="false" customHeight="false" outlineLevel="0" collapsed="false">
      <c r="A2448" s="0" t="s">
        <v>90</v>
      </c>
      <c r="B2448" s="0" t="s">
        <v>1023</v>
      </c>
      <c r="C2448" s="0" t="n">
        <v>110</v>
      </c>
      <c r="D2448" s="0" t="n">
        <v>30</v>
      </c>
      <c r="E2448" s="0" t="n">
        <v>5</v>
      </c>
      <c r="F2448" s="0" t="n">
        <v>77</v>
      </c>
      <c r="G2448" s="0" t="n">
        <v>285</v>
      </c>
      <c r="H2448" s="0" t="s">
        <v>145</v>
      </c>
      <c r="I2448" s="0" t="n">
        <v>285</v>
      </c>
      <c r="J2448" s="0" t="n">
        <f aca="false">F2448*E2448</f>
        <v>385</v>
      </c>
      <c r="K2448" s="0" t="str">
        <f aca="false">IF(G2448&lt;1000,"1-Low",IF(G2448&lt;5000,"2-Medium","3-Bulk"))</f>
        <v>1-Low</v>
      </c>
      <c r="L2448" s="0" t="str">
        <f aca="false">IF(H2448="TRUE","Out of stock","In stock")</f>
        <v>In stock</v>
      </c>
      <c r="M2448" s="0" t="str">
        <f aca="false">IF(D2448&lt;5,"1) Under 5%",IF(D2448&lt;10,"2) 5-9%",IF(D2448&lt;15,"3) 10-14%",IF(D2448&lt;25,"4) 15-24%","5) 25%+"))))</f>
        <v>5) 25%+</v>
      </c>
      <c r="N2448" s="0" t="str">
        <f aca="false">IF(F2448&lt;50,"1) Under Rs 50",IF(F2448&lt;100,"2) Rs 50-99",IF(F2448&lt;200,"3) Rs 100-199",IF(F2448&lt;500,"4) Rs 200-499","5) Rs 500+"))))</f>
        <v>2) Rs 50-99</v>
      </c>
      <c r="O2448" s="0" t="n">
        <f aca="false">G2448*E2448/1000</f>
        <v>1.425</v>
      </c>
    </row>
    <row r="2449" customFormat="false" ht="15" hidden="false" customHeight="false" outlineLevel="0" collapsed="false">
      <c r="A2449" s="0" t="s">
        <v>90</v>
      </c>
      <c r="B2449" s="0" t="s">
        <v>1024</v>
      </c>
      <c r="C2449" s="0" t="n">
        <v>110</v>
      </c>
      <c r="D2449" s="0" t="n">
        <v>30</v>
      </c>
      <c r="E2449" s="0" t="n">
        <v>2</v>
      </c>
      <c r="F2449" s="0" t="n">
        <v>77</v>
      </c>
      <c r="G2449" s="0" t="n">
        <v>285</v>
      </c>
      <c r="H2449" s="0" t="s">
        <v>145</v>
      </c>
      <c r="I2449" s="0" t="n">
        <v>285</v>
      </c>
      <c r="J2449" s="0" t="n">
        <f aca="false">F2449*E2449</f>
        <v>154</v>
      </c>
      <c r="K2449" s="0" t="str">
        <f aca="false">IF(G2449&lt;1000,"1-Low",IF(G2449&lt;5000,"2-Medium","3-Bulk"))</f>
        <v>1-Low</v>
      </c>
      <c r="L2449" s="0" t="str">
        <f aca="false">IF(H2449="TRUE","Out of stock","In stock")</f>
        <v>In stock</v>
      </c>
      <c r="M2449" s="0" t="str">
        <f aca="false">IF(D2449&lt;5,"1) Under 5%",IF(D2449&lt;10,"2) 5-9%",IF(D2449&lt;15,"3) 10-14%",IF(D2449&lt;25,"4) 15-24%","5) 25%+"))))</f>
        <v>5) 25%+</v>
      </c>
      <c r="N2449" s="0" t="str">
        <f aca="false">IF(F2449&lt;50,"1) Under Rs 50",IF(F2449&lt;100,"2) Rs 50-99",IF(F2449&lt;200,"3) Rs 100-199",IF(F2449&lt;500,"4) Rs 200-499","5) Rs 500+"))))</f>
        <v>2) Rs 50-99</v>
      </c>
      <c r="O2449" s="0" t="n">
        <f aca="false">G2449*E2449/1000</f>
        <v>0.57</v>
      </c>
    </row>
    <row r="2450" customFormat="false" ht="15" hidden="false" customHeight="false" outlineLevel="0" collapsed="false">
      <c r="A2450" s="0" t="s">
        <v>90</v>
      </c>
      <c r="B2450" s="0" t="s">
        <v>1025</v>
      </c>
      <c r="C2450" s="0" t="n">
        <v>179</v>
      </c>
      <c r="D2450" s="0" t="n">
        <v>0</v>
      </c>
      <c r="E2450" s="0" t="n">
        <v>6</v>
      </c>
      <c r="F2450" s="0" t="n">
        <v>179</v>
      </c>
      <c r="G2450" s="0" t="n">
        <v>450</v>
      </c>
      <c r="H2450" s="0" t="s">
        <v>145</v>
      </c>
      <c r="I2450" s="0" t="n">
        <v>450</v>
      </c>
      <c r="J2450" s="0" t="n">
        <f aca="false">F2450*E2450</f>
        <v>1074</v>
      </c>
      <c r="K2450" s="0" t="str">
        <f aca="false">IF(G2450&lt;1000,"1-Low",IF(G2450&lt;5000,"2-Medium","3-Bulk"))</f>
        <v>1-Low</v>
      </c>
      <c r="L2450" s="0" t="str">
        <f aca="false">IF(H2450="TRUE","Out of stock","In stock")</f>
        <v>In stock</v>
      </c>
      <c r="M2450" s="0" t="str">
        <f aca="false">IF(D2450&lt;5,"1) Under 5%",IF(D2450&lt;10,"2) 5-9%",IF(D2450&lt;15,"3) 10-14%",IF(D2450&lt;25,"4) 15-24%","5) 25%+"))))</f>
        <v>1) Under 5%</v>
      </c>
      <c r="N2450" s="0" t="str">
        <f aca="false">IF(F2450&lt;50,"1) Under Rs 50",IF(F2450&lt;100,"2) Rs 50-99",IF(F2450&lt;200,"3) Rs 100-199",IF(F2450&lt;500,"4) Rs 200-499","5) Rs 500+"))))</f>
        <v>3) Rs 100-199</v>
      </c>
      <c r="O2450" s="0" t="n">
        <f aca="false">G2450*E2450/1000</f>
        <v>2.7</v>
      </c>
    </row>
    <row r="2451" customFormat="false" ht="15" hidden="false" customHeight="false" outlineLevel="0" collapsed="false">
      <c r="A2451" s="0" t="s">
        <v>90</v>
      </c>
      <c r="B2451" s="0" t="s">
        <v>1026</v>
      </c>
      <c r="C2451" s="0" t="n">
        <v>140</v>
      </c>
      <c r="D2451" s="0" t="n">
        <v>15</v>
      </c>
      <c r="E2451" s="0" t="n">
        <v>6</v>
      </c>
      <c r="F2451" s="0" t="n">
        <v>119</v>
      </c>
      <c r="G2451" s="0" t="n">
        <v>60</v>
      </c>
      <c r="H2451" s="0" t="s">
        <v>145</v>
      </c>
      <c r="I2451" s="0" t="n">
        <v>60</v>
      </c>
      <c r="J2451" s="0" t="n">
        <f aca="false">F2451*E2451</f>
        <v>714</v>
      </c>
      <c r="K2451" s="0" t="str">
        <f aca="false">IF(G2451&lt;1000,"1-Low",IF(G2451&lt;5000,"2-Medium","3-Bulk"))</f>
        <v>1-Low</v>
      </c>
      <c r="L2451" s="0" t="str">
        <f aca="false">IF(H2451="TRUE","Out of stock","In stock")</f>
        <v>In stock</v>
      </c>
      <c r="M2451" s="0" t="str">
        <f aca="false">IF(D2451&lt;5,"1) Under 5%",IF(D2451&lt;10,"2) 5-9%",IF(D2451&lt;15,"3) 10-14%",IF(D2451&lt;25,"4) 15-24%","5) 25%+"))))</f>
        <v>4) 15-24%</v>
      </c>
      <c r="N2451" s="0" t="str">
        <f aca="false">IF(F2451&lt;50,"1) Under Rs 50",IF(F2451&lt;100,"2) Rs 50-99",IF(F2451&lt;200,"3) Rs 100-199",IF(F2451&lt;500,"4) Rs 200-499","5) Rs 500+"))))</f>
        <v>3) Rs 100-199</v>
      </c>
      <c r="O2451" s="0" t="n">
        <f aca="false">G2451*E2451/1000</f>
        <v>0.36</v>
      </c>
    </row>
    <row r="2452" customFormat="false" ht="15" hidden="false" customHeight="false" outlineLevel="0" collapsed="false">
      <c r="A2452" s="0" t="s">
        <v>90</v>
      </c>
      <c r="B2452" s="0" t="s">
        <v>1027</v>
      </c>
      <c r="C2452" s="0" t="n">
        <v>149</v>
      </c>
      <c r="D2452" s="0" t="n">
        <v>26</v>
      </c>
      <c r="E2452" s="0" t="n">
        <v>6</v>
      </c>
      <c r="F2452" s="0" t="n">
        <v>109</v>
      </c>
      <c r="G2452" s="0" t="n">
        <v>500</v>
      </c>
      <c r="H2452" s="0" t="s">
        <v>145</v>
      </c>
      <c r="I2452" s="0" t="n">
        <v>500</v>
      </c>
      <c r="J2452" s="0" t="n">
        <f aca="false">F2452*E2452</f>
        <v>654</v>
      </c>
      <c r="K2452" s="0" t="str">
        <f aca="false">IF(G2452&lt;1000,"1-Low",IF(G2452&lt;5000,"2-Medium","3-Bulk"))</f>
        <v>1-Low</v>
      </c>
      <c r="L2452" s="0" t="str">
        <f aca="false">IF(H2452="TRUE","Out of stock","In stock")</f>
        <v>In stock</v>
      </c>
      <c r="M2452" s="0" t="str">
        <f aca="false">IF(D2452&lt;5,"1) Under 5%",IF(D2452&lt;10,"2) 5-9%",IF(D2452&lt;15,"3) 10-14%",IF(D2452&lt;25,"4) 15-24%","5) 25%+"))))</f>
        <v>5) 25%+</v>
      </c>
      <c r="N2452" s="0" t="str">
        <f aca="false">IF(F2452&lt;50,"1) Under Rs 50",IF(F2452&lt;100,"2) Rs 50-99",IF(F2452&lt;200,"3) Rs 100-199",IF(F2452&lt;500,"4) Rs 200-499","5) Rs 500+"))))</f>
        <v>3) Rs 100-199</v>
      </c>
      <c r="O2452" s="0" t="n">
        <f aca="false">G2452*E2452/1000</f>
        <v>3</v>
      </c>
    </row>
    <row r="2453" customFormat="false" ht="15" hidden="false" customHeight="false" outlineLevel="0" collapsed="false">
      <c r="A2453" s="0" t="s">
        <v>90</v>
      </c>
      <c r="B2453" s="0" t="s">
        <v>1028</v>
      </c>
      <c r="C2453" s="0" t="n">
        <v>279</v>
      </c>
      <c r="D2453" s="0" t="n">
        <v>0</v>
      </c>
      <c r="E2453" s="0" t="n">
        <v>5</v>
      </c>
      <c r="F2453" s="0" t="n">
        <v>279</v>
      </c>
      <c r="G2453" s="0" t="n">
        <v>300</v>
      </c>
      <c r="H2453" s="0" t="s">
        <v>145</v>
      </c>
      <c r="I2453" s="0" t="n">
        <v>300</v>
      </c>
      <c r="J2453" s="0" t="n">
        <f aca="false">F2453*E2453</f>
        <v>1395</v>
      </c>
      <c r="K2453" s="0" t="str">
        <f aca="false">IF(G2453&lt;1000,"1-Low",IF(G2453&lt;5000,"2-Medium","3-Bulk"))</f>
        <v>1-Low</v>
      </c>
      <c r="L2453" s="0" t="str">
        <f aca="false">IF(H2453="TRUE","Out of stock","In stock")</f>
        <v>In stock</v>
      </c>
      <c r="M2453" s="0" t="str">
        <f aca="false">IF(D2453&lt;5,"1) Under 5%",IF(D2453&lt;10,"2) 5-9%",IF(D2453&lt;15,"3) 10-14%",IF(D2453&lt;25,"4) 15-24%","5) 25%+"))))</f>
        <v>1) Under 5%</v>
      </c>
      <c r="N2453" s="0" t="str">
        <f aca="false">IF(F2453&lt;50,"1) Under Rs 50",IF(F2453&lt;100,"2) Rs 50-99",IF(F2453&lt;200,"3) Rs 100-199",IF(F2453&lt;500,"4) Rs 200-499","5) Rs 500+"))))</f>
        <v>4) Rs 200-499</v>
      </c>
      <c r="O2453" s="0" t="n">
        <f aca="false">G2453*E2453/1000</f>
        <v>1.5</v>
      </c>
    </row>
    <row r="2454" customFormat="false" ht="15" hidden="false" customHeight="false" outlineLevel="0" collapsed="false">
      <c r="A2454" s="0" t="s">
        <v>90</v>
      </c>
      <c r="B2454" s="0" t="s">
        <v>423</v>
      </c>
      <c r="C2454" s="0" t="n">
        <v>50</v>
      </c>
      <c r="D2454" s="0" t="n">
        <v>2</v>
      </c>
      <c r="E2454" s="0" t="n">
        <v>2</v>
      </c>
      <c r="F2454" s="0" t="n">
        <v>49</v>
      </c>
      <c r="G2454" s="0" t="n">
        <v>200</v>
      </c>
      <c r="H2454" s="0" t="s">
        <v>145</v>
      </c>
      <c r="I2454" s="0" t="n">
        <v>200</v>
      </c>
      <c r="J2454" s="0" t="n">
        <f aca="false">F2454*E2454</f>
        <v>98</v>
      </c>
      <c r="K2454" s="0" t="str">
        <f aca="false">IF(G2454&lt;1000,"1-Low",IF(G2454&lt;5000,"2-Medium","3-Bulk"))</f>
        <v>1-Low</v>
      </c>
      <c r="L2454" s="0" t="str">
        <f aca="false">IF(H2454="TRUE","Out of stock","In stock")</f>
        <v>In stock</v>
      </c>
      <c r="M2454" s="0" t="str">
        <f aca="false">IF(D2454&lt;5,"1) Under 5%",IF(D2454&lt;10,"2) 5-9%",IF(D2454&lt;15,"3) 10-14%",IF(D2454&lt;25,"4) 15-24%","5) 25%+"))))</f>
        <v>1) Under 5%</v>
      </c>
      <c r="N2454" s="0" t="str">
        <f aca="false">IF(F2454&lt;50,"1) Under Rs 50",IF(F2454&lt;100,"2) Rs 50-99",IF(F2454&lt;200,"3) Rs 100-199",IF(F2454&lt;500,"4) Rs 200-499","5) Rs 500+"))))</f>
        <v>1) Under Rs 50</v>
      </c>
      <c r="O2454" s="0" t="n">
        <f aca="false">G2454*E2454/1000</f>
        <v>0.4</v>
      </c>
    </row>
    <row r="2455" customFormat="false" ht="15" hidden="false" customHeight="false" outlineLevel="0" collapsed="false">
      <c r="A2455" s="0" t="s">
        <v>90</v>
      </c>
      <c r="B2455" s="0" t="s">
        <v>1029</v>
      </c>
      <c r="C2455" s="0" t="n">
        <v>140</v>
      </c>
      <c r="D2455" s="0" t="n">
        <v>20</v>
      </c>
      <c r="E2455" s="0" t="n">
        <v>6</v>
      </c>
      <c r="F2455" s="0" t="n">
        <v>112</v>
      </c>
      <c r="G2455" s="0" t="n">
        <v>80</v>
      </c>
      <c r="H2455" s="0" t="s">
        <v>145</v>
      </c>
      <c r="I2455" s="0" t="n">
        <v>80</v>
      </c>
      <c r="J2455" s="0" t="n">
        <f aca="false">F2455*E2455</f>
        <v>672</v>
      </c>
      <c r="K2455" s="0" t="str">
        <f aca="false">IF(G2455&lt;1000,"1-Low",IF(G2455&lt;5000,"2-Medium","3-Bulk"))</f>
        <v>1-Low</v>
      </c>
      <c r="L2455" s="0" t="str">
        <f aca="false">IF(H2455="TRUE","Out of stock","In stock")</f>
        <v>In stock</v>
      </c>
      <c r="M2455" s="0" t="str">
        <f aca="false">IF(D2455&lt;5,"1) Under 5%",IF(D2455&lt;10,"2) 5-9%",IF(D2455&lt;15,"3) 10-14%",IF(D2455&lt;25,"4) 15-24%","5) 25%+"))))</f>
        <v>4) 15-24%</v>
      </c>
      <c r="N2455" s="0" t="str">
        <f aca="false">IF(F2455&lt;50,"1) Under Rs 50",IF(F2455&lt;100,"2) Rs 50-99",IF(F2455&lt;200,"3) Rs 100-199",IF(F2455&lt;500,"4) Rs 200-499","5) Rs 500+"))))</f>
        <v>3) Rs 100-199</v>
      </c>
      <c r="O2455" s="0" t="n">
        <f aca="false">G2455*E2455/1000</f>
        <v>0.48</v>
      </c>
    </row>
    <row r="2456" customFormat="false" ht="15" hidden="false" customHeight="false" outlineLevel="0" collapsed="false">
      <c r="A2456" s="0" t="s">
        <v>90</v>
      </c>
      <c r="B2456" s="0" t="s">
        <v>1030</v>
      </c>
      <c r="C2456" s="0" t="n">
        <v>161</v>
      </c>
      <c r="D2456" s="0" t="n">
        <v>0</v>
      </c>
      <c r="E2456" s="0" t="n">
        <v>6</v>
      </c>
      <c r="F2456" s="0" t="n">
        <v>161</v>
      </c>
      <c r="G2456" s="0" t="n">
        <v>300</v>
      </c>
      <c r="H2456" s="0" t="s">
        <v>145</v>
      </c>
      <c r="I2456" s="0" t="n">
        <v>300</v>
      </c>
      <c r="J2456" s="0" t="n">
        <f aca="false">F2456*E2456</f>
        <v>966</v>
      </c>
      <c r="K2456" s="0" t="str">
        <f aca="false">IF(G2456&lt;1000,"1-Low",IF(G2456&lt;5000,"2-Medium","3-Bulk"))</f>
        <v>1-Low</v>
      </c>
      <c r="L2456" s="0" t="str">
        <f aca="false">IF(H2456="TRUE","Out of stock","In stock")</f>
        <v>In stock</v>
      </c>
      <c r="M2456" s="0" t="str">
        <f aca="false">IF(D2456&lt;5,"1) Under 5%",IF(D2456&lt;10,"2) 5-9%",IF(D2456&lt;15,"3) 10-14%",IF(D2456&lt;25,"4) 15-24%","5) 25%+"))))</f>
        <v>1) Under 5%</v>
      </c>
      <c r="N2456" s="0" t="str">
        <f aca="false">IF(F2456&lt;50,"1) Under Rs 50",IF(F2456&lt;100,"2) Rs 50-99",IF(F2456&lt;200,"3) Rs 100-199",IF(F2456&lt;500,"4) Rs 200-499","5) Rs 500+"))))</f>
        <v>3) Rs 100-199</v>
      </c>
      <c r="O2456" s="0" t="n">
        <f aca="false">G2456*E2456/1000</f>
        <v>1.8</v>
      </c>
    </row>
    <row r="2457" customFormat="false" ht="15" hidden="false" customHeight="false" outlineLevel="0" collapsed="false">
      <c r="A2457" s="0" t="s">
        <v>90</v>
      </c>
      <c r="B2457" s="0" t="s">
        <v>1031</v>
      </c>
      <c r="C2457" s="0" t="n">
        <v>225</v>
      </c>
      <c r="D2457" s="0" t="n">
        <v>15</v>
      </c>
      <c r="E2457" s="0" t="n">
        <v>6</v>
      </c>
      <c r="F2457" s="0" t="n">
        <v>191</v>
      </c>
      <c r="G2457" s="0" t="n">
        <v>200</v>
      </c>
      <c r="H2457" s="0" t="s">
        <v>145</v>
      </c>
      <c r="I2457" s="0" t="n">
        <v>200</v>
      </c>
      <c r="J2457" s="0" t="n">
        <f aca="false">F2457*E2457</f>
        <v>1146</v>
      </c>
      <c r="K2457" s="0" t="str">
        <f aca="false">IF(G2457&lt;1000,"1-Low",IF(G2457&lt;5000,"2-Medium","3-Bulk"))</f>
        <v>1-Low</v>
      </c>
      <c r="L2457" s="0" t="str">
        <f aca="false">IF(H2457="TRUE","Out of stock","In stock")</f>
        <v>In stock</v>
      </c>
      <c r="M2457" s="0" t="str">
        <f aca="false">IF(D2457&lt;5,"1) Under 5%",IF(D2457&lt;10,"2) 5-9%",IF(D2457&lt;15,"3) 10-14%",IF(D2457&lt;25,"4) 15-24%","5) 25%+"))))</f>
        <v>4) 15-24%</v>
      </c>
      <c r="N2457" s="0" t="str">
        <f aca="false">IF(F2457&lt;50,"1) Under Rs 50",IF(F2457&lt;100,"2) Rs 50-99",IF(F2457&lt;200,"3) Rs 100-199",IF(F2457&lt;500,"4) Rs 200-499","5) Rs 500+"))))</f>
        <v>3) Rs 100-199</v>
      </c>
      <c r="O2457" s="0" t="n">
        <f aca="false">G2457*E2457/1000</f>
        <v>1.2</v>
      </c>
    </row>
    <row r="2458" customFormat="false" ht="15" hidden="false" customHeight="false" outlineLevel="0" collapsed="false">
      <c r="A2458" s="0" t="s">
        <v>90</v>
      </c>
      <c r="B2458" s="0" t="s">
        <v>636</v>
      </c>
      <c r="C2458" s="0" t="n">
        <v>190</v>
      </c>
      <c r="D2458" s="0" t="n">
        <v>11</v>
      </c>
      <c r="E2458" s="0" t="n">
        <v>6</v>
      </c>
      <c r="F2458" s="0" t="n">
        <v>169</v>
      </c>
      <c r="G2458" s="0" t="n">
        <v>500</v>
      </c>
      <c r="H2458" s="0" t="s">
        <v>145</v>
      </c>
      <c r="I2458" s="0" t="n">
        <v>500</v>
      </c>
      <c r="J2458" s="0" t="n">
        <f aca="false">F2458*E2458</f>
        <v>1014</v>
      </c>
      <c r="K2458" s="0" t="str">
        <f aca="false">IF(G2458&lt;1000,"1-Low",IF(G2458&lt;5000,"2-Medium","3-Bulk"))</f>
        <v>1-Low</v>
      </c>
      <c r="L2458" s="0" t="str">
        <f aca="false">IF(H2458="TRUE","Out of stock","In stock")</f>
        <v>In stock</v>
      </c>
      <c r="M2458" s="0" t="str">
        <f aca="false">IF(D2458&lt;5,"1) Under 5%",IF(D2458&lt;10,"2) 5-9%",IF(D2458&lt;15,"3) 10-14%",IF(D2458&lt;25,"4) 15-24%","5) 25%+"))))</f>
        <v>3) 10-14%</v>
      </c>
      <c r="N2458" s="0" t="str">
        <f aca="false">IF(F2458&lt;50,"1) Under Rs 50",IF(F2458&lt;100,"2) Rs 50-99",IF(F2458&lt;200,"3) Rs 100-199",IF(F2458&lt;500,"4) Rs 200-499","5) Rs 500+"))))</f>
        <v>3) Rs 100-199</v>
      </c>
      <c r="O2458" s="0" t="n">
        <f aca="false">G2458*E2458/1000</f>
        <v>3</v>
      </c>
    </row>
    <row r="2459" customFormat="false" ht="15" hidden="false" customHeight="false" outlineLevel="0" collapsed="false">
      <c r="A2459" s="0" t="s">
        <v>90</v>
      </c>
      <c r="B2459" s="0" t="s">
        <v>1032</v>
      </c>
      <c r="C2459" s="0" t="n">
        <v>123</v>
      </c>
      <c r="D2459" s="0" t="n">
        <v>0</v>
      </c>
      <c r="E2459" s="0" t="n">
        <v>6</v>
      </c>
      <c r="F2459" s="0" t="n">
        <v>123</v>
      </c>
      <c r="G2459" s="0" t="n">
        <v>600</v>
      </c>
      <c r="H2459" s="0" t="s">
        <v>145</v>
      </c>
      <c r="I2459" s="0" t="n">
        <v>600</v>
      </c>
      <c r="J2459" s="0" t="n">
        <f aca="false">F2459*E2459</f>
        <v>738</v>
      </c>
      <c r="K2459" s="0" t="str">
        <f aca="false">IF(G2459&lt;1000,"1-Low",IF(G2459&lt;5000,"2-Medium","3-Bulk"))</f>
        <v>1-Low</v>
      </c>
      <c r="L2459" s="0" t="str">
        <f aca="false">IF(H2459="TRUE","Out of stock","In stock")</f>
        <v>In stock</v>
      </c>
      <c r="M2459" s="0" t="str">
        <f aca="false">IF(D2459&lt;5,"1) Under 5%",IF(D2459&lt;10,"2) 5-9%",IF(D2459&lt;15,"3) 10-14%",IF(D2459&lt;25,"4) 15-24%","5) 25%+"))))</f>
        <v>1) Under 5%</v>
      </c>
      <c r="N2459" s="0" t="str">
        <f aca="false">IF(F2459&lt;50,"1) Under Rs 50",IF(F2459&lt;100,"2) Rs 50-99",IF(F2459&lt;200,"3) Rs 100-199",IF(F2459&lt;500,"4) Rs 200-499","5) Rs 500+"))))</f>
        <v>3) Rs 100-199</v>
      </c>
      <c r="O2459" s="0" t="n">
        <f aca="false">G2459*E2459/1000</f>
        <v>3.6</v>
      </c>
    </row>
    <row r="2460" customFormat="false" ht="15" hidden="false" customHeight="false" outlineLevel="0" collapsed="false">
      <c r="A2460" s="0" t="s">
        <v>90</v>
      </c>
      <c r="B2460" s="0" t="s">
        <v>1033</v>
      </c>
      <c r="C2460" s="0" t="n">
        <v>275</v>
      </c>
      <c r="D2460" s="0" t="n">
        <v>10</v>
      </c>
      <c r="E2460" s="0" t="n">
        <v>6</v>
      </c>
      <c r="F2460" s="0" t="n">
        <v>245</v>
      </c>
      <c r="G2460" s="0" t="n">
        <v>200</v>
      </c>
      <c r="H2460" s="0" t="s">
        <v>145</v>
      </c>
      <c r="I2460" s="0" t="n">
        <v>200</v>
      </c>
      <c r="J2460" s="0" t="n">
        <f aca="false">F2460*E2460</f>
        <v>1470</v>
      </c>
      <c r="K2460" s="0" t="str">
        <f aca="false">IF(G2460&lt;1000,"1-Low",IF(G2460&lt;5000,"2-Medium","3-Bulk"))</f>
        <v>1-Low</v>
      </c>
      <c r="L2460" s="0" t="str">
        <f aca="false">IF(H2460="TRUE","Out of stock","In stock")</f>
        <v>In stock</v>
      </c>
      <c r="M2460" s="0" t="str">
        <f aca="false">IF(D2460&lt;5,"1) Under 5%",IF(D2460&lt;10,"2) 5-9%",IF(D2460&lt;15,"3) 10-14%",IF(D2460&lt;25,"4) 15-24%","5) 25%+"))))</f>
        <v>3) 10-14%</v>
      </c>
      <c r="N2460" s="0" t="str">
        <f aca="false">IF(F2460&lt;50,"1) Under Rs 50",IF(F2460&lt;100,"2) Rs 50-99",IF(F2460&lt;200,"3) Rs 100-199",IF(F2460&lt;500,"4) Rs 200-499","5) Rs 500+"))))</f>
        <v>4) Rs 200-499</v>
      </c>
      <c r="O2460" s="0" t="n">
        <f aca="false">G2460*E2460/1000</f>
        <v>1.2</v>
      </c>
    </row>
    <row r="2461" customFormat="false" ht="15" hidden="false" customHeight="false" outlineLevel="0" collapsed="false">
      <c r="A2461" s="0" t="s">
        <v>90</v>
      </c>
      <c r="B2461" s="0" t="s">
        <v>1034</v>
      </c>
      <c r="C2461" s="0" t="n">
        <v>75</v>
      </c>
      <c r="D2461" s="0" t="n">
        <v>0</v>
      </c>
      <c r="E2461" s="0" t="n">
        <v>6</v>
      </c>
      <c r="F2461" s="0" t="n">
        <v>75</v>
      </c>
      <c r="G2461" s="0" t="n">
        <v>180</v>
      </c>
      <c r="H2461" s="0" t="s">
        <v>145</v>
      </c>
      <c r="I2461" s="0" t="n">
        <v>180</v>
      </c>
      <c r="J2461" s="0" t="n">
        <f aca="false">F2461*E2461</f>
        <v>450</v>
      </c>
      <c r="K2461" s="0" t="str">
        <f aca="false">IF(G2461&lt;1000,"1-Low",IF(G2461&lt;5000,"2-Medium","3-Bulk"))</f>
        <v>1-Low</v>
      </c>
      <c r="L2461" s="0" t="str">
        <f aca="false">IF(H2461="TRUE","Out of stock","In stock")</f>
        <v>In stock</v>
      </c>
      <c r="M2461" s="0" t="str">
        <f aca="false">IF(D2461&lt;5,"1) Under 5%",IF(D2461&lt;10,"2) 5-9%",IF(D2461&lt;15,"3) 10-14%",IF(D2461&lt;25,"4) 15-24%","5) 25%+"))))</f>
        <v>1) Under 5%</v>
      </c>
      <c r="N2461" s="0" t="str">
        <f aca="false">IF(F2461&lt;50,"1) Under Rs 50",IF(F2461&lt;100,"2) Rs 50-99",IF(F2461&lt;200,"3) Rs 100-199",IF(F2461&lt;500,"4) Rs 200-499","5) Rs 500+"))))</f>
        <v>2) Rs 50-99</v>
      </c>
      <c r="O2461" s="0" t="n">
        <f aca="false">G2461*E2461/1000</f>
        <v>1.08</v>
      </c>
    </row>
    <row r="2462" customFormat="false" ht="15" hidden="false" customHeight="false" outlineLevel="0" collapsed="false">
      <c r="A2462" s="0" t="s">
        <v>90</v>
      </c>
      <c r="B2462" s="0" t="s">
        <v>1035</v>
      </c>
      <c r="C2462" s="0" t="n">
        <v>350</v>
      </c>
      <c r="D2462" s="0" t="n">
        <v>0</v>
      </c>
      <c r="E2462" s="0" t="n">
        <v>6</v>
      </c>
      <c r="F2462" s="0" t="n">
        <v>350</v>
      </c>
      <c r="G2462" s="0" t="n">
        <v>880</v>
      </c>
      <c r="H2462" s="0" t="s">
        <v>145</v>
      </c>
      <c r="I2462" s="0" t="n">
        <v>800</v>
      </c>
      <c r="J2462" s="0" t="n">
        <f aca="false">F2462*E2462</f>
        <v>2100</v>
      </c>
      <c r="K2462" s="0" t="str">
        <f aca="false">IF(G2462&lt;1000,"1-Low",IF(G2462&lt;5000,"2-Medium","3-Bulk"))</f>
        <v>1-Low</v>
      </c>
      <c r="L2462" s="0" t="str">
        <f aca="false">IF(H2462="TRUE","Out of stock","In stock")</f>
        <v>In stock</v>
      </c>
      <c r="M2462" s="0" t="str">
        <f aca="false">IF(D2462&lt;5,"1) Under 5%",IF(D2462&lt;10,"2) 5-9%",IF(D2462&lt;15,"3) 10-14%",IF(D2462&lt;25,"4) 15-24%","5) 25%+"))))</f>
        <v>1) Under 5%</v>
      </c>
      <c r="N2462" s="0" t="str">
        <f aca="false">IF(F2462&lt;50,"1) Under Rs 50",IF(F2462&lt;100,"2) Rs 50-99",IF(F2462&lt;200,"3) Rs 100-199",IF(F2462&lt;500,"4) Rs 200-499","5) Rs 500+"))))</f>
        <v>4) Rs 200-499</v>
      </c>
      <c r="O2462" s="0" t="n">
        <f aca="false">G2462*E2462/1000</f>
        <v>5.28</v>
      </c>
    </row>
    <row r="2463" customFormat="false" ht="15" hidden="false" customHeight="false" outlineLevel="0" collapsed="false">
      <c r="A2463" s="0" t="s">
        <v>90</v>
      </c>
      <c r="B2463" s="0" t="s">
        <v>1036</v>
      </c>
      <c r="C2463" s="0" t="n">
        <v>135</v>
      </c>
      <c r="D2463" s="0" t="n">
        <v>11</v>
      </c>
      <c r="E2463" s="0" t="n">
        <v>6</v>
      </c>
      <c r="F2463" s="0" t="n">
        <v>120</v>
      </c>
      <c r="G2463" s="0" t="n">
        <v>300</v>
      </c>
      <c r="H2463" s="0" t="s">
        <v>145</v>
      </c>
      <c r="I2463" s="0" t="n">
        <v>300</v>
      </c>
      <c r="J2463" s="0" t="n">
        <f aca="false">F2463*E2463</f>
        <v>720</v>
      </c>
      <c r="K2463" s="0" t="str">
        <f aca="false">IF(G2463&lt;1000,"1-Low",IF(G2463&lt;5000,"2-Medium","3-Bulk"))</f>
        <v>1-Low</v>
      </c>
      <c r="L2463" s="0" t="str">
        <f aca="false">IF(H2463="TRUE","Out of stock","In stock")</f>
        <v>In stock</v>
      </c>
      <c r="M2463" s="0" t="str">
        <f aca="false">IF(D2463&lt;5,"1) Under 5%",IF(D2463&lt;10,"2) 5-9%",IF(D2463&lt;15,"3) 10-14%",IF(D2463&lt;25,"4) 15-24%","5) 25%+"))))</f>
        <v>3) 10-14%</v>
      </c>
      <c r="N2463" s="0" t="str">
        <f aca="false">IF(F2463&lt;50,"1) Under Rs 50",IF(F2463&lt;100,"2) Rs 50-99",IF(F2463&lt;200,"3) Rs 100-199",IF(F2463&lt;500,"4) Rs 200-499","5) Rs 500+"))))</f>
        <v>3) Rs 100-199</v>
      </c>
      <c r="O2463" s="0" t="n">
        <f aca="false">G2463*E2463/1000</f>
        <v>1.8</v>
      </c>
    </row>
    <row r="2464" customFormat="false" ht="15" hidden="false" customHeight="false" outlineLevel="0" collapsed="false">
      <c r="A2464" s="0" t="s">
        <v>90</v>
      </c>
      <c r="B2464" s="0" t="s">
        <v>1037</v>
      </c>
      <c r="C2464" s="0" t="n">
        <v>55</v>
      </c>
      <c r="D2464" s="0" t="n">
        <v>0</v>
      </c>
      <c r="E2464" s="0" t="n">
        <v>5</v>
      </c>
      <c r="F2464" s="0" t="n">
        <v>55</v>
      </c>
      <c r="G2464" s="0" t="n">
        <v>190</v>
      </c>
      <c r="H2464" s="0" t="s">
        <v>145</v>
      </c>
      <c r="I2464" s="0" t="n">
        <v>190</v>
      </c>
      <c r="J2464" s="0" t="n">
        <f aca="false">F2464*E2464</f>
        <v>275</v>
      </c>
      <c r="K2464" s="0" t="str">
        <f aca="false">IF(G2464&lt;1000,"1-Low",IF(G2464&lt;5000,"2-Medium","3-Bulk"))</f>
        <v>1-Low</v>
      </c>
      <c r="L2464" s="0" t="str">
        <f aca="false">IF(H2464="TRUE","Out of stock","In stock")</f>
        <v>In stock</v>
      </c>
      <c r="M2464" s="0" t="str">
        <f aca="false">IF(D2464&lt;5,"1) Under 5%",IF(D2464&lt;10,"2) 5-9%",IF(D2464&lt;15,"3) 10-14%",IF(D2464&lt;25,"4) 15-24%","5) 25%+"))))</f>
        <v>1) Under 5%</v>
      </c>
      <c r="N2464" s="0" t="str">
        <f aca="false">IF(F2464&lt;50,"1) Under Rs 50",IF(F2464&lt;100,"2) Rs 50-99",IF(F2464&lt;200,"3) Rs 100-199",IF(F2464&lt;500,"4) Rs 200-499","5) Rs 500+"))))</f>
        <v>2) Rs 50-99</v>
      </c>
      <c r="O2464" s="0" t="n">
        <f aca="false">G2464*E2464/1000</f>
        <v>0.95</v>
      </c>
    </row>
    <row r="2465" customFormat="false" ht="15" hidden="false" customHeight="false" outlineLevel="0" collapsed="false">
      <c r="A2465" s="0" t="s">
        <v>90</v>
      </c>
      <c r="B2465" s="0" t="s">
        <v>627</v>
      </c>
      <c r="C2465" s="0" t="n">
        <v>120</v>
      </c>
      <c r="D2465" s="0" t="n">
        <v>30</v>
      </c>
      <c r="E2465" s="0" t="n">
        <v>4</v>
      </c>
      <c r="F2465" s="0" t="n">
        <v>84</v>
      </c>
      <c r="G2465" s="0" t="n">
        <v>285</v>
      </c>
      <c r="H2465" s="0" t="s">
        <v>145</v>
      </c>
      <c r="I2465" s="0" t="n">
        <v>285</v>
      </c>
      <c r="J2465" s="0" t="n">
        <f aca="false">F2465*E2465</f>
        <v>336</v>
      </c>
      <c r="K2465" s="0" t="str">
        <f aca="false">IF(G2465&lt;1000,"1-Low",IF(G2465&lt;5000,"2-Medium","3-Bulk"))</f>
        <v>1-Low</v>
      </c>
      <c r="L2465" s="0" t="str">
        <f aca="false">IF(H2465="TRUE","Out of stock","In stock")</f>
        <v>In stock</v>
      </c>
      <c r="M2465" s="0" t="str">
        <f aca="false">IF(D2465&lt;5,"1) Under 5%",IF(D2465&lt;10,"2) 5-9%",IF(D2465&lt;15,"3) 10-14%",IF(D2465&lt;25,"4) 15-24%","5) 25%+"))))</f>
        <v>5) 25%+</v>
      </c>
      <c r="N2465" s="0" t="str">
        <f aca="false">IF(F2465&lt;50,"1) Under Rs 50",IF(F2465&lt;100,"2) Rs 50-99",IF(F2465&lt;200,"3) Rs 100-199",IF(F2465&lt;500,"4) Rs 200-499","5) Rs 500+"))))</f>
        <v>2) Rs 50-99</v>
      </c>
      <c r="O2465" s="0" t="n">
        <f aca="false">G2465*E2465/1000</f>
        <v>1.14</v>
      </c>
    </row>
    <row r="2466" customFormat="false" ht="15" hidden="false" customHeight="false" outlineLevel="0" collapsed="false">
      <c r="A2466" s="0" t="s">
        <v>90</v>
      </c>
      <c r="B2466" s="0" t="s">
        <v>933</v>
      </c>
      <c r="C2466" s="0" t="n">
        <v>60</v>
      </c>
      <c r="D2466" s="0" t="n">
        <v>6</v>
      </c>
      <c r="E2466" s="0" t="n">
        <v>6</v>
      </c>
      <c r="F2466" s="0" t="n">
        <v>56</v>
      </c>
      <c r="G2466" s="0" t="n">
        <v>50</v>
      </c>
      <c r="H2466" s="0" t="s">
        <v>145</v>
      </c>
      <c r="I2466" s="0" t="n">
        <v>50</v>
      </c>
      <c r="J2466" s="0" t="n">
        <f aca="false">F2466*E2466</f>
        <v>336</v>
      </c>
      <c r="K2466" s="0" t="str">
        <f aca="false">IF(G2466&lt;1000,"1-Low",IF(G2466&lt;5000,"2-Medium","3-Bulk"))</f>
        <v>1-Low</v>
      </c>
      <c r="L2466" s="0" t="str">
        <f aca="false">IF(H2466="TRUE","Out of stock","In stock")</f>
        <v>In stock</v>
      </c>
      <c r="M2466" s="0" t="str">
        <f aca="false">IF(D2466&lt;5,"1) Under 5%",IF(D2466&lt;10,"2) 5-9%",IF(D2466&lt;15,"3) 10-14%",IF(D2466&lt;25,"4) 15-24%","5) 25%+"))))</f>
        <v>2) 5-9%</v>
      </c>
      <c r="N2466" s="0" t="str">
        <f aca="false">IF(F2466&lt;50,"1) Under Rs 50",IF(F2466&lt;100,"2) Rs 50-99",IF(F2466&lt;200,"3) Rs 100-199",IF(F2466&lt;500,"4) Rs 200-499","5) Rs 500+"))))</f>
        <v>2) Rs 50-99</v>
      </c>
      <c r="O2466" s="0" t="n">
        <f aca="false">G2466*E2466/1000</f>
        <v>0.3</v>
      </c>
    </row>
    <row r="2467" customFormat="false" ht="15" hidden="false" customHeight="false" outlineLevel="0" collapsed="false">
      <c r="A2467" s="0" t="s">
        <v>90</v>
      </c>
      <c r="B2467" s="0" t="s">
        <v>783</v>
      </c>
      <c r="C2467" s="0" t="n">
        <v>110</v>
      </c>
      <c r="D2467" s="0" t="n">
        <v>0</v>
      </c>
      <c r="E2467" s="0" t="n">
        <v>6</v>
      </c>
      <c r="F2467" s="0" t="n">
        <v>110</v>
      </c>
      <c r="G2467" s="0" t="n">
        <v>180</v>
      </c>
      <c r="H2467" s="0" t="s">
        <v>145</v>
      </c>
      <c r="I2467" s="0" t="n">
        <v>180</v>
      </c>
      <c r="J2467" s="0" t="n">
        <f aca="false">F2467*E2467</f>
        <v>660</v>
      </c>
      <c r="K2467" s="0" t="str">
        <f aca="false">IF(G2467&lt;1000,"1-Low",IF(G2467&lt;5000,"2-Medium","3-Bulk"))</f>
        <v>1-Low</v>
      </c>
      <c r="L2467" s="0" t="str">
        <f aca="false">IF(H2467="TRUE","Out of stock","In stock")</f>
        <v>In stock</v>
      </c>
      <c r="M2467" s="0" t="str">
        <f aca="false">IF(D2467&lt;5,"1) Under 5%",IF(D2467&lt;10,"2) 5-9%",IF(D2467&lt;15,"3) 10-14%",IF(D2467&lt;25,"4) 15-24%","5) 25%+"))))</f>
        <v>1) Under 5%</v>
      </c>
      <c r="N2467" s="0" t="str">
        <f aca="false">IF(F2467&lt;50,"1) Under Rs 50",IF(F2467&lt;100,"2) Rs 50-99",IF(F2467&lt;200,"3) Rs 100-199",IF(F2467&lt;500,"4) Rs 200-499","5) Rs 500+"))))</f>
        <v>3) Rs 100-199</v>
      </c>
      <c r="O2467" s="0" t="n">
        <f aca="false">G2467*E2467/1000</f>
        <v>1.08</v>
      </c>
    </row>
    <row r="2468" customFormat="false" ht="15" hidden="false" customHeight="false" outlineLevel="0" collapsed="false">
      <c r="A2468" s="0" t="s">
        <v>90</v>
      </c>
      <c r="B2468" s="0" t="s">
        <v>1038</v>
      </c>
      <c r="C2468" s="0" t="n">
        <v>110</v>
      </c>
      <c r="D2468" s="0" t="n">
        <v>0</v>
      </c>
      <c r="E2468" s="0" t="n">
        <v>5</v>
      </c>
      <c r="F2468" s="0" t="n">
        <v>110</v>
      </c>
      <c r="G2468" s="0" t="n">
        <v>300</v>
      </c>
      <c r="H2468" s="0" t="s">
        <v>145</v>
      </c>
      <c r="I2468" s="0" t="n">
        <v>300</v>
      </c>
      <c r="J2468" s="0" t="n">
        <f aca="false">F2468*E2468</f>
        <v>550</v>
      </c>
      <c r="K2468" s="0" t="str">
        <f aca="false">IF(G2468&lt;1000,"1-Low",IF(G2468&lt;5000,"2-Medium","3-Bulk"))</f>
        <v>1-Low</v>
      </c>
      <c r="L2468" s="0" t="str">
        <f aca="false">IF(H2468="TRUE","Out of stock","In stock")</f>
        <v>In stock</v>
      </c>
      <c r="M2468" s="0" t="str">
        <f aca="false">IF(D2468&lt;5,"1) Under 5%",IF(D2468&lt;10,"2) 5-9%",IF(D2468&lt;15,"3) 10-14%",IF(D2468&lt;25,"4) 15-24%","5) 25%+"))))</f>
        <v>1) Under 5%</v>
      </c>
      <c r="N2468" s="0" t="str">
        <f aca="false">IF(F2468&lt;50,"1) Under Rs 50",IF(F2468&lt;100,"2) Rs 50-99",IF(F2468&lt;200,"3) Rs 100-199",IF(F2468&lt;500,"4) Rs 200-499","5) Rs 500+"))))</f>
        <v>3) Rs 100-199</v>
      </c>
      <c r="O2468" s="0" t="n">
        <f aca="false">G2468*E2468/1000</f>
        <v>1.5</v>
      </c>
    </row>
    <row r="2469" customFormat="false" ht="15" hidden="false" customHeight="false" outlineLevel="0" collapsed="false">
      <c r="A2469" s="0" t="s">
        <v>90</v>
      </c>
      <c r="B2469" s="0" t="s">
        <v>1039</v>
      </c>
      <c r="C2469" s="0" t="n">
        <v>275</v>
      </c>
      <c r="D2469" s="0" t="n">
        <v>14</v>
      </c>
      <c r="E2469" s="0" t="n">
        <v>6</v>
      </c>
      <c r="F2469" s="0" t="n">
        <v>234</v>
      </c>
      <c r="G2469" s="0" t="n">
        <v>200</v>
      </c>
      <c r="H2469" s="0" t="s">
        <v>145</v>
      </c>
      <c r="I2469" s="0" t="n">
        <v>200</v>
      </c>
      <c r="J2469" s="0" t="n">
        <f aca="false">F2469*E2469</f>
        <v>1404</v>
      </c>
      <c r="K2469" s="0" t="str">
        <f aca="false">IF(G2469&lt;1000,"1-Low",IF(G2469&lt;5000,"2-Medium","3-Bulk"))</f>
        <v>1-Low</v>
      </c>
      <c r="L2469" s="0" t="str">
        <f aca="false">IF(H2469="TRUE","Out of stock","In stock")</f>
        <v>In stock</v>
      </c>
      <c r="M2469" s="0" t="str">
        <f aca="false">IF(D2469&lt;5,"1) Under 5%",IF(D2469&lt;10,"2) 5-9%",IF(D2469&lt;15,"3) 10-14%",IF(D2469&lt;25,"4) 15-24%","5) 25%+"))))</f>
        <v>3) 10-14%</v>
      </c>
      <c r="N2469" s="0" t="str">
        <f aca="false">IF(F2469&lt;50,"1) Under Rs 50",IF(F2469&lt;100,"2) Rs 50-99",IF(F2469&lt;200,"3) Rs 100-199",IF(F2469&lt;500,"4) Rs 200-499","5) Rs 500+"))))</f>
        <v>4) Rs 200-499</v>
      </c>
      <c r="O2469" s="0" t="n">
        <f aca="false">G2469*E2469/1000</f>
        <v>1.2</v>
      </c>
    </row>
    <row r="2470" customFormat="false" ht="15" hidden="false" customHeight="false" outlineLevel="0" collapsed="false">
      <c r="A2470" s="0" t="s">
        <v>90</v>
      </c>
      <c r="B2470" s="0" t="s">
        <v>608</v>
      </c>
      <c r="C2470" s="0" t="n">
        <v>250</v>
      </c>
      <c r="D2470" s="0" t="n">
        <v>14</v>
      </c>
      <c r="E2470" s="0" t="n">
        <v>6</v>
      </c>
      <c r="F2470" s="0" t="n">
        <v>213</v>
      </c>
      <c r="G2470" s="0" t="n">
        <v>410</v>
      </c>
      <c r="H2470" s="0" t="s">
        <v>145</v>
      </c>
      <c r="I2470" s="0" t="n">
        <v>410</v>
      </c>
      <c r="J2470" s="0" t="n">
        <f aca="false">F2470*E2470</f>
        <v>1278</v>
      </c>
      <c r="K2470" s="0" t="str">
        <f aca="false">IF(G2470&lt;1000,"1-Low",IF(G2470&lt;5000,"2-Medium","3-Bulk"))</f>
        <v>1-Low</v>
      </c>
      <c r="L2470" s="0" t="str">
        <f aca="false">IF(H2470="TRUE","Out of stock","In stock")</f>
        <v>In stock</v>
      </c>
      <c r="M2470" s="0" t="str">
        <f aca="false">IF(D2470&lt;5,"1) Under 5%",IF(D2470&lt;10,"2) 5-9%",IF(D2470&lt;15,"3) 10-14%",IF(D2470&lt;25,"4) 15-24%","5) 25%+"))))</f>
        <v>3) 10-14%</v>
      </c>
      <c r="N2470" s="0" t="str">
        <f aca="false">IF(F2470&lt;50,"1) Under Rs 50",IF(F2470&lt;100,"2) Rs 50-99",IF(F2470&lt;200,"3) Rs 100-199",IF(F2470&lt;500,"4) Rs 200-499","5) Rs 500+"))))</f>
        <v>4) Rs 200-499</v>
      </c>
      <c r="O2470" s="0" t="n">
        <f aca="false">G2470*E2470/1000</f>
        <v>2.46</v>
      </c>
    </row>
    <row r="2471" customFormat="false" ht="15" hidden="false" customHeight="false" outlineLevel="0" collapsed="false">
      <c r="A2471" s="0" t="s">
        <v>90</v>
      </c>
      <c r="B2471" s="0" t="s">
        <v>1040</v>
      </c>
      <c r="C2471" s="0" t="n">
        <v>114</v>
      </c>
      <c r="D2471" s="0" t="n">
        <v>0</v>
      </c>
      <c r="E2471" s="0" t="n">
        <v>6</v>
      </c>
      <c r="F2471" s="0" t="n">
        <v>114</v>
      </c>
      <c r="G2471" s="0" t="n">
        <v>480</v>
      </c>
      <c r="H2471" s="0" t="s">
        <v>145</v>
      </c>
      <c r="I2471" s="0" t="n">
        <v>480</v>
      </c>
      <c r="J2471" s="0" t="n">
        <f aca="false">F2471*E2471</f>
        <v>684</v>
      </c>
      <c r="K2471" s="0" t="str">
        <f aca="false">IF(G2471&lt;1000,"1-Low",IF(G2471&lt;5000,"2-Medium","3-Bulk"))</f>
        <v>1-Low</v>
      </c>
      <c r="L2471" s="0" t="str">
        <f aca="false">IF(H2471="TRUE","Out of stock","In stock")</f>
        <v>In stock</v>
      </c>
      <c r="M2471" s="0" t="str">
        <f aca="false">IF(D2471&lt;5,"1) Under 5%",IF(D2471&lt;10,"2) 5-9%",IF(D2471&lt;15,"3) 10-14%",IF(D2471&lt;25,"4) 15-24%","5) 25%+"))))</f>
        <v>1) Under 5%</v>
      </c>
      <c r="N2471" s="0" t="str">
        <f aca="false">IF(F2471&lt;50,"1) Under Rs 50",IF(F2471&lt;100,"2) Rs 50-99",IF(F2471&lt;200,"3) Rs 100-199",IF(F2471&lt;500,"4) Rs 200-499","5) Rs 500+"))))</f>
        <v>3) Rs 100-199</v>
      </c>
      <c r="O2471" s="0" t="n">
        <f aca="false">G2471*E2471/1000</f>
        <v>2.88</v>
      </c>
    </row>
    <row r="2472" customFormat="false" ht="15" hidden="false" customHeight="false" outlineLevel="0" collapsed="false">
      <c r="A2472" s="0" t="s">
        <v>90</v>
      </c>
      <c r="B2472" s="0" t="s">
        <v>1041</v>
      </c>
      <c r="C2472" s="0" t="n">
        <v>230</v>
      </c>
      <c r="D2472" s="0" t="n">
        <v>0</v>
      </c>
      <c r="E2472" s="0" t="n">
        <v>6</v>
      </c>
      <c r="F2472" s="0" t="n">
        <v>230</v>
      </c>
      <c r="G2472" s="0" t="n">
        <v>250</v>
      </c>
      <c r="H2472" s="0" t="s">
        <v>145</v>
      </c>
      <c r="I2472" s="0" t="n">
        <v>250</v>
      </c>
      <c r="J2472" s="0" t="n">
        <f aca="false">F2472*E2472</f>
        <v>1380</v>
      </c>
      <c r="K2472" s="0" t="str">
        <f aca="false">IF(G2472&lt;1000,"1-Low",IF(G2472&lt;5000,"2-Medium","3-Bulk"))</f>
        <v>1-Low</v>
      </c>
      <c r="L2472" s="0" t="str">
        <f aca="false">IF(H2472="TRUE","Out of stock","In stock")</f>
        <v>In stock</v>
      </c>
      <c r="M2472" s="0" t="str">
        <f aca="false">IF(D2472&lt;5,"1) Under 5%",IF(D2472&lt;10,"2) 5-9%",IF(D2472&lt;15,"3) 10-14%",IF(D2472&lt;25,"4) 15-24%","5) 25%+"))))</f>
        <v>1) Under 5%</v>
      </c>
      <c r="N2472" s="0" t="str">
        <f aca="false">IF(F2472&lt;50,"1) Under Rs 50",IF(F2472&lt;100,"2) Rs 50-99",IF(F2472&lt;200,"3) Rs 100-199",IF(F2472&lt;500,"4) Rs 200-499","5) Rs 500+"))))</f>
        <v>4) Rs 200-499</v>
      </c>
      <c r="O2472" s="0" t="n">
        <f aca="false">G2472*E2472/1000</f>
        <v>1.5</v>
      </c>
    </row>
    <row r="2473" customFormat="false" ht="15" hidden="false" customHeight="false" outlineLevel="0" collapsed="false">
      <c r="A2473" s="0" t="s">
        <v>90</v>
      </c>
      <c r="B2473" s="0" t="s">
        <v>1042</v>
      </c>
      <c r="C2473" s="0" t="n">
        <v>230</v>
      </c>
      <c r="D2473" s="0" t="n">
        <v>0</v>
      </c>
      <c r="E2473" s="0" t="n">
        <v>4</v>
      </c>
      <c r="F2473" s="0" t="n">
        <v>230</v>
      </c>
      <c r="G2473" s="0" t="n">
        <v>400</v>
      </c>
      <c r="H2473" s="0" t="s">
        <v>145</v>
      </c>
      <c r="I2473" s="0" t="n">
        <v>400</v>
      </c>
      <c r="J2473" s="0" t="n">
        <f aca="false">F2473*E2473</f>
        <v>920</v>
      </c>
      <c r="K2473" s="0" t="str">
        <f aca="false">IF(G2473&lt;1000,"1-Low",IF(G2473&lt;5000,"2-Medium","3-Bulk"))</f>
        <v>1-Low</v>
      </c>
      <c r="L2473" s="0" t="str">
        <f aca="false">IF(H2473="TRUE","Out of stock","In stock")</f>
        <v>In stock</v>
      </c>
      <c r="M2473" s="0" t="str">
        <f aca="false">IF(D2473&lt;5,"1) Under 5%",IF(D2473&lt;10,"2) 5-9%",IF(D2473&lt;15,"3) 10-14%",IF(D2473&lt;25,"4) 15-24%","5) 25%+"))))</f>
        <v>1) Under 5%</v>
      </c>
      <c r="N2473" s="0" t="str">
        <f aca="false">IF(F2473&lt;50,"1) Under Rs 50",IF(F2473&lt;100,"2) Rs 50-99",IF(F2473&lt;200,"3) Rs 100-199",IF(F2473&lt;500,"4) Rs 200-499","5) Rs 500+"))))</f>
        <v>4) Rs 200-499</v>
      </c>
      <c r="O2473" s="0" t="n">
        <f aca="false">G2473*E2473/1000</f>
        <v>1.6</v>
      </c>
    </row>
    <row r="2474" customFormat="false" ht="15" hidden="false" customHeight="false" outlineLevel="0" collapsed="false">
      <c r="A2474" s="0" t="s">
        <v>90</v>
      </c>
      <c r="B2474" s="0" t="s">
        <v>1043</v>
      </c>
      <c r="C2474" s="0" t="n">
        <v>110</v>
      </c>
      <c r="D2474" s="0" t="n">
        <v>0</v>
      </c>
      <c r="E2474" s="0" t="n">
        <v>4</v>
      </c>
      <c r="F2474" s="0" t="n">
        <v>110</v>
      </c>
      <c r="G2474" s="0" t="n">
        <v>300</v>
      </c>
      <c r="H2474" s="0" t="s">
        <v>145</v>
      </c>
      <c r="I2474" s="0" t="n">
        <v>300</v>
      </c>
      <c r="J2474" s="0" t="n">
        <f aca="false">F2474*E2474</f>
        <v>440</v>
      </c>
      <c r="K2474" s="0" t="str">
        <f aca="false">IF(G2474&lt;1000,"1-Low",IF(G2474&lt;5000,"2-Medium","3-Bulk"))</f>
        <v>1-Low</v>
      </c>
      <c r="L2474" s="0" t="str">
        <f aca="false">IF(H2474="TRUE","Out of stock","In stock")</f>
        <v>In stock</v>
      </c>
      <c r="M2474" s="0" t="str">
        <f aca="false">IF(D2474&lt;5,"1) Under 5%",IF(D2474&lt;10,"2) 5-9%",IF(D2474&lt;15,"3) 10-14%",IF(D2474&lt;25,"4) 15-24%","5) 25%+"))))</f>
        <v>1) Under 5%</v>
      </c>
      <c r="N2474" s="0" t="str">
        <f aca="false">IF(F2474&lt;50,"1) Under Rs 50",IF(F2474&lt;100,"2) Rs 50-99",IF(F2474&lt;200,"3) Rs 100-199",IF(F2474&lt;500,"4) Rs 200-499","5) Rs 500+"))))</f>
        <v>3) Rs 100-199</v>
      </c>
      <c r="O2474" s="0" t="n">
        <f aca="false">G2474*E2474/1000</f>
        <v>1.2</v>
      </c>
    </row>
    <row r="2475" customFormat="false" ht="15" hidden="false" customHeight="false" outlineLevel="0" collapsed="false">
      <c r="A2475" s="0" t="s">
        <v>90</v>
      </c>
      <c r="B2475" s="0" t="s">
        <v>1044</v>
      </c>
      <c r="C2475" s="0" t="n">
        <v>110</v>
      </c>
      <c r="D2475" s="0" t="n">
        <v>0</v>
      </c>
      <c r="E2475" s="0" t="n">
        <v>6</v>
      </c>
      <c r="F2475" s="0" t="n">
        <v>110</v>
      </c>
      <c r="G2475" s="0" t="n">
        <v>300</v>
      </c>
      <c r="H2475" s="0" t="s">
        <v>145</v>
      </c>
      <c r="I2475" s="0" t="n">
        <v>300</v>
      </c>
      <c r="J2475" s="0" t="n">
        <f aca="false">F2475*E2475</f>
        <v>660</v>
      </c>
      <c r="K2475" s="0" t="str">
        <f aca="false">IF(G2475&lt;1000,"1-Low",IF(G2475&lt;5000,"2-Medium","3-Bulk"))</f>
        <v>1-Low</v>
      </c>
      <c r="L2475" s="0" t="str">
        <f aca="false">IF(H2475="TRUE","Out of stock","In stock")</f>
        <v>In stock</v>
      </c>
      <c r="M2475" s="0" t="str">
        <f aca="false">IF(D2475&lt;5,"1) Under 5%",IF(D2475&lt;10,"2) 5-9%",IF(D2475&lt;15,"3) 10-14%",IF(D2475&lt;25,"4) 15-24%","5) 25%+"))))</f>
        <v>1) Under 5%</v>
      </c>
      <c r="N2475" s="0" t="str">
        <f aca="false">IF(F2475&lt;50,"1) Under Rs 50",IF(F2475&lt;100,"2) Rs 50-99",IF(F2475&lt;200,"3) Rs 100-199",IF(F2475&lt;500,"4) Rs 200-499","5) Rs 500+"))))</f>
        <v>3) Rs 100-199</v>
      </c>
      <c r="O2475" s="0" t="n">
        <f aca="false">G2475*E2475/1000</f>
        <v>1.8</v>
      </c>
    </row>
    <row r="2476" customFormat="false" ht="15" hidden="false" customHeight="false" outlineLevel="0" collapsed="false">
      <c r="A2476" s="0" t="s">
        <v>90</v>
      </c>
      <c r="B2476" s="0" t="s">
        <v>602</v>
      </c>
      <c r="C2476" s="0" t="n">
        <v>25</v>
      </c>
      <c r="D2476" s="0" t="n">
        <v>0</v>
      </c>
      <c r="E2476" s="0" t="n">
        <v>1</v>
      </c>
      <c r="F2476" s="0" t="n">
        <v>25</v>
      </c>
      <c r="G2476" s="0" t="n">
        <v>77</v>
      </c>
      <c r="H2476" s="0" t="s">
        <v>145</v>
      </c>
      <c r="I2476" s="0" t="n">
        <v>77</v>
      </c>
      <c r="J2476" s="0" t="n">
        <f aca="false">F2476*E2476</f>
        <v>25</v>
      </c>
      <c r="K2476" s="0" t="str">
        <f aca="false">IF(G2476&lt;1000,"1-Low",IF(G2476&lt;5000,"2-Medium","3-Bulk"))</f>
        <v>1-Low</v>
      </c>
      <c r="L2476" s="0" t="str">
        <f aca="false">IF(H2476="TRUE","Out of stock","In stock")</f>
        <v>In stock</v>
      </c>
      <c r="M2476" s="0" t="str">
        <f aca="false">IF(D2476&lt;5,"1) Under 5%",IF(D2476&lt;10,"2) 5-9%",IF(D2476&lt;15,"3) 10-14%",IF(D2476&lt;25,"4) 15-24%","5) 25%+"))))</f>
        <v>1) Under 5%</v>
      </c>
      <c r="N2476" s="0" t="str">
        <f aca="false">IF(F2476&lt;50,"1) Under Rs 50",IF(F2476&lt;100,"2) Rs 50-99",IF(F2476&lt;200,"3) Rs 100-199",IF(F2476&lt;500,"4) Rs 200-499","5) Rs 500+"))))</f>
        <v>1) Under Rs 50</v>
      </c>
      <c r="O2476" s="0" t="n">
        <f aca="false">G2476*E2476/1000</f>
        <v>0.077</v>
      </c>
    </row>
    <row r="2477" customFormat="false" ht="15" hidden="false" customHeight="false" outlineLevel="0" collapsed="false">
      <c r="A2477" s="0" t="s">
        <v>90</v>
      </c>
      <c r="B2477" s="0" t="s">
        <v>1045</v>
      </c>
      <c r="C2477" s="0" t="n">
        <v>272</v>
      </c>
      <c r="D2477" s="0" t="n">
        <v>0</v>
      </c>
      <c r="E2477" s="0" t="n">
        <v>1</v>
      </c>
      <c r="F2477" s="0" t="n">
        <v>272</v>
      </c>
      <c r="G2477" s="0" t="n">
        <v>300</v>
      </c>
      <c r="H2477" s="0" t="s">
        <v>145</v>
      </c>
      <c r="I2477" s="0" t="n">
        <v>300</v>
      </c>
      <c r="J2477" s="0" t="n">
        <f aca="false">F2477*E2477</f>
        <v>272</v>
      </c>
      <c r="K2477" s="0" t="str">
        <f aca="false">IF(G2477&lt;1000,"1-Low",IF(G2477&lt;5000,"2-Medium","3-Bulk"))</f>
        <v>1-Low</v>
      </c>
      <c r="L2477" s="0" t="str">
        <f aca="false">IF(H2477="TRUE","Out of stock","In stock")</f>
        <v>In stock</v>
      </c>
      <c r="M2477" s="0" t="str">
        <f aca="false">IF(D2477&lt;5,"1) Under 5%",IF(D2477&lt;10,"2) 5-9%",IF(D2477&lt;15,"3) 10-14%",IF(D2477&lt;25,"4) 15-24%","5) 25%+"))))</f>
        <v>1) Under 5%</v>
      </c>
      <c r="N2477" s="0" t="str">
        <f aca="false">IF(F2477&lt;50,"1) Under Rs 50",IF(F2477&lt;100,"2) Rs 50-99",IF(F2477&lt;200,"3) Rs 100-199",IF(F2477&lt;500,"4) Rs 200-499","5) Rs 500+"))))</f>
        <v>4) Rs 200-499</v>
      </c>
      <c r="O2477" s="0" t="n">
        <f aca="false">G2477*E2477/1000</f>
        <v>0.3</v>
      </c>
    </row>
    <row r="2478" customFormat="false" ht="15" hidden="false" customHeight="false" outlineLevel="0" collapsed="false">
      <c r="A2478" s="0" t="s">
        <v>90</v>
      </c>
      <c r="B2478" s="0" t="s">
        <v>1046</v>
      </c>
      <c r="C2478" s="0" t="n">
        <v>250</v>
      </c>
      <c r="D2478" s="0" t="n">
        <v>0</v>
      </c>
      <c r="E2478" s="0" t="n">
        <v>6</v>
      </c>
      <c r="F2478" s="0" t="n">
        <v>250</v>
      </c>
      <c r="G2478" s="0" t="n">
        <v>250</v>
      </c>
      <c r="H2478" s="0" t="s">
        <v>145</v>
      </c>
      <c r="I2478" s="0" t="n">
        <v>250</v>
      </c>
      <c r="J2478" s="0" t="n">
        <f aca="false">F2478*E2478</f>
        <v>1500</v>
      </c>
      <c r="K2478" s="0" t="str">
        <f aca="false">IF(G2478&lt;1000,"1-Low",IF(G2478&lt;5000,"2-Medium","3-Bulk"))</f>
        <v>1-Low</v>
      </c>
      <c r="L2478" s="0" t="str">
        <f aca="false">IF(H2478="TRUE","Out of stock","In stock")</f>
        <v>In stock</v>
      </c>
      <c r="M2478" s="0" t="str">
        <f aca="false">IF(D2478&lt;5,"1) Under 5%",IF(D2478&lt;10,"2) 5-9%",IF(D2478&lt;15,"3) 10-14%",IF(D2478&lt;25,"4) 15-24%","5) 25%+"))))</f>
        <v>1) Under 5%</v>
      </c>
      <c r="N2478" s="0" t="str">
        <f aca="false">IF(F2478&lt;50,"1) Under Rs 50",IF(F2478&lt;100,"2) Rs 50-99",IF(F2478&lt;200,"3) Rs 100-199",IF(F2478&lt;500,"4) Rs 200-499","5) Rs 500+"))))</f>
        <v>4) Rs 200-499</v>
      </c>
      <c r="O2478" s="0" t="n">
        <f aca="false">G2478*E2478/1000</f>
        <v>1.5</v>
      </c>
    </row>
    <row r="2479" customFormat="false" ht="15" hidden="false" customHeight="false" outlineLevel="0" collapsed="false">
      <c r="A2479" s="0" t="s">
        <v>90</v>
      </c>
      <c r="B2479" s="0" t="s">
        <v>1047</v>
      </c>
      <c r="C2479" s="0" t="n">
        <v>330</v>
      </c>
      <c r="D2479" s="0" t="n">
        <v>0</v>
      </c>
      <c r="E2479" s="0" t="n">
        <v>6</v>
      </c>
      <c r="F2479" s="0" t="n">
        <v>330</v>
      </c>
      <c r="G2479" s="0" t="n">
        <v>500</v>
      </c>
      <c r="H2479" s="0" t="s">
        <v>145</v>
      </c>
      <c r="I2479" s="0" t="n">
        <v>500</v>
      </c>
      <c r="J2479" s="0" t="n">
        <f aca="false">F2479*E2479</f>
        <v>1980</v>
      </c>
      <c r="K2479" s="0" t="str">
        <f aca="false">IF(G2479&lt;1000,"1-Low",IF(G2479&lt;5000,"2-Medium","3-Bulk"))</f>
        <v>1-Low</v>
      </c>
      <c r="L2479" s="0" t="str">
        <f aca="false">IF(H2479="TRUE","Out of stock","In stock")</f>
        <v>In stock</v>
      </c>
      <c r="M2479" s="0" t="str">
        <f aca="false">IF(D2479&lt;5,"1) Under 5%",IF(D2479&lt;10,"2) 5-9%",IF(D2479&lt;15,"3) 10-14%",IF(D2479&lt;25,"4) 15-24%","5) 25%+"))))</f>
        <v>1) Under 5%</v>
      </c>
      <c r="N2479" s="0" t="str">
        <f aca="false">IF(F2479&lt;50,"1) Under Rs 50",IF(F2479&lt;100,"2) Rs 50-99",IF(F2479&lt;200,"3) Rs 100-199",IF(F2479&lt;500,"4) Rs 200-499","5) Rs 500+"))))</f>
        <v>4) Rs 200-499</v>
      </c>
      <c r="O2479" s="0" t="n">
        <f aca="false">G2479*E2479/1000</f>
        <v>3</v>
      </c>
    </row>
    <row r="2480" customFormat="false" ht="15" hidden="false" customHeight="false" outlineLevel="0" collapsed="false">
      <c r="A2480" s="0" t="s">
        <v>90</v>
      </c>
      <c r="B2480" s="0" t="s">
        <v>1048</v>
      </c>
      <c r="C2480" s="0" t="n">
        <v>175</v>
      </c>
      <c r="D2480" s="0" t="n">
        <v>9</v>
      </c>
      <c r="E2480" s="0" t="n">
        <v>4</v>
      </c>
      <c r="F2480" s="0" t="n">
        <v>158</v>
      </c>
      <c r="G2480" s="0" t="n">
        <v>375</v>
      </c>
      <c r="H2480" s="0" t="s">
        <v>145</v>
      </c>
      <c r="I2480" s="0" t="n">
        <v>375</v>
      </c>
      <c r="J2480" s="0" t="n">
        <f aca="false">F2480*E2480</f>
        <v>632</v>
      </c>
      <c r="K2480" s="0" t="str">
        <f aca="false">IF(G2480&lt;1000,"1-Low",IF(G2480&lt;5000,"2-Medium","3-Bulk"))</f>
        <v>1-Low</v>
      </c>
      <c r="L2480" s="0" t="str">
        <f aca="false">IF(H2480="TRUE","Out of stock","In stock")</f>
        <v>In stock</v>
      </c>
      <c r="M2480" s="0" t="str">
        <f aca="false">IF(D2480&lt;5,"1) Under 5%",IF(D2480&lt;10,"2) 5-9%",IF(D2480&lt;15,"3) 10-14%",IF(D2480&lt;25,"4) 15-24%","5) 25%+"))))</f>
        <v>2) 5-9%</v>
      </c>
      <c r="N2480" s="0" t="str">
        <f aca="false">IF(F2480&lt;50,"1) Under Rs 50",IF(F2480&lt;100,"2) Rs 50-99",IF(F2480&lt;200,"3) Rs 100-199",IF(F2480&lt;500,"4) Rs 200-499","5) Rs 500+"))))</f>
        <v>3) Rs 100-199</v>
      </c>
      <c r="O2480" s="0" t="n">
        <f aca="false">G2480*E2480/1000</f>
        <v>1.5</v>
      </c>
    </row>
    <row r="2481" customFormat="false" ht="15" hidden="false" customHeight="false" outlineLevel="0" collapsed="false">
      <c r="A2481" s="0" t="s">
        <v>90</v>
      </c>
      <c r="B2481" s="0" t="s">
        <v>1049</v>
      </c>
      <c r="C2481" s="0" t="n">
        <v>120</v>
      </c>
      <c r="D2481" s="0" t="n">
        <v>0</v>
      </c>
      <c r="E2481" s="0" t="n">
        <v>6</v>
      </c>
      <c r="F2481" s="0" t="n">
        <v>120</v>
      </c>
      <c r="G2481" s="0" t="n">
        <v>160</v>
      </c>
      <c r="H2481" s="0" t="s">
        <v>145</v>
      </c>
      <c r="I2481" s="0" t="n">
        <v>160</v>
      </c>
      <c r="J2481" s="0" t="n">
        <f aca="false">F2481*E2481</f>
        <v>720</v>
      </c>
      <c r="K2481" s="0" t="str">
        <f aca="false">IF(G2481&lt;1000,"1-Low",IF(G2481&lt;5000,"2-Medium","3-Bulk"))</f>
        <v>1-Low</v>
      </c>
      <c r="L2481" s="0" t="str">
        <f aca="false">IF(H2481="TRUE","Out of stock","In stock")</f>
        <v>In stock</v>
      </c>
      <c r="M2481" s="0" t="str">
        <f aca="false">IF(D2481&lt;5,"1) Under 5%",IF(D2481&lt;10,"2) 5-9%",IF(D2481&lt;15,"3) 10-14%",IF(D2481&lt;25,"4) 15-24%","5) 25%+"))))</f>
        <v>1) Under 5%</v>
      </c>
      <c r="N2481" s="0" t="str">
        <f aca="false">IF(F2481&lt;50,"1) Under Rs 50",IF(F2481&lt;100,"2) Rs 50-99",IF(F2481&lt;200,"3) Rs 100-199",IF(F2481&lt;500,"4) Rs 200-499","5) Rs 500+"))))</f>
        <v>3) Rs 100-199</v>
      </c>
      <c r="O2481" s="0" t="n">
        <f aca="false">G2481*E2481/1000</f>
        <v>0.96</v>
      </c>
    </row>
    <row r="2482" customFormat="false" ht="15" hidden="false" customHeight="false" outlineLevel="0" collapsed="false">
      <c r="A2482" s="0" t="s">
        <v>90</v>
      </c>
      <c r="B2482" s="0" t="s">
        <v>1050</v>
      </c>
      <c r="C2482" s="0" t="n">
        <v>280</v>
      </c>
      <c r="D2482" s="0" t="n">
        <v>50</v>
      </c>
      <c r="E2482" s="0" t="n">
        <v>6</v>
      </c>
      <c r="F2482" s="0" t="n">
        <v>140</v>
      </c>
      <c r="G2482" s="0" t="n">
        <v>175</v>
      </c>
      <c r="H2482" s="0" t="s">
        <v>145</v>
      </c>
      <c r="I2482" s="0" t="n">
        <v>175</v>
      </c>
      <c r="J2482" s="0" t="n">
        <f aca="false">F2482*E2482</f>
        <v>840</v>
      </c>
      <c r="K2482" s="0" t="str">
        <f aca="false">IF(G2482&lt;1000,"1-Low",IF(G2482&lt;5000,"2-Medium","3-Bulk"))</f>
        <v>1-Low</v>
      </c>
      <c r="L2482" s="0" t="str">
        <f aca="false">IF(H2482="TRUE","Out of stock","In stock")</f>
        <v>In stock</v>
      </c>
      <c r="M2482" s="0" t="str">
        <f aca="false">IF(D2482&lt;5,"1) Under 5%",IF(D2482&lt;10,"2) 5-9%",IF(D2482&lt;15,"3) 10-14%",IF(D2482&lt;25,"4) 15-24%","5) 25%+"))))</f>
        <v>5) 25%+</v>
      </c>
      <c r="N2482" s="0" t="str">
        <f aca="false">IF(F2482&lt;50,"1) Under Rs 50",IF(F2482&lt;100,"2) Rs 50-99",IF(F2482&lt;200,"3) Rs 100-199",IF(F2482&lt;500,"4) Rs 200-499","5) Rs 500+"))))</f>
        <v>3) Rs 100-199</v>
      </c>
      <c r="O2482" s="0" t="n">
        <f aca="false">G2482*E2482/1000</f>
        <v>1.05</v>
      </c>
    </row>
    <row r="2483" customFormat="false" ht="15" hidden="false" customHeight="false" outlineLevel="0" collapsed="false">
      <c r="A2483" s="0" t="s">
        <v>90</v>
      </c>
      <c r="B2483" s="0" t="s">
        <v>1051</v>
      </c>
      <c r="C2483" s="0" t="n">
        <v>660</v>
      </c>
      <c r="D2483" s="0" t="n">
        <v>7</v>
      </c>
      <c r="E2483" s="0" t="n">
        <v>2</v>
      </c>
      <c r="F2483" s="0" t="n">
        <v>608</v>
      </c>
      <c r="G2483" s="0" t="n">
        <v>3000</v>
      </c>
      <c r="H2483" s="0" t="s">
        <v>145</v>
      </c>
      <c r="I2483" s="0" t="n">
        <v>3</v>
      </c>
      <c r="J2483" s="0" t="n">
        <f aca="false">F2483*E2483</f>
        <v>1216</v>
      </c>
      <c r="K2483" s="0" t="str">
        <f aca="false">IF(G2483&lt;1000,"1-Low",IF(G2483&lt;5000,"2-Medium","3-Bulk"))</f>
        <v>2-Medium</v>
      </c>
      <c r="L2483" s="0" t="str">
        <f aca="false">IF(H2483="TRUE","Out of stock","In stock")</f>
        <v>In stock</v>
      </c>
      <c r="M2483" s="0" t="str">
        <f aca="false">IF(D2483&lt;5,"1) Under 5%",IF(D2483&lt;10,"2) 5-9%",IF(D2483&lt;15,"3) 10-14%",IF(D2483&lt;25,"4) 15-24%","5) 25%+"))))</f>
        <v>2) 5-9%</v>
      </c>
      <c r="N2483" s="0" t="str">
        <f aca="false">IF(F2483&lt;50,"1) Under Rs 50",IF(F2483&lt;100,"2) Rs 50-99",IF(F2483&lt;200,"3) Rs 100-199",IF(F2483&lt;500,"4) Rs 200-499","5) Rs 500+"))))</f>
        <v>5) Rs 500+</v>
      </c>
      <c r="O2483" s="0" t="n">
        <f aca="false">G2483*E2483/1000</f>
        <v>6</v>
      </c>
    </row>
    <row r="2484" customFormat="false" ht="15" hidden="false" customHeight="false" outlineLevel="0" collapsed="false">
      <c r="A2484" s="0" t="s">
        <v>90</v>
      </c>
      <c r="B2484" s="0" t="s">
        <v>1052</v>
      </c>
      <c r="C2484" s="0" t="n">
        <v>225</v>
      </c>
      <c r="D2484" s="0" t="n">
        <v>15</v>
      </c>
      <c r="E2484" s="0" t="n">
        <v>6</v>
      </c>
      <c r="F2484" s="0" t="n">
        <v>191</v>
      </c>
      <c r="G2484" s="0" t="n">
        <v>200</v>
      </c>
      <c r="H2484" s="0" t="s">
        <v>145</v>
      </c>
      <c r="I2484" s="0" t="n">
        <v>200</v>
      </c>
      <c r="J2484" s="0" t="n">
        <f aca="false">F2484*E2484</f>
        <v>1146</v>
      </c>
      <c r="K2484" s="0" t="str">
        <f aca="false">IF(G2484&lt;1000,"1-Low",IF(G2484&lt;5000,"2-Medium","3-Bulk"))</f>
        <v>1-Low</v>
      </c>
      <c r="L2484" s="0" t="str">
        <f aca="false">IF(H2484="TRUE","Out of stock","In stock")</f>
        <v>In stock</v>
      </c>
      <c r="M2484" s="0" t="str">
        <f aca="false">IF(D2484&lt;5,"1) Under 5%",IF(D2484&lt;10,"2) 5-9%",IF(D2484&lt;15,"3) 10-14%",IF(D2484&lt;25,"4) 15-24%","5) 25%+"))))</f>
        <v>4) 15-24%</v>
      </c>
      <c r="N2484" s="0" t="str">
        <f aca="false">IF(F2484&lt;50,"1) Under Rs 50",IF(F2484&lt;100,"2) Rs 50-99",IF(F2484&lt;200,"3) Rs 100-199",IF(F2484&lt;500,"4) Rs 200-499","5) Rs 500+"))))</f>
        <v>3) Rs 100-199</v>
      </c>
      <c r="O2484" s="0" t="n">
        <f aca="false">G2484*E2484/1000</f>
        <v>1.2</v>
      </c>
    </row>
    <row r="2485" customFormat="false" ht="15" hidden="false" customHeight="false" outlineLevel="0" collapsed="false">
      <c r="A2485" s="0" t="s">
        <v>90</v>
      </c>
      <c r="B2485" s="0" t="s">
        <v>1053</v>
      </c>
      <c r="C2485" s="0" t="n">
        <v>275</v>
      </c>
      <c r="D2485" s="0" t="n">
        <v>14</v>
      </c>
      <c r="E2485" s="0" t="n">
        <v>6</v>
      </c>
      <c r="F2485" s="0" t="n">
        <v>234</v>
      </c>
      <c r="G2485" s="0" t="n">
        <v>200</v>
      </c>
      <c r="H2485" s="0" t="s">
        <v>145</v>
      </c>
      <c r="I2485" s="0" t="n">
        <v>200</v>
      </c>
      <c r="J2485" s="0" t="n">
        <f aca="false">F2485*E2485</f>
        <v>1404</v>
      </c>
      <c r="K2485" s="0" t="str">
        <f aca="false">IF(G2485&lt;1000,"1-Low",IF(G2485&lt;5000,"2-Medium","3-Bulk"))</f>
        <v>1-Low</v>
      </c>
      <c r="L2485" s="0" t="str">
        <f aca="false">IF(H2485="TRUE","Out of stock","In stock")</f>
        <v>In stock</v>
      </c>
      <c r="M2485" s="0" t="str">
        <f aca="false">IF(D2485&lt;5,"1) Under 5%",IF(D2485&lt;10,"2) 5-9%",IF(D2485&lt;15,"3) 10-14%",IF(D2485&lt;25,"4) 15-24%","5) 25%+"))))</f>
        <v>3) 10-14%</v>
      </c>
      <c r="N2485" s="0" t="str">
        <f aca="false">IF(F2485&lt;50,"1) Under Rs 50",IF(F2485&lt;100,"2) Rs 50-99",IF(F2485&lt;200,"3) Rs 100-199",IF(F2485&lt;500,"4) Rs 200-499","5) Rs 500+"))))</f>
        <v>4) Rs 200-499</v>
      </c>
      <c r="O2485" s="0" t="n">
        <f aca="false">G2485*E2485/1000</f>
        <v>1.2</v>
      </c>
    </row>
    <row r="2486" customFormat="false" ht="15" hidden="false" customHeight="false" outlineLevel="0" collapsed="false">
      <c r="A2486" s="0" t="s">
        <v>90</v>
      </c>
      <c r="B2486" s="0" t="s">
        <v>1054</v>
      </c>
      <c r="C2486" s="0" t="n">
        <v>275</v>
      </c>
      <c r="D2486" s="0" t="n">
        <v>14</v>
      </c>
      <c r="E2486" s="0" t="n">
        <v>6</v>
      </c>
      <c r="F2486" s="0" t="n">
        <v>234</v>
      </c>
      <c r="G2486" s="0" t="n">
        <v>200</v>
      </c>
      <c r="H2486" s="0" t="s">
        <v>145</v>
      </c>
      <c r="I2486" s="0" t="n">
        <v>200</v>
      </c>
      <c r="J2486" s="0" t="n">
        <f aca="false">F2486*E2486</f>
        <v>1404</v>
      </c>
      <c r="K2486" s="0" t="str">
        <f aca="false">IF(G2486&lt;1000,"1-Low",IF(G2486&lt;5000,"2-Medium","3-Bulk"))</f>
        <v>1-Low</v>
      </c>
      <c r="L2486" s="0" t="str">
        <f aca="false">IF(H2486="TRUE","Out of stock","In stock")</f>
        <v>In stock</v>
      </c>
      <c r="M2486" s="0" t="str">
        <f aca="false">IF(D2486&lt;5,"1) Under 5%",IF(D2486&lt;10,"2) 5-9%",IF(D2486&lt;15,"3) 10-14%",IF(D2486&lt;25,"4) 15-24%","5) 25%+"))))</f>
        <v>3) 10-14%</v>
      </c>
      <c r="N2486" s="0" t="str">
        <f aca="false">IF(F2486&lt;50,"1) Under Rs 50",IF(F2486&lt;100,"2) Rs 50-99",IF(F2486&lt;200,"3) Rs 100-199",IF(F2486&lt;500,"4) Rs 200-499","5) Rs 500+"))))</f>
        <v>4) Rs 200-499</v>
      </c>
      <c r="O2486" s="0" t="n">
        <f aca="false">G2486*E2486/1000</f>
        <v>1.2</v>
      </c>
    </row>
    <row r="2487" customFormat="false" ht="15" hidden="false" customHeight="false" outlineLevel="0" collapsed="false">
      <c r="A2487" s="0" t="s">
        <v>90</v>
      </c>
      <c r="B2487" s="0" t="s">
        <v>782</v>
      </c>
      <c r="C2487" s="0" t="n">
        <v>249</v>
      </c>
      <c r="D2487" s="0" t="n">
        <v>0</v>
      </c>
      <c r="E2487" s="0" t="n">
        <v>4</v>
      </c>
      <c r="F2487" s="0" t="n">
        <v>249</v>
      </c>
      <c r="G2487" s="0" t="n">
        <v>400</v>
      </c>
      <c r="H2487" s="0" t="s">
        <v>145</v>
      </c>
      <c r="I2487" s="0" t="n">
        <v>400</v>
      </c>
      <c r="J2487" s="0" t="n">
        <f aca="false">F2487*E2487</f>
        <v>996</v>
      </c>
      <c r="K2487" s="0" t="str">
        <f aca="false">IF(G2487&lt;1000,"1-Low",IF(G2487&lt;5000,"2-Medium","3-Bulk"))</f>
        <v>1-Low</v>
      </c>
      <c r="L2487" s="0" t="str">
        <f aca="false">IF(H2487="TRUE","Out of stock","In stock")</f>
        <v>In stock</v>
      </c>
      <c r="M2487" s="0" t="str">
        <f aca="false">IF(D2487&lt;5,"1) Under 5%",IF(D2487&lt;10,"2) 5-9%",IF(D2487&lt;15,"3) 10-14%",IF(D2487&lt;25,"4) 15-24%","5) 25%+"))))</f>
        <v>1) Under 5%</v>
      </c>
      <c r="N2487" s="0" t="str">
        <f aca="false">IF(F2487&lt;50,"1) Under Rs 50",IF(F2487&lt;100,"2) Rs 50-99",IF(F2487&lt;200,"3) Rs 100-199",IF(F2487&lt;500,"4) Rs 200-499","5) Rs 500+"))))</f>
        <v>4) Rs 200-499</v>
      </c>
      <c r="O2487" s="0" t="n">
        <f aca="false">G2487*E2487/1000</f>
        <v>1.6</v>
      </c>
    </row>
    <row r="2488" customFormat="false" ht="15" hidden="false" customHeight="false" outlineLevel="0" collapsed="false">
      <c r="A2488" s="0" t="s">
        <v>90</v>
      </c>
      <c r="B2488" s="0" t="s">
        <v>1055</v>
      </c>
      <c r="C2488" s="0" t="n">
        <v>140</v>
      </c>
      <c r="D2488" s="0" t="n">
        <v>15</v>
      </c>
      <c r="E2488" s="0" t="n">
        <v>6</v>
      </c>
      <c r="F2488" s="0" t="n">
        <v>119</v>
      </c>
      <c r="G2488" s="0" t="n">
        <v>60</v>
      </c>
      <c r="H2488" s="0" t="s">
        <v>145</v>
      </c>
      <c r="I2488" s="0" t="n">
        <v>60</v>
      </c>
      <c r="J2488" s="0" t="n">
        <f aca="false">F2488*E2488</f>
        <v>714</v>
      </c>
      <c r="K2488" s="0" t="str">
        <f aca="false">IF(G2488&lt;1000,"1-Low",IF(G2488&lt;5000,"2-Medium","3-Bulk"))</f>
        <v>1-Low</v>
      </c>
      <c r="L2488" s="0" t="str">
        <f aca="false">IF(H2488="TRUE","Out of stock","In stock")</f>
        <v>In stock</v>
      </c>
      <c r="M2488" s="0" t="str">
        <f aca="false">IF(D2488&lt;5,"1) Under 5%",IF(D2488&lt;10,"2) 5-9%",IF(D2488&lt;15,"3) 10-14%",IF(D2488&lt;25,"4) 15-24%","5) 25%+"))))</f>
        <v>4) 15-24%</v>
      </c>
      <c r="N2488" s="0" t="str">
        <f aca="false">IF(F2488&lt;50,"1) Under Rs 50",IF(F2488&lt;100,"2) Rs 50-99",IF(F2488&lt;200,"3) Rs 100-199",IF(F2488&lt;500,"4) Rs 200-499","5) Rs 500+"))))</f>
        <v>3) Rs 100-199</v>
      </c>
      <c r="O2488" s="0" t="n">
        <f aca="false">G2488*E2488/1000</f>
        <v>0.36</v>
      </c>
    </row>
    <row r="2489" customFormat="false" ht="15" hidden="false" customHeight="false" outlineLevel="0" collapsed="false">
      <c r="A2489" s="0" t="s">
        <v>90</v>
      </c>
      <c r="B2489" s="0" t="s">
        <v>1056</v>
      </c>
      <c r="C2489" s="0" t="n">
        <v>325</v>
      </c>
      <c r="D2489" s="0" t="n">
        <v>9</v>
      </c>
      <c r="E2489" s="0" t="n">
        <v>5</v>
      </c>
      <c r="F2489" s="0" t="n">
        <v>293</v>
      </c>
      <c r="G2489" s="0" t="n">
        <v>200</v>
      </c>
      <c r="H2489" s="0" t="s">
        <v>145</v>
      </c>
      <c r="I2489" s="0" t="n">
        <v>200</v>
      </c>
      <c r="J2489" s="0" t="n">
        <f aca="false">F2489*E2489</f>
        <v>1465</v>
      </c>
      <c r="K2489" s="0" t="str">
        <f aca="false">IF(G2489&lt;1000,"1-Low",IF(G2489&lt;5000,"2-Medium","3-Bulk"))</f>
        <v>1-Low</v>
      </c>
      <c r="L2489" s="0" t="str">
        <f aca="false">IF(H2489="TRUE","Out of stock","In stock")</f>
        <v>In stock</v>
      </c>
      <c r="M2489" s="0" t="str">
        <f aca="false">IF(D2489&lt;5,"1) Under 5%",IF(D2489&lt;10,"2) 5-9%",IF(D2489&lt;15,"3) 10-14%",IF(D2489&lt;25,"4) 15-24%","5) 25%+"))))</f>
        <v>2) 5-9%</v>
      </c>
      <c r="N2489" s="0" t="str">
        <f aca="false">IF(F2489&lt;50,"1) Under Rs 50",IF(F2489&lt;100,"2) Rs 50-99",IF(F2489&lt;200,"3) Rs 100-199",IF(F2489&lt;500,"4) Rs 200-499","5) Rs 500+"))))</f>
        <v>4) Rs 200-499</v>
      </c>
      <c r="O2489" s="0" t="n">
        <f aca="false">G2489*E2489/1000</f>
        <v>1</v>
      </c>
    </row>
    <row r="2490" customFormat="false" ht="15" hidden="false" customHeight="false" outlineLevel="0" collapsed="false">
      <c r="A2490" s="0" t="s">
        <v>90</v>
      </c>
      <c r="B2490" s="0" t="s">
        <v>1057</v>
      </c>
      <c r="C2490" s="0" t="n">
        <v>275</v>
      </c>
      <c r="D2490" s="0" t="n">
        <v>14</v>
      </c>
      <c r="E2490" s="0" t="n">
        <v>6</v>
      </c>
      <c r="F2490" s="0" t="n">
        <v>234</v>
      </c>
      <c r="G2490" s="0" t="n">
        <v>200</v>
      </c>
      <c r="H2490" s="0" t="s">
        <v>145</v>
      </c>
      <c r="I2490" s="0" t="n">
        <v>200</v>
      </c>
      <c r="J2490" s="0" t="n">
        <f aca="false">F2490*E2490</f>
        <v>1404</v>
      </c>
      <c r="K2490" s="0" t="str">
        <f aca="false">IF(G2490&lt;1000,"1-Low",IF(G2490&lt;5000,"2-Medium","3-Bulk"))</f>
        <v>1-Low</v>
      </c>
      <c r="L2490" s="0" t="str">
        <f aca="false">IF(H2490="TRUE","Out of stock","In stock")</f>
        <v>In stock</v>
      </c>
      <c r="M2490" s="0" t="str">
        <f aca="false">IF(D2490&lt;5,"1) Under 5%",IF(D2490&lt;10,"2) 5-9%",IF(D2490&lt;15,"3) 10-14%",IF(D2490&lt;25,"4) 15-24%","5) 25%+"))))</f>
        <v>3) 10-14%</v>
      </c>
      <c r="N2490" s="0" t="str">
        <f aca="false">IF(F2490&lt;50,"1) Under Rs 50",IF(F2490&lt;100,"2) Rs 50-99",IF(F2490&lt;200,"3) Rs 100-199",IF(F2490&lt;500,"4) Rs 200-499","5) Rs 500+"))))</f>
        <v>4) Rs 200-499</v>
      </c>
      <c r="O2490" s="0" t="n">
        <f aca="false">G2490*E2490/1000</f>
        <v>1.2</v>
      </c>
    </row>
    <row r="2491" customFormat="false" ht="15" hidden="false" customHeight="false" outlineLevel="0" collapsed="false">
      <c r="A2491" s="0" t="s">
        <v>90</v>
      </c>
      <c r="B2491" s="0" t="s">
        <v>1058</v>
      </c>
      <c r="C2491" s="0" t="n">
        <v>114</v>
      </c>
      <c r="D2491" s="0" t="n">
        <v>0</v>
      </c>
      <c r="E2491" s="0" t="n">
        <v>6</v>
      </c>
      <c r="F2491" s="0" t="n">
        <v>114</v>
      </c>
      <c r="G2491" s="0" t="n">
        <v>480</v>
      </c>
      <c r="H2491" s="0" t="s">
        <v>145</v>
      </c>
      <c r="I2491" s="0" t="n">
        <v>480</v>
      </c>
      <c r="J2491" s="0" t="n">
        <f aca="false">F2491*E2491</f>
        <v>684</v>
      </c>
      <c r="K2491" s="0" t="str">
        <f aca="false">IF(G2491&lt;1000,"1-Low",IF(G2491&lt;5000,"2-Medium","3-Bulk"))</f>
        <v>1-Low</v>
      </c>
      <c r="L2491" s="0" t="str">
        <f aca="false">IF(H2491="TRUE","Out of stock","In stock")</f>
        <v>In stock</v>
      </c>
      <c r="M2491" s="0" t="str">
        <f aca="false">IF(D2491&lt;5,"1) Under 5%",IF(D2491&lt;10,"2) 5-9%",IF(D2491&lt;15,"3) 10-14%",IF(D2491&lt;25,"4) 15-24%","5) 25%+"))))</f>
        <v>1) Under 5%</v>
      </c>
      <c r="N2491" s="0" t="str">
        <f aca="false">IF(F2491&lt;50,"1) Under Rs 50",IF(F2491&lt;100,"2) Rs 50-99",IF(F2491&lt;200,"3) Rs 100-199",IF(F2491&lt;500,"4) Rs 200-499","5) Rs 500+"))))</f>
        <v>3) Rs 100-199</v>
      </c>
      <c r="O2491" s="0" t="n">
        <f aca="false">G2491*E2491/1000</f>
        <v>2.88</v>
      </c>
    </row>
    <row r="2492" customFormat="false" ht="15" hidden="false" customHeight="false" outlineLevel="0" collapsed="false">
      <c r="A2492" s="0" t="s">
        <v>90</v>
      </c>
      <c r="B2492" s="0" t="s">
        <v>605</v>
      </c>
      <c r="C2492" s="0" t="n">
        <v>250</v>
      </c>
      <c r="D2492" s="0" t="n">
        <v>0</v>
      </c>
      <c r="E2492" s="0" t="n">
        <v>5</v>
      </c>
      <c r="F2492" s="0" t="n">
        <v>250</v>
      </c>
      <c r="G2492" s="0" t="n">
        <v>400</v>
      </c>
      <c r="H2492" s="0" t="s">
        <v>145</v>
      </c>
      <c r="I2492" s="0" t="n">
        <v>400</v>
      </c>
      <c r="J2492" s="0" t="n">
        <f aca="false">F2492*E2492</f>
        <v>1250</v>
      </c>
      <c r="K2492" s="0" t="str">
        <f aca="false">IF(G2492&lt;1000,"1-Low",IF(G2492&lt;5000,"2-Medium","3-Bulk"))</f>
        <v>1-Low</v>
      </c>
      <c r="L2492" s="0" t="str">
        <f aca="false">IF(H2492="TRUE","Out of stock","In stock")</f>
        <v>In stock</v>
      </c>
      <c r="M2492" s="0" t="str">
        <f aca="false">IF(D2492&lt;5,"1) Under 5%",IF(D2492&lt;10,"2) 5-9%",IF(D2492&lt;15,"3) 10-14%",IF(D2492&lt;25,"4) 15-24%","5) 25%+"))))</f>
        <v>1) Under 5%</v>
      </c>
      <c r="N2492" s="0" t="str">
        <f aca="false">IF(F2492&lt;50,"1) Under Rs 50",IF(F2492&lt;100,"2) Rs 50-99",IF(F2492&lt;200,"3) Rs 100-199",IF(F2492&lt;500,"4) Rs 200-499","5) Rs 500+"))))</f>
        <v>4) Rs 200-499</v>
      </c>
      <c r="O2492" s="0" t="n">
        <f aca="false">G2492*E2492/1000</f>
        <v>2</v>
      </c>
    </row>
    <row r="2493" customFormat="false" ht="15" hidden="false" customHeight="false" outlineLevel="0" collapsed="false">
      <c r="A2493" s="0" t="s">
        <v>90</v>
      </c>
      <c r="B2493" s="0" t="s">
        <v>1059</v>
      </c>
      <c r="C2493" s="0" t="n">
        <v>610</v>
      </c>
      <c r="D2493" s="0" t="n">
        <v>0</v>
      </c>
      <c r="E2493" s="0" t="n">
        <v>2</v>
      </c>
      <c r="F2493" s="0" t="n">
        <v>610</v>
      </c>
      <c r="G2493" s="0" t="n">
        <v>400</v>
      </c>
      <c r="H2493" s="0" t="s">
        <v>145</v>
      </c>
      <c r="I2493" s="0" t="n">
        <v>400</v>
      </c>
      <c r="J2493" s="0" t="n">
        <f aca="false">F2493*E2493</f>
        <v>1220</v>
      </c>
      <c r="K2493" s="0" t="str">
        <f aca="false">IF(G2493&lt;1000,"1-Low",IF(G2493&lt;5000,"2-Medium","3-Bulk"))</f>
        <v>1-Low</v>
      </c>
      <c r="L2493" s="0" t="str">
        <f aca="false">IF(H2493="TRUE","Out of stock","In stock")</f>
        <v>In stock</v>
      </c>
      <c r="M2493" s="0" t="str">
        <f aca="false">IF(D2493&lt;5,"1) Under 5%",IF(D2493&lt;10,"2) 5-9%",IF(D2493&lt;15,"3) 10-14%",IF(D2493&lt;25,"4) 15-24%","5) 25%+"))))</f>
        <v>1) Under 5%</v>
      </c>
      <c r="N2493" s="0" t="str">
        <f aca="false">IF(F2493&lt;50,"1) Under Rs 50",IF(F2493&lt;100,"2) Rs 50-99",IF(F2493&lt;200,"3) Rs 100-199",IF(F2493&lt;500,"4) Rs 200-499","5) Rs 500+"))))</f>
        <v>5) Rs 500+</v>
      </c>
      <c r="O2493" s="0" t="n">
        <f aca="false">G2493*E2493/1000</f>
        <v>0.8</v>
      </c>
    </row>
    <row r="2494" customFormat="false" ht="15" hidden="false" customHeight="false" outlineLevel="0" collapsed="false">
      <c r="A2494" s="0" t="s">
        <v>90</v>
      </c>
      <c r="B2494" s="0" t="s">
        <v>1060</v>
      </c>
      <c r="C2494" s="0" t="n">
        <v>91</v>
      </c>
      <c r="D2494" s="0" t="n">
        <v>0</v>
      </c>
      <c r="E2494" s="0" t="n">
        <v>6</v>
      </c>
      <c r="F2494" s="0" t="n">
        <v>91</v>
      </c>
      <c r="G2494" s="0" t="n">
        <v>60</v>
      </c>
      <c r="H2494" s="0" t="s">
        <v>145</v>
      </c>
      <c r="I2494" s="0" t="n">
        <v>60</v>
      </c>
      <c r="J2494" s="0" t="n">
        <f aca="false">F2494*E2494</f>
        <v>546</v>
      </c>
      <c r="K2494" s="0" t="str">
        <f aca="false">IF(G2494&lt;1000,"1-Low",IF(G2494&lt;5000,"2-Medium","3-Bulk"))</f>
        <v>1-Low</v>
      </c>
      <c r="L2494" s="0" t="str">
        <f aca="false">IF(H2494="TRUE","Out of stock","In stock")</f>
        <v>In stock</v>
      </c>
      <c r="M2494" s="0" t="str">
        <f aca="false">IF(D2494&lt;5,"1) Under 5%",IF(D2494&lt;10,"2) 5-9%",IF(D2494&lt;15,"3) 10-14%",IF(D2494&lt;25,"4) 15-24%","5) 25%+"))))</f>
        <v>1) Under 5%</v>
      </c>
      <c r="N2494" s="0" t="str">
        <f aca="false">IF(F2494&lt;50,"1) Under Rs 50",IF(F2494&lt;100,"2) Rs 50-99",IF(F2494&lt;200,"3) Rs 100-199",IF(F2494&lt;500,"4) Rs 200-499","5) Rs 500+"))))</f>
        <v>2) Rs 50-99</v>
      </c>
      <c r="O2494" s="0" t="n">
        <f aca="false">G2494*E2494/1000</f>
        <v>0.36</v>
      </c>
    </row>
    <row r="2495" customFormat="false" ht="15" hidden="false" customHeight="false" outlineLevel="0" collapsed="false">
      <c r="A2495" s="0" t="s">
        <v>90</v>
      </c>
      <c r="B2495" s="0" t="s">
        <v>1061</v>
      </c>
      <c r="C2495" s="0" t="n">
        <v>230</v>
      </c>
      <c r="D2495" s="0" t="n">
        <v>0</v>
      </c>
      <c r="E2495" s="0" t="n">
        <v>4</v>
      </c>
      <c r="F2495" s="0" t="n">
        <v>230</v>
      </c>
      <c r="G2495" s="0" t="n">
        <v>400</v>
      </c>
      <c r="H2495" s="0" t="s">
        <v>145</v>
      </c>
      <c r="I2495" s="0" t="n">
        <v>400</v>
      </c>
      <c r="J2495" s="0" t="n">
        <f aca="false">F2495*E2495</f>
        <v>920</v>
      </c>
      <c r="K2495" s="0" t="str">
        <f aca="false">IF(G2495&lt;1000,"1-Low",IF(G2495&lt;5000,"2-Medium","3-Bulk"))</f>
        <v>1-Low</v>
      </c>
      <c r="L2495" s="0" t="str">
        <f aca="false">IF(H2495="TRUE","Out of stock","In stock")</f>
        <v>In stock</v>
      </c>
      <c r="M2495" s="0" t="str">
        <f aca="false">IF(D2495&lt;5,"1) Under 5%",IF(D2495&lt;10,"2) 5-9%",IF(D2495&lt;15,"3) 10-14%",IF(D2495&lt;25,"4) 15-24%","5) 25%+"))))</f>
        <v>1) Under 5%</v>
      </c>
      <c r="N2495" s="0" t="str">
        <f aca="false">IF(F2495&lt;50,"1) Under Rs 50",IF(F2495&lt;100,"2) Rs 50-99",IF(F2495&lt;200,"3) Rs 100-199",IF(F2495&lt;500,"4) Rs 200-499","5) Rs 500+"))))</f>
        <v>4) Rs 200-499</v>
      </c>
      <c r="O2495" s="0" t="n">
        <f aca="false">G2495*E2495/1000</f>
        <v>1.6</v>
      </c>
    </row>
    <row r="2496" customFormat="false" ht="15" hidden="false" customHeight="false" outlineLevel="0" collapsed="false">
      <c r="A2496" s="0" t="s">
        <v>90</v>
      </c>
      <c r="B2496" s="0" t="s">
        <v>1062</v>
      </c>
      <c r="C2496" s="0" t="n">
        <v>275</v>
      </c>
      <c r="D2496" s="0" t="n">
        <v>14</v>
      </c>
      <c r="E2496" s="0" t="n">
        <v>6</v>
      </c>
      <c r="F2496" s="0" t="n">
        <v>234</v>
      </c>
      <c r="G2496" s="0" t="n">
        <v>200</v>
      </c>
      <c r="H2496" s="0" t="s">
        <v>145</v>
      </c>
      <c r="I2496" s="0" t="n">
        <v>200</v>
      </c>
      <c r="J2496" s="0" t="n">
        <f aca="false">F2496*E2496</f>
        <v>1404</v>
      </c>
      <c r="K2496" s="0" t="str">
        <f aca="false">IF(G2496&lt;1000,"1-Low",IF(G2496&lt;5000,"2-Medium","3-Bulk"))</f>
        <v>1-Low</v>
      </c>
      <c r="L2496" s="0" t="str">
        <f aca="false">IF(H2496="TRUE","Out of stock","In stock")</f>
        <v>In stock</v>
      </c>
      <c r="M2496" s="0" t="str">
        <f aca="false">IF(D2496&lt;5,"1) Under 5%",IF(D2496&lt;10,"2) 5-9%",IF(D2496&lt;15,"3) 10-14%",IF(D2496&lt;25,"4) 15-24%","5) 25%+"))))</f>
        <v>3) 10-14%</v>
      </c>
      <c r="N2496" s="0" t="str">
        <f aca="false">IF(F2496&lt;50,"1) Under Rs 50",IF(F2496&lt;100,"2) Rs 50-99",IF(F2496&lt;200,"3) Rs 100-199",IF(F2496&lt;500,"4) Rs 200-499","5) Rs 500+"))))</f>
        <v>4) Rs 200-499</v>
      </c>
      <c r="O2496" s="0" t="n">
        <f aca="false">G2496*E2496/1000</f>
        <v>1.2</v>
      </c>
    </row>
    <row r="2497" customFormat="false" ht="15" hidden="false" customHeight="false" outlineLevel="0" collapsed="false">
      <c r="A2497" s="0" t="s">
        <v>90</v>
      </c>
      <c r="B2497" s="0" t="s">
        <v>1063</v>
      </c>
      <c r="C2497" s="0" t="n">
        <v>65</v>
      </c>
      <c r="D2497" s="0" t="n">
        <v>6</v>
      </c>
      <c r="E2497" s="0" t="n">
        <v>3</v>
      </c>
      <c r="F2497" s="0" t="n">
        <v>61</v>
      </c>
      <c r="G2497" s="0" t="n">
        <v>52</v>
      </c>
      <c r="H2497" s="0" t="s">
        <v>145</v>
      </c>
      <c r="I2497" s="0" t="n">
        <v>52</v>
      </c>
      <c r="J2497" s="0" t="n">
        <f aca="false">F2497*E2497</f>
        <v>183</v>
      </c>
      <c r="K2497" s="0" t="str">
        <f aca="false">IF(G2497&lt;1000,"1-Low",IF(G2497&lt;5000,"2-Medium","3-Bulk"))</f>
        <v>1-Low</v>
      </c>
      <c r="L2497" s="0" t="str">
        <f aca="false">IF(H2497="TRUE","Out of stock","In stock")</f>
        <v>In stock</v>
      </c>
      <c r="M2497" s="0" t="str">
        <f aca="false">IF(D2497&lt;5,"1) Under 5%",IF(D2497&lt;10,"2) 5-9%",IF(D2497&lt;15,"3) 10-14%",IF(D2497&lt;25,"4) 15-24%","5) 25%+"))))</f>
        <v>2) 5-9%</v>
      </c>
      <c r="N2497" s="0" t="str">
        <f aca="false">IF(F2497&lt;50,"1) Under Rs 50",IF(F2497&lt;100,"2) Rs 50-99",IF(F2497&lt;200,"3) Rs 100-199",IF(F2497&lt;500,"4) Rs 200-499","5) Rs 500+"))))</f>
        <v>2) Rs 50-99</v>
      </c>
      <c r="O2497" s="0" t="n">
        <f aca="false">G2497*E2497/1000</f>
        <v>0.156</v>
      </c>
    </row>
    <row r="2498" customFormat="false" ht="15" hidden="false" customHeight="false" outlineLevel="0" collapsed="false">
      <c r="A2498" s="0" t="s">
        <v>90</v>
      </c>
      <c r="B2498" s="0" t="s">
        <v>125</v>
      </c>
      <c r="C2498" s="0" t="n">
        <v>595</v>
      </c>
      <c r="D2498" s="0" t="n">
        <v>0</v>
      </c>
      <c r="E2498" s="0" t="n">
        <v>5</v>
      </c>
      <c r="F2498" s="0" t="n">
        <v>595</v>
      </c>
      <c r="G2498" s="0" t="n">
        <v>1000</v>
      </c>
      <c r="H2498" s="0" t="s">
        <v>145</v>
      </c>
      <c r="I2498" s="0" t="n">
        <v>1</v>
      </c>
      <c r="J2498" s="0" t="n">
        <f aca="false">F2498*E2498</f>
        <v>2975</v>
      </c>
      <c r="K2498" s="0" t="str">
        <f aca="false">IF(G2498&lt;1000,"1-Low",IF(G2498&lt;5000,"2-Medium","3-Bulk"))</f>
        <v>2-Medium</v>
      </c>
      <c r="L2498" s="0" t="str">
        <f aca="false">IF(H2498="TRUE","Out of stock","In stock")</f>
        <v>In stock</v>
      </c>
      <c r="M2498" s="0" t="str">
        <f aca="false">IF(D2498&lt;5,"1) Under 5%",IF(D2498&lt;10,"2) 5-9%",IF(D2498&lt;15,"3) 10-14%",IF(D2498&lt;25,"4) 15-24%","5) 25%+"))))</f>
        <v>1) Under 5%</v>
      </c>
      <c r="N2498" s="0" t="str">
        <f aca="false">IF(F2498&lt;50,"1) Under Rs 50",IF(F2498&lt;100,"2) Rs 50-99",IF(F2498&lt;200,"3) Rs 100-199",IF(F2498&lt;500,"4) Rs 200-499","5) Rs 500+"))))</f>
        <v>5) Rs 500+</v>
      </c>
      <c r="O2498" s="0" t="n">
        <f aca="false">G2498*E2498/1000</f>
        <v>5</v>
      </c>
    </row>
    <row r="2499" customFormat="false" ht="15" hidden="false" customHeight="false" outlineLevel="0" collapsed="false">
      <c r="A2499" s="0" t="s">
        <v>90</v>
      </c>
      <c r="B2499" s="0" t="s">
        <v>981</v>
      </c>
      <c r="C2499" s="0" t="n">
        <v>105</v>
      </c>
      <c r="D2499" s="0" t="n">
        <v>0</v>
      </c>
      <c r="E2499" s="0" t="n">
        <v>4</v>
      </c>
      <c r="F2499" s="0" t="n">
        <v>105</v>
      </c>
      <c r="G2499" s="0" t="n">
        <v>850</v>
      </c>
      <c r="H2499" s="0" t="s">
        <v>145</v>
      </c>
      <c r="I2499" s="0" t="n">
        <v>850</v>
      </c>
      <c r="J2499" s="0" t="n">
        <f aca="false">F2499*E2499</f>
        <v>420</v>
      </c>
      <c r="K2499" s="0" t="str">
        <f aca="false">IF(G2499&lt;1000,"1-Low",IF(G2499&lt;5000,"2-Medium","3-Bulk"))</f>
        <v>1-Low</v>
      </c>
      <c r="L2499" s="0" t="str">
        <f aca="false">IF(H2499="TRUE","Out of stock","In stock")</f>
        <v>In stock</v>
      </c>
      <c r="M2499" s="0" t="str">
        <f aca="false">IF(D2499&lt;5,"1) Under 5%",IF(D2499&lt;10,"2) 5-9%",IF(D2499&lt;15,"3) 10-14%",IF(D2499&lt;25,"4) 15-24%","5) 25%+"))))</f>
        <v>1) Under 5%</v>
      </c>
      <c r="N2499" s="0" t="str">
        <f aca="false">IF(F2499&lt;50,"1) Under Rs 50",IF(F2499&lt;100,"2) Rs 50-99",IF(F2499&lt;200,"3) Rs 100-199",IF(F2499&lt;500,"4) Rs 200-499","5) Rs 500+"))))</f>
        <v>3) Rs 100-199</v>
      </c>
      <c r="O2499" s="0" t="n">
        <f aca="false">G2499*E2499/1000</f>
        <v>3.4</v>
      </c>
    </row>
    <row r="2500" customFormat="false" ht="15" hidden="false" customHeight="false" outlineLevel="0" collapsed="false">
      <c r="A2500" s="0" t="s">
        <v>90</v>
      </c>
      <c r="B2500" s="0" t="s">
        <v>649</v>
      </c>
      <c r="C2500" s="0" t="n">
        <v>44</v>
      </c>
      <c r="D2500" s="0" t="n">
        <v>0</v>
      </c>
      <c r="E2500" s="0" t="n">
        <v>0</v>
      </c>
      <c r="F2500" s="0" t="n">
        <v>44</v>
      </c>
      <c r="G2500" s="0" t="n">
        <v>280</v>
      </c>
      <c r="H2500" s="0" t="s">
        <v>230</v>
      </c>
      <c r="I2500" s="0" t="n">
        <v>280</v>
      </c>
      <c r="J2500" s="0" t="n">
        <f aca="false">F2500*E2500</f>
        <v>0</v>
      </c>
      <c r="K2500" s="0" t="str">
        <f aca="false">IF(G2500&lt;1000,"1-Low",IF(G2500&lt;5000,"2-Medium","3-Bulk"))</f>
        <v>1-Low</v>
      </c>
      <c r="L2500" s="0" t="str">
        <f aca="false">IF(H2500="TRUE","Out of stock","In stock")</f>
        <v>Out of stock</v>
      </c>
      <c r="M2500" s="0" t="str">
        <f aca="false">IF(D2500&lt;5,"1) Under 5%",IF(D2500&lt;10,"2) 5-9%",IF(D2500&lt;15,"3) 10-14%",IF(D2500&lt;25,"4) 15-24%","5) 25%+"))))</f>
        <v>1) Under 5%</v>
      </c>
      <c r="N2500" s="0" t="str">
        <f aca="false">IF(F2500&lt;50,"1) Under Rs 50",IF(F2500&lt;100,"2) Rs 50-99",IF(F2500&lt;200,"3) Rs 100-199",IF(F2500&lt;500,"4) Rs 200-499","5) Rs 500+"))))</f>
        <v>1) Under Rs 50</v>
      </c>
      <c r="O2500" s="0" t="n">
        <f aca="false">G2500*E2500/1000</f>
        <v>0</v>
      </c>
    </row>
    <row r="2501" customFormat="false" ht="15" hidden="false" customHeight="false" outlineLevel="0" collapsed="false">
      <c r="A2501" s="0" t="s">
        <v>90</v>
      </c>
      <c r="B2501" s="0" t="s">
        <v>1064</v>
      </c>
      <c r="C2501" s="0" t="n">
        <v>20</v>
      </c>
      <c r="D2501" s="0" t="n">
        <v>0</v>
      </c>
      <c r="E2501" s="0" t="n">
        <v>0</v>
      </c>
      <c r="F2501" s="0" t="n">
        <v>20</v>
      </c>
      <c r="G2501" s="0" t="n">
        <v>90</v>
      </c>
      <c r="H2501" s="0" t="s">
        <v>230</v>
      </c>
      <c r="I2501" s="0" t="n">
        <v>90</v>
      </c>
      <c r="J2501" s="0" t="n">
        <f aca="false">F2501*E2501</f>
        <v>0</v>
      </c>
      <c r="K2501" s="0" t="str">
        <f aca="false">IF(G2501&lt;1000,"1-Low",IF(G2501&lt;5000,"2-Medium","3-Bulk"))</f>
        <v>1-Low</v>
      </c>
      <c r="L2501" s="0" t="str">
        <f aca="false">IF(H2501="TRUE","Out of stock","In stock")</f>
        <v>Out of stock</v>
      </c>
      <c r="M2501" s="0" t="str">
        <f aca="false">IF(D2501&lt;5,"1) Under 5%",IF(D2501&lt;10,"2) 5-9%",IF(D2501&lt;15,"3) 10-14%",IF(D2501&lt;25,"4) 15-24%","5) 25%+"))))</f>
        <v>1) Under 5%</v>
      </c>
      <c r="N2501" s="0" t="str">
        <f aca="false">IF(F2501&lt;50,"1) Under Rs 50",IF(F2501&lt;100,"2) Rs 50-99",IF(F2501&lt;200,"3) Rs 100-199",IF(F2501&lt;500,"4) Rs 200-499","5) Rs 500+"))))</f>
        <v>1) Under Rs 50</v>
      </c>
      <c r="O2501" s="0" t="n">
        <f aca="false">G2501*E2501/1000</f>
        <v>0</v>
      </c>
    </row>
    <row r="2502" customFormat="false" ht="15" hidden="false" customHeight="false" outlineLevel="0" collapsed="false">
      <c r="A2502" s="0" t="s">
        <v>90</v>
      </c>
      <c r="B2502" s="0" t="s">
        <v>1065</v>
      </c>
      <c r="C2502" s="0" t="n">
        <v>60</v>
      </c>
      <c r="D2502" s="0" t="n">
        <v>6</v>
      </c>
      <c r="E2502" s="0" t="n">
        <v>0</v>
      </c>
      <c r="F2502" s="0" t="n">
        <v>56</v>
      </c>
      <c r="G2502" s="0" t="n">
        <v>156</v>
      </c>
      <c r="H2502" s="0" t="s">
        <v>230</v>
      </c>
      <c r="I2502" s="0" t="n">
        <v>156</v>
      </c>
      <c r="J2502" s="0" t="n">
        <f aca="false">F2502*E2502</f>
        <v>0</v>
      </c>
      <c r="K2502" s="0" t="str">
        <f aca="false">IF(G2502&lt;1000,"1-Low",IF(G2502&lt;5000,"2-Medium","3-Bulk"))</f>
        <v>1-Low</v>
      </c>
      <c r="L2502" s="0" t="str">
        <f aca="false">IF(H2502="TRUE","Out of stock","In stock")</f>
        <v>Out of stock</v>
      </c>
      <c r="M2502" s="0" t="str">
        <f aca="false">IF(D2502&lt;5,"1) Under 5%",IF(D2502&lt;10,"2) 5-9%",IF(D2502&lt;15,"3) 10-14%",IF(D2502&lt;25,"4) 15-24%","5) 25%+"))))</f>
        <v>2) 5-9%</v>
      </c>
      <c r="N2502" s="0" t="str">
        <f aca="false">IF(F2502&lt;50,"1) Under Rs 50",IF(F2502&lt;100,"2) Rs 50-99",IF(F2502&lt;200,"3) Rs 100-199",IF(F2502&lt;500,"4) Rs 200-499","5) Rs 500+"))))</f>
        <v>2) Rs 50-99</v>
      </c>
      <c r="O2502" s="0" t="n">
        <f aca="false">G2502*E2502/1000</f>
        <v>0</v>
      </c>
    </row>
    <row r="2503" customFormat="false" ht="15" hidden="false" customHeight="false" outlineLevel="0" collapsed="false">
      <c r="A2503" s="0" t="s">
        <v>90</v>
      </c>
      <c r="B2503" s="0" t="s">
        <v>1066</v>
      </c>
      <c r="C2503" s="0" t="n">
        <v>155</v>
      </c>
      <c r="D2503" s="0" t="n">
        <v>0</v>
      </c>
      <c r="E2503" s="0" t="n">
        <v>0</v>
      </c>
      <c r="F2503" s="0" t="n">
        <v>155</v>
      </c>
      <c r="G2503" s="0" t="n">
        <v>500</v>
      </c>
      <c r="H2503" s="0" t="s">
        <v>230</v>
      </c>
      <c r="I2503" s="0" t="n">
        <v>500</v>
      </c>
      <c r="J2503" s="0" t="n">
        <f aca="false">F2503*E2503</f>
        <v>0</v>
      </c>
      <c r="K2503" s="0" t="str">
        <f aca="false">IF(G2503&lt;1000,"1-Low",IF(G2503&lt;5000,"2-Medium","3-Bulk"))</f>
        <v>1-Low</v>
      </c>
      <c r="L2503" s="0" t="str">
        <f aca="false">IF(H2503="TRUE","Out of stock","In stock")</f>
        <v>Out of stock</v>
      </c>
      <c r="M2503" s="0" t="str">
        <f aca="false">IF(D2503&lt;5,"1) Under 5%",IF(D2503&lt;10,"2) 5-9%",IF(D2503&lt;15,"3) 10-14%",IF(D2503&lt;25,"4) 15-24%","5) 25%+"))))</f>
        <v>1) Under 5%</v>
      </c>
      <c r="N2503" s="0" t="str">
        <f aca="false">IF(F2503&lt;50,"1) Under Rs 50",IF(F2503&lt;100,"2) Rs 50-99",IF(F2503&lt;200,"3) Rs 100-199",IF(F2503&lt;500,"4) Rs 200-499","5) Rs 500+"))))</f>
        <v>3) Rs 100-199</v>
      </c>
      <c r="O2503" s="0" t="n">
        <f aca="false">G2503*E2503/1000</f>
        <v>0</v>
      </c>
    </row>
    <row r="2504" customFormat="false" ht="15" hidden="false" customHeight="false" outlineLevel="0" collapsed="false">
      <c r="A2504" s="0" t="s">
        <v>90</v>
      </c>
      <c r="B2504" s="0" t="s">
        <v>1067</v>
      </c>
      <c r="C2504" s="0" t="n">
        <v>60</v>
      </c>
      <c r="D2504" s="0" t="n">
        <v>5</v>
      </c>
      <c r="E2504" s="0" t="n">
        <v>0</v>
      </c>
      <c r="F2504" s="0" t="n">
        <v>57</v>
      </c>
      <c r="G2504" s="0" t="n">
        <v>200</v>
      </c>
      <c r="H2504" s="0" t="s">
        <v>230</v>
      </c>
      <c r="I2504" s="0" t="n">
        <v>200</v>
      </c>
      <c r="J2504" s="0" t="n">
        <f aca="false">F2504*E2504</f>
        <v>0</v>
      </c>
      <c r="K2504" s="0" t="str">
        <f aca="false">IF(G2504&lt;1000,"1-Low",IF(G2504&lt;5000,"2-Medium","3-Bulk"))</f>
        <v>1-Low</v>
      </c>
      <c r="L2504" s="0" t="str">
        <f aca="false">IF(H2504="TRUE","Out of stock","In stock")</f>
        <v>Out of stock</v>
      </c>
      <c r="M2504" s="0" t="str">
        <f aca="false">IF(D2504&lt;5,"1) Under 5%",IF(D2504&lt;10,"2) 5-9%",IF(D2504&lt;15,"3) 10-14%",IF(D2504&lt;25,"4) 15-24%","5) 25%+"))))</f>
        <v>2) 5-9%</v>
      </c>
      <c r="N2504" s="0" t="str">
        <f aca="false">IF(F2504&lt;50,"1) Under Rs 50",IF(F2504&lt;100,"2) Rs 50-99",IF(F2504&lt;200,"3) Rs 100-199",IF(F2504&lt;500,"4) Rs 200-499","5) Rs 500+"))))</f>
        <v>2) Rs 50-99</v>
      </c>
      <c r="O2504" s="0" t="n">
        <f aca="false">G2504*E2504/1000</f>
        <v>0</v>
      </c>
    </row>
    <row r="2505" customFormat="false" ht="15" hidden="false" customHeight="false" outlineLevel="0" collapsed="false">
      <c r="A2505" s="0" t="s">
        <v>90</v>
      </c>
      <c r="B2505" s="0" t="s">
        <v>794</v>
      </c>
      <c r="C2505" s="0" t="n">
        <v>85</v>
      </c>
      <c r="D2505" s="0" t="n">
        <v>0</v>
      </c>
      <c r="E2505" s="0" t="n">
        <v>0</v>
      </c>
      <c r="F2505" s="0" t="n">
        <v>85</v>
      </c>
      <c r="G2505" s="0" t="n">
        <v>200</v>
      </c>
      <c r="H2505" s="0" t="s">
        <v>230</v>
      </c>
      <c r="I2505" s="0" t="n">
        <v>200</v>
      </c>
      <c r="J2505" s="0" t="n">
        <f aca="false">F2505*E2505</f>
        <v>0</v>
      </c>
      <c r="K2505" s="0" t="str">
        <f aca="false">IF(G2505&lt;1000,"1-Low",IF(G2505&lt;5000,"2-Medium","3-Bulk"))</f>
        <v>1-Low</v>
      </c>
      <c r="L2505" s="0" t="str">
        <f aca="false">IF(H2505="TRUE","Out of stock","In stock")</f>
        <v>Out of stock</v>
      </c>
      <c r="M2505" s="0" t="str">
        <f aca="false">IF(D2505&lt;5,"1) Under 5%",IF(D2505&lt;10,"2) 5-9%",IF(D2505&lt;15,"3) 10-14%",IF(D2505&lt;25,"4) 15-24%","5) 25%+"))))</f>
        <v>1) Under 5%</v>
      </c>
      <c r="N2505" s="0" t="str">
        <f aca="false">IF(F2505&lt;50,"1) Under Rs 50",IF(F2505&lt;100,"2) Rs 50-99",IF(F2505&lt;200,"3) Rs 100-199",IF(F2505&lt;500,"4) Rs 200-499","5) Rs 500+"))))</f>
        <v>2) Rs 50-99</v>
      </c>
      <c r="O2505" s="0" t="n">
        <f aca="false">G2505*E2505/1000</f>
        <v>0</v>
      </c>
    </row>
    <row r="2506" customFormat="false" ht="15" hidden="false" customHeight="false" outlineLevel="0" collapsed="false">
      <c r="A2506" s="0" t="s">
        <v>90</v>
      </c>
      <c r="B2506" s="0" t="s">
        <v>1068</v>
      </c>
      <c r="C2506" s="0" t="n">
        <v>50</v>
      </c>
      <c r="D2506" s="0" t="n">
        <v>24</v>
      </c>
      <c r="E2506" s="0" t="n">
        <v>0</v>
      </c>
      <c r="F2506" s="0" t="n">
        <v>38</v>
      </c>
      <c r="G2506" s="0" t="n">
        <v>200</v>
      </c>
      <c r="H2506" s="0" t="s">
        <v>230</v>
      </c>
      <c r="I2506" s="0" t="n">
        <v>200</v>
      </c>
      <c r="J2506" s="0" t="n">
        <f aca="false">F2506*E2506</f>
        <v>0</v>
      </c>
      <c r="K2506" s="0" t="str">
        <f aca="false">IF(G2506&lt;1000,"1-Low",IF(G2506&lt;5000,"2-Medium","3-Bulk"))</f>
        <v>1-Low</v>
      </c>
      <c r="L2506" s="0" t="str">
        <f aca="false">IF(H2506="TRUE","Out of stock","In stock")</f>
        <v>Out of stock</v>
      </c>
      <c r="M2506" s="0" t="str">
        <f aca="false">IF(D2506&lt;5,"1) Under 5%",IF(D2506&lt;10,"2) 5-9%",IF(D2506&lt;15,"3) 10-14%",IF(D2506&lt;25,"4) 15-24%","5) 25%+"))))</f>
        <v>4) 15-24%</v>
      </c>
      <c r="N2506" s="0" t="str">
        <f aca="false">IF(F2506&lt;50,"1) Under Rs 50",IF(F2506&lt;100,"2) Rs 50-99",IF(F2506&lt;200,"3) Rs 100-199",IF(F2506&lt;500,"4) Rs 200-499","5) Rs 500+"))))</f>
        <v>1) Under Rs 50</v>
      </c>
      <c r="O2506" s="0" t="n">
        <f aca="false">G2506*E2506/1000</f>
        <v>0</v>
      </c>
    </row>
    <row r="2507" customFormat="false" ht="15" hidden="false" customHeight="false" outlineLevel="0" collapsed="false">
      <c r="A2507" s="0" t="s">
        <v>90</v>
      </c>
      <c r="B2507" s="0" t="s">
        <v>1069</v>
      </c>
      <c r="C2507" s="0" t="n">
        <v>40</v>
      </c>
      <c r="D2507" s="0" t="n">
        <v>2</v>
      </c>
      <c r="E2507" s="0" t="n">
        <v>0</v>
      </c>
      <c r="F2507" s="0" t="n">
        <v>39</v>
      </c>
      <c r="G2507" s="0" t="n">
        <v>40</v>
      </c>
      <c r="H2507" s="0" t="s">
        <v>230</v>
      </c>
      <c r="I2507" s="0" t="n">
        <v>40</v>
      </c>
      <c r="J2507" s="0" t="n">
        <f aca="false">F2507*E2507</f>
        <v>0</v>
      </c>
      <c r="K2507" s="0" t="str">
        <f aca="false">IF(G2507&lt;1000,"1-Low",IF(G2507&lt;5000,"2-Medium","3-Bulk"))</f>
        <v>1-Low</v>
      </c>
      <c r="L2507" s="0" t="str">
        <f aca="false">IF(H2507="TRUE","Out of stock","In stock")</f>
        <v>Out of stock</v>
      </c>
      <c r="M2507" s="0" t="str">
        <f aca="false">IF(D2507&lt;5,"1) Under 5%",IF(D2507&lt;10,"2) 5-9%",IF(D2507&lt;15,"3) 10-14%",IF(D2507&lt;25,"4) 15-24%","5) 25%+"))))</f>
        <v>1) Under 5%</v>
      </c>
      <c r="N2507" s="0" t="str">
        <f aca="false">IF(F2507&lt;50,"1) Under Rs 50",IF(F2507&lt;100,"2) Rs 50-99",IF(F2507&lt;200,"3) Rs 100-199",IF(F2507&lt;500,"4) Rs 200-499","5) Rs 500+"))))</f>
        <v>1) Under Rs 50</v>
      </c>
      <c r="O2507" s="0" t="n">
        <f aca="false">G2507*E2507/1000</f>
        <v>0</v>
      </c>
    </row>
    <row r="2508" customFormat="false" ht="15" hidden="false" customHeight="false" outlineLevel="0" collapsed="false">
      <c r="A2508" s="0" t="s">
        <v>90</v>
      </c>
      <c r="B2508" s="0" t="s">
        <v>1070</v>
      </c>
      <c r="C2508" s="0" t="n">
        <v>35</v>
      </c>
      <c r="D2508" s="0" t="n">
        <v>2</v>
      </c>
      <c r="E2508" s="0" t="n">
        <v>0</v>
      </c>
      <c r="F2508" s="0" t="n">
        <v>34</v>
      </c>
      <c r="G2508" s="0" t="n">
        <v>70</v>
      </c>
      <c r="H2508" s="0" t="s">
        <v>230</v>
      </c>
      <c r="I2508" s="0" t="n">
        <v>70</v>
      </c>
      <c r="J2508" s="0" t="n">
        <f aca="false">F2508*E2508</f>
        <v>0</v>
      </c>
      <c r="K2508" s="0" t="str">
        <f aca="false">IF(G2508&lt;1000,"1-Low",IF(G2508&lt;5000,"2-Medium","3-Bulk"))</f>
        <v>1-Low</v>
      </c>
      <c r="L2508" s="0" t="str">
        <f aca="false">IF(H2508="TRUE","Out of stock","In stock")</f>
        <v>Out of stock</v>
      </c>
      <c r="M2508" s="0" t="str">
        <f aca="false">IF(D2508&lt;5,"1) Under 5%",IF(D2508&lt;10,"2) 5-9%",IF(D2508&lt;15,"3) 10-14%",IF(D2508&lt;25,"4) 15-24%","5) 25%+"))))</f>
        <v>1) Under 5%</v>
      </c>
      <c r="N2508" s="0" t="str">
        <f aca="false">IF(F2508&lt;50,"1) Under Rs 50",IF(F2508&lt;100,"2) Rs 50-99",IF(F2508&lt;200,"3) Rs 100-199",IF(F2508&lt;500,"4) Rs 200-499","5) Rs 500+"))))</f>
        <v>1) Under Rs 50</v>
      </c>
      <c r="O2508" s="0" t="n">
        <f aca="false">G2508*E2508/1000</f>
        <v>0</v>
      </c>
    </row>
    <row r="2509" customFormat="false" ht="15" hidden="false" customHeight="false" outlineLevel="0" collapsed="false">
      <c r="A2509" s="0" t="s">
        <v>90</v>
      </c>
      <c r="B2509" s="0" t="s">
        <v>800</v>
      </c>
      <c r="C2509" s="0" t="n">
        <v>185</v>
      </c>
      <c r="D2509" s="0" t="n">
        <v>20</v>
      </c>
      <c r="E2509" s="0" t="n">
        <v>0</v>
      </c>
      <c r="F2509" s="0" t="n">
        <v>148</v>
      </c>
      <c r="G2509" s="0" t="n">
        <v>325</v>
      </c>
      <c r="H2509" s="0" t="s">
        <v>230</v>
      </c>
      <c r="I2509" s="0" t="n">
        <v>325</v>
      </c>
      <c r="J2509" s="0" t="n">
        <f aca="false">F2509*E2509</f>
        <v>0</v>
      </c>
      <c r="K2509" s="0" t="str">
        <f aca="false">IF(G2509&lt;1000,"1-Low",IF(G2509&lt;5000,"2-Medium","3-Bulk"))</f>
        <v>1-Low</v>
      </c>
      <c r="L2509" s="0" t="str">
        <f aca="false">IF(H2509="TRUE","Out of stock","In stock")</f>
        <v>Out of stock</v>
      </c>
      <c r="M2509" s="0" t="str">
        <f aca="false">IF(D2509&lt;5,"1) Under 5%",IF(D2509&lt;10,"2) 5-9%",IF(D2509&lt;15,"3) 10-14%",IF(D2509&lt;25,"4) 15-24%","5) 25%+"))))</f>
        <v>4) 15-24%</v>
      </c>
      <c r="N2509" s="0" t="str">
        <f aca="false">IF(F2509&lt;50,"1) Under Rs 50",IF(F2509&lt;100,"2) Rs 50-99",IF(F2509&lt;200,"3) Rs 100-199",IF(F2509&lt;500,"4) Rs 200-499","5) Rs 500+"))))</f>
        <v>3) Rs 100-199</v>
      </c>
      <c r="O2509" s="0" t="n">
        <f aca="false">G2509*E2509/1000</f>
        <v>0</v>
      </c>
    </row>
    <row r="2510" customFormat="false" ht="15" hidden="false" customHeight="false" outlineLevel="0" collapsed="false">
      <c r="A2510" s="0" t="s">
        <v>90</v>
      </c>
      <c r="B2510" s="0" t="s">
        <v>664</v>
      </c>
      <c r="C2510" s="0" t="n">
        <v>10</v>
      </c>
      <c r="D2510" s="0" t="n">
        <v>0</v>
      </c>
      <c r="E2510" s="0" t="n">
        <v>0</v>
      </c>
      <c r="F2510" s="0" t="n">
        <v>10</v>
      </c>
      <c r="G2510" s="0" t="n">
        <v>20</v>
      </c>
      <c r="H2510" s="0" t="s">
        <v>230</v>
      </c>
      <c r="I2510" s="0" t="n">
        <v>20</v>
      </c>
      <c r="J2510" s="0" t="n">
        <f aca="false">F2510*E2510</f>
        <v>0</v>
      </c>
      <c r="K2510" s="0" t="str">
        <f aca="false">IF(G2510&lt;1000,"1-Low",IF(G2510&lt;5000,"2-Medium","3-Bulk"))</f>
        <v>1-Low</v>
      </c>
      <c r="L2510" s="0" t="str">
        <f aca="false">IF(H2510="TRUE","Out of stock","In stock")</f>
        <v>Out of stock</v>
      </c>
      <c r="M2510" s="0" t="str">
        <f aca="false">IF(D2510&lt;5,"1) Under 5%",IF(D2510&lt;10,"2) 5-9%",IF(D2510&lt;15,"3) 10-14%",IF(D2510&lt;25,"4) 15-24%","5) 25%+"))))</f>
        <v>1) Under 5%</v>
      </c>
      <c r="N2510" s="0" t="str">
        <f aca="false">IF(F2510&lt;50,"1) Under Rs 50",IF(F2510&lt;100,"2) Rs 50-99",IF(F2510&lt;200,"3) Rs 100-199",IF(F2510&lt;500,"4) Rs 200-499","5) Rs 500+"))))</f>
        <v>1) Under Rs 50</v>
      </c>
      <c r="O2510" s="0" t="n">
        <f aca="false">G2510*E2510/1000</f>
        <v>0</v>
      </c>
    </row>
    <row r="2511" customFormat="false" ht="15" hidden="false" customHeight="false" outlineLevel="0" collapsed="false">
      <c r="A2511" s="0" t="s">
        <v>90</v>
      </c>
      <c r="B2511" s="0" t="s">
        <v>232</v>
      </c>
      <c r="C2511" s="0" t="n">
        <v>60</v>
      </c>
      <c r="D2511" s="0" t="n">
        <v>5</v>
      </c>
      <c r="E2511" s="0" t="n">
        <v>0</v>
      </c>
      <c r="F2511" s="0" t="n">
        <v>57</v>
      </c>
      <c r="G2511" s="0" t="n">
        <v>500</v>
      </c>
      <c r="H2511" s="0" t="s">
        <v>230</v>
      </c>
      <c r="I2511" s="0" t="n">
        <v>500</v>
      </c>
      <c r="J2511" s="0" t="n">
        <f aca="false">F2511*E2511</f>
        <v>0</v>
      </c>
      <c r="K2511" s="0" t="str">
        <f aca="false">IF(G2511&lt;1000,"1-Low",IF(G2511&lt;5000,"2-Medium","3-Bulk"))</f>
        <v>1-Low</v>
      </c>
      <c r="L2511" s="0" t="str">
        <f aca="false">IF(H2511="TRUE","Out of stock","In stock")</f>
        <v>Out of stock</v>
      </c>
      <c r="M2511" s="0" t="str">
        <f aca="false">IF(D2511&lt;5,"1) Under 5%",IF(D2511&lt;10,"2) 5-9%",IF(D2511&lt;15,"3) 10-14%",IF(D2511&lt;25,"4) 15-24%","5) 25%+"))))</f>
        <v>2) 5-9%</v>
      </c>
      <c r="N2511" s="0" t="str">
        <f aca="false">IF(F2511&lt;50,"1) Under Rs 50",IF(F2511&lt;100,"2) Rs 50-99",IF(F2511&lt;200,"3) Rs 100-199",IF(F2511&lt;500,"4) Rs 200-499","5) Rs 500+"))))</f>
        <v>2) Rs 50-99</v>
      </c>
      <c r="O2511" s="0" t="n">
        <f aca="false">G2511*E2511/1000</f>
        <v>0</v>
      </c>
    </row>
    <row r="2512" customFormat="false" ht="15" hidden="false" customHeight="false" outlineLevel="0" collapsed="false">
      <c r="A2512" s="0" t="s">
        <v>90</v>
      </c>
      <c r="B2512" s="0" t="s">
        <v>233</v>
      </c>
      <c r="C2512" s="0" t="n">
        <v>41</v>
      </c>
      <c r="D2512" s="0" t="n">
        <v>4</v>
      </c>
      <c r="E2512" s="0" t="n">
        <v>0</v>
      </c>
      <c r="F2512" s="0" t="n">
        <v>39</v>
      </c>
      <c r="G2512" s="0" t="n">
        <v>200</v>
      </c>
      <c r="H2512" s="0" t="s">
        <v>230</v>
      </c>
      <c r="I2512" s="0" t="n">
        <v>200</v>
      </c>
      <c r="J2512" s="0" t="n">
        <f aca="false">F2512*E2512</f>
        <v>0</v>
      </c>
      <c r="K2512" s="0" t="str">
        <f aca="false">IF(G2512&lt;1000,"1-Low",IF(G2512&lt;5000,"2-Medium","3-Bulk"))</f>
        <v>1-Low</v>
      </c>
      <c r="L2512" s="0" t="str">
        <f aca="false">IF(H2512="TRUE","Out of stock","In stock")</f>
        <v>Out of stock</v>
      </c>
      <c r="M2512" s="0" t="str">
        <f aca="false">IF(D2512&lt;5,"1) Under 5%",IF(D2512&lt;10,"2) 5-9%",IF(D2512&lt;15,"3) 10-14%",IF(D2512&lt;25,"4) 15-24%","5) 25%+"))))</f>
        <v>1) Under 5%</v>
      </c>
      <c r="N2512" s="0" t="str">
        <f aca="false">IF(F2512&lt;50,"1) Under Rs 50",IF(F2512&lt;100,"2) Rs 50-99",IF(F2512&lt;200,"3) Rs 100-199",IF(F2512&lt;500,"4) Rs 200-499","5) Rs 500+"))))</f>
        <v>1) Under Rs 50</v>
      </c>
      <c r="O2512" s="0" t="n">
        <f aca="false">G2512*E2512/1000</f>
        <v>0</v>
      </c>
    </row>
    <row r="2513" customFormat="false" ht="15" hidden="false" customHeight="false" outlineLevel="0" collapsed="false">
      <c r="A2513" s="0" t="s">
        <v>90</v>
      </c>
      <c r="B2513" s="0" t="s">
        <v>801</v>
      </c>
      <c r="C2513" s="0" t="n">
        <v>85</v>
      </c>
      <c r="D2513" s="0" t="n">
        <v>3</v>
      </c>
      <c r="E2513" s="0" t="n">
        <v>0</v>
      </c>
      <c r="F2513" s="0" t="n">
        <v>82</v>
      </c>
      <c r="G2513" s="0" t="n">
        <v>200</v>
      </c>
      <c r="H2513" s="0" t="s">
        <v>230</v>
      </c>
      <c r="I2513" s="0" t="n">
        <v>200</v>
      </c>
      <c r="J2513" s="0" t="n">
        <f aca="false">F2513*E2513</f>
        <v>0</v>
      </c>
      <c r="K2513" s="0" t="str">
        <f aca="false">IF(G2513&lt;1000,"1-Low",IF(G2513&lt;5000,"2-Medium","3-Bulk"))</f>
        <v>1-Low</v>
      </c>
      <c r="L2513" s="0" t="str">
        <f aca="false">IF(H2513="TRUE","Out of stock","In stock")</f>
        <v>Out of stock</v>
      </c>
      <c r="M2513" s="0" t="str">
        <f aca="false">IF(D2513&lt;5,"1) Under 5%",IF(D2513&lt;10,"2) 5-9%",IF(D2513&lt;15,"3) 10-14%",IF(D2513&lt;25,"4) 15-24%","5) 25%+"))))</f>
        <v>1) Under 5%</v>
      </c>
      <c r="N2513" s="0" t="str">
        <f aca="false">IF(F2513&lt;50,"1) Under Rs 50",IF(F2513&lt;100,"2) Rs 50-99",IF(F2513&lt;200,"3) Rs 100-199",IF(F2513&lt;500,"4) Rs 200-499","5) Rs 500+"))))</f>
        <v>2) Rs 50-99</v>
      </c>
      <c r="O2513" s="0" t="n">
        <f aca="false">G2513*E2513/1000</f>
        <v>0</v>
      </c>
    </row>
    <row r="2514" customFormat="false" ht="15" hidden="false" customHeight="false" outlineLevel="0" collapsed="false">
      <c r="A2514" s="0" t="s">
        <v>90</v>
      </c>
      <c r="B2514" s="0" t="s">
        <v>667</v>
      </c>
      <c r="C2514" s="0" t="n">
        <v>107</v>
      </c>
      <c r="D2514" s="0" t="n">
        <v>0</v>
      </c>
      <c r="E2514" s="0" t="n">
        <v>0</v>
      </c>
      <c r="F2514" s="0" t="n">
        <v>107</v>
      </c>
      <c r="G2514" s="0" t="n">
        <v>600</v>
      </c>
      <c r="H2514" s="0" t="s">
        <v>230</v>
      </c>
      <c r="I2514" s="0" t="n">
        <v>600</v>
      </c>
      <c r="J2514" s="0" t="n">
        <f aca="false">F2514*E2514</f>
        <v>0</v>
      </c>
      <c r="K2514" s="0" t="str">
        <f aca="false">IF(G2514&lt;1000,"1-Low",IF(G2514&lt;5000,"2-Medium","3-Bulk"))</f>
        <v>1-Low</v>
      </c>
      <c r="L2514" s="0" t="str">
        <f aca="false">IF(H2514="TRUE","Out of stock","In stock")</f>
        <v>Out of stock</v>
      </c>
      <c r="M2514" s="0" t="str">
        <f aca="false">IF(D2514&lt;5,"1) Under 5%",IF(D2514&lt;10,"2) 5-9%",IF(D2514&lt;15,"3) 10-14%",IF(D2514&lt;25,"4) 15-24%","5) 25%+"))))</f>
        <v>1) Under 5%</v>
      </c>
      <c r="N2514" s="0" t="str">
        <f aca="false">IF(F2514&lt;50,"1) Under Rs 50",IF(F2514&lt;100,"2) Rs 50-99",IF(F2514&lt;200,"3) Rs 100-199",IF(F2514&lt;500,"4) Rs 200-499","5) Rs 500+"))))</f>
        <v>3) Rs 100-199</v>
      </c>
      <c r="O2514" s="0" t="n">
        <f aca="false">G2514*E2514/1000</f>
        <v>0</v>
      </c>
    </row>
    <row r="2515" customFormat="false" ht="15" hidden="false" customHeight="false" outlineLevel="0" collapsed="false">
      <c r="A2515" s="0" t="s">
        <v>90</v>
      </c>
      <c r="B2515" s="0" t="s">
        <v>668</v>
      </c>
      <c r="C2515" s="0" t="n">
        <v>15</v>
      </c>
      <c r="D2515" s="0" t="n">
        <v>0</v>
      </c>
      <c r="E2515" s="0" t="n">
        <v>0</v>
      </c>
      <c r="F2515" s="0" t="n">
        <v>15</v>
      </c>
      <c r="G2515" s="0" t="n">
        <v>38</v>
      </c>
      <c r="H2515" s="0" t="s">
        <v>230</v>
      </c>
      <c r="I2515" s="0" t="n">
        <v>38</v>
      </c>
      <c r="J2515" s="0" t="n">
        <f aca="false">F2515*E2515</f>
        <v>0</v>
      </c>
      <c r="K2515" s="0" t="str">
        <f aca="false">IF(G2515&lt;1000,"1-Low",IF(G2515&lt;5000,"2-Medium","3-Bulk"))</f>
        <v>1-Low</v>
      </c>
      <c r="L2515" s="0" t="str">
        <f aca="false">IF(H2515="TRUE","Out of stock","In stock")</f>
        <v>Out of stock</v>
      </c>
      <c r="M2515" s="0" t="str">
        <f aca="false">IF(D2515&lt;5,"1) Under 5%",IF(D2515&lt;10,"2) 5-9%",IF(D2515&lt;15,"3) 10-14%",IF(D2515&lt;25,"4) 15-24%","5) 25%+"))))</f>
        <v>1) Under 5%</v>
      </c>
      <c r="N2515" s="0" t="str">
        <f aca="false">IF(F2515&lt;50,"1) Under Rs 50",IF(F2515&lt;100,"2) Rs 50-99",IF(F2515&lt;200,"3) Rs 100-199",IF(F2515&lt;500,"4) Rs 200-499","5) Rs 500+"))))</f>
        <v>1) Under Rs 50</v>
      </c>
      <c r="O2515" s="0" t="n">
        <f aca="false">G2515*E2515/1000</f>
        <v>0</v>
      </c>
    </row>
    <row r="2516" customFormat="false" ht="15" hidden="false" customHeight="false" outlineLevel="0" collapsed="false">
      <c r="A2516" s="0" t="s">
        <v>90</v>
      </c>
      <c r="B2516" s="0" t="s">
        <v>1071</v>
      </c>
      <c r="C2516" s="0" t="n">
        <v>60</v>
      </c>
      <c r="D2516" s="0" t="n">
        <v>5</v>
      </c>
      <c r="E2516" s="0" t="n">
        <v>0</v>
      </c>
      <c r="F2516" s="0" t="n">
        <v>57</v>
      </c>
      <c r="G2516" s="0" t="n">
        <v>200</v>
      </c>
      <c r="H2516" s="0" t="s">
        <v>230</v>
      </c>
      <c r="I2516" s="0" t="n">
        <v>200</v>
      </c>
      <c r="J2516" s="0" t="n">
        <f aca="false">F2516*E2516</f>
        <v>0</v>
      </c>
      <c r="K2516" s="0" t="str">
        <f aca="false">IF(G2516&lt;1000,"1-Low",IF(G2516&lt;5000,"2-Medium","3-Bulk"))</f>
        <v>1-Low</v>
      </c>
      <c r="L2516" s="0" t="str">
        <f aca="false">IF(H2516="TRUE","Out of stock","In stock")</f>
        <v>Out of stock</v>
      </c>
      <c r="M2516" s="0" t="str">
        <f aca="false">IF(D2516&lt;5,"1) Under 5%",IF(D2516&lt;10,"2) 5-9%",IF(D2516&lt;15,"3) 10-14%",IF(D2516&lt;25,"4) 15-24%","5) 25%+"))))</f>
        <v>2) 5-9%</v>
      </c>
      <c r="N2516" s="0" t="str">
        <f aca="false">IF(F2516&lt;50,"1) Under Rs 50",IF(F2516&lt;100,"2) Rs 50-99",IF(F2516&lt;200,"3) Rs 100-199",IF(F2516&lt;500,"4) Rs 200-499","5) Rs 500+"))))</f>
        <v>2) Rs 50-99</v>
      </c>
      <c r="O2516" s="0" t="n">
        <f aca="false">G2516*E2516/1000</f>
        <v>0</v>
      </c>
    </row>
    <row r="2517" customFormat="false" ht="15" hidden="false" customHeight="false" outlineLevel="0" collapsed="false">
      <c r="A2517" s="0" t="s">
        <v>90</v>
      </c>
      <c r="B2517" s="0" t="s">
        <v>1072</v>
      </c>
      <c r="C2517" s="0" t="n">
        <v>31</v>
      </c>
      <c r="D2517" s="0" t="n">
        <v>9</v>
      </c>
      <c r="E2517" s="0" t="n">
        <v>0</v>
      </c>
      <c r="F2517" s="0" t="n">
        <v>28</v>
      </c>
      <c r="G2517" s="0" t="n">
        <v>70</v>
      </c>
      <c r="H2517" s="0" t="s">
        <v>230</v>
      </c>
      <c r="I2517" s="0" t="n">
        <v>70</v>
      </c>
      <c r="J2517" s="0" t="n">
        <f aca="false">F2517*E2517</f>
        <v>0</v>
      </c>
      <c r="K2517" s="0" t="str">
        <f aca="false">IF(G2517&lt;1000,"1-Low",IF(G2517&lt;5000,"2-Medium","3-Bulk"))</f>
        <v>1-Low</v>
      </c>
      <c r="L2517" s="0" t="str">
        <f aca="false">IF(H2517="TRUE","Out of stock","In stock")</f>
        <v>Out of stock</v>
      </c>
      <c r="M2517" s="0" t="str">
        <f aca="false">IF(D2517&lt;5,"1) Under 5%",IF(D2517&lt;10,"2) 5-9%",IF(D2517&lt;15,"3) 10-14%",IF(D2517&lt;25,"4) 15-24%","5) 25%+"))))</f>
        <v>2) 5-9%</v>
      </c>
      <c r="N2517" s="0" t="str">
        <f aca="false">IF(F2517&lt;50,"1) Under Rs 50",IF(F2517&lt;100,"2) Rs 50-99",IF(F2517&lt;200,"3) Rs 100-199",IF(F2517&lt;500,"4) Rs 200-499","5) Rs 500+"))))</f>
        <v>1) Under Rs 50</v>
      </c>
      <c r="O2517" s="0" t="n">
        <f aca="false">G2517*E2517/1000</f>
        <v>0</v>
      </c>
    </row>
    <row r="2518" customFormat="false" ht="15" hidden="false" customHeight="false" outlineLevel="0" collapsed="false">
      <c r="A2518" s="0" t="s">
        <v>90</v>
      </c>
      <c r="B2518" s="0" t="s">
        <v>674</v>
      </c>
      <c r="C2518" s="0" t="n">
        <v>50</v>
      </c>
      <c r="D2518" s="0" t="n">
        <v>0</v>
      </c>
      <c r="E2518" s="0" t="n">
        <v>0</v>
      </c>
      <c r="F2518" s="0" t="n">
        <v>50</v>
      </c>
      <c r="G2518" s="0" t="n">
        <v>70</v>
      </c>
      <c r="H2518" s="0" t="s">
        <v>230</v>
      </c>
      <c r="I2518" s="0" t="n">
        <v>70</v>
      </c>
      <c r="J2518" s="0" t="n">
        <f aca="false">F2518*E2518</f>
        <v>0</v>
      </c>
      <c r="K2518" s="0" t="str">
        <f aca="false">IF(G2518&lt;1000,"1-Low",IF(G2518&lt;5000,"2-Medium","3-Bulk"))</f>
        <v>1-Low</v>
      </c>
      <c r="L2518" s="0" t="str">
        <f aca="false">IF(H2518="TRUE","Out of stock","In stock")</f>
        <v>Out of stock</v>
      </c>
      <c r="M2518" s="0" t="str">
        <f aca="false">IF(D2518&lt;5,"1) Under 5%",IF(D2518&lt;10,"2) 5-9%",IF(D2518&lt;15,"3) 10-14%",IF(D2518&lt;25,"4) 15-24%","5) 25%+"))))</f>
        <v>1) Under 5%</v>
      </c>
      <c r="N2518" s="0" t="str">
        <f aca="false">IF(F2518&lt;50,"1) Under Rs 50",IF(F2518&lt;100,"2) Rs 50-99",IF(F2518&lt;200,"3) Rs 100-199",IF(F2518&lt;500,"4) Rs 200-499","5) Rs 500+"))))</f>
        <v>2) Rs 50-99</v>
      </c>
      <c r="O2518" s="0" t="n">
        <f aca="false">G2518*E2518/1000</f>
        <v>0</v>
      </c>
    </row>
    <row r="2519" customFormat="false" ht="15" hidden="false" customHeight="false" outlineLevel="0" collapsed="false">
      <c r="A2519" s="0" t="s">
        <v>90</v>
      </c>
      <c r="B2519" s="0" t="s">
        <v>1073</v>
      </c>
      <c r="C2519" s="0" t="n">
        <v>69</v>
      </c>
      <c r="D2519" s="0" t="n">
        <v>8</v>
      </c>
      <c r="E2519" s="0" t="n">
        <v>0</v>
      </c>
      <c r="F2519" s="0" t="n">
        <v>63</v>
      </c>
      <c r="G2519" s="0" t="n">
        <v>250</v>
      </c>
      <c r="H2519" s="0" t="s">
        <v>230</v>
      </c>
      <c r="I2519" s="0" t="n">
        <v>250</v>
      </c>
      <c r="J2519" s="0" t="n">
        <f aca="false">F2519*E2519</f>
        <v>0</v>
      </c>
      <c r="K2519" s="0" t="str">
        <f aca="false">IF(G2519&lt;1000,"1-Low",IF(G2519&lt;5000,"2-Medium","3-Bulk"))</f>
        <v>1-Low</v>
      </c>
      <c r="L2519" s="0" t="str">
        <f aca="false">IF(H2519="TRUE","Out of stock","In stock")</f>
        <v>Out of stock</v>
      </c>
      <c r="M2519" s="0" t="str">
        <f aca="false">IF(D2519&lt;5,"1) Under 5%",IF(D2519&lt;10,"2) 5-9%",IF(D2519&lt;15,"3) 10-14%",IF(D2519&lt;25,"4) 15-24%","5) 25%+"))))</f>
        <v>2) 5-9%</v>
      </c>
      <c r="N2519" s="0" t="str">
        <f aca="false">IF(F2519&lt;50,"1) Under Rs 50",IF(F2519&lt;100,"2) Rs 50-99",IF(F2519&lt;200,"3) Rs 100-199",IF(F2519&lt;500,"4) Rs 200-499","5) Rs 500+"))))</f>
        <v>2) Rs 50-99</v>
      </c>
      <c r="O2519" s="0" t="n">
        <f aca="false">G2519*E2519/1000</f>
        <v>0</v>
      </c>
    </row>
    <row r="2520" customFormat="false" ht="15" hidden="false" customHeight="false" outlineLevel="0" collapsed="false">
      <c r="A2520" s="0" t="s">
        <v>90</v>
      </c>
      <c r="B2520" s="0" t="s">
        <v>681</v>
      </c>
      <c r="C2520" s="0" t="n">
        <v>48</v>
      </c>
      <c r="D2520" s="0" t="n">
        <v>6</v>
      </c>
      <c r="E2520" s="0" t="n">
        <v>0</v>
      </c>
      <c r="F2520" s="0" t="n">
        <v>45</v>
      </c>
      <c r="G2520" s="0" t="n">
        <v>240</v>
      </c>
      <c r="H2520" s="0" t="s">
        <v>230</v>
      </c>
      <c r="I2520" s="0" t="n">
        <v>240</v>
      </c>
      <c r="J2520" s="0" t="n">
        <f aca="false">F2520*E2520</f>
        <v>0</v>
      </c>
      <c r="K2520" s="0" t="str">
        <f aca="false">IF(G2520&lt;1000,"1-Low",IF(G2520&lt;5000,"2-Medium","3-Bulk"))</f>
        <v>1-Low</v>
      </c>
      <c r="L2520" s="0" t="str">
        <f aca="false">IF(H2520="TRUE","Out of stock","In stock")</f>
        <v>Out of stock</v>
      </c>
      <c r="M2520" s="0" t="str">
        <f aca="false">IF(D2520&lt;5,"1) Under 5%",IF(D2520&lt;10,"2) 5-9%",IF(D2520&lt;15,"3) 10-14%",IF(D2520&lt;25,"4) 15-24%","5) 25%+"))))</f>
        <v>2) 5-9%</v>
      </c>
      <c r="N2520" s="0" t="str">
        <f aca="false">IF(F2520&lt;50,"1) Under Rs 50",IF(F2520&lt;100,"2) Rs 50-99",IF(F2520&lt;200,"3) Rs 100-199",IF(F2520&lt;500,"4) Rs 200-499","5) Rs 500+"))))</f>
        <v>1) Under Rs 50</v>
      </c>
      <c r="O2520" s="0" t="n">
        <f aca="false">G2520*E2520/1000</f>
        <v>0</v>
      </c>
    </row>
    <row r="2521" customFormat="false" ht="15" hidden="false" customHeight="false" outlineLevel="0" collapsed="false">
      <c r="A2521" s="0" t="s">
        <v>90</v>
      </c>
      <c r="B2521" s="0" t="s">
        <v>684</v>
      </c>
      <c r="C2521" s="0" t="n">
        <v>91</v>
      </c>
      <c r="D2521" s="0" t="n">
        <v>9</v>
      </c>
      <c r="E2521" s="0" t="n">
        <v>0</v>
      </c>
      <c r="F2521" s="0" t="n">
        <v>82</v>
      </c>
      <c r="G2521" s="0" t="n">
        <v>560</v>
      </c>
      <c r="H2521" s="0" t="s">
        <v>230</v>
      </c>
      <c r="I2521" s="0" t="n">
        <v>560</v>
      </c>
      <c r="J2521" s="0" t="n">
        <f aca="false">F2521*E2521</f>
        <v>0</v>
      </c>
      <c r="K2521" s="0" t="str">
        <f aca="false">IF(G2521&lt;1000,"1-Low",IF(G2521&lt;5000,"2-Medium","3-Bulk"))</f>
        <v>1-Low</v>
      </c>
      <c r="L2521" s="0" t="str">
        <f aca="false">IF(H2521="TRUE","Out of stock","In stock")</f>
        <v>Out of stock</v>
      </c>
      <c r="M2521" s="0" t="str">
        <f aca="false">IF(D2521&lt;5,"1) Under 5%",IF(D2521&lt;10,"2) 5-9%",IF(D2521&lt;15,"3) 10-14%",IF(D2521&lt;25,"4) 15-24%","5) 25%+"))))</f>
        <v>2) 5-9%</v>
      </c>
      <c r="N2521" s="0" t="str">
        <f aca="false">IF(F2521&lt;50,"1) Under Rs 50",IF(F2521&lt;100,"2) Rs 50-99",IF(F2521&lt;200,"3) Rs 100-199",IF(F2521&lt;500,"4) Rs 200-499","5) Rs 500+"))))</f>
        <v>2) Rs 50-99</v>
      </c>
      <c r="O2521" s="0" t="n">
        <f aca="false">G2521*E2521/1000</f>
        <v>0</v>
      </c>
    </row>
    <row r="2522" customFormat="false" ht="15" hidden="false" customHeight="false" outlineLevel="0" collapsed="false">
      <c r="A2522" s="0" t="s">
        <v>90</v>
      </c>
      <c r="B2522" s="0" t="s">
        <v>1074</v>
      </c>
      <c r="C2522" s="0" t="n">
        <v>265</v>
      </c>
      <c r="D2522" s="0" t="n">
        <v>10</v>
      </c>
      <c r="E2522" s="0" t="n">
        <v>0</v>
      </c>
      <c r="F2522" s="0" t="n">
        <v>236</v>
      </c>
      <c r="G2522" s="0" t="n">
        <v>575</v>
      </c>
      <c r="H2522" s="0" t="s">
        <v>230</v>
      </c>
      <c r="I2522" s="0" t="n">
        <v>575</v>
      </c>
      <c r="J2522" s="0" t="n">
        <f aca="false">F2522*E2522</f>
        <v>0</v>
      </c>
      <c r="K2522" s="0" t="str">
        <f aca="false">IF(G2522&lt;1000,"1-Low",IF(G2522&lt;5000,"2-Medium","3-Bulk"))</f>
        <v>1-Low</v>
      </c>
      <c r="L2522" s="0" t="str">
        <f aca="false">IF(H2522="TRUE","Out of stock","In stock")</f>
        <v>Out of stock</v>
      </c>
      <c r="M2522" s="0" t="str">
        <f aca="false">IF(D2522&lt;5,"1) Under 5%",IF(D2522&lt;10,"2) 5-9%",IF(D2522&lt;15,"3) 10-14%",IF(D2522&lt;25,"4) 15-24%","5) 25%+"))))</f>
        <v>3) 10-14%</v>
      </c>
      <c r="N2522" s="0" t="str">
        <f aca="false">IF(F2522&lt;50,"1) Under Rs 50",IF(F2522&lt;100,"2) Rs 50-99",IF(F2522&lt;200,"3) Rs 100-199",IF(F2522&lt;500,"4) Rs 200-499","5) Rs 500+"))))</f>
        <v>4) Rs 200-499</v>
      </c>
      <c r="O2522" s="0" t="n">
        <f aca="false">G2522*E2522/1000</f>
        <v>0</v>
      </c>
    </row>
    <row r="2523" customFormat="false" ht="15" hidden="false" customHeight="false" outlineLevel="0" collapsed="false">
      <c r="A2523" s="0" t="s">
        <v>90</v>
      </c>
      <c r="B2523" s="0" t="s">
        <v>1075</v>
      </c>
      <c r="C2523" s="0" t="n">
        <v>31</v>
      </c>
      <c r="D2523" s="0" t="n">
        <v>9</v>
      </c>
      <c r="E2523" s="0" t="n">
        <v>0</v>
      </c>
      <c r="F2523" s="0" t="n">
        <v>28</v>
      </c>
      <c r="G2523" s="0" t="n">
        <v>70</v>
      </c>
      <c r="H2523" s="0" t="s">
        <v>230</v>
      </c>
      <c r="I2523" s="0" t="n">
        <v>75</v>
      </c>
      <c r="J2523" s="0" t="n">
        <f aca="false">F2523*E2523</f>
        <v>0</v>
      </c>
      <c r="K2523" s="0" t="str">
        <f aca="false">IF(G2523&lt;1000,"1-Low",IF(G2523&lt;5000,"2-Medium","3-Bulk"))</f>
        <v>1-Low</v>
      </c>
      <c r="L2523" s="0" t="str">
        <f aca="false">IF(H2523="TRUE","Out of stock","In stock")</f>
        <v>Out of stock</v>
      </c>
      <c r="M2523" s="0" t="str">
        <f aca="false">IF(D2523&lt;5,"1) Under 5%",IF(D2523&lt;10,"2) 5-9%",IF(D2523&lt;15,"3) 10-14%",IF(D2523&lt;25,"4) 15-24%","5) 25%+"))))</f>
        <v>2) 5-9%</v>
      </c>
      <c r="N2523" s="0" t="str">
        <f aca="false">IF(F2523&lt;50,"1) Under Rs 50",IF(F2523&lt;100,"2) Rs 50-99",IF(F2523&lt;200,"3) Rs 100-199",IF(F2523&lt;500,"4) Rs 200-499","5) Rs 500+"))))</f>
        <v>1) Under Rs 50</v>
      </c>
      <c r="O2523" s="0" t="n">
        <f aca="false">G2523*E2523/1000</f>
        <v>0</v>
      </c>
    </row>
    <row r="2524" customFormat="false" ht="15" hidden="false" customHeight="false" outlineLevel="0" collapsed="false">
      <c r="A2524" s="0" t="s">
        <v>90</v>
      </c>
      <c r="B2524" s="0" t="s">
        <v>1076</v>
      </c>
      <c r="C2524" s="0" t="n">
        <v>24</v>
      </c>
      <c r="D2524" s="0" t="n">
        <v>0</v>
      </c>
      <c r="E2524" s="0" t="n">
        <v>0</v>
      </c>
      <c r="F2524" s="0" t="n">
        <v>24</v>
      </c>
      <c r="G2524" s="0" t="n">
        <v>75</v>
      </c>
      <c r="H2524" s="0" t="s">
        <v>230</v>
      </c>
      <c r="I2524" s="0" t="n">
        <v>75</v>
      </c>
      <c r="J2524" s="0" t="n">
        <f aca="false">F2524*E2524</f>
        <v>0</v>
      </c>
      <c r="K2524" s="0" t="str">
        <f aca="false">IF(G2524&lt;1000,"1-Low",IF(G2524&lt;5000,"2-Medium","3-Bulk"))</f>
        <v>1-Low</v>
      </c>
      <c r="L2524" s="0" t="str">
        <f aca="false">IF(H2524="TRUE","Out of stock","In stock")</f>
        <v>Out of stock</v>
      </c>
      <c r="M2524" s="0" t="str">
        <f aca="false">IF(D2524&lt;5,"1) Under 5%",IF(D2524&lt;10,"2) 5-9%",IF(D2524&lt;15,"3) 10-14%",IF(D2524&lt;25,"4) 15-24%","5) 25%+"))))</f>
        <v>1) Under 5%</v>
      </c>
      <c r="N2524" s="0" t="str">
        <f aca="false">IF(F2524&lt;50,"1) Under Rs 50",IF(F2524&lt;100,"2) Rs 50-99",IF(F2524&lt;200,"3) Rs 100-199",IF(F2524&lt;500,"4) Rs 200-499","5) Rs 500+"))))</f>
        <v>1) Under Rs 50</v>
      </c>
      <c r="O2524" s="0" t="n">
        <f aca="false">G2524*E2524/1000</f>
        <v>0</v>
      </c>
    </row>
    <row r="2525" customFormat="false" ht="15" hidden="false" customHeight="false" outlineLevel="0" collapsed="false">
      <c r="A2525" s="0" t="s">
        <v>90</v>
      </c>
      <c r="B2525" s="0" t="s">
        <v>688</v>
      </c>
      <c r="C2525" s="0" t="n">
        <v>160</v>
      </c>
      <c r="D2525" s="0" t="n">
        <v>50</v>
      </c>
      <c r="E2525" s="0" t="n">
        <v>0</v>
      </c>
      <c r="F2525" s="0" t="n">
        <v>80</v>
      </c>
      <c r="G2525" s="0" t="n">
        <v>500</v>
      </c>
      <c r="H2525" s="0" t="s">
        <v>230</v>
      </c>
      <c r="I2525" s="0" t="n">
        <v>500</v>
      </c>
      <c r="J2525" s="0" t="n">
        <f aca="false">F2525*E2525</f>
        <v>0</v>
      </c>
      <c r="K2525" s="0" t="str">
        <f aca="false">IF(G2525&lt;1000,"1-Low",IF(G2525&lt;5000,"2-Medium","3-Bulk"))</f>
        <v>1-Low</v>
      </c>
      <c r="L2525" s="0" t="str">
        <f aca="false">IF(H2525="TRUE","Out of stock","In stock")</f>
        <v>Out of stock</v>
      </c>
      <c r="M2525" s="0" t="str">
        <f aca="false">IF(D2525&lt;5,"1) Under 5%",IF(D2525&lt;10,"2) 5-9%",IF(D2525&lt;15,"3) 10-14%",IF(D2525&lt;25,"4) 15-24%","5) 25%+"))))</f>
        <v>5) 25%+</v>
      </c>
      <c r="N2525" s="0" t="str">
        <f aca="false">IF(F2525&lt;50,"1) Under Rs 50",IF(F2525&lt;100,"2) Rs 50-99",IF(F2525&lt;200,"3) Rs 100-199",IF(F2525&lt;500,"4) Rs 200-499","5) Rs 500+"))))</f>
        <v>2) Rs 50-99</v>
      </c>
      <c r="O2525" s="0" t="n">
        <f aca="false">G2525*E2525/1000</f>
        <v>0</v>
      </c>
    </row>
    <row r="2526" customFormat="false" ht="15" hidden="false" customHeight="false" outlineLevel="0" collapsed="false">
      <c r="A2526" s="0" t="s">
        <v>90</v>
      </c>
      <c r="B2526" s="0" t="s">
        <v>1077</v>
      </c>
      <c r="C2526" s="0" t="n">
        <v>20</v>
      </c>
      <c r="D2526" s="0" t="n">
        <v>10</v>
      </c>
      <c r="E2526" s="0" t="n">
        <v>0</v>
      </c>
      <c r="F2526" s="0" t="n">
        <v>18</v>
      </c>
      <c r="G2526" s="0" t="n">
        <v>100</v>
      </c>
      <c r="H2526" s="0" t="s">
        <v>230</v>
      </c>
      <c r="I2526" s="0" t="n">
        <v>100</v>
      </c>
      <c r="J2526" s="0" t="n">
        <f aca="false">F2526*E2526</f>
        <v>0</v>
      </c>
      <c r="K2526" s="0" t="str">
        <f aca="false">IF(G2526&lt;1000,"1-Low",IF(G2526&lt;5000,"2-Medium","3-Bulk"))</f>
        <v>1-Low</v>
      </c>
      <c r="L2526" s="0" t="str">
        <f aca="false">IF(H2526="TRUE","Out of stock","In stock")</f>
        <v>Out of stock</v>
      </c>
      <c r="M2526" s="0" t="str">
        <f aca="false">IF(D2526&lt;5,"1) Under 5%",IF(D2526&lt;10,"2) 5-9%",IF(D2526&lt;15,"3) 10-14%",IF(D2526&lt;25,"4) 15-24%","5) 25%+"))))</f>
        <v>3) 10-14%</v>
      </c>
      <c r="N2526" s="0" t="str">
        <f aca="false">IF(F2526&lt;50,"1) Under Rs 50",IF(F2526&lt;100,"2) Rs 50-99",IF(F2526&lt;200,"3) Rs 100-199",IF(F2526&lt;500,"4) Rs 200-499","5) Rs 500+"))))</f>
        <v>1) Under Rs 50</v>
      </c>
      <c r="O2526" s="0" t="n">
        <f aca="false">G2526*E2526/1000</f>
        <v>0</v>
      </c>
    </row>
    <row r="2527" customFormat="false" ht="15" hidden="false" customHeight="false" outlineLevel="0" collapsed="false">
      <c r="A2527" s="0" t="s">
        <v>90</v>
      </c>
      <c r="B2527" s="0" t="s">
        <v>691</v>
      </c>
      <c r="C2527" s="0" t="n">
        <v>190</v>
      </c>
      <c r="D2527" s="0" t="n">
        <v>0</v>
      </c>
      <c r="E2527" s="0" t="n">
        <v>0</v>
      </c>
      <c r="F2527" s="0" t="n">
        <v>190</v>
      </c>
      <c r="G2527" s="0" t="n">
        <v>300</v>
      </c>
      <c r="H2527" s="0" t="s">
        <v>230</v>
      </c>
      <c r="I2527" s="0" t="n">
        <v>300</v>
      </c>
      <c r="J2527" s="0" t="n">
        <f aca="false">F2527*E2527</f>
        <v>0</v>
      </c>
      <c r="K2527" s="0" t="str">
        <f aca="false">IF(G2527&lt;1000,"1-Low",IF(G2527&lt;5000,"2-Medium","3-Bulk"))</f>
        <v>1-Low</v>
      </c>
      <c r="L2527" s="0" t="str">
        <f aca="false">IF(H2527="TRUE","Out of stock","In stock")</f>
        <v>Out of stock</v>
      </c>
      <c r="M2527" s="0" t="str">
        <f aca="false">IF(D2527&lt;5,"1) Under 5%",IF(D2527&lt;10,"2) 5-9%",IF(D2527&lt;15,"3) 10-14%",IF(D2527&lt;25,"4) 15-24%","5) 25%+"))))</f>
        <v>1) Under 5%</v>
      </c>
      <c r="N2527" s="0" t="str">
        <f aca="false">IF(F2527&lt;50,"1) Under Rs 50",IF(F2527&lt;100,"2) Rs 50-99",IF(F2527&lt;200,"3) Rs 100-199",IF(F2527&lt;500,"4) Rs 200-499","5) Rs 500+"))))</f>
        <v>3) Rs 100-199</v>
      </c>
      <c r="O2527" s="0" t="n">
        <f aca="false">G2527*E2527/1000</f>
        <v>0</v>
      </c>
    </row>
    <row r="2528" customFormat="false" ht="15" hidden="false" customHeight="false" outlineLevel="0" collapsed="false">
      <c r="A2528" s="0" t="s">
        <v>90</v>
      </c>
      <c r="B2528" s="0" t="s">
        <v>692</v>
      </c>
      <c r="C2528" s="0" t="n">
        <v>28</v>
      </c>
      <c r="D2528" s="0" t="n">
        <v>17</v>
      </c>
      <c r="E2528" s="0" t="n">
        <v>0</v>
      </c>
      <c r="F2528" s="0" t="n">
        <v>23</v>
      </c>
      <c r="G2528" s="0" t="n">
        <v>65</v>
      </c>
      <c r="H2528" s="0" t="s">
        <v>230</v>
      </c>
      <c r="I2528" s="0" t="n">
        <v>65</v>
      </c>
      <c r="J2528" s="0" t="n">
        <f aca="false">F2528*E2528</f>
        <v>0</v>
      </c>
      <c r="K2528" s="0" t="str">
        <f aca="false">IF(G2528&lt;1000,"1-Low",IF(G2528&lt;5000,"2-Medium","3-Bulk"))</f>
        <v>1-Low</v>
      </c>
      <c r="L2528" s="0" t="str">
        <f aca="false">IF(H2528="TRUE","Out of stock","In stock")</f>
        <v>Out of stock</v>
      </c>
      <c r="M2528" s="0" t="str">
        <f aca="false">IF(D2528&lt;5,"1) Under 5%",IF(D2528&lt;10,"2) 5-9%",IF(D2528&lt;15,"3) 10-14%",IF(D2528&lt;25,"4) 15-24%","5) 25%+"))))</f>
        <v>4) 15-24%</v>
      </c>
      <c r="N2528" s="0" t="str">
        <f aca="false">IF(F2528&lt;50,"1) Under Rs 50",IF(F2528&lt;100,"2) Rs 50-99",IF(F2528&lt;200,"3) Rs 100-199",IF(F2528&lt;500,"4) Rs 200-499","5) Rs 500+"))))</f>
        <v>1) Under Rs 50</v>
      </c>
      <c r="O2528" s="0" t="n">
        <f aca="false">G2528*E2528/1000</f>
        <v>0</v>
      </c>
    </row>
    <row r="2529" customFormat="false" ht="15" hidden="false" customHeight="false" outlineLevel="0" collapsed="false">
      <c r="A2529" s="0" t="s">
        <v>90</v>
      </c>
      <c r="B2529" s="0" t="s">
        <v>234</v>
      </c>
      <c r="C2529" s="0" t="n">
        <v>160</v>
      </c>
      <c r="D2529" s="0" t="n">
        <v>5</v>
      </c>
      <c r="E2529" s="0" t="n">
        <v>0</v>
      </c>
      <c r="F2529" s="0" t="n">
        <v>152</v>
      </c>
      <c r="G2529" s="0" t="n">
        <v>1000</v>
      </c>
      <c r="H2529" s="0" t="s">
        <v>230</v>
      </c>
      <c r="I2529" s="0" t="n">
        <v>1</v>
      </c>
      <c r="J2529" s="0" t="n">
        <f aca="false">F2529*E2529</f>
        <v>0</v>
      </c>
      <c r="K2529" s="0" t="str">
        <f aca="false">IF(G2529&lt;1000,"1-Low",IF(G2529&lt;5000,"2-Medium","3-Bulk"))</f>
        <v>2-Medium</v>
      </c>
      <c r="L2529" s="0" t="str">
        <f aca="false">IF(H2529="TRUE","Out of stock","In stock")</f>
        <v>Out of stock</v>
      </c>
      <c r="M2529" s="0" t="str">
        <f aca="false">IF(D2529&lt;5,"1) Under 5%",IF(D2529&lt;10,"2) 5-9%",IF(D2529&lt;15,"3) 10-14%",IF(D2529&lt;25,"4) 15-24%","5) 25%+"))))</f>
        <v>2) 5-9%</v>
      </c>
      <c r="N2529" s="0" t="str">
        <f aca="false">IF(F2529&lt;50,"1) Under Rs 50",IF(F2529&lt;100,"2) Rs 50-99",IF(F2529&lt;200,"3) Rs 100-199",IF(F2529&lt;500,"4) Rs 200-499","5) Rs 500+"))))</f>
        <v>3) Rs 100-199</v>
      </c>
      <c r="O2529" s="0" t="n">
        <f aca="false">G2529*E2529/1000</f>
        <v>0</v>
      </c>
    </row>
    <row r="2530" customFormat="false" ht="15" hidden="false" customHeight="false" outlineLevel="0" collapsed="false">
      <c r="A2530" s="0" t="s">
        <v>90</v>
      </c>
      <c r="B2530" s="0" t="s">
        <v>1078</v>
      </c>
      <c r="C2530" s="0" t="n">
        <v>25</v>
      </c>
      <c r="D2530" s="0" t="n">
        <v>0</v>
      </c>
      <c r="E2530" s="0" t="n">
        <v>0</v>
      </c>
      <c r="F2530" s="0" t="n">
        <v>25</v>
      </c>
      <c r="G2530" s="0" t="n">
        <v>60</v>
      </c>
      <c r="H2530" s="0" t="s">
        <v>230</v>
      </c>
      <c r="I2530" s="0" t="n">
        <v>60</v>
      </c>
      <c r="J2530" s="0" t="n">
        <f aca="false">F2530*E2530</f>
        <v>0</v>
      </c>
      <c r="K2530" s="0" t="str">
        <f aca="false">IF(G2530&lt;1000,"1-Low",IF(G2530&lt;5000,"2-Medium","3-Bulk"))</f>
        <v>1-Low</v>
      </c>
      <c r="L2530" s="0" t="str">
        <f aca="false">IF(H2530="TRUE","Out of stock","In stock")</f>
        <v>Out of stock</v>
      </c>
      <c r="M2530" s="0" t="str">
        <f aca="false">IF(D2530&lt;5,"1) Under 5%",IF(D2530&lt;10,"2) 5-9%",IF(D2530&lt;15,"3) 10-14%",IF(D2530&lt;25,"4) 15-24%","5) 25%+"))))</f>
        <v>1) Under 5%</v>
      </c>
      <c r="N2530" s="0" t="str">
        <f aca="false">IF(F2530&lt;50,"1) Under Rs 50",IF(F2530&lt;100,"2) Rs 50-99",IF(F2530&lt;200,"3) Rs 100-199",IF(F2530&lt;500,"4) Rs 200-499","5) Rs 500+"))))</f>
        <v>1) Under Rs 50</v>
      </c>
      <c r="O2530" s="0" t="n">
        <f aca="false">G2530*E2530/1000</f>
        <v>0</v>
      </c>
    </row>
    <row r="2531" customFormat="false" ht="15" hidden="false" customHeight="false" outlineLevel="0" collapsed="false">
      <c r="A2531" s="0" t="s">
        <v>90</v>
      </c>
      <c r="B2531" s="0" t="s">
        <v>1079</v>
      </c>
      <c r="C2531" s="0" t="n">
        <v>120</v>
      </c>
      <c r="D2531" s="0" t="n">
        <v>7</v>
      </c>
      <c r="E2531" s="0" t="n">
        <v>0</v>
      </c>
      <c r="F2531" s="0" t="n">
        <v>111</v>
      </c>
      <c r="G2531" s="0" t="n">
        <v>950</v>
      </c>
      <c r="H2531" s="0" t="s">
        <v>230</v>
      </c>
      <c r="I2531" s="0" t="n">
        <v>950</v>
      </c>
      <c r="J2531" s="0" t="n">
        <f aca="false">F2531*E2531</f>
        <v>0</v>
      </c>
      <c r="K2531" s="0" t="str">
        <f aca="false">IF(G2531&lt;1000,"1-Low",IF(G2531&lt;5000,"2-Medium","3-Bulk"))</f>
        <v>1-Low</v>
      </c>
      <c r="L2531" s="0" t="str">
        <f aca="false">IF(H2531="TRUE","Out of stock","In stock")</f>
        <v>Out of stock</v>
      </c>
      <c r="M2531" s="0" t="str">
        <f aca="false">IF(D2531&lt;5,"1) Under 5%",IF(D2531&lt;10,"2) 5-9%",IF(D2531&lt;15,"3) 10-14%",IF(D2531&lt;25,"4) 15-24%","5) 25%+"))))</f>
        <v>2) 5-9%</v>
      </c>
      <c r="N2531" s="0" t="str">
        <f aca="false">IF(F2531&lt;50,"1) Under Rs 50",IF(F2531&lt;100,"2) Rs 50-99",IF(F2531&lt;200,"3) Rs 100-199",IF(F2531&lt;500,"4) Rs 200-499","5) Rs 500+"))))</f>
        <v>3) Rs 100-199</v>
      </c>
      <c r="O2531" s="0" t="n">
        <f aca="false">G2531*E2531/1000</f>
        <v>0</v>
      </c>
    </row>
    <row r="2532" customFormat="false" ht="15" hidden="false" customHeight="false" outlineLevel="0" collapsed="false">
      <c r="A2532" s="0" t="s">
        <v>90</v>
      </c>
      <c r="B2532" s="0" t="s">
        <v>1080</v>
      </c>
      <c r="C2532" s="0" t="n">
        <v>55</v>
      </c>
      <c r="D2532" s="0" t="n">
        <v>3</v>
      </c>
      <c r="E2532" s="0" t="n">
        <v>0</v>
      </c>
      <c r="F2532" s="0" t="n">
        <v>53</v>
      </c>
      <c r="G2532" s="0" t="n">
        <v>180</v>
      </c>
      <c r="H2532" s="0" t="s">
        <v>230</v>
      </c>
      <c r="I2532" s="0" t="n">
        <v>180</v>
      </c>
      <c r="J2532" s="0" t="n">
        <f aca="false">F2532*E2532</f>
        <v>0</v>
      </c>
      <c r="K2532" s="0" t="str">
        <f aca="false">IF(G2532&lt;1000,"1-Low",IF(G2532&lt;5000,"2-Medium","3-Bulk"))</f>
        <v>1-Low</v>
      </c>
      <c r="L2532" s="0" t="str">
        <f aca="false">IF(H2532="TRUE","Out of stock","In stock")</f>
        <v>Out of stock</v>
      </c>
      <c r="M2532" s="0" t="str">
        <f aca="false">IF(D2532&lt;5,"1) Under 5%",IF(D2532&lt;10,"2) 5-9%",IF(D2532&lt;15,"3) 10-14%",IF(D2532&lt;25,"4) 15-24%","5) 25%+"))))</f>
        <v>1) Under 5%</v>
      </c>
      <c r="N2532" s="0" t="str">
        <f aca="false">IF(F2532&lt;50,"1) Under Rs 50",IF(F2532&lt;100,"2) Rs 50-99",IF(F2532&lt;200,"3) Rs 100-199",IF(F2532&lt;500,"4) Rs 200-499","5) Rs 500+"))))</f>
        <v>2) Rs 50-99</v>
      </c>
      <c r="O2532" s="0" t="n">
        <f aca="false">G2532*E2532/1000</f>
        <v>0</v>
      </c>
    </row>
    <row r="2533" customFormat="false" ht="15" hidden="false" customHeight="false" outlineLevel="0" collapsed="false">
      <c r="A2533" s="0" t="s">
        <v>90</v>
      </c>
      <c r="B2533" s="0" t="s">
        <v>1081</v>
      </c>
      <c r="C2533" s="0" t="n">
        <v>135</v>
      </c>
      <c r="D2533" s="0" t="n">
        <v>6</v>
      </c>
      <c r="E2533" s="0" t="n">
        <v>0</v>
      </c>
      <c r="F2533" s="0" t="n">
        <v>126</v>
      </c>
      <c r="G2533" s="0" t="n">
        <v>500</v>
      </c>
      <c r="H2533" s="0" t="s">
        <v>230</v>
      </c>
      <c r="I2533" s="0" t="n">
        <v>500</v>
      </c>
      <c r="J2533" s="0" t="n">
        <f aca="false">F2533*E2533</f>
        <v>0</v>
      </c>
      <c r="K2533" s="0" t="str">
        <f aca="false">IF(G2533&lt;1000,"1-Low",IF(G2533&lt;5000,"2-Medium","3-Bulk"))</f>
        <v>1-Low</v>
      </c>
      <c r="L2533" s="0" t="str">
        <f aca="false">IF(H2533="TRUE","Out of stock","In stock")</f>
        <v>Out of stock</v>
      </c>
      <c r="M2533" s="0" t="str">
        <f aca="false">IF(D2533&lt;5,"1) Under 5%",IF(D2533&lt;10,"2) 5-9%",IF(D2533&lt;15,"3) 10-14%",IF(D2533&lt;25,"4) 15-24%","5) 25%+"))))</f>
        <v>2) 5-9%</v>
      </c>
      <c r="N2533" s="0" t="str">
        <f aca="false">IF(F2533&lt;50,"1) Under Rs 50",IF(F2533&lt;100,"2) Rs 50-99",IF(F2533&lt;200,"3) Rs 100-199",IF(F2533&lt;500,"4) Rs 200-499","5) Rs 500+"))))</f>
        <v>3) Rs 100-199</v>
      </c>
      <c r="O2533" s="0" t="n">
        <f aca="false">G2533*E2533/1000</f>
        <v>0</v>
      </c>
    </row>
    <row r="2534" customFormat="false" ht="15" hidden="false" customHeight="false" outlineLevel="0" collapsed="false">
      <c r="A2534" s="0" t="s">
        <v>90</v>
      </c>
      <c r="B2534" s="0" t="s">
        <v>1082</v>
      </c>
      <c r="C2534" s="0" t="n">
        <v>160</v>
      </c>
      <c r="D2534" s="0" t="n">
        <v>5</v>
      </c>
      <c r="E2534" s="0" t="n">
        <v>0</v>
      </c>
      <c r="F2534" s="0" t="n">
        <v>152</v>
      </c>
      <c r="G2534" s="0" t="n">
        <v>320</v>
      </c>
      <c r="H2534" s="0" t="s">
        <v>230</v>
      </c>
      <c r="I2534" s="0" t="n">
        <v>320</v>
      </c>
      <c r="J2534" s="0" t="n">
        <f aca="false">F2534*E2534</f>
        <v>0</v>
      </c>
      <c r="K2534" s="0" t="str">
        <f aca="false">IF(G2534&lt;1000,"1-Low",IF(G2534&lt;5000,"2-Medium","3-Bulk"))</f>
        <v>1-Low</v>
      </c>
      <c r="L2534" s="0" t="str">
        <f aca="false">IF(H2534="TRUE","Out of stock","In stock")</f>
        <v>Out of stock</v>
      </c>
      <c r="M2534" s="0" t="str">
        <f aca="false">IF(D2534&lt;5,"1) Under 5%",IF(D2534&lt;10,"2) 5-9%",IF(D2534&lt;15,"3) 10-14%",IF(D2534&lt;25,"4) 15-24%","5) 25%+"))))</f>
        <v>2) 5-9%</v>
      </c>
      <c r="N2534" s="0" t="str">
        <f aca="false">IF(F2534&lt;50,"1) Under Rs 50",IF(F2534&lt;100,"2) Rs 50-99",IF(F2534&lt;200,"3) Rs 100-199",IF(F2534&lt;500,"4) Rs 200-499","5) Rs 500+"))))</f>
        <v>3) Rs 100-199</v>
      </c>
      <c r="O2534" s="0" t="n">
        <f aca="false">G2534*E2534/1000</f>
        <v>0</v>
      </c>
    </row>
    <row r="2535" customFormat="false" ht="15" hidden="false" customHeight="false" outlineLevel="0" collapsed="false">
      <c r="A2535" s="0" t="s">
        <v>90</v>
      </c>
      <c r="B2535" s="0" t="s">
        <v>1083</v>
      </c>
      <c r="C2535" s="0" t="n">
        <v>115</v>
      </c>
      <c r="D2535" s="0" t="n">
        <v>4</v>
      </c>
      <c r="E2535" s="0" t="n">
        <v>0</v>
      </c>
      <c r="F2535" s="0" t="n">
        <v>110</v>
      </c>
      <c r="G2535" s="0" t="n">
        <v>400</v>
      </c>
      <c r="H2535" s="0" t="s">
        <v>230</v>
      </c>
      <c r="I2535" s="0" t="n">
        <v>400</v>
      </c>
      <c r="J2535" s="0" t="n">
        <f aca="false">F2535*E2535</f>
        <v>0</v>
      </c>
      <c r="K2535" s="0" t="str">
        <f aca="false">IF(G2535&lt;1000,"1-Low",IF(G2535&lt;5000,"2-Medium","3-Bulk"))</f>
        <v>1-Low</v>
      </c>
      <c r="L2535" s="0" t="str">
        <f aca="false">IF(H2535="TRUE","Out of stock","In stock")</f>
        <v>Out of stock</v>
      </c>
      <c r="M2535" s="0" t="str">
        <f aca="false">IF(D2535&lt;5,"1) Under 5%",IF(D2535&lt;10,"2) 5-9%",IF(D2535&lt;15,"3) 10-14%",IF(D2535&lt;25,"4) 15-24%","5) 25%+"))))</f>
        <v>1) Under 5%</v>
      </c>
      <c r="N2535" s="0" t="str">
        <f aca="false">IF(F2535&lt;50,"1) Under Rs 50",IF(F2535&lt;100,"2) Rs 50-99",IF(F2535&lt;200,"3) Rs 100-199",IF(F2535&lt;500,"4) Rs 200-499","5) Rs 500+"))))</f>
        <v>3) Rs 100-199</v>
      </c>
      <c r="O2535" s="0" t="n">
        <f aca="false">G2535*E2535/1000</f>
        <v>0</v>
      </c>
    </row>
    <row r="2536" customFormat="false" ht="15" hidden="false" customHeight="false" outlineLevel="0" collapsed="false">
      <c r="A2536" s="0" t="s">
        <v>90</v>
      </c>
      <c r="B2536" s="0" t="s">
        <v>699</v>
      </c>
      <c r="C2536" s="0" t="n">
        <v>150</v>
      </c>
      <c r="D2536" s="0" t="n">
        <v>4</v>
      </c>
      <c r="E2536" s="0" t="n">
        <v>0</v>
      </c>
      <c r="F2536" s="0" t="n">
        <v>143</v>
      </c>
      <c r="G2536" s="0" t="n">
        <v>250</v>
      </c>
      <c r="H2536" s="0" t="s">
        <v>230</v>
      </c>
      <c r="I2536" s="0" t="n">
        <v>250</v>
      </c>
      <c r="J2536" s="0" t="n">
        <f aca="false">F2536*E2536</f>
        <v>0</v>
      </c>
      <c r="K2536" s="0" t="str">
        <f aca="false">IF(G2536&lt;1000,"1-Low",IF(G2536&lt;5000,"2-Medium","3-Bulk"))</f>
        <v>1-Low</v>
      </c>
      <c r="L2536" s="0" t="str">
        <f aca="false">IF(H2536="TRUE","Out of stock","In stock")</f>
        <v>Out of stock</v>
      </c>
      <c r="M2536" s="0" t="str">
        <f aca="false">IF(D2536&lt;5,"1) Under 5%",IF(D2536&lt;10,"2) 5-9%",IF(D2536&lt;15,"3) 10-14%",IF(D2536&lt;25,"4) 15-24%","5) 25%+"))))</f>
        <v>1) Under 5%</v>
      </c>
      <c r="N2536" s="0" t="str">
        <f aca="false">IF(F2536&lt;50,"1) Under Rs 50",IF(F2536&lt;100,"2) Rs 50-99",IF(F2536&lt;200,"3) Rs 100-199",IF(F2536&lt;500,"4) Rs 200-499","5) Rs 500+"))))</f>
        <v>3) Rs 100-199</v>
      </c>
      <c r="O2536" s="0" t="n">
        <f aca="false">G2536*E2536/1000</f>
        <v>0</v>
      </c>
    </row>
    <row r="2537" customFormat="false" ht="15" hidden="false" customHeight="false" outlineLevel="0" collapsed="false">
      <c r="A2537" s="0" t="s">
        <v>90</v>
      </c>
      <c r="B2537" s="0" t="s">
        <v>1084</v>
      </c>
      <c r="C2537" s="0" t="n">
        <v>295</v>
      </c>
      <c r="D2537" s="0" t="n">
        <v>9</v>
      </c>
      <c r="E2537" s="0" t="n">
        <v>0</v>
      </c>
      <c r="F2537" s="0" t="n">
        <v>266</v>
      </c>
      <c r="G2537" s="0" t="n">
        <v>350</v>
      </c>
      <c r="H2537" s="0" t="s">
        <v>230</v>
      </c>
      <c r="I2537" s="0" t="n">
        <v>350</v>
      </c>
      <c r="J2537" s="0" t="n">
        <f aca="false">F2537*E2537</f>
        <v>0</v>
      </c>
      <c r="K2537" s="0" t="str">
        <f aca="false">IF(G2537&lt;1000,"1-Low",IF(G2537&lt;5000,"2-Medium","3-Bulk"))</f>
        <v>1-Low</v>
      </c>
      <c r="L2537" s="0" t="str">
        <f aca="false">IF(H2537="TRUE","Out of stock","In stock")</f>
        <v>Out of stock</v>
      </c>
      <c r="M2537" s="0" t="str">
        <f aca="false">IF(D2537&lt;5,"1) Under 5%",IF(D2537&lt;10,"2) 5-9%",IF(D2537&lt;15,"3) 10-14%",IF(D2537&lt;25,"4) 15-24%","5) 25%+"))))</f>
        <v>2) 5-9%</v>
      </c>
      <c r="N2537" s="0" t="str">
        <f aca="false">IF(F2537&lt;50,"1) Under Rs 50",IF(F2537&lt;100,"2) Rs 50-99",IF(F2537&lt;200,"3) Rs 100-199",IF(F2537&lt;500,"4) Rs 200-499","5) Rs 500+"))))</f>
        <v>4) Rs 200-499</v>
      </c>
      <c r="O2537" s="0" t="n">
        <f aca="false">G2537*E2537/1000</f>
        <v>0</v>
      </c>
    </row>
    <row r="2538" customFormat="false" ht="15" hidden="false" customHeight="false" outlineLevel="0" collapsed="false">
      <c r="A2538" s="0" t="s">
        <v>90</v>
      </c>
      <c r="B2538" s="0" t="s">
        <v>698</v>
      </c>
      <c r="C2538" s="0" t="n">
        <v>72</v>
      </c>
      <c r="D2538" s="0" t="n">
        <v>0</v>
      </c>
      <c r="E2538" s="0" t="n">
        <v>0</v>
      </c>
      <c r="F2538" s="0" t="n">
        <v>72</v>
      </c>
      <c r="G2538" s="0" t="n">
        <v>280</v>
      </c>
      <c r="H2538" s="0" t="s">
        <v>230</v>
      </c>
      <c r="I2538" s="0" t="n">
        <v>280</v>
      </c>
      <c r="J2538" s="0" t="n">
        <f aca="false">F2538*E2538</f>
        <v>0</v>
      </c>
      <c r="K2538" s="0" t="str">
        <f aca="false">IF(G2538&lt;1000,"1-Low",IF(G2538&lt;5000,"2-Medium","3-Bulk"))</f>
        <v>1-Low</v>
      </c>
      <c r="L2538" s="0" t="str">
        <f aca="false">IF(H2538="TRUE","Out of stock","In stock")</f>
        <v>Out of stock</v>
      </c>
      <c r="M2538" s="0" t="str">
        <f aca="false">IF(D2538&lt;5,"1) Under 5%",IF(D2538&lt;10,"2) 5-9%",IF(D2538&lt;15,"3) 10-14%",IF(D2538&lt;25,"4) 15-24%","5) 25%+"))))</f>
        <v>1) Under 5%</v>
      </c>
      <c r="N2538" s="0" t="str">
        <f aca="false">IF(F2538&lt;50,"1) Under Rs 50",IF(F2538&lt;100,"2) Rs 50-99",IF(F2538&lt;200,"3) Rs 100-199",IF(F2538&lt;500,"4) Rs 200-499","5) Rs 500+"))))</f>
        <v>2) Rs 50-99</v>
      </c>
      <c r="O2538" s="0" t="n">
        <f aca="false">G2538*E2538/1000</f>
        <v>0</v>
      </c>
    </row>
    <row r="2539" customFormat="false" ht="15" hidden="false" customHeight="false" outlineLevel="0" collapsed="false">
      <c r="A2539" s="0" t="s">
        <v>90</v>
      </c>
      <c r="B2539" s="0" t="s">
        <v>1085</v>
      </c>
      <c r="C2539" s="0" t="n">
        <v>55</v>
      </c>
      <c r="D2539" s="0" t="n">
        <v>0</v>
      </c>
      <c r="E2539" s="0" t="n">
        <v>0</v>
      </c>
      <c r="F2539" s="0" t="n">
        <v>55</v>
      </c>
      <c r="G2539" s="0" t="n">
        <v>190</v>
      </c>
      <c r="H2539" s="0" t="s">
        <v>230</v>
      </c>
      <c r="I2539" s="0" t="n">
        <v>190</v>
      </c>
      <c r="J2539" s="0" t="n">
        <f aca="false">F2539*E2539</f>
        <v>0</v>
      </c>
      <c r="K2539" s="0" t="str">
        <f aca="false">IF(G2539&lt;1000,"1-Low",IF(G2539&lt;5000,"2-Medium","3-Bulk"))</f>
        <v>1-Low</v>
      </c>
      <c r="L2539" s="0" t="str">
        <f aca="false">IF(H2539="TRUE","Out of stock","In stock")</f>
        <v>Out of stock</v>
      </c>
      <c r="M2539" s="0" t="str">
        <f aca="false">IF(D2539&lt;5,"1) Under 5%",IF(D2539&lt;10,"2) 5-9%",IF(D2539&lt;15,"3) 10-14%",IF(D2539&lt;25,"4) 15-24%","5) 25%+"))))</f>
        <v>1) Under 5%</v>
      </c>
      <c r="N2539" s="0" t="str">
        <f aca="false">IF(F2539&lt;50,"1) Under Rs 50",IF(F2539&lt;100,"2) Rs 50-99",IF(F2539&lt;200,"3) Rs 100-199",IF(F2539&lt;500,"4) Rs 200-499","5) Rs 500+"))))</f>
        <v>2) Rs 50-99</v>
      </c>
      <c r="O2539" s="0" t="n">
        <f aca="false">G2539*E2539/1000</f>
        <v>0</v>
      </c>
    </row>
    <row r="2540" customFormat="false" ht="15" hidden="false" customHeight="false" outlineLevel="0" collapsed="false">
      <c r="A2540" s="0" t="s">
        <v>90</v>
      </c>
      <c r="B2540" s="0" t="s">
        <v>1086</v>
      </c>
      <c r="C2540" s="0" t="n">
        <v>135</v>
      </c>
      <c r="D2540" s="0" t="n">
        <v>0</v>
      </c>
      <c r="E2540" s="0" t="n">
        <v>0</v>
      </c>
      <c r="F2540" s="0" t="n">
        <v>135</v>
      </c>
      <c r="G2540" s="0" t="n">
        <v>500</v>
      </c>
      <c r="H2540" s="0" t="s">
        <v>230</v>
      </c>
      <c r="I2540" s="0" t="n">
        <v>500</v>
      </c>
      <c r="J2540" s="0" t="n">
        <f aca="false">F2540*E2540</f>
        <v>0</v>
      </c>
      <c r="K2540" s="0" t="str">
        <f aca="false">IF(G2540&lt;1000,"1-Low",IF(G2540&lt;5000,"2-Medium","3-Bulk"))</f>
        <v>1-Low</v>
      </c>
      <c r="L2540" s="0" t="str">
        <f aca="false">IF(H2540="TRUE","Out of stock","In stock")</f>
        <v>Out of stock</v>
      </c>
      <c r="M2540" s="0" t="str">
        <f aca="false">IF(D2540&lt;5,"1) Under 5%",IF(D2540&lt;10,"2) 5-9%",IF(D2540&lt;15,"3) 10-14%",IF(D2540&lt;25,"4) 15-24%","5) 25%+"))))</f>
        <v>1) Under 5%</v>
      </c>
      <c r="N2540" s="0" t="str">
        <f aca="false">IF(F2540&lt;50,"1) Under Rs 50",IF(F2540&lt;100,"2) Rs 50-99",IF(F2540&lt;200,"3) Rs 100-199",IF(F2540&lt;500,"4) Rs 200-499","5) Rs 500+"))))</f>
        <v>3) Rs 100-199</v>
      </c>
      <c r="O2540" s="0" t="n">
        <f aca="false">G2540*E2540/1000</f>
        <v>0</v>
      </c>
    </row>
    <row r="2541" customFormat="false" ht="15" hidden="false" customHeight="false" outlineLevel="0" collapsed="false">
      <c r="A2541" s="0" t="s">
        <v>90</v>
      </c>
      <c r="B2541" s="0" t="s">
        <v>1086</v>
      </c>
      <c r="C2541" s="0" t="n">
        <v>250</v>
      </c>
      <c r="D2541" s="0" t="n">
        <v>0</v>
      </c>
      <c r="E2541" s="0" t="n">
        <v>0</v>
      </c>
      <c r="F2541" s="0" t="n">
        <v>250</v>
      </c>
      <c r="G2541" s="0" t="n">
        <v>1000</v>
      </c>
      <c r="H2541" s="0" t="s">
        <v>230</v>
      </c>
      <c r="I2541" s="0" t="n">
        <v>1</v>
      </c>
      <c r="J2541" s="0" t="n">
        <f aca="false">F2541*E2541</f>
        <v>0</v>
      </c>
      <c r="K2541" s="0" t="str">
        <f aca="false">IF(G2541&lt;1000,"1-Low",IF(G2541&lt;5000,"2-Medium","3-Bulk"))</f>
        <v>2-Medium</v>
      </c>
      <c r="L2541" s="0" t="str">
        <f aca="false">IF(H2541="TRUE","Out of stock","In stock")</f>
        <v>Out of stock</v>
      </c>
      <c r="M2541" s="0" t="str">
        <f aca="false">IF(D2541&lt;5,"1) Under 5%",IF(D2541&lt;10,"2) 5-9%",IF(D2541&lt;15,"3) 10-14%",IF(D2541&lt;25,"4) 15-24%","5) 25%+"))))</f>
        <v>1) Under 5%</v>
      </c>
      <c r="N2541" s="0" t="str">
        <f aca="false">IF(F2541&lt;50,"1) Under Rs 50",IF(F2541&lt;100,"2) Rs 50-99",IF(F2541&lt;200,"3) Rs 100-199",IF(F2541&lt;500,"4) Rs 200-499","5) Rs 500+"))))</f>
        <v>4) Rs 200-499</v>
      </c>
      <c r="O2541" s="0" t="n">
        <f aca="false">G2541*E2541/1000</f>
        <v>0</v>
      </c>
    </row>
    <row r="2542" customFormat="false" ht="15" hidden="false" customHeight="false" outlineLevel="0" collapsed="false">
      <c r="A2542" s="0" t="s">
        <v>90</v>
      </c>
      <c r="B2542" s="0" t="s">
        <v>1087</v>
      </c>
      <c r="C2542" s="0" t="n">
        <v>85</v>
      </c>
      <c r="D2542" s="0" t="n">
        <v>0</v>
      </c>
      <c r="E2542" s="0" t="n">
        <v>0</v>
      </c>
      <c r="F2542" s="0" t="n">
        <v>85</v>
      </c>
      <c r="G2542" s="0" t="n">
        <v>400</v>
      </c>
      <c r="H2542" s="0" t="s">
        <v>230</v>
      </c>
      <c r="I2542" s="0" t="n">
        <v>400</v>
      </c>
      <c r="J2542" s="0" t="n">
        <f aca="false">F2542*E2542</f>
        <v>0</v>
      </c>
      <c r="K2542" s="0" t="str">
        <f aca="false">IF(G2542&lt;1000,"1-Low",IF(G2542&lt;5000,"2-Medium","3-Bulk"))</f>
        <v>1-Low</v>
      </c>
      <c r="L2542" s="0" t="str">
        <f aca="false">IF(H2542="TRUE","Out of stock","In stock")</f>
        <v>Out of stock</v>
      </c>
      <c r="M2542" s="0" t="str">
        <f aca="false">IF(D2542&lt;5,"1) Under 5%",IF(D2542&lt;10,"2) 5-9%",IF(D2542&lt;15,"3) 10-14%",IF(D2542&lt;25,"4) 15-24%","5) 25%+"))))</f>
        <v>1) Under 5%</v>
      </c>
      <c r="N2542" s="0" t="str">
        <f aca="false">IF(F2542&lt;50,"1) Under Rs 50",IF(F2542&lt;100,"2) Rs 50-99",IF(F2542&lt;200,"3) Rs 100-199",IF(F2542&lt;500,"4) Rs 200-499","5) Rs 500+"))))</f>
        <v>2) Rs 50-99</v>
      </c>
      <c r="O2542" s="0" t="n">
        <f aca="false">G2542*E2542/1000</f>
        <v>0</v>
      </c>
    </row>
    <row r="2543" customFormat="false" ht="15" hidden="false" customHeight="false" outlineLevel="0" collapsed="false">
      <c r="A2543" s="0" t="s">
        <v>90</v>
      </c>
      <c r="B2543" s="0" t="s">
        <v>1088</v>
      </c>
      <c r="C2543" s="0" t="n">
        <v>79</v>
      </c>
      <c r="D2543" s="0" t="n">
        <v>0</v>
      </c>
      <c r="E2543" s="0" t="n">
        <v>0</v>
      </c>
      <c r="F2543" s="0" t="n">
        <v>79</v>
      </c>
      <c r="G2543" s="0" t="n">
        <v>250</v>
      </c>
      <c r="H2543" s="0" t="s">
        <v>230</v>
      </c>
      <c r="I2543" s="0" t="n">
        <v>250</v>
      </c>
      <c r="J2543" s="0" t="n">
        <f aca="false">F2543*E2543</f>
        <v>0</v>
      </c>
      <c r="K2543" s="0" t="str">
        <f aca="false">IF(G2543&lt;1000,"1-Low",IF(G2543&lt;5000,"2-Medium","3-Bulk"))</f>
        <v>1-Low</v>
      </c>
      <c r="L2543" s="0" t="str">
        <f aca="false">IF(H2543="TRUE","Out of stock","In stock")</f>
        <v>Out of stock</v>
      </c>
      <c r="M2543" s="0" t="str">
        <f aca="false">IF(D2543&lt;5,"1) Under 5%",IF(D2543&lt;10,"2) 5-9%",IF(D2543&lt;15,"3) 10-14%",IF(D2543&lt;25,"4) 15-24%","5) 25%+"))))</f>
        <v>1) Under 5%</v>
      </c>
      <c r="N2543" s="0" t="str">
        <f aca="false">IF(F2543&lt;50,"1) Under Rs 50",IF(F2543&lt;100,"2) Rs 50-99",IF(F2543&lt;200,"3) Rs 100-199",IF(F2543&lt;500,"4) Rs 200-499","5) Rs 500+"))))</f>
        <v>2) Rs 50-99</v>
      </c>
      <c r="O2543" s="0" t="n">
        <f aca="false">G2543*E2543/1000</f>
        <v>0</v>
      </c>
    </row>
    <row r="2544" customFormat="false" ht="15" hidden="false" customHeight="false" outlineLevel="0" collapsed="false">
      <c r="A2544" s="0" t="s">
        <v>90</v>
      </c>
      <c r="B2544" s="0" t="s">
        <v>1089</v>
      </c>
      <c r="C2544" s="0" t="n">
        <v>250</v>
      </c>
      <c r="D2544" s="0" t="n">
        <v>0</v>
      </c>
      <c r="E2544" s="0" t="n">
        <v>0</v>
      </c>
      <c r="F2544" s="0" t="n">
        <v>250</v>
      </c>
      <c r="G2544" s="0" t="n">
        <v>450</v>
      </c>
      <c r="H2544" s="0" t="s">
        <v>230</v>
      </c>
      <c r="I2544" s="0" t="n">
        <v>450</v>
      </c>
      <c r="J2544" s="0" t="n">
        <f aca="false">F2544*E2544</f>
        <v>0</v>
      </c>
      <c r="K2544" s="0" t="str">
        <f aca="false">IF(G2544&lt;1000,"1-Low",IF(G2544&lt;5000,"2-Medium","3-Bulk"))</f>
        <v>1-Low</v>
      </c>
      <c r="L2544" s="0" t="str">
        <f aca="false">IF(H2544="TRUE","Out of stock","In stock")</f>
        <v>Out of stock</v>
      </c>
      <c r="M2544" s="0" t="str">
        <f aca="false">IF(D2544&lt;5,"1) Under 5%",IF(D2544&lt;10,"2) 5-9%",IF(D2544&lt;15,"3) 10-14%",IF(D2544&lt;25,"4) 15-24%","5) 25%+"))))</f>
        <v>1) Under 5%</v>
      </c>
      <c r="N2544" s="0" t="str">
        <f aca="false">IF(F2544&lt;50,"1) Under Rs 50",IF(F2544&lt;100,"2) Rs 50-99",IF(F2544&lt;200,"3) Rs 100-199",IF(F2544&lt;500,"4) Rs 200-499","5) Rs 500+"))))</f>
        <v>4) Rs 200-499</v>
      </c>
      <c r="O2544" s="0" t="n">
        <f aca="false">G2544*E2544/1000</f>
        <v>0</v>
      </c>
    </row>
    <row r="2545" customFormat="false" ht="15" hidden="false" customHeight="false" outlineLevel="0" collapsed="false">
      <c r="A2545" s="0" t="s">
        <v>115</v>
      </c>
      <c r="B2545" s="0" t="s">
        <v>238</v>
      </c>
      <c r="C2545" s="0" t="n">
        <v>97</v>
      </c>
      <c r="D2545" s="0" t="n">
        <v>0</v>
      </c>
      <c r="E2545" s="0" t="n">
        <v>4</v>
      </c>
      <c r="F2545" s="0" t="n">
        <v>97</v>
      </c>
      <c r="G2545" s="0" t="n">
        <v>696</v>
      </c>
      <c r="H2545" s="0" t="s">
        <v>145</v>
      </c>
      <c r="I2545" s="0" t="n">
        <v>12</v>
      </c>
      <c r="J2545" s="0" t="n">
        <f aca="false">F2545*E2545</f>
        <v>388</v>
      </c>
      <c r="K2545" s="0" t="str">
        <f aca="false">IF(G2545&lt;1000,"1-Low",IF(G2545&lt;5000,"2-Medium","3-Bulk"))</f>
        <v>1-Low</v>
      </c>
      <c r="L2545" s="0" t="str">
        <f aca="false">IF(H2545="TRUE","Out of stock","In stock")</f>
        <v>In stock</v>
      </c>
      <c r="M2545" s="0" t="str">
        <f aca="false">IF(D2545&lt;5,"1) Under 5%",IF(D2545&lt;10,"2) 5-9%",IF(D2545&lt;15,"3) 10-14%",IF(D2545&lt;25,"4) 15-24%","5) 25%+"))))</f>
        <v>1) Under 5%</v>
      </c>
      <c r="N2545" s="0" t="str">
        <f aca="false">IF(F2545&lt;50,"1) Under Rs 50",IF(F2545&lt;100,"2) Rs 50-99",IF(F2545&lt;200,"3) Rs 100-199",IF(F2545&lt;500,"4) Rs 200-499","5) Rs 500+"))))</f>
        <v>2) Rs 50-99</v>
      </c>
      <c r="O2545" s="0" t="n">
        <f aca="false">G2545*E2545/1000</f>
        <v>2.784</v>
      </c>
    </row>
    <row r="2546" customFormat="false" ht="15" hidden="false" customHeight="false" outlineLevel="0" collapsed="false">
      <c r="A2546" s="0" t="s">
        <v>115</v>
      </c>
      <c r="B2546" s="0" t="s">
        <v>238</v>
      </c>
      <c r="C2546" s="0" t="n">
        <v>65</v>
      </c>
      <c r="D2546" s="0" t="n">
        <v>15</v>
      </c>
      <c r="E2546" s="0" t="n">
        <v>4</v>
      </c>
      <c r="F2546" s="0" t="n">
        <v>55</v>
      </c>
      <c r="G2546" s="0" t="n">
        <v>348</v>
      </c>
      <c r="H2546" s="0" t="s">
        <v>145</v>
      </c>
      <c r="I2546" s="0" t="n">
        <v>6</v>
      </c>
      <c r="J2546" s="0" t="n">
        <f aca="false">F2546*E2546</f>
        <v>220</v>
      </c>
      <c r="K2546" s="0" t="str">
        <f aca="false">IF(G2546&lt;1000,"1-Low",IF(G2546&lt;5000,"2-Medium","3-Bulk"))</f>
        <v>1-Low</v>
      </c>
      <c r="L2546" s="0" t="str">
        <f aca="false">IF(H2546="TRUE","Out of stock","In stock")</f>
        <v>In stock</v>
      </c>
      <c r="M2546" s="0" t="str">
        <f aca="false">IF(D2546&lt;5,"1) Under 5%",IF(D2546&lt;10,"2) 5-9%",IF(D2546&lt;15,"3) 10-14%",IF(D2546&lt;25,"4) 15-24%","5) 25%+"))))</f>
        <v>4) 15-24%</v>
      </c>
      <c r="N2546" s="0" t="str">
        <f aca="false">IF(F2546&lt;50,"1) Under Rs 50",IF(F2546&lt;100,"2) Rs 50-99",IF(F2546&lt;200,"3) Rs 100-199",IF(F2546&lt;500,"4) Rs 200-499","5) Rs 500+"))))</f>
        <v>2) Rs 50-99</v>
      </c>
      <c r="O2546" s="0" t="n">
        <f aca="false">G2546*E2546/1000</f>
        <v>1.392</v>
      </c>
    </row>
    <row r="2547" customFormat="false" ht="15" hidden="false" customHeight="false" outlineLevel="0" collapsed="false">
      <c r="A2547" s="0" t="s">
        <v>115</v>
      </c>
      <c r="B2547" s="0" t="s">
        <v>242</v>
      </c>
      <c r="C2547" s="0" t="n">
        <v>85</v>
      </c>
      <c r="D2547" s="0" t="n">
        <v>7</v>
      </c>
      <c r="E2547" s="0" t="n">
        <v>4</v>
      </c>
      <c r="F2547" s="0" t="n">
        <v>79</v>
      </c>
      <c r="G2547" s="0" t="n">
        <v>348</v>
      </c>
      <c r="H2547" s="0" t="s">
        <v>145</v>
      </c>
      <c r="I2547" s="0" t="n">
        <v>6</v>
      </c>
      <c r="J2547" s="0" t="n">
        <f aca="false">F2547*E2547</f>
        <v>316</v>
      </c>
      <c r="K2547" s="0" t="str">
        <f aca="false">IF(G2547&lt;1000,"1-Low",IF(G2547&lt;5000,"2-Medium","3-Bulk"))</f>
        <v>1-Low</v>
      </c>
      <c r="L2547" s="0" t="str">
        <f aca="false">IF(H2547="TRUE","Out of stock","In stock")</f>
        <v>In stock</v>
      </c>
      <c r="M2547" s="0" t="str">
        <f aca="false">IF(D2547&lt;5,"1) Under 5%",IF(D2547&lt;10,"2) 5-9%",IF(D2547&lt;15,"3) 10-14%",IF(D2547&lt;25,"4) 15-24%","5) 25%+"))))</f>
        <v>2) 5-9%</v>
      </c>
      <c r="N2547" s="0" t="str">
        <f aca="false">IF(F2547&lt;50,"1) Under Rs 50",IF(F2547&lt;100,"2) Rs 50-99",IF(F2547&lt;200,"3) Rs 100-199",IF(F2547&lt;500,"4) Rs 200-499","5) Rs 500+"))))</f>
        <v>2) Rs 50-99</v>
      </c>
      <c r="O2547" s="0" t="n">
        <f aca="false">G2547*E2547/1000</f>
        <v>1.392</v>
      </c>
    </row>
    <row r="2548" customFormat="false" ht="15" hidden="false" customHeight="false" outlineLevel="0" collapsed="false">
      <c r="A2548" s="0" t="s">
        <v>115</v>
      </c>
      <c r="B2548" s="0" t="s">
        <v>1090</v>
      </c>
      <c r="C2548" s="0" t="n">
        <v>300</v>
      </c>
      <c r="D2548" s="0" t="n">
        <v>10</v>
      </c>
      <c r="E2548" s="0" t="n">
        <v>4</v>
      </c>
      <c r="F2548" s="0" t="n">
        <v>270</v>
      </c>
      <c r="G2548" s="0" t="n">
        <v>1000</v>
      </c>
      <c r="H2548" s="0" t="s">
        <v>145</v>
      </c>
      <c r="I2548" s="0" t="n">
        <v>1</v>
      </c>
      <c r="J2548" s="0" t="n">
        <f aca="false">F2548*E2548</f>
        <v>1080</v>
      </c>
      <c r="K2548" s="0" t="str">
        <f aca="false">IF(G2548&lt;1000,"1-Low",IF(G2548&lt;5000,"2-Medium","3-Bulk"))</f>
        <v>2-Medium</v>
      </c>
      <c r="L2548" s="0" t="str">
        <f aca="false">IF(H2548="TRUE","Out of stock","In stock")</f>
        <v>In stock</v>
      </c>
      <c r="M2548" s="0" t="str">
        <f aca="false">IF(D2548&lt;5,"1) Under 5%",IF(D2548&lt;10,"2) 5-9%",IF(D2548&lt;15,"3) 10-14%",IF(D2548&lt;25,"4) 15-24%","5) 25%+"))))</f>
        <v>3) 10-14%</v>
      </c>
      <c r="N2548" s="0" t="str">
        <f aca="false">IF(F2548&lt;50,"1) Under Rs 50",IF(F2548&lt;100,"2) Rs 50-99",IF(F2548&lt;200,"3) Rs 100-199",IF(F2548&lt;500,"4) Rs 200-499","5) Rs 500+"))))</f>
        <v>4) Rs 200-499</v>
      </c>
      <c r="O2548" s="0" t="n">
        <f aca="false">G2548*E2548/1000</f>
        <v>4</v>
      </c>
    </row>
    <row r="2549" customFormat="false" ht="15" hidden="false" customHeight="false" outlineLevel="0" collapsed="false">
      <c r="A2549" s="0" t="s">
        <v>115</v>
      </c>
      <c r="B2549" s="0" t="s">
        <v>1091</v>
      </c>
      <c r="C2549" s="0" t="n">
        <v>145</v>
      </c>
      <c r="D2549" s="0" t="n">
        <v>8</v>
      </c>
      <c r="E2549" s="0" t="n">
        <v>3</v>
      </c>
      <c r="F2549" s="0" t="n">
        <v>133</v>
      </c>
      <c r="G2549" s="0" t="n">
        <v>250</v>
      </c>
      <c r="H2549" s="0" t="s">
        <v>145</v>
      </c>
      <c r="I2549" s="0" t="n">
        <v>250</v>
      </c>
      <c r="J2549" s="0" t="n">
        <f aca="false">F2549*E2549</f>
        <v>399</v>
      </c>
      <c r="K2549" s="0" t="str">
        <f aca="false">IF(G2549&lt;1000,"1-Low",IF(G2549&lt;5000,"2-Medium","3-Bulk"))</f>
        <v>1-Low</v>
      </c>
      <c r="L2549" s="0" t="str">
        <f aca="false">IF(H2549="TRUE","Out of stock","In stock")</f>
        <v>In stock</v>
      </c>
      <c r="M2549" s="0" t="str">
        <f aca="false">IF(D2549&lt;5,"1) Under 5%",IF(D2549&lt;10,"2) 5-9%",IF(D2549&lt;15,"3) 10-14%",IF(D2549&lt;25,"4) 15-24%","5) 25%+"))))</f>
        <v>2) 5-9%</v>
      </c>
      <c r="N2549" s="0" t="str">
        <f aca="false">IF(F2549&lt;50,"1) Under Rs 50",IF(F2549&lt;100,"2) Rs 50-99",IF(F2549&lt;200,"3) Rs 100-199",IF(F2549&lt;500,"4) Rs 200-499","5) Rs 500+"))))</f>
        <v>3) Rs 100-199</v>
      </c>
      <c r="O2549" s="0" t="n">
        <f aca="false">G2549*E2549/1000</f>
        <v>0.75</v>
      </c>
    </row>
    <row r="2550" customFormat="false" ht="15" hidden="false" customHeight="false" outlineLevel="0" collapsed="false">
      <c r="A2550" s="0" t="s">
        <v>115</v>
      </c>
      <c r="B2550" s="0" t="s">
        <v>1092</v>
      </c>
      <c r="C2550" s="0" t="n">
        <v>175</v>
      </c>
      <c r="D2550" s="0" t="n">
        <v>9</v>
      </c>
      <c r="E2550" s="0" t="n">
        <v>3</v>
      </c>
      <c r="F2550" s="0" t="n">
        <v>158</v>
      </c>
      <c r="G2550" s="0" t="n">
        <v>500</v>
      </c>
      <c r="H2550" s="0" t="s">
        <v>145</v>
      </c>
      <c r="I2550" s="0" t="n">
        <v>500</v>
      </c>
      <c r="J2550" s="0" t="n">
        <f aca="false">F2550*E2550</f>
        <v>474</v>
      </c>
      <c r="K2550" s="0" t="str">
        <f aca="false">IF(G2550&lt;1000,"1-Low",IF(G2550&lt;5000,"2-Medium","3-Bulk"))</f>
        <v>1-Low</v>
      </c>
      <c r="L2550" s="0" t="str">
        <f aca="false">IF(H2550="TRUE","Out of stock","In stock")</f>
        <v>In stock</v>
      </c>
      <c r="M2550" s="0" t="str">
        <f aca="false">IF(D2550&lt;5,"1) Under 5%",IF(D2550&lt;10,"2) 5-9%",IF(D2550&lt;15,"3) 10-14%",IF(D2550&lt;25,"4) 15-24%","5) 25%+"))))</f>
        <v>2) 5-9%</v>
      </c>
      <c r="N2550" s="0" t="str">
        <f aca="false">IF(F2550&lt;50,"1) Under Rs 50",IF(F2550&lt;100,"2) Rs 50-99",IF(F2550&lt;200,"3) Rs 100-199",IF(F2550&lt;500,"4) Rs 200-499","5) Rs 500+"))))</f>
        <v>3) Rs 100-199</v>
      </c>
      <c r="O2550" s="0" t="n">
        <f aca="false">G2550*E2550/1000</f>
        <v>1.5</v>
      </c>
    </row>
    <row r="2551" customFormat="false" ht="15" hidden="false" customHeight="false" outlineLevel="0" collapsed="false">
      <c r="A2551" s="0" t="s">
        <v>115</v>
      </c>
      <c r="B2551" s="0" t="s">
        <v>1093</v>
      </c>
      <c r="C2551" s="0" t="n">
        <v>249</v>
      </c>
      <c r="D2551" s="0" t="n">
        <v>25</v>
      </c>
      <c r="E2551" s="0" t="n">
        <v>1</v>
      </c>
      <c r="F2551" s="0" t="n">
        <v>186</v>
      </c>
      <c r="G2551" s="0" t="n">
        <v>500</v>
      </c>
      <c r="H2551" s="0" t="s">
        <v>145</v>
      </c>
      <c r="I2551" s="0" t="n">
        <v>500</v>
      </c>
      <c r="J2551" s="0" t="n">
        <f aca="false">F2551*E2551</f>
        <v>186</v>
      </c>
      <c r="K2551" s="0" t="str">
        <f aca="false">IF(G2551&lt;1000,"1-Low",IF(G2551&lt;5000,"2-Medium","3-Bulk"))</f>
        <v>1-Low</v>
      </c>
      <c r="L2551" s="0" t="str">
        <f aca="false">IF(H2551="TRUE","Out of stock","In stock")</f>
        <v>In stock</v>
      </c>
      <c r="M2551" s="0" t="str">
        <f aca="false">IF(D2551&lt;5,"1) Under 5%",IF(D2551&lt;10,"2) 5-9%",IF(D2551&lt;15,"3) 10-14%",IF(D2551&lt;25,"4) 15-24%","5) 25%+"))))</f>
        <v>5) 25%+</v>
      </c>
      <c r="N2551" s="0" t="str">
        <f aca="false">IF(F2551&lt;50,"1) Under Rs 50",IF(F2551&lt;100,"2) Rs 50-99",IF(F2551&lt;200,"3) Rs 100-199",IF(F2551&lt;500,"4) Rs 200-499","5) Rs 500+"))))</f>
        <v>3) Rs 100-199</v>
      </c>
      <c r="O2551" s="0" t="n">
        <f aca="false">G2551*E2551/1000</f>
        <v>0.5</v>
      </c>
    </row>
    <row r="2552" customFormat="false" ht="15" hidden="false" customHeight="false" outlineLevel="0" collapsed="false">
      <c r="A2552" s="0" t="s">
        <v>115</v>
      </c>
      <c r="B2552" s="0" t="s">
        <v>280</v>
      </c>
      <c r="C2552" s="0" t="n">
        <v>110</v>
      </c>
      <c r="D2552" s="0" t="n">
        <v>13</v>
      </c>
      <c r="E2552" s="0" t="n">
        <v>4</v>
      </c>
      <c r="F2552" s="0" t="n">
        <v>95</v>
      </c>
      <c r="G2552" s="0" t="n">
        <v>348</v>
      </c>
      <c r="H2552" s="0" t="s">
        <v>145</v>
      </c>
      <c r="I2552" s="0" t="n">
        <v>6</v>
      </c>
      <c r="J2552" s="0" t="n">
        <f aca="false">F2552*E2552</f>
        <v>380</v>
      </c>
      <c r="K2552" s="0" t="str">
        <f aca="false">IF(G2552&lt;1000,"1-Low",IF(G2552&lt;5000,"2-Medium","3-Bulk"))</f>
        <v>1-Low</v>
      </c>
      <c r="L2552" s="0" t="str">
        <f aca="false">IF(H2552="TRUE","Out of stock","In stock")</f>
        <v>In stock</v>
      </c>
      <c r="M2552" s="0" t="str">
        <f aca="false">IF(D2552&lt;5,"1) Under 5%",IF(D2552&lt;10,"2) 5-9%",IF(D2552&lt;15,"3) 10-14%",IF(D2552&lt;25,"4) 15-24%","5) 25%+"))))</f>
        <v>3) 10-14%</v>
      </c>
      <c r="N2552" s="0" t="str">
        <f aca="false">IF(F2552&lt;50,"1) Under Rs 50",IF(F2552&lt;100,"2) Rs 50-99",IF(F2552&lt;200,"3) Rs 100-199",IF(F2552&lt;500,"4) Rs 200-499","5) Rs 500+"))))</f>
        <v>2) Rs 50-99</v>
      </c>
      <c r="O2552" s="0" t="n">
        <f aca="false">G2552*E2552/1000</f>
        <v>1.392</v>
      </c>
    </row>
    <row r="2553" customFormat="false" ht="15" hidden="false" customHeight="false" outlineLevel="0" collapsed="false">
      <c r="A2553" s="0" t="s">
        <v>115</v>
      </c>
      <c r="B2553" s="0" t="s">
        <v>1094</v>
      </c>
      <c r="C2553" s="0" t="n">
        <v>275</v>
      </c>
      <c r="D2553" s="0" t="n">
        <v>9</v>
      </c>
      <c r="E2553" s="0" t="n">
        <v>6</v>
      </c>
      <c r="F2553" s="0" t="n">
        <v>248</v>
      </c>
      <c r="G2553" s="0" t="n">
        <v>450</v>
      </c>
      <c r="H2553" s="0" t="s">
        <v>145</v>
      </c>
      <c r="I2553" s="0" t="n">
        <v>450</v>
      </c>
      <c r="J2553" s="0" t="n">
        <f aca="false">F2553*E2553</f>
        <v>1488</v>
      </c>
      <c r="K2553" s="0" t="str">
        <f aca="false">IF(G2553&lt;1000,"1-Low",IF(G2553&lt;5000,"2-Medium","3-Bulk"))</f>
        <v>1-Low</v>
      </c>
      <c r="L2553" s="0" t="str">
        <f aca="false">IF(H2553="TRUE","Out of stock","In stock")</f>
        <v>In stock</v>
      </c>
      <c r="M2553" s="0" t="str">
        <f aca="false">IF(D2553&lt;5,"1) Under 5%",IF(D2553&lt;10,"2) 5-9%",IF(D2553&lt;15,"3) 10-14%",IF(D2553&lt;25,"4) 15-24%","5) 25%+"))))</f>
        <v>2) 5-9%</v>
      </c>
      <c r="N2553" s="0" t="str">
        <f aca="false">IF(F2553&lt;50,"1) Under Rs 50",IF(F2553&lt;100,"2) Rs 50-99",IF(F2553&lt;200,"3) Rs 100-199",IF(F2553&lt;500,"4) Rs 200-499","5) Rs 500+"))))</f>
        <v>4) Rs 200-499</v>
      </c>
      <c r="O2553" s="0" t="n">
        <f aca="false">G2553*E2553/1000</f>
        <v>2.7</v>
      </c>
    </row>
    <row r="2554" customFormat="false" ht="15" hidden="false" customHeight="false" outlineLevel="0" collapsed="false">
      <c r="A2554" s="0" t="s">
        <v>115</v>
      </c>
      <c r="B2554" s="0" t="s">
        <v>1095</v>
      </c>
      <c r="C2554" s="0" t="n">
        <v>215</v>
      </c>
      <c r="D2554" s="0" t="n">
        <v>5</v>
      </c>
      <c r="E2554" s="0" t="n">
        <v>1</v>
      </c>
      <c r="F2554" s="0" t="n">
        <v>204</v>
      </c>
      <c r="G2554" s="0" t="n">
        <v>500</v>
      </c>
      <c r="H2554" s="0" t="s">
        <v>145</v>
      </c>
      <c r="I2554" s="0" t="n">
        <v>500</v>
      </c>
      <c r="J2554" s="0" t="n">
        <f aca="false">F2554*E2554</f>
        <v>204</v>
      </c>
      <c r="K2554" s="0" t="str">
        <f aca="false">IF(G2554&lt;1000,"1-Low",IF(G2554&lt;5000,"2-Medium","3-Bulk"))</f>
        <v>1-Low</v>
      </c>
      <c r="L2554" s="0" t="str">
        <f aca="false">IF(H2554="TRUE","Out of stock","In stock")</f>
        <v>In stock</v>
      </c>
      <c r="M2554" s="0" t="str">
        <f aca="false">IF(D2554&lt;5,"1) Under 5%",IF(D2554&lt;10,"2) 5-9%",IF(D2554&lt;15,"3) 10-14%",IF(D2554&lt;25,"4) 15-24%","5) 25%+"))))</f>
        <v>2) 5-9%</v>
      </c>
      <c r="N2554" s="0" t="str">
        <f aca="false">IF(F2554&lt;50,"1) Under Rs 50",IF(F2554&lt;100,"2) Rs 50-99",IF(F2554&lt;200,"3) Rs 100-199",IF(F2554&lt;500,"4) Rs 200-499","5) Rs 500+"))))</f>
        <v>4) Rs 200-499</v>
      </c>
      <c r="O2554" s="0" t="n">
        <f aca="false">G2554*E2554/1000</f>
        <v>0.5</v>
      </c>
    </row>
    <row r="2555" customFormat="false" ht="15" hidden="false" customHeight="false" outlineLevel="0" collapsed="false">
      <c r="A2555" s="0" t="s">
        <v>115</v>
      </c>
      <c r="B2555" s="0" t="s">
        <v>1096</v>
      </c>
      <c r="C2555" s="0" t="n">
        <v>255</v>
      </c>
      <c r="D2555" s="0" t="n">
        <v>9</v>
      </c>
      <c r="E2555" s="0" t="n">
        <v>3</v>
      </c>
      <c r="F2555" s="0" t="n">
        <v>230</v>
      </c>
      <c r="G2555" s="0" t="n">
        <v>450</v>
      </c>
      <c r="H2555" s="0" t="s">
        <v>145</v>
      </c>
      <c r="I2555" s="0" t="n">
        <v>450</v>
      </c>
      <c r="J2555" s="0" t="n">
        <f aca="false">F2555*E2555</f>
        <v>690</v>
      </c>
      <c r="K2555" s="0" t="str">
        <f aca="false">IF(G2555&lt;1000,"1-Low",IF(G2555&lt;5000,"2-Medium","3-Bulk"))</f>
        <v>1-Low</v>
      </c>
      <c r="L2555" s="0" t="str">
        <f aca="false">IF(H2555="TRUE","Out of stock","In stock")</f>
        <v>In stock</v>
      </c>
      <c r="M2555" s="0" t="str">
        <f aca="false">IF(D2555&lt;5,"1) Under 5%",IF(D2555&lt;10,"2) 5-9%",IF(D2555&lt;15,"3) 10-14%",IF(D2555&lt;25,"4) 15-24%","5) 25%+"))))</f>
        <v>2) 5-9%</v>
      </c>
      <c r="N2555" s="0" t="str">
        <f aca="false">IF(F2555&lt;50,"1) Under Rs 50",IF(F2555&lt;100,"2) Rs 50-99",IF(F2555&lt;200,"3) Rs 100-199",IF(F2555&lt;500,"4) Rs 200-499","5) Rs 500+"))))</f>
        <v>4) Rs 200-499</v>
      </c>
      <c r="O2555" s="0" t="n">
        <f aca="false">G2555*E2555/1000</f>
        <v>1.35</v>
      </c>
    </row>
    <row r="2556" customFormat="false" ht="15" hidden="false" customHeight="false" outlineLevel="0" collapsed="false">
      <c r="A2556" s="0" t="s">
        <v>115</v>
      </c>
      <c r="B2556" s="0" t="s">
        <v>735</v>
      </c>
      <c r="C2556" s="0" t="n">
        <v>72</v>
      </c>
      <c r="D2556" s="0" t="n">
        <v>13</v>
      </c>
      <c r="E2556" s="0" t="n">
        <v>3</v>
      </c>
      <c r="F2556" s="0" t="n">
        <v>62</v>
      </c>
      <c r="G2556" s="0" t="n">
        <v>348</v>
      </c>
      <c r="H2556" s="0" t="s">
        <v>145</v>
      </c>
      <c r="I2556" s="0" t="n">
        <v>6</v>
      </c>
      <c r="J2556" s="0" t="n">
        <f aca="false">F2556*E2556</f>
        <v>186</v>
      </c>
      <c r="K2556" s="0" t="str">
        <f aca="false">IF(G2556&lt;1000,"1-Low",IF(G2556&lt;5000,"2-Medium","3-Bulk"))</f>
        <v>1-Low</v>
      </c>
      <c r="L2556" s="0" t="str">
        <f aca="false">IF(H2556="TRUE","Out of stock","In stock")</f>
        <v>In stock</v>
      </c>
      <c r="M2556" s="0" t="str">
        <f aca="false">IF(D2556&lt;5,"1) Under 5%",IF(D2556&lt;10,"2) 5-9%",IF(D2556&lt;15,"3) 10-14%",IF(D2556&lt;25,"4) 15-24%","5) 25%+"))))</f>
        <v>3) 10-14%</v>
      </c>
      <c r="N2556" s="0" t="str">
        <f aca="false">IF(F2556&lt;50,"1) Under Rs 50",IF(F2556&lt;100,"2) Rs 50-99",IF(F2556&lt;200,"3) Rs 100-199",IF(F2556&lt;500,"4) Rs 200-499","5) Rs 500+"))))</f>
        <v>2) Rs 50-99</v>
      </c>
      <c r="O2556" s="0" t="n">
        <f aca="false">G2556*E2556/1000</f>
        <v>1.044</v>
      </c>
    </row>
    <row r="2557" customFormat="false" ht="15" hidden="false" customHeight="false" outlineLevel="0" collapsed="false">
      <c r="A2557" s="0" t="s">
        <v>115</v>
      </c>
      <c r="B2557" s="0" t="s">
        <v>1097</v>
      </c>
      <c r="C2557" s="0" t="n">
        <v>319</v>
      </c>
      <c r="D2557" s="0" t="n">
        <v>14</v>
      </c>
      <c r="E2557" s="0" t="n">
        <v>1</v>
      </c>
      <c r="F2557" s="0" t="n">
        <v>274</v>
      </c>
      <c r="G2557" s="0" t="n">
        <v>500</v>
      </c>
      <c r="H2557" s="0" t="s">
        <v>145</v>
      </c>
      <c r="I2557" s="0" t="n">
        <v>500</v>
      </c>
      <c r="J2557" s="0" t="n">
        <f aca="false">F2557*E2557</f>
        <v>274</v>
      </c>
      <c r="K2557" s="0" t="str">
        <f aca="false">IF(G2557&lt;1000,"1-Low",IF(G2557&lt;5000,"2-Medium","3-Bulk"))</f>
        <v>1-Low</v>
      </c>
      <c r="L2557" s="0" t="str">
        <f aca="false">IF(H2557="TRUE","Out of stock","In stock")</f>
        <v>In stock</v>
      </c>
      <c r="M2557" s="0" t="str">
        <f aca="false">IF(D2557&lt;5,"1) Under 5%",IF(D2557&lt;10,"2) 5-9%",IF(D2557&lt;15,"3) 10-14%",IF(D2557&lt;25,"4) 15-24%","5) 25%+"))))</f>
        <v>3) 10-14%</v>
      </c>
      <c r="N2557" s="0" t="str">
        <f aca="false">IF(F2557&lt;50,"1) Under Rs 50",IF(F2557&lt;100,"2) Rs 50-99",IF(F2557&lt;200,"3) Rs 100-199",IF(F2557&lt;500,"4) Rs 200-499","5) Rs 500+"))))</f>
        <v>4) Rs 200-499</v>
      </c>
      <c r="O2557" s="0" t="n">
        <f aca="false">G2557*E2557/1000</f>
        <v>0.5</v>
      </c>
    </row>
    <row r="2558" customFormat="false" ht="15" hidden="false" customHeight="false" outlineLevel="0" collapsed="false">
      <c r="A2558" s="0" t="s">
        <v>115</v>
      </c>
      <c r="B2558" s="0" t="s">
        <v>1098</v>
      </c>
      <c r="C2558" s="0" t="n">
        <v>165</v>
      </c>
      <c r="D2558" s="0" t="n">
        <v>0</v>
      </c>
      <c r="E2558" s="0" t="n">
        <v>1</v>
      </c>
      <c r="F2558" s="0" t="n">
        <v>165</v>
      </c>
      <c r="G2558" s="0" t="n">
        <v>500</v>
      </c>
      <c r="H2558" s="0" t="s">
        <v>145</v>
      </c>
      <c r="I2558" s="0" t="n">
        <v>500</v>
      </c>
      <c r="J2558" s="0" t="n">
        <f aca="false">F2558*E2558</f>
        <v>165</v>
      </c>
      <c r="K2558" s="0" t="str">
        <f aca="false">IF(G2558&lt;1000,"1-Low",IF(G2558&lt;5000,"2-Medium","3-Bulk"))</f>
        <v>1-Low</v>
      </c>
      <c r="L2558" s="0" t="str">
        <f aca="false">IF(H2558="TRUE","Out of stock","In stock")</f>
        <v>In stock</v>
      </c>
      <c r="M2558" s="0" t="str">
        <f aca="false">IF(D2558&lt;5,"1) Under 5%",IF(D2558&lt;10,"2) 5-9%",IF(D2558&lt;15,"3) 10-14%",IF(D2558&lt;25,"4) 15-24%","5) 25%+"))))</f>
        <v>1) Under 5%</v>
      </c>
      <c r="N2558" s="0" t="str">
        <f aca="false">IF(F2558&lt;50,"1) Under Rs 50",IF(F2558&lt;100,"2) Rs 50-99",IF(F2558&lt;200,"3) Rs 100-199",IF(F2558&lt;500,"4) Rs 200-499","5) Rs 500+"))))</f>
        <v>3) Rs 100-199</v>
      </c>
      <c r="O2558" s="0" t="n">
        <f aca="false">G2558*E2558/1000</f>
        <v>0.5</v>
      </c>
    </row>
    <row r="2559" customFormat="false" ht="15" hidden="false" customHeight="false" outlineLevel="0" collapsed="false">
      <c r="A2559" s="0" t="s">
        <v>115</v>
      </c>
      <c r="B2559" s="0" t="s">
        <v>1099</v>
      </c>
      <c r="C2559" s="0" t="n">
        <v>265</v>
      </c>
      <c r="D2559" s="0" t="n">
        <v>9</v>
      </c>
      <c r="E2559" s="0" t="n">
        <v>2</v>
      </c>
      <c r="F2559" s="0" t="n">
        <v>239</v>
      </c>
      <c r="G2559" s="0" t="n">
        <v>500</v>
      </c>
      <c r="H2559" s="0" t="s">
        <v>145</v>
      </c>
      <c r="I2559" s="0" t="n">
        <v>500</v>
      </c>
      <c r="J2559" s="0" t="n">
        <f aca="false">F2559*E2559</f>
        <v>478</v>
      </c>
      <c r="K2559" s="0" t="str">
        <f aca="false">IF(G2559&lt;1000,"1-Low",IF(G2559&lt;5000,"2-Medium","3-Bulk"))</f>
        <v>1-Low</v>
      </c>
      <c r="L2559" s="0" t="str">
        <f aca="false">IF(H2559="TRUE","Out of stock","In stock")</f>
        <v>In stock</v>
      </c>
      <c r="M2559" s="0" t="str">
        <f aca="false">IF(D2559&lt;5,"1) Under 5%",IF(D2559&lt;10,"2) 5-9%",IF(D2559&lt;15,"3) 10-14%",IF(D2559&lt;25,"4) 15-24%","5) 25%+"))))</f>
        <v>2) 5-9%</v>
      </c>
      <c r="N2559" s="0" t="str">
        <f aca="false">IF(F2559&lt;50,"1) Under Rs 50",IF(F2559&lt;100,"2) Rs 50-99",IF(F2559&lt;200,"3) Rs 100-199",IF(F2559&lt;500,"4) Rs 200-499","5) Rs 500+"))))</f>
        <v>4) Rs 200-499</v>
      </c>
      <c r="O2559" s="0" t="n">
        <f aca="false">G2559*E2559/1000</f>
        <v>1</v>
      </c>
    </row>
    <row r="2560" customFormat="false" ht="15" hidden="false" customHeight="false" outlineLevel="0" collapsed="false">
      <c r="A2560" s="0" t="s">
        <v>115</v>
      </c>
      <c r="B2560" s="0" t="s">
        <v>742</v>
      </c>
      <c r="C2560" s="0" t="n">
        <v>72</v>
      </c>
      <c r="D2560" s="0" t="n">
        <v>13</v>
      </c>
      <c r="E2560" s="0" t="n">
        <v>4</v>
      </c>
      <c r="F2560" s="0" t="n">
        <v>62</v>
      </c>
      <c r="G2560" s="0" t="n">
        <v>348</v>
      </c>
      <c r="H2560" s="0" t="s">
        <v>145</v>
      </c>
      <c r="I2560" s="0" t="n">
        <v>6</v>
      </c>
      <c r="J2560" s="0" t="n">
        <f aca="false">F2560*E2560</f>
        <v>248</v>
      </c>
      <c r="K2560" s="0" t="str">
        <f aca="false">IF(G2560&lt;1000,"1-Low",IF(G2560&lt;5000,"2-Medium","3-Bulk"))</f>
        <v>1-Low</v>
      </c>
      <c r="L2560" s="0" t="str">
        <f aca="false">IF(H2560="TRUE","Out of stock","In stock")</f>
        <v>In stock</v>
      </c>
      <c r="M2560" s="0" t="str">
        <f aca="false">IF(D2560&lt;5,"1) Under 5%",IF(D2560&lt;10,"2) 5-9%",IF(D2560&lt;15,"3) 10-14%",IF(D2560&lt;25,"4) 15-24%","5) 25%+"))))</f>
        <v>3) 10-14%</v>
      </c>
      <c r="N2560" s="0" t="str">
        <f aca="false">IF(F2560&lt;50,"1) Under Rs 50",IF(F2560&lt;100,"2) Rs 50-99",IF(F2560&lt;200,"3) Rs 100-199",IF(F2560&lt;500,"4) Rs 200-499","5) Rs 500+"))))</f>
        <v>2) Rs 50-99</v>
      </c>
      <c r="O2560" s="0" t="n">
        <f aca="false">G2560*E2560/1000</f>
        <v>1.392</v>
      </c>
    </row>
    <row r="2561" customFormat="false" ht="15" hidden="false" customHeight="false" outlineLevel="0" collapsed="false">
      <c r="A2561" s="0" t="s">
        <v>115</v>
      </c>
      <c r="B2561" s="0" t="s">
        <v>1100</v>
      </c>
      <c r="C2561" s="0" t="n">
        <v>200</v>
      </c>
      <c r="D2561" s="0" t="n">
        <v>10</v>
      </c>
      <c r="E2561" s="0" t="n">
        <v>2</v>
      </c>
      <c r="F2561" s="0" t="n">
        <v>180</v>
      </c>
      <c r="G2561" s="0" t="n">
        <v>580</v>
      </c>
      <c r="H2561" s="0" t="s">
        <v>145</v>
      </c>
      <c r="I2561" s="0" t="n">
        <v>10</v>
      </c>
      <c r="J2561" s="0" t="n">
        <f aca="false">F2561*E2561</f>
        <v>360</v>
      </c>
      <c r="K2561" s="0" t="str">
        <f aca="false">IF(G2561&lt;1000,"1-Low",IF(G2561&lt;5000,"2-Medium","3-Bulk"))</f>
        <v>1-Low</v>
      </c>
      <c r="L2561" s="0" t="str">
        <f aca="false">IF(H2561="TRUE","Out of stock","In stock")</f>
        <v>In stock</v>
      </c>
      <c r="M2561" s="0" t="str">
        <f aca="false">IF(D2561&lt;5,"1) Under 5%",IF(D2561&lt;10,"2) 5-9%",IF(D2561&lt;15,"3) 10-14%",IF(D2561&lt;25,"4) 15-24%","5) 25%+"))))</f>
        <v>3) 10-14%</v>
      </c>
      <c r="N2561" s="0" t="str">
        <f aca="false">IF(F2561&lt;50,"1) Under Rs 50",IF(F2561&lt;100,"2) Rs 50-99",IF(F2561&lt;200,"3) Rs 100-199",IF(F2561&lt;500,"4) Rs 200-499","5) Rs 500+"))))</f>
        <v>3) Rs 100-199</v>
      </c>
      <c r="O2561" s="0" t="n">
        <f aca="false">G2561*E2561/1000</f>
        <v>1.16</v>
      </c>
    </row>
    <row r="2562" customFormat="false" ht="15" hidden="false" customHeight="false" outlineLevel="0" collapsed="false">
      <c r="A2562" s="0" t="s">
        <v>115</v>
      </c>
      <c r="B2562" s="0" t="s">
        <v>375</v>
      </c>
      <c r="C2562" s="0" t="n">
        <v>325</v>
      </c>
      <c r="D2562" s="0" t="n">
        <v>9</v>
      </c>
      <c r="E2562" s="0" t="n">
        <v>1</v>
      </c>
      <c r="F2562" s="0" t="n">
        <v>293</v>
      </c>
      <c r="G2562" s="0" t="n">
        <v>500</v>
      </c>
      <c r="H2562" s="0" t="s">
        <v>145</v>
      </c>
      <c r="I2562" s="0" t="n">
        <v>500</v>
      </c>
      <c r="J2562" s="0" t="n">
        <f aca="false">F2562*E2562</f>
        <v>293</v>
      </c>
      <c r="K2562" s="0" t="str">
        <f aca="false">IF(G2562&lt;1000,"1-Low",IF(G2562&lt;5000,"2-Medium","3-Bulk"))</f>
        <v>1-Low</v>
      </c>
      <c r="L2562" s="0" t="str">
        <f aca="false">IF(H2562="TRUE","Out of stock","In stock")</f>
        <v>In stock</v>
      </c>
      <c r="M2562" s="0" t="str">
        <f aca="false">IF(D2562&lt;5,"1) Under 5%",IF(D2562&lt;10,"2) 5-9%",IF(D2562&lt;15,"3) 10-14%",IF(D2562&lt;25,"4) 15-24%","5) 25%+"))))</f>
        <v>2) 5-9%</v>
      </c>
      <c r="N2562" s="0" t="str">
        <f aca="false">IF(F2562&lt;50,"1) Under Rs 50",IF(F2562&lt;100,"2) Rs 50-99",IF(F2562&lt;200,"3) Rs 100-199",IF(F2562&lt;500,"4) Rs 200-499","5) Rs 500+"))))</f>
        <v>4) Rs 200-499</v>
      </c>
      <c r="O2562" s="0" t="n">
        <f aca="false">G2562*E2562/1000</f>
        <v>0.5</v>
      </c>
    </row>
    <row r="2563" customFormat="false" ht="15" hidden="false" customHeight="false" outlineLevel="0" collapsed="false">
      <c r="A2563" s="0" t="s">
        <v>115</v>
      </c>
      <c r="B2563" s="0" t="s">
        <v>385</v>
      </c>
      <c r="C2563" s="0" t="n">
        <v>70</v>
      </c>
      <c r="D2563" s="0" t="n">
        <v>7</v>
      </c>
      <c r="E2563" s="0" t="n">
        <v>3</v>
      </c>
      <c r="F2563" s="0" t="n">
        <v>65</v>
      </c>
      <c r="G2563" s="0" t="n">
        <v>100</v>
      </c>
      <c r="H2563" s="0" t="s">
        <v>145</v>
      </c>
      <c r="I2563" s="0" t="n">
        <v>100</v>
      </c>
      <c r="J2563" s="0" t="n">
        <f aca="false">F2563*E2563</f>
        <v>195</v>
      </c>
      <c r="K2563" s="0" t="str">
        <f aca="false">IF(G2563&lt;1000,"1-Low",IF(G2563&lt;5000,"2-Medium","3-Bulk"))</f>
        <v>1-Low</v>
      </c>
      <c r="L2563" s="0" t="str">
        <f aca="false">IF(H2563="TRUE","Out of stock","In stock")</f>
        <v>In stock</v>
      </c>
      <c r="M2563" s="0" t="str">
        <f aca="false">IF(D2563&lt;5,"1) Under 5%",IF(D2563&lt;10,"2) 5-9%",IF(D2563&lt;15,"3) 10-14%",IF(D2563&lt;25,"4) 15-24%","5) 25%+"))))</f>
        <v>2) 5-9%</v>
      </c>
      <c r="N2563" s="0" t="str">
        <f aca="false">IF(F2563&lt;50,"1) Under Rs 50",IF(F2563&lt;100,"2) Rs 50-99",IF(F2563&lt;200,"3) Rs 100-199",IF(F2563&lt;500,"4) Rs 200-499","5) Rs 500+"))))</f>
        <v>2) Rs 50-99</v>
      </c>
      <c r="O2563" s="0" t="n">
        <f aca="false">G2563*E2563/1000</f>
        <v>0.3</v>
      </c>
    </row>
    <row r="2564" customFormat="false" ht="15" hidden="false" customHeight="false" outlineLevel="0" collapsed="false">
      <c r="A2564" s="0" t="s">
        <v>115</v>
      </c>
      <c r="B2564" s="0" t="s">
        <v>389</v>
      </c>
      <c r="C2564" s="0" t="n">
        <v>10</v>
      </c>
      <c r="D2564" s="0" t="n">
        <v>0</v>
      </c>
      <c r="E2564" s="0" t="n">
        <v>6</v>
      </c>
      <c r="F2564" s="0" t="n">
        <v>10</v>
      </c>
      <c r="G2564" s="0" t="n">
        <v>20</v>
      </c>
      <c r="H2564" s="0" t="s">
        <v>145</v>
      </c>
      <c r="I2564" s="0" t="n">
        <v>20</v>
      </c>
      <c r="J2564" s="0" t="n">
        <f aca="false">F2564*E2564</f>
        <v>60</v>
      </c>
      <c r="K2564" s="0" t="str">
        <f aca="false">IF(G2564&lt;1000,"1-Low",IF(G2564&lt;5000,"2-Medium","3-Bulk"))</f>
        <v>1-Low</v>
      </c>
      <c r="L2564" s="0" t="str">
        <f aca="false">IF(H2564="TRUE","Out of stock","In stock")</f>
        <v>In stock</v>
      </c>
      <c r="M2564" s="0" t="str">
        <f aca="false">IF(D2564&lt;5,"1) Under 5%",IF(D2564&lt;10,"2) 5-9%",IF(D2564&lt;15,"3) 10-14%",IF(D2564&lt;25,"4) 15-24%","5) 25%+"))))</f>
        <v>1) Under 5%</v>
      </c>
      <c r="N2564" s="0" t="str">
        <f aca="false">IF(F2564&lt;50,"1) Under Rs 50",IF(F2564&lt;100,"2) Rs 50-99",IF(F2564&lt;200,"3) Rs 100-199",IF(F2564&lt;500,"4) Rs 200-499","5) Rs 500+"))))</f>
        <v>1) Under Rs 50</v>
      </c>
      <c r="O2564" s="0" t="n">
        <f aca="false">G2564*E2564/1000</f>
        <v>0.12</v>
      </c>
    </row>
    <row r="2565" customFormat="false" ht="15" hidden="false" customHeight="false" outlineLevel="0" collapsed="false">
      <c r="A2565" s="0" t="s">
        <v>115</v>
      </c>
      <c r="B2565" s="0" t="s">
        <v>1101</v>
      </c>
      <c r="C2565" s="0" t="n">
        <v>165</v>
      </c>
      <c r="D2565" s="0" t="n">
        <v>4</v>
      </c>
      <c r="E2565" s="0" t="n">
        <v>1</v>
      </c>
      <c r="F2565" s="0" t="n">
        <v>157</v>
      </c>
      <c r="G2565" s="0" t="n">
        <v>500</v>
      </c>
      <c r="H2565" s="0" t="s">
        <v>145</v>
      </c>
      <c r="I2565" s="0" t="n">
        <v>500</v>
      </c>
      <c r="J2565" s="0" t="n">
        <f aca="false">F2565*E2565</f>
        <v>157</v>
      </c>
      <c r="K2565" s="0" t="str">
        <f aca="false">IF(G2565&lt;1000,"1-Low",IF(G2565&lt;5000,"2-Medium","3-Bulk"))</f>
        <v>1-Low</v>
      </c>
      <c r="L2565" s="0" t="str">
        <f aca="false">IF(H2565="TRUE","Out of stock","In stock")</f>
        <v>In stock</v>
      </c>
      <c r="M2565" s="0" t="str">
        <f aca="false">IF(D2565&lt;5,"1) Under 5%",IF(D2565&lt;10,"2) 5-9%",IF(D2565&lt;15,"3) 10-14%",IF(D2565&lt;25,"4) 15-24%","5) 25%+"))))</f>
        <v>1) Under 5%</v>
      </c>
      <c r="N2565" s="0" t="str">
        <f aca="false">IF(F2565&lt;50,"1) Under Rs 50",IF(F2565&lt;100,"2) Rs 50-99",IF(F2565&lt;200,"3) Rs 100-199",IF(F2565&lt;500,"4) Rs 200-499","5) Rs 500+"))))</f>
        <v>3) Rs 100-199</v>
      </c>
      <c r="O2565" s="0" t="n">
        <f aca="false">G2565*E2565/1000</f>
        <v>0.5</v>
      </c>
    </row>
    <row r="2566" customFormat="false" ht="15" hidden="false" customHeight="false" outlineLevel="0" collapsed="false">
      <c r="A2566" s="0" t="s">
        <v>115</v>
      </c>
      <c r="B2566" s="0" t="s">
        <v>401</v>
      </c>
      <c r="C2566" s="0" t="n">
        <v>220</v>
      </c>
      <c r="D2566" s="0" t="n">
        <v>50</v>
      </c>
      <c r="E2566" s="0" t="n">
        <v>6</v>
      </c>
      <c r="F2566" s="0" t="n">
        <v>110</v>
      </c>
      <c r="G2566" s="0" t="n">
        <v>200</v>
      </c>
      <c r="H2566" s="0" t="s">
        <v>145</v>
      </c>
      <c r="I2566" s="0" t="n">
        <v>200</v>
      </c>
      <c r="J2566" s="0" t="n">
        <f aca="false">F2566*E2566</f>
        <v>660</v>
      </c>
      <c r="K2566" s="0" t="str">
        <f aca="false">IF(G2566&lt;1000,"1-Low",IF(G2566&lt;5000,"2-Medium","3-Bulk"))</f>
        <v>1-Low</v>
      </c>
      <c r="L2566" s="0" t="str">
        <f aca="false">IF(H2566="TRUE","Out of stock","In stock")</f>
        <v>In stock</v>
      </c>
      <c r="M2566" s="0" t="str">
        <f aca="false">IF(D2566&lt;5,"1) Under 5%",IF(D2566&lt;10,"2) 5-9%",IF(D2566&lt;15,"3) 10-14%",IF(D2566&lt;25,"4) 15-24%","5) 25%+"))))</f>
        <v>5) 25%+</v>
      </c>
      <c r="N2566" s="0" t="str">
        <f aca="false">IF(F2566&lt;50,"1) Under Rs 50",IF(F2566&lt;100,"2) Rs 50-99",IF(F2566&lt;200,"3) Rs 100-199",IF(F2566&lt;500,"4) Rs 200-499","5) Rs 500+"))))</f>
        <v>3) Rs 100-199</v>
      </c>
      <c r="O2566" s="0" t="n">
        <f aca="false">G2566*E2566/1000</f>
        <v>1.2</v>
      </c>
    </row>
    <row r="2567" customFormat="false" ht="15" hidden="false" customHeight="false" outlineLevel="0" collapsed="false">
      <c r="A2567" s="0" t="s">
        <v>115</v>
      </c>
      <c r="B2567" s="0" t="s">
        <v>1102</v>
      </c>
      <c r="C2567" s="0" t="n">
        <v>259</v>
      </c>
      <c r="D2567" s="0" t="n">
        <v>43</v>
      </c>
      <c r="E2567" s="0" t="n">
        <v>1</v>
      </c>
      <c r="F2567" s="0" t="n">
        <v>147</v>
      </c>
      <c r="G2567" s="0" t="n">
        <v>500</v>
      </c>
      <c r="H2567" s="0" t="s">
        <v>145</v>
      </c>
      <c r="I2567" s="0" t="n">
        <v>500</v>
      </c>
      <c r="J2567" s="0" t="n">
        <f aca="false">F2567*E2567</f>
        <v>147</v>
      </c>
      <c r="K2567" s="0" t="str">
        <f aca="false">IF(G2567&lt;1000,"1-Low",IF(G2567&lt;5000,"2-Medium","3-Bulk"))</f>
        <v>1-Low</v>
      </c>
      <c r="L2567" s="0" t="str">
        <f aca="false">IF(H2567="TRUE","Out of stock","In stock")</f>
        <v>In stock</v>
      </c>
      <c r="M2567" s="0" t="str">
        <f aca="false">IF(D2567&lt;5,"1) Under 5%",IF(D2567&lt;10,"2) 5-9%",IF(D2567&lt;15,"3) 10-14%",IF(D2567&lt;25,"4) 15-24%","5) 25%+"))))</f>
        <v>5) 25%+</v>
      </c>
      <c r="N2567" s="0" t="str">
        <f aca="false">IF(F2567&lt;50,"1) Under Rs 50",IF(F2567&lt;100,"2) Rs 50-99",IF(F2567&lt;200,"3) Rs 100-199",IF(F2567&lt;500,"4) Rs 200-499","5) Rs 500+"))))</f>
        <v>3) Rs 100-199</v>
      </c>
      <c r="O2567" s="0" t="n">
        <f aca="false">G2567*E2567/1000</f>
        <v>0.5</v>
      </c>
    </row>
    <row r="2568" customFormat="false" ht="15" hidden="false" customHeight="false" outlineLevel="0" collapsed="false">
      <c r="A2568" s="0" t="s">
        <v>115</v>
      </c>
      <c r="B2568" s="0" t="s">
        <v>884</v>
      </c>
      <c r="C2568" s="0" t="n">
        <v>260</v>
      </c>
      <c r="D2568" s="0" t="n">
        <v>10</v>
      </c>
      <c r="E2568" s="0" t="n">
        <v>4</v>
      </c>
      <c r="F2568" s="0" t="n">
        <v>234</v>
      </c>
      <c r="G2568" s="0" t="n">
        <v>400</v>
      </c>
      <c r="H2568" s="0" t="s">
        <v>145</v>
      </c>
      <c r="I2568" s="0" t="n">
        <v>400</v>
      </c>
      <c r="J2568" s="0" t="n">
        <f aca="false">F2568*E2568</f>
        <v>936</v>
      </c>
      <c r="K2568" s="0" t="str">
        <f aca="false">IF(G2568&lt;1000,"1-Low",IF(G2568&lt;5000,"2-Medium","3-Bulk"))</f>
        <v>1-Low</v>
      </c>
      <c r="L2568" s="0" t="str">
        <f aca="false">IF(H2568="TRUE","Out of stock","In stock")</f>
        <v>In stock</v>
      </c>
      <c r="M2568" s="0" t="str">
        <f aca="false">IF(D2568&lt;5,"1) Under 5%",IF(D2568&lt;10,"2) 5-9%",IF(D2568&lt;15,"3) 10-14%",IF(D2568&lt;25,"4) 15-24%","5) 25%+"))))</f>
        <v>3) 10-14%</v>
      </c>
      <c r="N2568" s="0" t="str">
        <f aca="false">IF(F2568&lt;50,"1) Under Rs 50",IF(F2568&lt;100,"2) Rs 50-99",IF(F2568&lt;200,"3) Rs 100-199",IF(F2568&lt;500,"4) Rs 200-499","5) Rs 500+"))))</f>
        <v>4) Rs 200-499</v>
      </c>
      <c r="O2568" s="0" t="n">
        <f aca="false">G2568*E2568/1000</f>
        <v>1.6</v>
      </c>
    </row>
    <row r="2569" customFormat="false" ht="15" hidden="false" customHeight="false" outlineLevel="0" collapsed="false">
      <c r="A2569" s="0" t="s">
        <v>115</v>
      </c>
      <c r="B2569" s="0" t="s">
        <v>1103</v>
      </c>
      <c r="C2569" s="0" t="n">
        <v>245</v>
      </c>
      <c r="D2569" s="0" t="n">
        <v>9</v>
      </c>
      <c r="E2569" s="0" t="n">
        <v>2</v>
      </c>
      <c r="F2569" s="0" t="n">
        <v>221</v>
      </c>
      <c r="G2569" s="0" t="n">
        <v>450</v>
      </c>
      <c r="H2569" s="0" t="s">
        <v>145</v>
      </c>
      <c r="I2569" s="0" t="n">
        <v>450</v>
      </c>
      <c r="J2569" s="0" t="n">
        <f aca="false">F2569*E2569</f>
        <v>442</v>
      </c>
      <c r="K2569" s="0" t="str">
        <f aca="false">IF(G2569&lt;1000,"1-Low",IF(G2569&lt;5000,"2-Medium","3-Bulk"))</f>
        <v>1-Low</v>
      </c>
      <c r="L2569" s="0" t="str">
        <f aca="false">IF(H2569="TRUE","Out of stock","In stock")</f>
        <v>In stock</v>
      </c>
      <c r="M2569" s="0" t="str">
        <f aca="false">IF(D2569&lt;5,"1) Under 5%",IF(D2569&lt;10,"2) 5-9%",IF(D2569&lt;15,"3) 10-14%",IF(D2569&lt;25,"4) 15-24%","5) 25%+"))))</f>
        <v>2) 5-9%</v>
      </c>
      <c r="N2569" s="0" t="str">
        <f aca="false">IF(F2569&lt;50,"1) Under Rs 50",IF(F2569&lt;100,"2) Rs 50-99",IF(F2569&lt;200,"3) Rs 100-199",IF(F2569&lt;500,"4) Rs 200-499","5) Rs 500+"))))</f>
        <v>4) Rs 200-499</v>
      </c>
      <c r="O2569" s="0" t="n">
        <f aca="false">G2569*E2569/1000</f>
        <v>0.9</v>
      </c>
    </row>
    <row r="2570" customFormat="false" ht="15" hidden="false" customHeight="false" outlineLevel="0" collapsed="false">
      <c r="A2570" s="0" t="s">
        <v>115</v>
      </c>
      <c r="B2570" s="0" t="s">
        <v>421</v>
      </c>
      <c r="C2570" s="0" t="n">
        <v>74</v>
      </c>
      <c r="D2570" s="0" t="n">
        <v>9</v>
      </c>
      <c r="E2570" s="0" t="n">
        <v>3</v>
      </c>
      <c r="F2570" s="0" t="n">
        <v>67</v>
      </c>
      <c r="G2570" s="0" t="n">
        <v>100</v>
      </c>
      <c r="H2570" s="0" t="s">
        <v>145</v>
      </c>
      <c r="I2570" s="0" t="n">
        <v>100</v>
      </c>
      <c r="J2570" s="0" t="n">
        <f aca="false">F2570*E2570</f>
        <v>201</v>
      </c>
      <c r="K2570" s="0" t="str">
        <f aca="false">IF(G2570&lt;1000,"1-Low",IF(G2570&lt;5000,"2-Medium","3-Bulk"))</f>
        <v>1-Low</v>
      </c>
      <c r="L2570" s="0" t="str">
        <f aca="false">IF(H2570="TRUE","Out of stock","In stock")</f>
        <v>In stock</v>
      </c>
      <c r="M2570" s="0" t="str">
        <f aca="false">IF(D2570&lt;5,"1) Under 5%",IF(D2570&lt;10,"2) 5-9%",IF(D2570&lt;15,"3) 10-14%",IF(D2570&lt;25,"4) 15-24%","5) 25%+"))))</f>
        <v>2) 5-9%</v>
      </c>
      <c r="N2570" s="0" t="str">
        <f aca="false">IF(F2570&lt;50,"1) Under Rs 50",IF(F2570&lt;100,"2) Rs 50-99",IF(F2570&lt;200,"3) Rs 100-199",IF(F2570&lt;500,"4) Rs 200-499","5) Rs 500+"))))</f>
        <v>2) Rs 50-99</v>
      </c>
      <c r="O2570" s="0" t="n">
        <f aca="false">G2570*E2570/1000</f>
        <v>0.3</v>
      </c>
    </row>
    <row r="2571" customFormat="false" ht="15" hidden="false" customHeight="false" outlineLevel="0" collapsed="false">
      <c r="A2571" s="0" t="s">
        <v>115</v>
      </c>
      <c r="B2571" s="0" t="s">
        <v>754</v>
      </c>
      <c r="C2571" s="0" t="n">
        <v>72</v>
      </c>
      <c r="D2571" s="0" t="n">
        <v>13</v>
      </c>
      <c r="E2571" s="0" t="n">
        <v>4</v>
      </c>
      <c r="F2571" s="0" t="n">
        <v>62</v>
      </c>
      <c r="G2571" s="0" t="n">
        <v>348</v>
      </c>
      <c r="H2571" s="0" t="s">
        <v>145</v>
      </c>
      <c r="I2571" s="0" t="n">
        <v>6</v>
      </c>
      <c r="J2571" s="0" t="n">
        <f aca="false">F2571*E2571</f>
        <v>248</v>
      </c>
      <c r="K2571" s="0" t="str">
        <f aca="false">IF(G2571&lt;1000,"1-Low",IF(G2571&lt;5000,"2-Medium","3-Bulk"))</f>
        <v>1-Low</v>
      </c>
      <c r="L2571" s="0" t="str">
        <f aca="false">IF(H2571="TRUE","Out of stock","In stock")</f>
        <v>In stock</v>
      </c>
      <c r="M2571" s="0" t="str">
        <f aca="false">IF(D2571&lt;5,"1) Under 5%",IF(D2571&lt;10,"2) 5-9%",IF(D2571&lt;15,"3) 10-14%",IF(D2571&lt;25,"4) 15-24%","5) 25%+"))))</f>
        <v>3) 10-14%</v>
      </c>
      <c r="N2571" s="0" t="str">
        <f aca="false">IF(F2571&lt;50,"1) Under Rs 50",IF(F2571&lt;100,"2) Rs 50-99",IF(F2571&lt;200,"3) Rs 100-199",IF(F2571&lt;500,"4) Rs 200-499","5) Rs 500+"))))</f>
        <v>2) Rs 50-99</v>
      </c>
      <c r="O2571" s="0" t="n">
        <f aca="false">G2571*E2571/1000</f>
        <v>1.392</v>
      </c>
    </row>
    <row r="2572" customFormat="false" ht="15" hidden="false" customHeight="false" outlineLevel="0" collapsed="false">
      <c r="A2572" s="0" t="s">
        <v>115</v>
      </c>
      <c r="B2572" s="0" t="s">
        <v>430</v>
      </c>
      <c r="C2572" s="0" t="n">
        <v>40</v>
      </c>
      <c r="D2572" s="0" t="n">
        <v>2</v>
      </c>
      <c r="E2572" s="0" t="n">
        <v>6</v>
      </c>
      <c r="F2572" s="0" t="n">
        <v>39</v>
      </c>
      <c r="G2572" s="0" t="n">
        <v>50</v>
      </c>
      <c r="H2572" s="0" t="s">
        <v>145</v>
      </c>
      <c r="I2572" s="0" t="n">
        <v>50</v>
      </c>
      <c r="J2572" s="0" t="n">
        <f aca="false">F2572*E2572</f>
        <v>234</v>
      </c>
      <c r="K2572" s="0" t="str">
        <f aca="false">IF(G2572&lt;1000,"1-Low",IF(G2572&lt;5000,"2-Medium","3-Bulk"))</f>
        <v>1-Low</v>
      </c>
      <c r="L2572" s="0" t="str">
        <f aca="false">IF(H2572="TRUE","Out of stock","In stock")</f>
        <v>In stock</v>
      </c>
      <c r="M2572" s="0" t="str">
        <f aca="false">IF(D2572&lt;5,"1) Under 5%",IF(D2572&lt;10,"2) 5-9%",IF(D2572&lt;15,"3) 10-14%",IF(D2572&lt;25,"4) 15-24%","5) 25%+"))))</f>
        <v>1) Under 5%</v>
      </c>
      <c r="N2572" s="0" t="str">
        <f aca="false">IF(F2572&lt;50,"1) Under Rs 50",IF(F2572&lt;100,"2) Rs 50-99",IF(F2572&lt;200,"3) Rs 100-199",IF(F2572&lt;500,"4) Rs 200-499","5) Rs 500+"))))</f>
        <v>1) Under Rs 50</v>
      </c>
      <c r="O2572" s="0" t="n">
        <f aca="false">G2572*E2572/1000</f>
        <v>0.3</v>
      </c>
    </row>
    <row r="2573" customFormat="false" ht="15" hidden="false" customHeight="false" outlineLevel="0" collapsed="false">
      <c r="A2573" s="0" t="s">
        <v>115</v>
      </c>
      <c r="B2573" s="0" t="s">
        <v>1104</v>
      </c>
      <c r="C2573" s="0" t="n">
        <v>261</v>
      </c>
      <c r="D2573" s="0" t="n">
        <v>14</v>
      </c>
      <c r="E2573" s="0" t="n">
        <v>1</v>
      </c>
      <c r="F2573" s="0" t="n">
        <v>222</v>
      </c>
      <c r="G2573" s="0" t="n">
        <v>500</v>
      </c>
      <c r="H2573" s="0" t="s">
        <v>145</v>
      </c>
      <c r="I2573" s="0" t="n">
        <v>500</v>
      </c>
      <c r="J2573" s="0" t="n">
        <f aca="false">F2573*E2573</f>
        <v>222</v>
      </c>
      <c r="K2573" s="0" t="str">
        <f aca="false">IF(G2573&lt;1000,"1-Low",IF(G2573&lt;5000,"2-Medium","3-Bulk"))</f>
        <v>1-Low</v>
      </c>
      <c r="L2573" s="0" t="str">
        <f aca="false">IF(H2573="TRUE","Out of stock","In stock")</f>
        <v>In stock</v>
      </c>
      <c r="M2573" s="0" t="str">
        <f aca="false">IF(D2573&lt;5,"1) Under 5%",IF(D2573&lt;10,"2) 5-9%",IF(D2573&lt;15,"3) 10-14%",IF(D2573&lt;25,"4) 15-24%","5) 25%+"))))</f>
        <v>3) 10-14%</v>
      </c>
      <c r="N2573" s="0" t="str">
        <f aca="false">IF(F2573&lt;50,"1) Under Rs 50",IF(F2573&lt;100,"2) Rs 50-99",IF(F2573&lt;200,"3) Rs 100-199",IF(F2573&lt;500,"4) Rs 200-499","5) Rs 500+"))))</f>
        <v>4) Rs 200-499</v>
      </c>
      <c r="O2573" s="0" t="n">
        <f aca="false">G2573*E2573/1000</f>
        <v>0.5</v>
      </c>
    </row>
    <row r="2574" customFormat="false" ht="15" hidden="false" customHeight="false" outlineLevel="0" collapsed="false">
      <c r="A2574" s="0" t="s">
        <v>115</v>
      </c>
      <c r="B2574" s="0" t="s">
        <v>439</v>
      </c>
      <c r="C2574" s="0" t="n">
        <v>205</v>
      </c>
      <c r="D2574" s="0" t="n">
        <v>5</v>
      </c>
      <c r="E2574" s="0" t="n">
        <v>1</v>
      </c>
      <c r="F2574" s="0" t="n">
        <v>194</v>
      </c>
      <c r="G2574" s="0" t="n">
        <v>250</v>
      </c>
      <c r="H2574" s="0" t="s">
        <v>145</v>
      </c>
      <c r="I2574" s="0" t="n">
        <v>250</v>
      </c>
      <c r="J2574" s="0" t="n">
        <f aca="false">F2574*E2574</f>
        <v>194</v>
      </c>
      <c r="K2574" s="0" t="str">
        <f aca="false">IF(G2574&lt;1000,"1-Low",IF(G2574&lt;5000,"2-Medium","3-Bulk"))</f>
        <v>1-Low</v>
      </c>
      <c r="L2574" s="0" t="str">
        <f aca="false">IF(H2574="TRUE","Out of stock","In stock")</f>
        <v>In stock</v>
      </c>
      <c r="M2574" s="0" t="str">
        <f aca="false">IF(D2574&lt;5,"1) Under 5%",IF(D2574&lt;10,"2) 5-9%",IF(D2574&lt;15,"3) 10-14%",IF(D2574&lt;25,"4) 15-24%","5) 25%+"))))</f>
        <v>2) 5-9%</v>
      </c>
      <c r="N2574" s="0" t="str">
        <f aca="false">IF(F2574&lt;50,"1) Under Rs 50",IF(F2574&lt;100,"2) Rs 50-99",IF(F2574&lt;200,"3) Rs 100-199",IF(F2574&lt;500,"4) Rs 200-499","5) Rs 500+"))))</f>
        <v>3) Rs 100-199</v>
      </c>
      <c r="O2574" s="0" t="n">
        <f aca="false">G2574*E2574/1000</f>
        <v>0.25</v>
      </c>
    </row>
    <row r="2575" customFormat="false" ht="15" hidden="false" customHeight="false" outlineLevel="0" collapsed="false">
      <c r="A2575" s="0" t="s">
        <v>115</v>
      </c>
      <c r="B2575" s="0" t="s">
        <v>759</v>
      </c>
      <c r="C2575" s="0" t="n">
        <v>120</v>
      </c>
      <c r="D2575" s="0" t="n">
        <v>43</v>
      </c>
      <c r="E2575" s="0" t="n">
        <v>4</v>
      </c>
      <c r="F2575" s="0" t="n">
        <v>68</v>
      </c>
      <c r="G2575" s="0" t="n">
        <v>348</v>
      </c>
      <c r="H2575" s="0" t="s">
        <v>145</v>
      </c>
      <c r="I2575" s="0" t="n">
        <v>6</v>
      </c>
      <c r="J2575" s="0" t="n">
        <f aca="false">F2575*E2575</f>
        <v>272</v>
      </c>
      <c r="K2575" s="0" t="str">
        <f aca="false">IF(G2575&lt;1000,"1-Low",IF(G2575&lt;5000,"2-Medium","3-Bulk"))</f>
        <v>1-Low</v>
      </c>
      <c r="L2575" s="0" t="str">
        <f aca="false">IF(H2575="TRUE","Out of stock","In stock")</f>
        <v>In stock</v>
      </c>
      <c r="M2575" s="0" t="str">
        <f aca="false">IF(D2575&lt;5,"1) Under 5%",IF(D2575&lt;10,"2) 5-9%",IF(D2575&lt;15,"3) 10-14%",IF(D2575&lt;25,"4) 15-24%","5) 25%+"))))</f>
        <v>5) 25%+</v>
      </c>
      <c r="N2575" s="0" t="str">
        <f aca="false">IF(F2575&lt;50,"1) Under Rs 50",IF(F2575&lt;100,"2) Rs 50-99",IF(F2575&lt;200,"3) Rs 100-199",IF(F2575&lt;500,"4) Rs 200-499","5) Rs 500+"))))</f>
        <v>2) Rs 50-99</v>
      </c>
      <c r="O2575" s="0" t="n">
        <f aca="false">G2575*E2575/1000</f>
        <v>1.392</v>
      </c>
    </row>
    <row r="2576" customFormat="false" ht="15" hidden="false" customHeight="false" outlineLevel="0" collapsed="false">
      <c r="A2576" s="0" t="s">
        <v>115</v>
      </c>
      <c r="B2576" s="0" t="s">
        <v>453</v>
      </c>
      <c r="C2576" s="0" t="n">
        <v>39</v>
      </c>
      <c r="D2576" s="0" t="n">
        <v>2</v>
      </c>
      <c r="E2576" s="0" t="n">
        <v>5</v>
      </c>
      <c r="F2576" s="0" t="n">
        <v>38</v>
      </c>
      <c r="G2576" s="0" t="n">
        <v>50</v>
      </c>
      <c r="H2576" s="0" t="s">
        <v>145</v>
      </c>
      <c r="I2576" s="0" t="n">
        <v>50</v>
      </c>
      <c r="J2576" s="0" t="n">
        <f aca="false">F2576*E2576</f>
        <v>190</v>
      </c>
      <c r="K2576" s="0" t="str">
        <f aca="false">IF(G2576&lt;1000,"1-Low",IF(G2576&lt;5000,"2-Medium","3-Bulk"))</f>
        <v>1-Low</v>
      </c>
      <c r="L2576" s="0" t="str">
        <f aca="false">IF(H2576="TRUE","Out of stock","In stock")</f>
        <v>In stock</v>
      </c>
      <c r="M2576" s="0" t="str">
        <f aca="false">IF(D2576&lt;5,"1) Under 5%",IF(D2576&lt;10,"2) 5-9%",IF(D2576&lt;15,"3) 10-14%",IF(D2576&lt;25,"4) 15-24%","5) 25%+"))))</f>
        <v>1) Under 5%</v>
      </c>
      <c r="N2576" s="0" t="str">
        <f aca="false">IF(F2576&lt;50,"1) Under Rs 50",IF(F2576&lt;100,"2) Rs 50-99",IF(F2576&lt;200,"3) Rs 100-199",IF(F2576&lt;500,"4) Rs 200-499","5) Rs 500+"))))</f>
        <v>1) Under Rs 50</v>
      </c>
      <c r="O2576" s="0" t="n">
        <f aca="false">G2576*E2576/1000</f>
        <v>0.25</v>
      </c>
    </row>
    <row r="2577" customFormat="false" ht="15" hidden="false" customHeight="false" outlineLevel="0" collapsed="false">
      <c r="A2577" s="0" t="s">
        <v>115</v>
      </c>
      <c r="B2577" s="0" t="s">
        <v>450</v>
      </c>
      <c r="C2577" s="0" t="n">
        <v>160</v>
      </c>
      <c r="D2577" s="0" t="n">
        <v>10</v>
      </c>
      <c r="E2577" s="0" t="n">
        <v>3</v>
      </c>
      <c r="F2577" s="0" t="n">
        <v>144</v>
      </c>
      <c r="G2577" s="0" t="n">
        <v>250</v>
      </c>
      <c r="H2577" s="0" t="s">
        <v>145</v>
      </c>
      <c r="I2577" s="0" t="n">
        <v>250</v>
      </c>
      <c r="J2577" s="0" t="n">
        <f aca="false">F2577*E2577</f>
        <v>432</v>
      </c>
      <c r="K2577" s="0" t="str">
        <f aca="false">IF(G2577&lt;1000,"1-Low",IF(G2577&lt;5000,"2-Medium","3-Bulk"))</f>
        <v>1-Low</v>
      </c>
      <c r="L2577" s="0" t="str">
        <f aca="false">IF(H2577="TRUE","Out of stock","In stock")</f>
        <v>In stock</v>
      </c>
      <c r="M2577" s="0" t="str">
        <f aca="false">IF(D2577&lt;5,"1) Under 5%",IF(D2577&lt;10,"2) 5-9%",IF(D2577&lt;15,"3) 10-14%",IF(D2577&lt;25,"4) 15-24%","5) 25%+"))))</f>
        <v>3) 10-14%</v>
      </c>
      <c r="N2577" s="0" t="str">
        <f aca="false">IF(F2577&lt;50,"1) Under Rs 50",IF(F2577&lt;100,"2) Rs 50-99",IF(F2577&lt;200,"3) Rs 100-199",IF(F2577&lt;500,"4) Rs 200-499","5) Rs 500+"))))</f>
        <v>3) Rs 100-199</v>
      </c>
      <c r="O2577" s="0" t="n">
        <f aca="false">G2577*E2577/1000</f>
        <v>0.75</v>
      </c>
    </row>
    <row r="2578" customFormat="false" ht="15" hidden="false" customHeight="false" outlineLevel="0" collapsed="false">
      <c r="A2578" s="0" t="s">
        <v>115</v>
      </c>
      <c r="B2578" s="0" t="s">
        <v>122</v>
      </c>
      <c r="C2578" s="0" t="n">
        <v>295</v>
      </c>
      <c r="D2578" s="0" t="n">
        <v>9</v>
      </c>
      <c r="E2578" s="0" t="n">
        <v>6</v>
      </c>
      <c r="F2578" s="0" t="n">
        <v>266</v>
      </c>
      <c r="G2578" s="0" t="n">
        <v>360</v>
      </c>
      <c r="H2578" s="0" t="s">
        <v>145</v>
      </c>
      <c r="I2578" s="0" t="n">
        <v>360</v>
      </c>
      <c r="J2578" s="0" t="n">
        <f aca="false">F2578*E2578</f>
        <v>1596</v>
      </c>
      <c r="K2578" s="0" t="str">
        <f aca="false">IF(G2578&lt;1000,"1-Low",IF(G2578&lt;5000,"2-Medium","3-Bulk"))</f>
        <v>1-Low</v>
      </c>
      <c r="L2578" s="0" t="str">
        <f aca="false">IF(H2578="TRUE","Out of stock","In stock")</f>
        <v>In stock</v>
      </c>
      <c r="M2578" s="0" t="str">
        <f aca="false">IF(D2578&lt;5,"1) Under 5%",IF(D2578&lt;10,"2) 5-9%",IF(D2578&lt;15,"3) 10-14%",IF(D2578&lt;25,"4) 15-24%","5) 25%+"))))</f>
        <v>2) 5-9%</v>
      </c>
      <c r="N2578" s="0" t="str">
        <f aca="false">IF(F2578&lt;50,"1) Under Rs 50",IF(F2578&lt;100,"2) Rs 50-99",IF(F2578&lt;200,"3) Rs 100-199",IF(F2578&lt;500,"4) Rs 200-499","5) Rs 500+"))))</f>
        <v>4) Rs 200-499</v>
      </c>
      <c r="O2578" s="0" t="n">
        <f aca="false">G2578*E2578/1000</f>
        <v>2.16</v>
      </c>
    </row>
    <row r="2579" customFormat="false" ht="15" hidden="false" customHeight="false" outlineLevel="0" collapsed="false">
      <c r="A2579" s="0" t="s">
        <v>115</v>
      </c>
      <c r="B2579" s="0" t="s">
        <v>459</v>
      </c>
      <c r="C2579" s="0" t="n">
        <v>48</v>
      </c>
      <c r="D2579" s="0" t="n">
        <v>2</v>
      </c>
      <c r="E2579" s="0" t="n">
        <v>5</v>
      </c>
      <c r="F2579" s="0" t="n">
        <v>47</v>
      </c>
      <c r="G2579" s="0" t="n">
        <v>100</v>
      </c>
      <c r="H2579" s="0" t="s">
        <v>145</v>
      </c>
      <c r="I2579" s="0" t="n">
        <v>100</v>
      </c>
      <c r="J2579" s="0" t="n">
        <f aca="false">F2579*E2579</f>
        <v>235</v>
      </c>
      <c r="K2579" s="0" t="str">
        <f aca="false">IF(G2579&lt;1000,"1-Low",IF(G2579&lt;5000,"2-Medium","3-Bulk"))</f>
        <v>1-Low</v>
      </c>
      <c r="L2579" s="0" t="str">
        <f aca="false">IF(H2579="TRUE","Out of stock","In stock")</f>
        <v>In stock</v>
      </c>
      <c r="M2579" s="0" t="str">
        <f aca="false">IF(D2579&lt;5,"1) Under 5%",IF(D2579&lt;10,"2) 5-9%",IF(D2579&lt;15,"3) 10-14%",IF(D2579&lt;25,"4) 15-24%","5) 25%+"))))</f>
        <v>1) Under 5%</v>
      </c>
      <c r="N2579" s="0" t="str">
        <f aca="false">IF(F2579&lt;50,"1) Under Rs 50",IF(F2579&lt;100,"2) Rs 50-99",IF(F2579&lt;200,"3) Rs 100-199",IF(F2579&lt;500,"4) Rs 200-499","5) Rs 500+"))))</f>
        <v>1) Under Rs 50</v>
      </c>
      <c r="O2579" s="0" t="n">
        <f aca="false">G2579*E2579/1000</f>
        <v>0.5</v>
      </c>
    </row>
    <row r="2580" customFormat="false" ht="15" hidden="false" customHeight="false" outlineLevel="0" collapsed="false">
      <c r="A2580" s="0" t="s">
        <v>115</v>
      </c>
      <c r="B2580" s="0" t="s">
        <v>1105</v>
      </c>
      <c r="C2580" s="0" t="n">
        <v>290</v>
      </c>
      <c r="D2580" s="0" t="n">
        <v>29</v>
      </c>
      <c r="E2580" s="0" t="n">
        <v>1</v>
      </c>
      <c r="F2580" s="0" t="n">
        <v>204</v>
      </c>
      <c r="G2580" s="0" t="n">
        <v>500</v>
      </c>
      <c r="H2580" s="0" t="s">
        <v>145</v>
      </c>
      <c r="I2580" s="0" t="n">
        <v>500</v>
      </c>
      <c r="J2580" s="0" t="n">
        <f aca="false">F2580*E2580</f>
        <v>204</v>
      </c>
      <c r="K2580" s="0" t="str">
        <f aca="false">IF(G2580&lt;1000,"1-Low",IF(G2580&lt;5000,"2-Medium","3-Bulk"))</f>
        <v>1-Low</v>
      </c>
      <c r="L2580" s="0" t="str">
        <f aca="false">IF(H2580="TRUE","Out of stock","In stock")</f>
        <v>In stock</v>
      </c>
      <c r="M2580" s="0" t="str">
        <f aca="false">IF(D2580&lt;5,"1) Under 5%",IF(D2580&lt;10,"2) 5-9%",IF(D2580&lt;15,"3) 10-14%",IF(D2580&lt;25,"4) 15-24%","5) 25%+"))))</f>
        <v>5) 25%+</v>
      </c>
      <c r="N2580" s="0" t="str">
        <f aca="false">IF(F2580&lt;50,"1) Under Rs 50",IF(F2580&lt;100,"2) Rs 50-99",IF(F2580&lt;200,"3) Rs 100-199",IF(F2580&lt;500,"4) Rs 200-499","5) Rs 500+"))))</f>
        <v>4) Rs 200-499</v>
      </c>
      <c r="O2580" s="0" t="n">
        <f aca="false">G2580*E2580/1000</f>
        <v>0.5</v>
      </c>
    </row>
    <row r="2581" customFormat="false" ht="15" hidden="false" customHeight="false" outlineLevel="0" collapsed="false">
      <c r="A2581" s="0" t="s">
        <v>115</v>
      </c>
      <c r="B2581" s="0" t="s">
        <v>1106</v>
      </c>
      <c r="C2581" s="0" t="n">
        <v>275</v>
      </c>
      <c r="D2581" s="0" t="n">
        <v>9</v>
      </c>
      <c r="E2581" s="0" t="n">
        <v>3</v>
      </c>
      <c r="F2581" s="0" t="n">
        <v>248</v>
      </c>
      <c r="G2581" s="0" t="n">
        <v>450</v>
      </c>
      <c r="H2581" s="0" t="s">
        <v>145</v>
      </c>
      <c r="I2581" s="0" t="n">
        <v>450</v>
      </c>
      <c r="J2581" s="0" t="n">
        <f aca="false">F2581*E2581</f>
        <v>744</v>
      </c>
      <c r="K2581" s="0" t="str">
        <f aca="false">IF(G2581&lt;1000,"1-Low",IF(G2581&lt;5000,"2-Medium","3-Bulk"))</f>
        <v>1-Low</v>
      </c>
      <c r="L2581" s="0" t="str">
        <f aca="false">IF(H2581="TRUE","Out of stock","In stock")</f>
        <v>In stock</v>
      </c>
      <c r="M2581" s="0" t="str">
        <f aca="false">IF(D2581&lt;5,"1) Under 5%",IF(D2581&lt;10,"2) 5-9%",IF(D2581&lt;15,"3) 10-14%",IF(D2581&lt;25,"4) 15-24%","5) 25%+"))))</f>
        <v>2) 5-9%</v>
      </c>
      <c r="N2581" s="0" t="str">
        <f aca="false">IF(F2581&lt;50,"1) Under Rs 50",IF(F2581&lt;100,"2) Rs 50-99",IF(F2581&lt;200,"3) Rs 100-199",IF(F2581&lt;500,"4) Rs 200-499","5) Rs 500+"))))</f>
        <v>4) Rs 200-499</v>
      </c>
      <c r="O2581" s="0" t="n">
        <f aca="false">G2581*E2581/1000</f>
        <v>1.35</v>
      </c>
    </row>
    <row r="2582" customFormat="false" ht="15" hidden="false" customHeight="false" outlineLevel="0" collapsed="false">
      <c r="A2582" s="0" t="s">
        <v>115</v>
      </c>
      <c r="B2582" s="0" t="s">
        <v>1107</v>
      </c>
      <c r="C2582" s="0" t="n">
        <v>249</v>
      </c>
      <c r="D2582" s="0" t="n">
        <v>28</v>
      </c>
      <c r="E2582" s="0" t="n">
        <v>1</v>
      </c>
      <c r="F2582" s="0" t="n">
        <v>179</v>
      </c>
      <c r="G2582" s="0" t="n">
        <v>500</v>
      </c>
      <c r="H2582" s="0" t="s">
        <v>145</v>
      </c>
      <c r="I2582" s="0" t="n">
        <v>500</v>
      </c>
      <c r="J2582" s="0" t="n">
        <f aca="false">F2582*E2582</f>
        <v>179</v>
      </c>
      <c r="K2582" s="0" t="str">
        <f aca="false">IF(G2582&lt;1000,"1-Low",IF(G2582&lt;5000,"2-Medium","3-Bulk"))</f>
        <v>1-Low</v>
      </c>
      <c r="L2582" s="0" t="str">
        <f aca="false">IF(H2582="TRUE","Out of stock","In stock")</f>
        <v>In stock</v>
      </c>
      <c r="M2582" s="0" t="str">
        <f aca="false">IF(D2582&lt;5,"1) Under 5%",IF(D2582&lt;10,"2) 5-9%",IF(D2582&lt;15,"3) 10-14%",IF(D2582&lt;25,"4) 15-24%","5) 25%+"))))</f>
        <v>5) 25%+</v>
      </c>
      <c r="N2582" s="0" t="str">
        <f aca="false">IF(F2582&lt;50,"1) Under Rs 50",IF(F2582&lt;100,"2) Rs 50-99",IF(F2582&lt;200,"3) Rs 100-199",IF(F2582&lt;500,"4) Rs 200-499","5) Rs 500+"))))</f>
        <v>3) Rs 100-199</v>
      </c>
      <c r="O2582" s="0" t="n">
        <f aca="false">G2582*E2582/1000</f>
        <v>0.5</v>
      </c>
    </row>
    <row r="2583" customFormat="false" ht="15" hidden="false" customHeight="false" outlineLevel="0" collapsed="false">
      <c r="A2583" s="0" t="s">
        <v>115</v>
      </c>
      <c r="B2583" s="0" t="s">
        <v>1108</v>
      </c>
      <c r="C2583" s="0" t="n">
        <v>175</v>
      </c>
      <c r="D2583" s="0" t="n">
        <v>9</v>
      </c>
      <c r="E2583" s="0" t="n">
        <v>1</v>
      </c>
      <c r="F2583" s="0" t="n">
        <v>158</v>
      </c>
      <c r="G2583" s="0" t="n">
        <v>580</v>
      </c>
      <c r="H2583" s="0" t="s">
        <v>145</v>
      </c>
      <c r="I2583" s="0" t="n">
        <v>10</v>
      </c>
      <c r="J2583" s="0" t="n">
        <f aca="false">F2583*E2583</f>
        <v>158</v>
      </c>
      <c r="K2583" s="0" t="str">
        <f aca="false">IF(G2583&lt;1000,"1-Low",IF(G2583&lt;5000,"2-Medium","3-Bulk"))</f>
        <v>1-Low</v>
      </c>
      <c r="L2583" s="0" t="str">
        <f aca="false">IF(H2583="TRUE","Out of stock","In stock")</f>
        <v>In stock</v>
      </c>
      <c r="M2583" s="0" t="str">
        <f aca="false">IF(D2583&lt;5,"1) Under 5%",IF(D2583&lt;10,"2) 5-9%",IF(D2583&lt;15,"3) 10-14%",IF(D2583&lt;25,"4) 15-24%","5) 25%+"))))</f>
        <v>2) 5-9%</v>
      </c>
      <c r="N2583" s="0" t="str">
        <f aca="false">IF(F2583&lt;50,"1) Under Rs 50",IF(F2583&lt;100,"2) Rs 50-99",IF(F2583&lt;200,"3) Rs 100-199",IF(F2583&lt;500,"4) Rs 200-499","5) Rs 500+"))))</f>
        <v>3) Rs 100-199</v>
      </c>
      <c r="O2583" s="0" t="n">
        <f aca="false">G2583*E2583/1000</f>
        <v>0.58</v>
      </c>
    </row>
    <row r="2584" customFormat="false" ht="15" hidden="false" customHeight="false" outlineLevel="0" collapsed="false">
      <c r="A2584" s="0" t="s">
        <v>115</v>
      </c>
      <c r="B2584" s="0" t="s">
        <v>1109</v>
      </c>
      <c r="C2584" s="0" t="n">
        <v>75</v>
      </c>
      <c r="D2584" s="0" t="n">
        <v>9</v>
      </c>
      <c r="E2584" s="0" t="n">
        <v>1</v>
      </c>
      <c r="F2584" s="0" t="n">
        <v>68</v>
      </c>
      <c r="G2584" s="0" t="n">
        <v>200</v>
      </c>
      <c r="H2584" s="0" t="s">
        <v>145</v>
      </c>
      <c r="I2584" s="0" t="n">
        <v>200</v>
      </c>
      <c r="J2584" s="0" t="n">
        <f aca="false">F2584*E2584</f>
        <v>68</v>
      </c>
      <c r="K2584" s="0" t="str">
        <f aca="false">IF(G2584&lt;1000,"1-Low",IF(G2584&lt;5000,"2-Medium","3-Bulk"))</f>
        <v>1-Low</v>
      </c>
      <c r="L2584" s="0" t="str">
        <f aca="false">IF(H2584="TRUE","Out of stock","In stock")</f>
        <v>In stock</v>
      </c>
      <c r="M2584" s="0" t="str">
        <f aca="false">IF(D2584&lt;5,"1) Under 5%",IF(D2584&lt;10,"2) 5-9%",IF(D2584&lt;15,"3) 10-14%",IF(D2584&lt;25,"4) 15-24%","5) 25%+"))))</f>
        <v>2) 5-9%</v>
      </c>
      <c r="N2584" s="0" t="str">
        <f aca="false">IF(F2584&lt;50,"1) Under Rs 50",IF(F2584&lt;100,"2) Rs 50-99",IF(F2584&lt;200,"3) Rs 100-199",IF(F2584&lt;500,"4) Rs 200-499","5) Rs 500+"))))</f>
        <v>2) Rs 50-99</v>
      </c>
      <c r="O2584" s="0" t="n">
        <f aca="false">G2584*E2584/1000</f>
        <v>0.2</v>
      </c>
    </row>
    <row r="2585" customFormat="false" ht="15" hidden="false" customHeight="false" outlineLevel="0" collapsed="false">
      <c r="A2585" s="0" t="s">
        <v>115</v>
      </c>
      <c r="B2585" s="0" t="s">
        <v>453</v>
      </c>
      <c r="C2585" s="0" t="n">
        <v>74</v>
      </c>
      <c r="D2585" s="0" t="n">
        <v>9</v>
      </c>
      <c r="E2585" s="0" t="n">
        <v>3</v>
      </c>
      <c r="F2585" s="0" t="n">
        <v>67</v>
      </c>
      <c r="G2585" s="0" t="n">
        <v>100</v>
      </c>
      <c r="H2585" s="0" t="s">
        <v>145</v>
      </c>
      <c r="I2585" s="0" t="n">
        <v>100</v>
      </c>
      <c r="J2585" s="0" t="n">
        <f aca="false">F2585*E2585</f>
        <v>201</v>
      </c>
      <c r="K2585" s="0" t="str">
        <f aca="false">IF(G2585&lt;1000,"1-Low",IF(G2585&lt;5000,"2-Medium","3-Bulk"))</f>
        <v>1-Low</v>
      </c>
      <c r="L2585" s="0" t="str">
        <f aca="false">IF(H2585="TRUE","Out of stock","In stock")</f>
        <v>In stock</v>
      </c>
      <c r="M2585" s="0" t="str">
        <f aca="false">IF(D2585&lt;5,"1) Under 5%",IF(D2585&lt;10,"2) 5-9%",IF(D2585&lt;15,"3) 10-14%",IF(D2585&lt;25,"4) 15-24%","5) 25%+"))))</f>
        <v>2) 5-9%</v>
      </c>
      <c r="N2585" s="0" t="str">
        <f aca="false">IF(F2585&lt;50,"1) Under Rs 50",IF(F2585&lt;100,"2) Rs 50-99",IF(F2585&lt;200,"3) Rs 100-199",IF(F2585&lt;500,"4) Rs 200-499","5) Rs 500+"))))</f>
        <v>2) Rs 50-99</v>
      </c>
      <c r="O2585" s="0" t="n">
        <f aca="false">G2585*E2585/1000</f>
        <v>0.3</v>
      </c>
    </row>
    <row r="2586" customFormat="false" ht="15" hidden="false" customHeight="false" outlineLevel="0" collapsed="false">
      <c r="A2586" s="0" t="s">
        <v>115</v>
      </c>
      <c r="B2586" s="0" t="s">
        <v>1110</v>
      </c>
      <c r="C2586" s="0" t="n">
        <v>515</v>
      </c>
      <c r="D2586" s="0" t="n">
        <v>3</v>
      </c>
      <c r="E2586" s="0" t="n">
        <v>1</v>
      </c>
      <c r="F2586" s="0" t="n">
        <v>495</v>
      </c>
      <c r="G2586" s="0" t="n">
        <v>500</v>
      </c>
      <c r="H2586" s="0" t="s">
        <v>145</v>
      </c>
      <c r="I2586" s="0" t="n">
        <v>500</v>
      </c>
      <c r="J2586" s="0" t="n">
        <f aca="false">F2586*E2586</f>
        <v>495</v>
      </c>
      <c r="K2586" s="0" t="str">
        <f aca="false">IF(G2586&lt;1000,"1-Low",IF(G2586&lt;5000,"2-Medium","3-Bulk"))</f>
        <v>1-Low</v>
      </c>
      <c r="L2586" s="0" t="str">
        <f aca="false">IF(H2586="TRUE","Out of stock","In stock")</f>
        <v>In stock</v>
      </c>
      <c r="M2586" s="0" t="str">
        <f aca="false">IF(D2586&lt;5,"1) Under 5%",IF(D2586&lt;10,"2) 5-9%",IF(D2586&lt;15,"3) 10-14%",IF(D2586&lt;25,"4) 15-24%","5) 25%+"))))</f>
        <v>1) Under 5%</v>
      </c>
      <c r="N2586" s="0" t="str">
        <f aca="false">IF(F2586&lt;50,"1) Under Rs 50",IF(F2586&lt;100,"2) Rs 50-99",IF(F2586&lt;200,"3) Rs 100-199",IF(F2586&lt;500,"4) Rs 200-499","5) Rs 500+"))))</f>
        <v>4) Rs 200-499</v>
      </c>
      <c r="O2586" s="0" t="n">
        <f aca="false">G2586*E2586/1000</f>
        <v>0.5</v>
      </c>
    </row>
    <row r="2587" customFormat="false" ht="15" hidden="false" customHeight="false" outlineLevel="0" collapsed="false">
      <c r="A2587" s="0" t="s">
        <v>115</v>
      </c>
      <c r="B2587" s="0" t="s">
        <v>1111</v>
      </c>
      <c r="C2587" s="0" t="n">
        <v>465</v>
      </c>
      <c r="D2587" s="0" t="n">
        <v>4</v>
      </c>
      <c r="E2587" s="0" t="n">
        <v>1</v>
      </c>
      <c r="F2587" s="0" t="n">
        <v>442</v>
      </c>
      <c r="G2587" s="0" t="n">
        <v>500</v>
      </c>
      <c r="H2587" s="0" t="s">
        <v>145</v>
      </c>
      <c r="I2587" s="0" t="n">
        <v>500</v>
      </c>
      <c r="J2587" s="0" t="n">
        <f aca="false">F2587*E2587</f>
        <v>442</v>
      </c>
      <c r="K2587" s="0" t="str">
        <f aca="false">IF(G2587&lt;1000,"1-Low",IF(G2587&lt;5000,"2-Medium","3-Bulk"))</f>
        <v>1-Low</v>
      </c>
      <c r="L2587" s="0" t="str">
        <f aca="false">IF(H2587="TRUE","Out of stock","In stock")</f>
        <v>In stock</v>
      </c>
      <c r="M2587" s="0" t="str">
        <f aca="false">IF(D2587&lt;5,"1) Under 5%",IF(D2587&lt;10,"2) 5-9%",IF(D2587&lt;15,"3) 10-14%",IF(D2587&lt;25,"4) 15-24%","5) 25%+"))))</f>
        <v>1) Under 5%</v>
      </c>
      <c r="N2587" s="0" t="str">
        <f aca="false">IF(F2587&lt;50,"1) Under Rs 50",IF(F2587&lt;100,"2) Rs 50-99",IF(F2587&lt;200,"3) Rs 100-199",IF(F2587&lt;500,"4) Rs 200-499","5) Rs 500+"))))</f>
        <v>4) Rs 200-499</v>
      </c>
      <c r="O2587" s="0" t="n">
        <f aca="false">G2587*E2587/1000</f>
        <v>0.5</v>
      </c>
    </row>
    <row r="2588" customFormat="false" ht="15" hidden="false" customHeight="false" outlineLevel="0" collapsed="false">
      <c r="A2588" s="0" t="s">
        <v>115</v>
      </c>
      <c r="B2588" s="0" t="s">
        <v>508</v>
      </c>
      <c r="C2588" s="0" t="n">
        <v>220</v>
      </c>
      <c r="D2588" s="0" t="n">
        <v>50</v>
      </c>
      <c r="E2588" s="0" t="n">
        <v>5</v>
      </c>
      <c r="F2588" s="0" t="n">
        <v>110</v>
      </c>
      <c r="G2588" s="0" t="n">
        <v>200</v>
      </c>
      <c r="H2588" s="0" t="s">
        <v>145</v>
      </c>
      <c r="I2588" s="0" t="n">
        <v>200</v>
      </c>
      <c r="J2588" s="0" t="n">
        <f aca="false">F2588*E2588</f>
        <v>550</v>
      </c>
      <c r="K2588" s="0" t="str">
        <f aca="false">IF(G2588&lt;1000,"1-Low",IF(G2588&lt;5000,"2-Medium","3-Bulk"))</f>
        <v>1-Low</v>
      </c>
      <c r="L2588" s="0" t="str">
        <f aca="false">IF(H2588="TRUE","Out of stock","In stock")</f>
        <v>In stock</v>
      </c>
      <c r="M2588" s="0" t="str">
        <f aca="false">IF(D2588&lt;5,"1) Under 5%",IF(D2588&lt;10,"2) 5-9%",IF(D2588&lt;15,"3) 10-14%",IF(D2588&lt;25,"4) 15-24%","5) 25%+"))))</f>
        <v>5) 25%+</v>
      </c>
      <c r="N2588" s="0" t="str">
        <f aca="false">IF(F2588&lt;50,"1) Under Rs 50",IF(F2588&lt;100,"2) Rs 50-99",IF(F2588&lt;200,"3) Rs 100-199",IF(F2588&lt;500,"4) Rs 200-499","5) Rs 500+"))))</f>
        <v>3) Rs 100-199</v>
      </c>
      <c r="O2588" s="0" t="n">
        <f aca="false">G2588*E2588/1000</f>
        <v>1</v>
      </c>
    </row>
    <row r="2589" customFormat="false" ht="15" hidden="false" customHeight="false" outlineLevel="0" collapsed="false">
      <c r="A2589" s="0" t="s">
        <v>115</v>
      </c>
      <c r="B2589" s="0" t="s">
        <v>1112</v>
      </c>
      <c r="C2589" s="0" t="n">
        <v>210</v>
      </c>
      <c r="D2589" s="0" t="n">
        <v>10</v>
      </c>
      <c r="E2589" s="0" t="n">
        <v>1</v>
      </c>
      <c r="F2589" s="0" t="n">
        <v>189</v>
      </c>
      <c r="G2589" s="0" t="n">
        <v>116</v>
      </c>
      <c r="H2589" s="0" t="s">
        <v>145</v>
      </c>
      <c r="I2589" s="0" t="n">
        <v>2</v>
      </c>
      <c r="J2589" s="0" t="n">
        <f aca="false">F2589*E2589</f>
        <v>189</v>
      </c>
      <c r="K2589" s="0" t="str">
        <f aca="false">IF(G2589&lt;1000,"1-Low",IF(G2589&lt;5000,"2-Medium","3-Bulk"))</f>
        <v>1-Low</v>
      </c>
      <c r="L2589" s="0" t="str">
        <f aca="false">IF(H2589="TRUE","Out of stock","In stock")</f>
        <v>In stock</v>
      </c>
      <c r="M2589" s="0" t="str">
        <f aca="false">IF(D2589&lt;5,"1) Under 5%",IF(D2589&lt;10,"2) 5-9%",IF(D2589&lt;15,"3) 10-14%",IF(D2589&lt;25,"4) 15-24%","5) 25%+"))))</f>
        <v>3) 10-14%</v>
      </c>
      <c r="N2589" s="0" t="str">
        <f aca="false">IF(F2589&lt;50,"1) Under Rs 50",IF(F2589&lt;100,"2) Rs 50-99",IF(F2589&lt;200,"3) Rs 100-199",IF(F2589&lt;500,"4) Rs 200-499","5) Rs 500+"))))</f>
        <v>3) Rs 100-199</v>
      </c>
      <c r="O2589" s="0" t="n">
        <f aca="false">G2589*E2589/1000</f>
        <v>0.116</v>
      </c>
    </row>
    <row r="2590" customFormat="false" ht="15" hidden="false" customHeight="false" outlineLevel="0" collapsed="false">
      <c r="A2590" s="0" t="s">
        <v>115</v>
      </c>
      <c r="B2590" s="0" t="s">
        <v>970</v>
      </c>
      <c r="C2590" s="0" t="n">
        <v>150</v>
      </c>
      <c r="D2590" s="0" t="n">
        <v>0</v>
      </c>
      <c r="E2590" s="0" t="n">
        <v>3</v>
      </c>
      <c r="F2590" s="0" t="n">
        <v>150</v>
      </c>
      <c r="G2590" s="0" t="n">
        <v>250</v>
      </c>
      <c r="H2590" s="0" t="s">
        <v>145</v>
      </c>
      <c r="I2590" s="0" t="n">
        <v>250</v>
      </c>
      <c r="J2590" s="0" t="n">
        <f aca="false">F2590*E2590</f>
        <v>450</v>
      </c>
      <c r="K2590" s="0" t="str">
        <f aca="false">IF(G2590&lt;1000,"1-Low",IF(G2590&lt;5000,"2-Medium","3-Bulk"))</f>
        <v>1-Low</v>
      </c>
      <c r="L2590" s="0" t="str">
        <f aca="false">IF(H2590="TRUE","Out of stock","In stock")</f>
        <v>In stock</v>
      </c>
      <c r="M2590" s="0" t="str">
        <f aca="false">IF(D2590&lt;5,"1) Under 5%",IF(D2590&lt;10,"2) 5-9%",IF(D2590&lt;15,"3) 10-14%",IF(D2590&lt;25,"4) 15-24%","5) 25%+"))))</f>
        <v>1) Under 5%</v>
      </c>
      <c r="N2590" s="0" t="str">
        <f aca="false">IF(F2590&lt;50,"1) Under Rs 50",IF(F2590&lt;100,"2) Rs 50-99",IF(F2590&lt;200,"3) Rs 100-199",IF(F2590&lt;500,"4) Rs 200-499","5) Rs 500+"))))</f>
        <v>3) Rs 100-199</v>
      </c>
      <c r="O2590" s="0" t="n">
        <f aca="false">G2590*E2590/1000</f>
        <v>0.75</v>
      </c>
    </row>
    <row r="2591" customFormat="false" ht="15" hidden="false" customHeight="false" outlineLevel="0" collapsed="false">
      <c r="A2591" s="0" t="s">
        <v>115</v>
      </c>
      <c r="B2591" s="0" t="s">
        <v>1113</v>
      </c>
      <c r="C2591" s="0" t="n">
        <v>329</v>
      </c>
      <c r="D2591" s="0" t="n">
        <v>24</v>
      </c>
      <c r="E2591" s="0" t="n">
        <v>1</v>
      </c>
      <c r="F2591" s="0" t="n">
        <v>247</v>
      </c>
      <c r="G2591" s="0" t="n">
        <v>500</v>
      </c>
      <c r="H2591" s="0" t="s">
        <v>145</v>
      </c>
      <c r="I2591" s="0" t="n">
        <v>500</v>
      </c>
      <c r="J2591" s="0" t="n">
        <f aca="false">F2591*E2591</f>
        <v>247</v>
      </c>
      <c r="K2591" s="0" t="str">
        <f aca="false">IF(G2591&lt;1000,"1-Low",IF(G2591&lt;5000,"2-Medium","3-Bulk"))</f>
        <v>1-Low</v>
      </c>
      <c r="L2591" s="0" t="str">
        <f aca="false">IF(H2591="TRUE","Out of stock","In stock")</f>
        <v>In stock</v>
      </c>
      <c r="M2591" s="0" t="str">
        <f aca="false">IF(D2591&lt;5,"1) Under 5%",IF(D2591&lt;10,"2) 5-9%",IF(D2591&lt;15,"3) 10-14%",IF(D2591&lt;25,"4) 15-24%","5) 25%+"))))</f>
        <v>4) 15-24%</v>
      </c>
      <c r="N2591" s="0" t="str">
        <f aca="false">IF(F2591&lt;50,"1) Under Rs 50",IF(F2591&lt;100,"2) Rs 50-99",IF(F2591&lt;200,"3) Rs 100-199",IF(F2591&lt;500,"4) Rs 200-499","5) Rs 500+"))))</f>
        <v>4) Rs 200-499</v>
      </c>
      <c r="O2591" s="0" t="n">
        <f aca="false">G2591*E2591/1000</f>
        <v>0.5</v>
      </c>
    </row>
    <row r="2592" customFormat="false" ht="15" hidden="false" customHeight="false" outlineLevel="0" collapsed="false">
      <c r="A2592" s="0" t="s">
        <v>115</v>
      </c>
      <c r="B2592" s="0" t="s">
        <v>1114</v>
      </c>
      <c r="C2592" s="0" t="n">
        <v>210</v>
      </c>
      <c r="D2592" s="0" t="n">
        <v>0</v>
      </c>
      <c r="E2592" s="0" t="n">
        <v>1</v>
      </c>
      <c r="F2592" s="0" t="n">
        <v>210</v>
      </c>
      <c r="G2592" s="0" t="n">
        <v>450</v>
      </c>
      <c r="H2592" s="0" t="s">
        <v>145</v>
      </c>
      <c r="I2592" s="0" t="n">
        <v>450</v>
      </c>
      <c r="J2592" s="0" t="n">
        <f aca="false">F2592*E2592</f>
        <v>210</v>
      </c>
      <c r="K2592" s="0" t="str">
        <f aca="false">IF(G2592&lt;1000,"1-Low",IF(G2592&lt;5000,"2-Medium","3-Bulk"))</f>
        <v>1-Low</v>
      </c>
      <c r="L2592" s="0" t="str">
        <f aca="false">IF(H2592="TRUE","Out of stock","In stock")</f>
        <v>In stock</v>
      </c>
      <c r="M2592" s="0" t="str">
        <f aca="false">IF(D2592&lt;5,"1) Under 5%",IF(D2592&lt;10,"2) 5-9%",IF(D2592&lt;15,"3) 10-14%",IF(D2592&lt;25,"4) 15-24%","5) 25%+"))))</f>
        <v>1) Under 5%</v>
      </c>
      <c r="N2592" s="0" t="str">
        <f aca="false">IF(F2592&lt;50,"1) Under Rs 50",IF(F2592&lt;100,"2) Rs 50-99",IF(F2592&lt;200,"3) Rs 100-199",IF(F2592&lt;500,"4) Rs 200-499","5) Rs 500+"))))</f>
        <v>4) Rs 200-499</v>
      </c>
      <c r="O2592" s="0" t="n">
        <f aca="false">G2592*E2592/1000</f>
        <v>0.45</v>
      </c>
    </row>
    <row r="2593" customFormat="false" ht="15" hidden="false" customHeight="false" outlineLevel="0" collapsed="false">
      <c r="A2593" s="0" t="s">
        <v>115</v>
      </c>
      <c r="B2593" s="0" t="s">
        <v>596</v>
      </c>
      <c r="C2593" s="0" t="n">
        <v>220</v>
      </c>
      <c r="D2593" s="0" t="n">
        <v>50</v>
      </c>
      <c r="E2593" s="0" t="n">
        <v>6</v>
      </c>
      <c r="F2593" s="0" t="n">
        <v>110</v>
      </c>
      <c r="G2593" s="0" t="n">
        <v>200</v>
      </c>
      <c r="H2593" s="0" t="s">
        <v>145</v>
      </c>
      <c r="I2593" s="0" t="n">
        <v>200</v>
      </c>
      <c r="J2593" s="0" t="n">
        <f aca="false">F2593*E2593</f>
        <v>660</v>
      </c>
      <c r="K2593" s="0" t="str">
        <f aca="false">IF(G2593&lt;1000,"1-Low",IF(G2593&lt;5000,"2-Medium","3-Bulk"))</f>
        <v>1-Low</v>
      </c>
      <c r="L2593" s="0" t="str">
        <f aca="false">IF(H2593="TRUE","Out of stock","In stock")</f>
        <v>In stock</v>
      </c>
      <c r="M2593" s="0" t="str">
        <f aca="false">IF(D2593&lt;5,"1) Under 5%",IF(D2593&lt;10,"2) 5-9%",IF(D2593&lt;15,"3) 10-14%",IF(D2593&lt;25,"4) 15-24%","5) 25%+"))))</f>
        <v>5) 25%+</v>
      </c>
      <c r="N2593" s="0" t="str">
        <f aca="false">IF(F2593&lt;50,"1) Under Rs 50",IF(F2593&lt;100,"2) Rs 50-99",IF(F2593&lt;200,"3) Rs 100-199",IF(F2593&lt;500,"4) Rs 200-499","5) Rs 500+"))))</f>
        <v>3) Rs 100-199</v>
      </c>
      <c r="O2593" s="0" t="n">
        <f aca="false">G2593*E2593/1000</f>
        <v>1.2</v>
      </c>
    </row>
    <row r="2594" customFormat="false" ht="15" hidden="false" customHeight="false" outlineLevel="0" collapsed="false">
      <c r="A2594" s="0" t="s">
        <v>115</v>
      </c>
      <c r="B2594" s="0" t="s">
        <v>605</v>
      </c>
      <c r="C2594" s="0" t="n">
        <v>250</v>
      </c>
      <c r="D2594" s="0" t="n">
        <v>0</v>
      </c>
      <c r="E2594" s="0" t="n">
        <v>5</v>
      </c>
      <c r="F2594" s="0" t="n">
        <v>250</v>
      </c>
      <c r="G2594" s="0" t="n">
        <v>400</v>
      </c>
      <c r="H2594" s="0" t="s">
        <v>145</v>
      </c>
      <c r="I2594" s="0" t="n">
        <v>400</v>
      </c>
      <c r="J2594" s="0" t="n">
        <f aca="false">F2594*E2594</f>
        <v>1250</v>
      </c>
      <c r="K2594" s="0" t="str">
        <f aca="false">IF(G2594&lt;1000,"1-Low",IF(G2594&lt;5000,"2-Medium","3-Bulk"))</f>
        <v>1-Low</v>
      </c>
      <c r="L2594" s="0" t="str">
        <f aca="false">IF(H2594="TRUE","Out of stock","In stock")</f>
        <v>In stock</v>
      </c>
      <c r="M2594" s="0" t="str">
        <f aca="false">IF(D2594&lt;5,"1) Under 5%",IF(D2594&lt;10,"2) 5-9%",IF(D2594&lt;15,"3) 10-14%",IF(D2594&lt;25,"4) 15-24%","5) 25%+"))))</f>
        <v>1) Under 5%</v>
      </c>
      <c r="N2594" s="0" t="str">
        <f aca="false">IF(F2594&lt;50,"1) Under Rs 50",IF(F2594&lt;100,"2) Rs 50-99",IF(F2594&lt;200,"3) Rs 100-199",IF(F2594&lt;500,"4) Rs 200-499","5) Rs 500+"))))</f>
        <v>4) Rs 200-499</v>
      </c>
      <c r="O2594" s="0" t="n">
        <f aca="false">G2594*E2594/1000</f>
        <v>2</v>
      </c>
    </row>
    <row r="2595" customFormat="false" ht="15" hidden="false" customHeight="false" outlineLevel="0" collapsed="false">
      <c r="A2595" s="0" t="s">
        <v>115</v>
      </c>
      <c r="B2595" s="0" t="s">
        <v>612</v>
      </c>
      <c r="C2595" s="0" t="n">
        <v>66</v>
      </c>
      <c r="D2595" s="0" t="n">
        <v>0</v>
      </c>
      <c r="E2595" s="0" t="n">
        <v>6</v>
      </c>
      <c r="F2595" s="0" t="n">
        <v>66</v>
      </c>
      <c r="G2595" s="0" t="n">
        <v>50</v>
      </c>
      <c r="H2595" s="0" t="s">
        <v>145</v>
      </c>
      <c r="I2595" s="0" t="n">
        <v>50</v>
      </c>
      <c r="J2595" s="0" t="n">
        <f aca="false">F2595*E2595</f>
        <v>396</v>
      </c>
      <c r="K2595" s="0" t="str">
        <f aca="false">IF(G2595&lt;1000,"1-Low",IF(G2595&lt;5000,"2-Medium","3-Bulk"))</f>
        <v>1-Low</v>
      </c>
      <c r="L2595" s="0" t="str">
        <f aca="false">IF(H2595="TRUE","Out of stock","In stock")</f>
        <v>In stock</v>
      </c>
      <c r="M2595" s="0" t="str">
        <f aca="false">IF(D2595&lt;5,"1) Under 5%",IF(D2595&lt;10,"2) 5-9%",IF(D2595&lt;15,"3) 10-14%",IF(D2595&lt;25,"4) 15-24%","5) 25%+"))))</f>
        <v>1) Under 5%</v>
      </c>
      <c r="N2595" s="0" t="str">
        <f aca="false">IF(F2595&lt;50,"1) Under Rs 50",IF(F2595&lt;100,"2) Rs 50-99",IF(F2595&lt;200,"3) Rs 100-199",IF(F2595&lt;500,"4) Rs 200-499","5) Rs 500+"))))</f>
        <v>2) Rs 50-99</v>
      </c>
      <c r="O2595" s="0" t="n">
        <f aca="false">G2595*E2595/1000</f>
        <v>0.3</v>
      </c>
    </row>
    <row r="2596" customFormat="false" ht="15" hidden="false" customHeight="false" outlineLevel="0" collapsed="false">
      <c r="A2596" s="0" t="s">
        <v>115</v>
      </c>
      <c r="B2596" s="0" t="s">
        <v>796</v>
      </c>
      <c r="C2596" s="0" t="n">
        <v>62</v>
      </c>
      <c r="D2596" s="0" t="n">
        <v>0</v>
      </c>
      <c r="E2596" s="0" t="n">
        <v>0</v>
      </c>
      <c r="F2596" s="0" t="n">
        <v>62</v>
      </c>
      <c r="G2596" s="0" t="n">
        <v>696</v>
      </c>
      <c r="H2596" s="0" t="s">
        <v>230</v>
      </c>
      <c r="I2596" s="0" t="n">
        <v>12</v>
      </c>
      <c r="J2596" s="0" t="n">
        <f aca="false">F2596*E2596</f>
        <v>0</v>
      </c>
      <c r="K2596" s="0" t="str">
        <f aca="false">IF(G2596&lt;1000,"1-Low",IF(G2596&lt;5000,"2-Medium","3-Bulk"))</f>
        <v>1-Low</v>
      </c>
      <c r="L2596" s="0" t="str">
        <f aca="false">IF(H2596="TRUE","Out of stock","In stock")</f>
        <v>Out of stock</v>
      </c>
      <c r="M2596" s="0" t="str">
        <f aca="false">IF(D2596&lt;5,"1) Under 5%",IF(D2596&lt;10,"2) 5-9%",IF(D2596&lt;15,"3) 10-14%",IF(D2596&lt;25,"4) 15-24%","5) 25%+"))))</f>
        <v>1) Under 5%</v>
      </c>
      <c r="N2596" s="0" t="str">
        <f aca="false">IF(F2596&lt;50,"1) Under Rs 50",IF(F2596&lt;100,"2) Rs 50-99",IF(F2596&lt;200,"3) Rs 100-199",IF(F2596&lt;500,"4) Rs 200-499","5) Rs 500+"))))</f>
        <v>2) Rs 50-99</v>
      </c>
      <c r="O2596" s="0" t="n">
        <f aca="false">G2596*E2596/1000</f>
        <v>0</v>
      </c>
    </row>
    <row r="2597" customFormat="false" ht="15" hidden="false" customHeight="false" outlineLevel="0" collapsed="false">
      <c r="A2597" s="0" t="s">
        <v>115</v>
      </c>
      <c r="B2597" s="0" t="s">
        <v>1115</v>
      </c>
      <c r="C2597" s="0" t="n">
        <v>140</v>
      </c>
      <c r="D2597" s="0" t="n">
        <v>0</v>
      </c>
      <c r="E2597" s="0" t="n">
        <v>0</v>
      </c>
      <c r="F2597" s="0" t="n">
        <v>140</v>
      </c>
      <c r="G2597" s="0" t="n">
        <v>500</v>
      </c>
      <c r="H2597" s="0" t="s">
        <v>230</v>
      </c>
      <c r="I2597" s="0" t="n">
        <v>500</v>
      </c>
      <c r="J2597" s="0" t="n">
        <f aca="false">F2597*E2597</f>
        <v>0</v>
      </c>
      <c r="K2597" s="0" t="str">
        <f aca="false">IF(G2597&lt;1000,"1-Low",IF(G2597&lt;5000,"2-Medium","3-Bulk"))</f>
        <v>1-Low</v>
      </c>
      <c r="L2597" s="0" t="str">
        <f aca="false">IF(H2597="TRUE","Out of stock","In stock")</f>
        <v>Out of stock</v>
      </c>
      <c r="M2597" s="0" t="str">
        <f aca="false">IF(D2597&lt;5,"1) Under 5%",IF(D2597&lt;10,"2) 5-9%",IF(D2597&lt;15,"3) 10-14%",IF(D2597&lt;25,"4) 15-24%","5) 25%+"))))</f>
        <v>1) Under 5%</v>
      </c>
      <c r="N2597" s="0" t="str">
        <f aca="false">IF(F2597&lt;50,"1) Under Rs 50",IF(F2597&lt;100,"2) Rs 50-99",IF(F2597&lt;200,"3) Rs 100-199",IF(F2597&lt;500,"4) Rs 200-499","5) Rs 500+"))))</f>
        <v>3) Rs 100-199</v>
      </c>
      <c r="O2597" s="0" t="n">
        <f aca="false">G2597*E2597/1000</f>
        <v>0</v>
      </c>
    </row>
    <row r="2598" customFormat="false" ht="15" hidden="false" customHeight="false" outlineLevel="0" collapsed="false">
      <c r="A2598" s="0" t="s">
        <v>115</v>
      </c>
      <c r="B2598" s="0" t="s">
        <v>1116</v>
      </c>
      <c r="C2598" s="0" t="n">
        <v>145</v>
      </c>
      <c r="D2598" s="0" t="n">
        <v>0</v>
      </c>
      <c r="E2598" s="0" t="n">
        <v>0</v>
      </c>
      <c r="F2598" s="0" t="n">
        <v>145</v>
      </c>
      <c r="G2598" s="0" t="n">
        <v>450</v>
      </c>
      <c r="H2598" s="0" t="s">
        <v>230</v>
      </c>
      <c r="I2598" s="0" t="n">
        <v>450</v>
      </c>
      <c r="J2598" s="0" t="n">
        <f aca="false">F2598*E2598</f>
        <v>0</v>
      </c>
      <c r="K2598" s="0" t="str">
        <f aca="false">IF(G2598&lt;1000,"1-Low",IF(G2598&lt;5000,"2-Medium","3-Bulk"))</f>
        <v>1-Low</v>
      </c>
      <c r="L2598" s="0" t="str">
        <f aca="false">IF(H2598="TRUE","Out of stock","In stock")</f>
        <v>Out of stock</v>
      </c>
      <c r="M2598" s="0" t="str">
        <f aca="false">IF(D2598&lt;5,"1) Under 5%",IF(D2598&lt;10,"2) 5-9%",IF(D2598&lt;15,"3) 10-14%",IF(D2598&lt;25,"4) 15-24%","5) 25%+"))))</f>
        <v>1) Under 5%</v>
      </c>
      <c r="N2598" s="0" t="str">
        <f aca="false">IF(F2598&lt;50,"1) Under Rs 50",IF(F2598&lt;100,"2) Rs 50-99",IF(F2598&lt;200,"3) Rs 100-199",IF(F2598&lt;500,"4) Rs 200-499","5) Rs 500+"))))</f>
        <v>3) Rs 100-199</v>
      </c>
      <c r="O2598" s="0" t="n">
        <f aca="false">G2598*E2598/1000</f>
        <v>0</v>
      </c>
    </row>
    <row r="2599" customFormat="false" ht="15" hidden="false" customHeight="false" outlineLevel="0" collapsed="false">
      <c r="A2599" s="0" t="s">
        <v>115</v>
      </c>
      <c r="B2599" s="0" t="s">
        <v>691</v>
      </c>
      <c r="C2599" s="0" t="n">
        <v>190</v>
      </c>
      <c r="D2599" s="0" t="n">
        <v>0</v>
      </c>
      <c r="E2599" s="0" t="n">
        <v>0</v>
      </c>
      <c r="F2599" s="0" t="n">
        <v>190</v>
      </c>
      <c r="G2599" s="0" t="n">
        <v>300</v>
      </c>
      <c r="H2599" s="0" t="s">
        <v>230</v>
      </c>
      <c r="I2599" s="0" t="n">
        <v>300</v>
      </c>
      <c r="J2599" s="0" t="n">
        <f aca="false">F2599*E2599</f>
        <v>0</v>
      </c>
      <c r="K2599" s="0" t="str">
        <f aca="false">IF(G2599&lt;1000,"1-Low",IF(G2599&lt;5000,"2-Medium","3-Bulk"))</f>
        <v>1-Low</v>
      </c>
      <c r="L2599" s="0" t="str">
        <f aca="false">IF(H2599="TRUE","Out of stock","In stock")</f>
        <v>Out of stock</v>
      </c>
      <c r="M2599" s="0" t="str">
        <f aca="false">IF(D2599&lt;5,"1) Under 5%",IF(D2599&lt;10,"2) 5-9%",IF(D2599&lt;15,"3) 10-14%",IF(D2599&lt;25,"4) 15-24%","5) 25%+"))))</f>
        <v>1) Under 5%</v>
      </c>
      <c r="N2599" s="0" t="str">
        <f aca="false">IF(F2599&lt;50,"1) Under Rs 50",IF(F2599&lt;100,"2) Rs 50-99",IF(F2599&lt;200,"3) Rs 100-199",IF(F2599&lt;500,"4) Rs 200-499","5) Rs 500+"))))</f>
        <v>3) Rs 100-199</v>
      </c>
      <c r="O2599" s="0" t="n">
        <f aca="false">G2599*E2599/1000</f>
        <v>0</v>
      </c>
    </row>
    <row r="2600" customFormat="false" ht="15" hidden="false" customHeight="false" outlineLevel="0" collapsed="false">
      <c r="A2600" s="0" t="s">
        <v>115</v>
      </c>
      <c r="B2600" s="0" t="s">
        <v>1117</v>
      </c>
      <c r="C2600" s="0" t="n">
        <v>215</v>
      </c>
      <c r="D2600" s="0" t="n">
        <v>5</v>
      </c>
      <c r="E2600" s="0" t="n">
        <v>0</v>
      </c>
      <c r="F2600" s="0" t="n">
        <v>204</v>
      </c>
      <c r="G2600" s="0" t="n">
        <v>500</v>
      </c>
      <c r="H2600" s="0" t="s">
        <v>230</v>
      </c>
      <c r="I2600" s="0" t="n">
        <v>500</v>
      </c>
      <c r="J2600" s="0" t="n">
        <f aca="false">F2600*E2600</f>
        <v>0</v>
      </c>
      <c r="K2600" s="0" t="str">
        <f aca="false">IF(G2600&lt;1000,"1-Low",IF(G2600&lt;5000,"2-Medium","3-Bulk"))</f>
        <v>1-Low</v>
      </c>
      <c r="L2600" s="0" t="str">
        <f aca="false">IF(H2600="TRUE","Out of stock","In stock")</f>
        <v>Out of stock</v>
      </c>
      <c r="M2600" s="0" t="str">
        <f aca="false">IF(D2600&lt;5,"1) Under 5%",IF(D2600&lt;10,"2) 5-9%",IF(D2600&lt;15,"3) 10-14%",IF(D2600&lt;25,"4) 15-24%","5) 25%+"))))</f>
        <v>2) 5-9%</v>
      </c>
      <c r="N2600" s="0" t="str">
        <f aca="false">IF(F2600&lt;50,"1) Under Rs 50",IF(F2600&lt;100,"2) Rs 50-99",IF(F2600&lt;200,"3) Rs 100-199",IF(F2600&lt;500,"4) Rs 200-499","5) Rs 500+"))))</f>
        <v>4) Rs 200-499</v>
      </c>
      <c r="O2600" s="0" t="n">
        <f aca="false">G2600*E2600/1000</f>
        <v>0</v>
      </c>
    </row>
    <row r="2601" customFormat="false" ht="15" hidden="false" customHeight="false" outlineLevel="0" collapsed="false">
      <c r="A2601" s="0" t="s">
        <v>115</v>
      </c>
      <c r="B2601" s="0" t="s">
        <v>1118</v>
      </c>
      <c r="C2601" s="0" t="n">
        <v>275</v>
      </c>
      <c r="D2601" s="0" t="n">
        <v>9</v>
      </c>
      <c r="E2601" s="0" t="n">
        <v>0</v>
      </c>
      <c r="F2601" s="0" t="n">
        <v>248</v>
      </c>
      <c r="G2601" s="0" t="n">
        <v>450</v>
      </c>
      <c r="H2601" s="0" t="s">
        <v>230</v>
      </c>
      <c r="I2601" s="0" t="n">
        <v>450</v>
      </c>
      <c r="J2601" s="0" t="n">
        <f aca="false">F2601*E2601</f>
        <v>0</v>
      </c>
      <c r="K2601" s="0" t="str">
        <f aca="false">IF(G2601&lt;1000,"1-Low",IF(G2601&lt;5000,"2-Medium","3-Bulk"))</f>
        <v>1-Low</v>
      </c>
      <c r="L2601" s="0" t="str">
        <f aca="false">IF(H2601="TRUE","Out of stock","In stock")</f>
        <v>Out of stock</v>
      </c>
      <c r="M2601" s="0" t="str">
        <f aca="false">IF(D2601&lt;5,"1) Under 5%",IF(D2601&lt;10,"2) 5-9%",IF(D2601&lt;15,"3) 10-14%",IF(D2601&lt;25,"4) 15-24%","5) 25%+"))))</f>
        <v>2) 5-9%</v>
      </c>
      <c r="N2601" s="0" t="str">
        <f aca="false">IF(F2601&lt;50,"1) Under Rs 50",IF(F2601&lt;100,"2) Rs 50-99",IF(F2601&lt;200,"3) Rs 100-199",IF(F2601&lt;500,"4) Rs 200-499","5) Rs 500+"))))</f>
        <v>4) Rs 200-499</v>
      </c>
      <c r="O2601" s="0" t="n">
        <f aca="false">G2601*E2601/1000</f>
        <v>0</v>
      </c>
    </row>
    <row r="2602" customFormat="false" ht="15" hidden="false" customHeight="false" outlineLevel="0" collapsed="false">
      <c r="A2602" s="0" t="s">
        <v>115</v>
      </c>
      <c r="B2602" s="0" t="s">
        <v>804</v>
      </c>
      <c r="C2602" s="0" t="n">
        <v>75</v>
      </c>
      <c r="D2602" s="0" t="n">
        <v>17</v>
      </c>
      <c r="E2602" s="0" t="n">
        <v>0</v>
      </c>
      <c r="F2602" s="0" t="n">
        <v>62</v>
      </c>
      <c r="G2602" s="0" t="n">
        <v>348</v>
      </c>
      <c r="H2602" s="0" t="s">
        <v>230</v>
      </c>
      <c r="I2602" s="0" t="n">
        <v>6</v>
      </c>
      <c r="J2602" s="0" t="n">
        <f aca="false">F2602*E2602</f>
        <v>0</v>
      </c>
      <c r="K2602" s="0" t="str">
        <f aca="false">IF(G2602&lt;1000,"1-Low",IF(G2602&lt;5000,"2-Medium","3-Bulk"))</f>
        <v>1-Low</v>
      </c>
      <c r="L2602" s="0" t="str">
        <f aca="false">IF(H2602="TRUE","Out of stock","In stock")</f>
        <v>Out of stock</v>
      </c>
      <c r="M2602" s="0" t="str">
        <f aca="false">IF(D2602&lt;5,"1) Under 5%",IF(D2602&lt;10,"2) 5-9%",IF(D2602&lt;15,"3) 10-14%",IF(D2602&lt;25,"4) 15-24%","5) 25%+"))))</f>
        <v>4) 15-24%</v>
      </c>
      <c r="N2602" s="0" t="str">
        <f aca="false">IF(F2602&lt;50,"1) Under Rs 50",IF(F2602&lt;100,"2) Rs 50-99",IF(F2602&lt;200,"3) Rs 100-199",IF(F2602&lt;500,"4) Rs 200-499","5) Rs 500+"))))</f>
        <v>2) Rs 50-99</v>
      </c>
      <c r="O2602" s="0" t="n">
        <f aca="false">G2602*E2602/1000</f>
        <v>0</v>
      </c>
    </row>
    <row r="2603" customFormat="false" ht="15" hidden="false" customHeight="false" outlineLevel="0" collapsed="false">
      <c r="A2603" s="0" t="s">
        <v>115</v>
      </c>
      <c r="B2603" s="0" t="s">
        <v>807</v>
      </c>
      <c r="C2603" s="0" t="n">
        <v>72</v>
      </c>
      <c r="D2603" s="0" t="n">
        <v>16</v>
      </c>
      <c r="E2603" s="0" t="n">
        <v>0</v>
      </c>
      <c r="F2603" s="0" t="n">
        <v>60</v>
      </c>
      <c r="G2603" s="0" t="n">
        <v>348</v>
      </c>
      <c r="H2603" s="0" t="s">
        <v>230</v>
      </c>
      <c r="I2603" s="0" t="n">
        <v>6</v>
      </c>
      <c r="J2603" s="0" t="n">
        <f aca="false">F2603*E2603</f>
        <v>0</v>
      </c>
      <c r="K2603" s="0" t="str">
        <f aca="false">IF(G2603&lt;1000,"1-Low",IF(G2603&lt;5000,"2-Medium","3-Bulk"))</f>
        <v>1-Low</v>
      </c>
      <c r="L2603" s="0" t="str">
        <f aca="false">IF(H2603="TRUE","Out of stock","In stock")</f>
        <v>Out of stock</v>
      </c>
      <c r="M2603" s="0" t="str">
        <f aca="false">IF(D2603&lt;5,"1) Under 5%",IF(D2603&lt;10,"2) 5-9%",IF(D2603&lt;15,"3) 10-14%",IF(D2603&lt;25,"4) 15-24%","5) 25%+"))))</f>
        <v>4) 15-24%</v>
      </c>
      <c r="N2603" s="0" t="str">
        <f aca="false">IF(F2603&lt;50,"1) Under Rs 50",IF(F2603&lt;100,"2) Rs 50-99",IF(F2603&lt;200,"3) Rs 100-199",IF(F2603&lt;500,"4) Rs 200-499","5) Rs 500+"))))</f>
        <v>2) Rs 50-99</v>
      </c>
      <c r="O2603" s="0" t="n">
        <f aca="false">G2603*E2603/1000</f>
        <v>0</v>
      </c>
    </row>
    <row r="2604" customFormat="false" ht="15" hidden="false" customHeight="false" outlineLevel="0" collapsed="false">
      <c r="A2604" s="0" t="s">
        <v>115</v>
      </c>
      <c r="B2604" s="0" t="s">
        <v>1119</v>
      </c>
      <c r="C2604" s="0" t="n">
        <v>250</v>
      </c>
      <c r="D2604" s="0" t="n">
        <v>0</v>
      </c>
      <c r="E2604" s="0" t="n">
        <v>0</v>
      </c>
      <c r="F2604" s="0" t="n">
        <v>250</v>
      </c>
      <c r="G2604" s="0" t="n">
        <v>450</v>
      </c>
      <c r="H2604" s="0" t="s">
        <v>230</v>
      </c>
      <c r="I2604" s="0" t="n">
        <v>450</v>
      </c>
      <c r="J2604" s="0" t="n">
        <f aca="false">F2604*E2604</f>
        <v>0</v>
      </c>
      <c r="K2604" s="0" t="str">
        <f aca="false">IF(G2604&lt;1000,"1-Low",IF(G2604&lt;5000,"2-Medium","3-Bulk"))</f>
        <v>1-Low</v>
      </c>
      <c r="L2604" s="0" t="str">
        <f aca="false">IF(H2604="TRUE","Out of stock","In stock")</f>
        <v>Out of stock</v>
      </c>
      <c r="M2604" s="0" t="str">
        <f aca="false">IF(D2604&lt;5,"1) Under 5%",IF(D2604&lt;10,"2) 5-9%",IF(D2604&lt;15,"3) 10-14%",IF(D2604&lt;25,"4) 15-24%","5) 25%+"))))</f>
        <v>1) Under 5%</v>
      </c>
      <c r="N2604" s="0" t="str">
        <f aca="false">IF(F2604&lt;50,"1) Under Rs 50",IF(F2604&lt;100,"2) Rs 50-99",IF(F2604&lt;200,"3) Rs 100-199",IF(F2604&lt;500,"4) Rs 200-499","5) Rs 500+"))))</f>
        <v>4) Rs 200-499</v>
      </c>
      <c r="O2604" s="0" t="n">
        <f aca="false">G2604*E2604/1000</f>
        <v>0</v>
      </c>
    </row>
    <row r="2605" customFormat="false" ht="15" hidden="false" customHeight="false" outlineLevel="0" collapsed="false">
      <c r="A2605" s="0" t="s">
        <v>115</v>
      </c>
      <c r="B2605" s="0" t="s">
        <v>1120</v>
      </c>
      <c r="C2605" s="0" t="n">
        <v>250</v>
      </c>
      <c r="D2605" s="0" t="n">
        <v>0</v>
      </c>
      <c r="E2605" s="0" t="n">
        <v>0</v>
      </c>
      <c r="F2605" s="0" t="n">
        <v>250</v>
      </c>
      <c r="G2605" s="0" t="n">
        <v>450</v>
      </c>
      <c r="H2605" s="0" t="s">
        <v>230</v>
      </c>
      <c r="I2605" s="0" t="n">
        <v>450</v>
      </c>
      <c r="J2605" s="0" t="n">
        <f aca="false">F2605*E2605</f>
        <v>0</v>
      </c>
      <c r="K2605" s="0" t="str">
        <f aca="false">IF(G2605&lt;1000,"1-Low",IF(G2605&lt;5000,"2-Medium","3-Bulk"))</f>
        <v>1-Low</v>
      </c>
      <c r="L2605" s="0" t="str">
        <f aca="false">IF(H2605="TRUE","Out of stock","In stock")</f>
        <v>Out of stock</v>
      </c>
      <c r="M2605" s="0" t="str">
        <f aca="false">IF(D2605&lt;5,"1) Under 5%",IF(D2605&lt;10,"2) 5-9%",IF(D2605&lt;15,"3) 10-14%",IF(D2605&lt;25,"4) 15-24%","5) 25%+"))))</f>
        <v>1) Under 5%</v>
      </c>
      <c r="N2605" s="0" t="str">
        <f aca="false">IF(F2605&lt;50,"1) Under Rs 50",IF(F2605&lt;100,"2) Rs 50-99",IF(F2605&lt;200,"3) Rs 100-199",IF(F2605&lt;500,"4) Rs 200-499","5) Rs 500+"))))</f>
        <v>4) Rs 200-499</v>
      </c>
      <c r="O2605" s="0" t="n">
        <f aca="false">G2605*E2605/1000</f>
        <v>0</v>
      </c>
    </row>
    <row r="2606" customFormat="false" ht="15" hidden="false" customHeight="false" outlineLevel="0" collapsed="false">
      <c r="A2606" s="0" t="s">
        <v>115</v>
      </c>
      <c r="B2606" s="0" t="s">
        <v>699</v>
      </c>
      <c r="C2606" s="0" t="n">
        <v>150</v>
      </c>
      <c r="D2606" s="0" t="n">
        <v>4</v>
      </c>
      <c r="E2606" s="0" t="n">
        <v>0</v>
      </c>
      <c r="F2606" s="0" t="n">
        <v>143</v>
      </c>
      <c r="G2606" s="0" t="n">
        <v>250</v>
      </c>
      <c r="H2606" s="0" t="s">
        <v>230</v>
      </c>
      <c r="I2606" s="0" t="n">
        <v>250</v>
      </c>
      <c r="J2606" s="0" t="n">
        <f aca="false">F2606*E2606</f>
        <v>0</v>
      </c>
      <c r="K2606" s="0" t="str">
        <f aca="false">IF(G2606&lt;1000,"1-Low",IF(G2606&lt;5000,"2-Medium","3-Bulk"))</f>
        <v>1-Low</v>
      </c>
      <c r="L2606" s="0" t="str">
        <f aca="false">IF(H2606="TRUE","Out of stock","In stock")</f>
        <v>Out of stock</v>
      </c>
      <c r="M2606" s="0" t="str">
        <f aca="false">IF(D2606&lt;5,"1) Under 5%",IF(D2606&lt;10,"2) 5-9%",IF(D2606&lt;15,"3) 10-14%",IF(D2606&lt;25,"4) 15-24%","5) 25%+"))))</f>
        <v>1) Under 5%</v>
      </c>
      <c r="N2606" s="0" t="str">
        <f aca="false">IF(F2606&lt;50,"1) Under Rs 50",IF(F2606&lt;100,"2) Rs 50-99",IF(F2606&lt;200,"3) Rs 100-199",IF(F2606&lt;500,"4) Rs 200-499","5) Rs 500+"))))</f>
        <v>3) Rs 100-199</v>
      </c>
      <c r="O2606" s="0" t="n">
        <f aca="false">G2606*E2606/1000</f>
        <v>0</v>
      </c>
    </row>
    <row r="2607" customFormat="false" ht="15" hidden="false" customHeight="false" outlineLevel="0" collapsed="false">
      <c r="A2607" s="0" t="s">
        <v>115</v>
      </c>
      <c r="B2607" s="0" t="s">
        <v>1121</v>
      </c>
      <c r="C2607" s="0" t="n">
        <v>270</v>
      </c>
      <c r="D2607" s="0" t="n">
        <v>0</v>
      </c>
      <c r="E2607" s="0" t="n">
        <v>0</v>
      </c>
      <c r="F2607" s="0" t="n">
        <v>270</v>
      </c>
      <c r="G2607" s="0" t="n">
        <v>500</v>
      </c>
      <c r="H2607" s="0" t="s">
        <v>230</v>
      </c>
      <c r="I2607" s="0" t="n">
        <v>500</v>
      </c>
      <c r="J2607" s="0" t="n">
        <f aca="false">F2607*E2607</f>
        <v>0</v>
      </c>
      <c r="K2607" s="0" t="str">
        <f aca="false">IF(G2607&lt;1000,"1-Low",IF(G2607&lt;5000,"2-Medium","3-Bulk"))</f>
        <v>1-Low</v>
      </c>
      <c r="L2607" s="0" t="str">
        <f aca="false">IF(H2607="TRUE","Out of stock","In stock")</f>
        <v>Out of stock</v>
      </c>
      <c r="M2607" s="0" t="str">
        <f aca="false">IF(D2607&lt;5,"1) Under 5%",IF(D2607&lt;10,"2) 5-9%",IF(D2607&lt;15,"3) 10-14%",IF(D2607&lt;25,"4) 15-24%","5) 25%+"))))</f>
        <v>1) Under 5%</v>
      </c>
      <c r="N2607" s="0" t="str">
        <f aca="false">IF(F2607&lt;50,"1) Under Rs 50",IF(F2607&lt;100,"2) Rs 50-99",IF(F2607&lt;200,"3) Rs 100-199",IF(F2607&lt;500,"4) Rs 200-499","5) Rs 500+"))))</f>
        <v>4) Rs 200-499</v>
      </c>
      <c r="O2607" s="0" t="n">
        <f aca="false">G2607*E2607/1000</f>
        <v>0</v>
      </c>
    </row>
    <row r="2608" customFormat="false" ht="15" hidden="false" customHeight="false" outlineLevel="0" collapsed="false">
      <c r="A2608" s="0" t="s">
        <v>82</v>
      </c>
      <c r="B2608" s="0" t="s">
        <v>1122</v>
      </c>
      <c r="C2608" s="0" t="n">
        <v>10</v>
      </c>
      <c r="D2608" s="0" t="n">
        <v>0</v>
      </c>
      <c r="E2608" s="0" t="n">
        <v>6</v>
      </c>
      <c r="F2608" s="0" t="n">
        <v>10</v>
      </c>
      <c r="G2608" s="0" t="n">
        <v>60</v>
      </c>
      <c r="H2608" s="0" t="s">
        <v>145</v>
      </c>
      <c r="I2608" s="0" t="n">
        <v>58</v>
      </c>
      <c r="J2608" s="0" t="n">
        <f aca="false">F2608*E2608</f>
        <v>60</v>
      </c>
      <c r="K2608" s="0" t="str">
        <f aca="false">IF(G2608&lt;1000,"1-Low",IF(G2608&lt;5000,"2-Medium","3-Bulk"))</f>
        <v>1-Low</v>
      </c>
      <c r="L2608" s="0" t="str">
        <f aca="false">IF(H2608="TRUE","Out of stock","In stock")</f>
        <v>In stock</v>
      </c>
      <c r="M2608" s="0" t="str">
        <f aca="false">IF(D2608&lt;5,"1) Under 5%",IF(D2608&lt;10,"2) 5-9%",IF(D2608&lt;15,"3) 10-14%",IF(D2608&lt;25,"4) 15-24%","5) 25%+"))))</f>
        <v>1) Under 5%</v>
      </c>
      <c r="N2608" s="0" t="str">
        <f aca="false">IF(F2608&lt;50,"1) Under Rs 50",IF(F2608&lt;100,"2) Rs 50-99",IF(F2608&lt;200,"3) Rs 100-199",IF(F2608&lt;500,"4) Rs 200-499","5) Rs 500+"))))</f>
        <v>1) Under Rs 50</v>
      </c>
      <c r="O2608" s="0" t="n">
        <f aca="false">G2608*E2608/1000</f>
        <v>0.36</v>
      </c>
    </row>
    <row r="2609" customFormat="false" ht="15" hidden="false" customHeight="false" outlineLevel="0" collapsed="false">
      <c r="A2609" s="0" t="s">
        <v>82</v>
      </c>
      <c r="B2609" s="0" t="s">
        <v>1123</v>
      </c>
      <c r="C2609" s="0" t="n">
        <v>32</v>
      </c>
      <c r="D2609" s="0" t="n">
        <v>3</v>
      </c>
      <c r="E2609" s="0" t="n">
        <v>6</v>
      </c>
      <c r="F2609" s="0" t="n">
        <v>31</v>
      </c>
      <c r="G2609" s="0" t="n">
        <v>120</v>
      </c>
      <c r="H2609" s="0" t="s">
        <v>145</v>
      </c>
      <c r="I2609" s="0" t="n">
        <v>120</v>
      </c>
      <c r="J2609" s="0" t="n">
        <f aca="false">F2609*E2609</f>
        <v>186</v>
      </c>
      <c r="K2609" s="0" t="str">
        <f aca="false">IF(G2609&lt;1000,"1-Low",IF(G2609&lt;5000,"2-Medium","3-Bulk"))</f>
        <v>1-Low</v>
      </c>
      <c r="L2609" s="0" t="str">
        <f aca="false">IF(H2609="TRUE","Out of stock","In stock")</f>
        <v>In stock</v>
      </c>
      <c r="M2609" s="0" t="str">
        <f aca="false">IF(D2609&lt;5,"1) Under 5%",IF(D2609&lt;10,"2) 5-9%",IF(D2609&lt;15,"3) 10-14%",IF(D2609&lt;25,"4) 15-24%","5) 25%+"))))</f>
        <v>1) Under 5%</v>
      </c>
      <c r="N2609" s="0" t="str">
        <f aca="false">IF(F2609&lt;50,"1) Under Rs 50",IF(F2609&lt;100,"2) Rs 50-99",IF(F2609&lt;200,"3) Rs 100-199",IF(F2609&lt;500,"4) Rs 200-499","5) Rs 500+"))))</f>
        <v>1) Under Rs 50</v>
      </c>
      <c r="O2609" s="0" t="n">
        <f aca="false">G2609*E2609/1000</f>
        <v>0.72</v>
      </c>
    </row>
    <row r="2610" customFormat="false" ht="15" hidden="false" customHeight="false" outlineLevel="0" collapsed="false">
      <c r="A2610" s="0" t="s">
        <v>82</v>
      </c>
      <c r="B2610" s="0" t="s">
        <v>1124</v>
      </c>
      <c r="C2610" s="0" t="n">
        <v>45</v>
      </c>
      <c r="D2610" s="0" t="n">
        <v>51</v>
      </c>
      <c r="E2610" s="0" t="n">
        <v>4</v>
      </c>
      <c r="F2610" s="0" t="n">
        <v>22</v>
      </c>
      <c r="G2610" s="0" t="n">
        <v>60</v>
      </c>
      <c r="H2610" s="0" t="s">
        <v>145</v>
      </c>
      <c r="I2610" s="0" t="n">
        <v>75</v>
      </c>
      <c r="J2610" s="0" t="n">
        <f aca="false">F2610*E2610</f>
        <v>88</v>
      </c>
      <c r="K2610" s="0" t="str">
        <f aca="false">IF(G2610&lt;1000,"1-Low",IF(G2610&lt;5000,"2-Medium","3-Bulk"))</f>
        <v>1-Low</v>
      </c>
      <c r="L2610" s="0" t="str">
        <f aca="false">IF(H2610="TRUE","Out of stock","In stock")</f>
        <v>In stock</v>
      </c>
      <c r="M2610" s="0" t="str">
        <f aca="false">IF(D2610&lt;5,"1) Under 5%",IF(D2610&lt;10,"2) 5-9%",IF(D2610&lt;15,"3) 10-14%",IF(D2610&lt;25,"4) 15-24%","5) 25%+"))))</f>
        <v>5) 25%+</v>
      </c>
      <c r="N2610" s="0" t="str">
        <f aca="false">IF(F2610&lt;50,"1) Under Rs 50",IF(F2610&lt;100,"2) Rs 50-99",IF(F2610&lt;200,"3) Rs 100-199",IF(F2610&lt;500,"4) Rs 200-499","5) Rs 500+"))))</f>
        <v>1) Under Rs 50</v>
      </c>
      <c r="O2610" s="0" t="n">
        <f aca="false">G2610*E2610/1000</f>
        <v>0.24</v>
      </c>
    </row>
    <row r="2611" customFormat="false" ht="15" hidden="false" customHeight="false" outlineLevel="0" collapsed="false">
      <c r="A2611" s="0" t="s">
        <v>82</v>
      </c>
      <c r="B2611" s="0" t="s">
        <v>1125</v>
      </c>
      <c r="C2611" s="0" t="n">
        <v>45</v>
      </c>
      <c r="D2611" s="0" t="n">
        <v>0</v>
      </c>
      <c r="E2611" s="0" t="n">
        <v>1</v>
      </c>
      <c r="F2611" s="0" t="n">
        <v>45</v>
      </c>
      <c r="G2611" s="0" t="n">
        <v>200</v>
      </c>
      <c r="H2611" s="0" t="s">
        <v>145</v>
      </c>
      <c r="I2611" s="0" t="n">
        <v>150</v>
      </c>
      <c r="J2611" s="0" t="n">
        <f aca="false">F2611*E2611</f>
        <v>45</v>
      </c>
      <c r="K2611" s="0" t="str">
        <f aca="false">IF(G2611&lt;1000,"1-Low",IF(G2611&lt;5000,"2-Medium","3-Bulk"))</f>
        <v>1-Low</v>
      </c>
      <c r="L2611" s="0" t="str">
        <f aca="false">IF(H2611="TRUE","Out of stock","In stock")</f>
        <v>In stock</v>
      </c>
      <c r="M2611" s="0" t="str">
        <f aca="false">IF(D2611&lt;5,"1) Under 5%",IF(D2611&lt;10,"2) 5-9%",IF(D2611&lt;15,"3) 10-14%",IF(D2611&lt;25,"4) 15-24%","5) 25%+"))))</f>
        <v>1) Under 5%</v>
      </c>
      <c r="N2611" s="0" t="str">
        <f aca="false">IF(F2611&lt;50,"1) Under Rs 50",IF(F2611&lt;100,"2) Rs 50-99",IF(F2611&lt;200,"3) Rs 100-199",IF(F2611&lt;500,"4) Rs 200-499","5) Rs 500+"))))</f>
        <v>1) Under Rs 50</v>
      </c>
      <c r="O2611" s="0" t="n">
        <f aca="false">G2611*E2611/1000</f>
        <v>0.2</v>
      </c>
    </row>
    <row r="2612" customFormat="false" ht="15" hidden="false" customHeight="false" outlineLevel="0" collapsed="false">
      <c r="A2612" s="0" t="s">
        <v>82</v>
      </c>
      <c r="B2612" s="0" t="s">
        <v>1126</v>
      </c>
      <c r="C2612" s="0" t="n">
        <v>120</v>
      </c>
      <c r="D2612" s="0" t="n">
        <v>17</v>
      </c>
      <c r="E2612" s="0" t="n">
        <v>5</v>
      </c>
      <c r="F2612" s="0" t="n">
        <v>99</v>
      </c>
      <c r="G2612" s="0" t="n">
        <v>400</v>
      </c>
      <c r="H2612" s="0" t="s">
        <v>145</v>
      </c>
      <c r="I2612" s="0" t="n">
        <v>400</v>
      </c>
      <c r="J2612" s="0" t="n">
        <f aca="false">F2612*E2612</f>
        <v>495</v>
      </c>
      <c r="K2612" s="0" t="str">
        <f aca="false">IF(G2612&lt;1000,"1-Low",IF(G2612&lt;5000,"2-Medium","3-Bulk"))</f>
        <v>1-Low</v>
      </c>
      <c r="L2612" s="0" t="str">
        <f aca="false">IF(H2612="TRUE","Out of stock","In stock")</f>
        <v>In stock</v>
      </c>
      <c r="M2612" s="0" t="str">
        <f aca="false">IF(D2612&lt;5,"1) Under 5%",IF(D2612&lt;10,"2) 5-9%",IF(D2612&lt;15,"3) 10-14%",IF(D2612&lt;25,"4) 15-24%","5) 25%+"))))</f>
        <v>4) 15-24%</v>
      </c>
      <c r="N2612" s="0" t="str">
        <f aca="false">IF(F2612&lt;50,"1) Under Rs 50",IF(F2612&lt;100,"2) Rs 50-99",IF(F2612&lt;200,"3) Rs 100-199",IF(F2612&lt;500,"4) Rs 200-499","5) Rs 500+"))))</f>
        <v>2) Rs 50-99</v>
      </c>
      <c r="O2612" s="0" t="n">
        <f aca="false">G2612*E2612/1000</f>
        <v>2</v>
      </c>
    </row>
    <row r="2613" customFormat="false" ht="15" hidden="false" customHeight="false" outlineLevel="0" collapsed="false">
      <c r="A2613" s="0" t="s">
        <v>82</v>
      </c>
      <c r="B2613" s="0" t="s">
        <v>1127</v>
      </c>
      <c r="C2613" s="0" t="n">
        <v>45</v>
      </c>
      <c r="D2613" s="0" t="n">
        <v>2</v>
      </c>
      <c r="E2613" s="0" t="n">
        <v>1</v>
      </c>
      <c r="F2613" s="0" t="n">
        <v>44</v>
      </c>
      <c r="G2613" s="0" t="n">
        <v>200</v>
      </c>
      <c r="H2613" s="0" t="s">
        <v>145</v>
      </c>
      <c r="I2613" s="0" t="n">
        <v>200</v>
      </c>
      <c r="J2613" s="0" t="n">
        <f aca="false">F2613*E2613</f>
        <v>44</v>
      </c>
      <c r="K2613" s="0" t="str">
        <f aca="false">IF(G2613&lt;1000,"1-Low",IF(G2613&lt;5000,"2-Medium","3-Bulk"))</f>
        <v>1-Low</v>
      </c>
      <c r="L2613" s="0" t="str">
        <f aca="false">IF(H2613="TRUE","Out of stock","In stock")</f>
        <v>In stock</v>
      </c>
      <c r="M2613" s="0" t="str">
        <f aca="false">IF(D2613&lt;5,"1) Under 5%",IF(D2613&lt;10,"2) 5-9%",IF(D2613&lt;15,"3) 10-14%",IF(D2613&lt;25,"4) 15-24%","5) 25%+"))))</f>
        <v>1) Under 5%</v>
      </c>
      <c r="N2613" s="0" t="str">
        <f aca="false">IF(F2613&lt;50,"1) Under Rs 50",IF(F2613&lt;100,"2) Rs 50-99",IF(F2613&lt;200,"3) Rs 100-199",IF(F2613&lt;500,"4) Rs 200-499","5) Rs 500+"))))</f>
        <v>1) Under Rs 50</v>
      </c>
      <c r="O2613" s="0" t="n">
        <f aca="false">G2613*E2613/1000</f>
        <v>0.2</v>
      </c>
    </row>
    <row r="2614" customFormat="false" ht="15" hidden="false" customHeight="false" outlineLevel="0" collapsed="false">
      <c r="A2614" s="0" t="s">
        <v>82</v>
      </c>
      <c r="B2614" s="0" t="s">
        <v>1128</v>
      </c>
      <c r="C2614" s="0" t="n">
        <v>30</v>
      </c>
      <c r="D2614" s="0" t="n">
        <v>0</v>
      </c>
      <c r="E2614" s="0" t="n">
        <v>5</v>
      </c>
      <c r="F2614" s="0" t="n">
        <v>30</v>
      </c>
      <c r="G2614" s="0" t="n">
        <v>75</v>
      </c>
      <c r="H2614" s="0" t="s">
        <v>145</v>
      </c>
      <c r="I2614" s="0" t="n">
        <v>75</v>
      </c>
      <c r="J2614" s="0" t="n">
        <f aca="false">F2614*E2614</f>
        <v>150</v>
      </c>
      <c r="K2614" s="0" t="str">
        <f aca="false">IF(G2614&lt;1000,"1-Low",IF(G2614&lt;5000,"2-Medium","3-Bulk"))</f>
        <v>1-Low</v>
      </c>
      <c r="L2614" s="0" t="str">
        <f aca="false">IF(H2614="TRUE","Out of stock","In stock")</f>
        <v>In stock</v>
      </c>
      <c r="M2614" s="0" t="str">
        <f aca="false">IF(D2614&lt;5,"1) Under 5%",IF(D2614&lt;10,"2) 5-9%",IF(D2614&lt;15,"3) 10-14%",IF(D2614&lt;25,"4) 15-24%","5) 25%+"))))</f>
        <v>1) Under 5%</v>
      </c>
      <c r="N2614" s="0" t="str">
        <f aca="false">IF(F2614&lt;50,"1) Under Rs 50",IF(F2614&lt;100,"2) Rs 50-99",IF(F2614&lt;200,"3) Rs 100-199",IF(F2614&lt;500,"4) Rs 200-499","5) Rs 500+"))))</f>
        <v>1) Under Rs 50</v>
      </c>
      <c r="O2614" s="0" t="n">
        <f aca="false">G2614*E2614/1000</f>
        <v>0.375</v>
      </c>
    </row>
    <row r="2615" customFormat="false" ht="15" hidden="false" customHeight="false" outlineLevel="0" collapsed="false">
      <c r="A2615" s="0" t="s">
        <v>82</v>
      </c>
      <c r="B2615" s="0" t="s">
        <v>1129</v>
      </c>
      <c r="C2615" s="0" t="n">
        <v>150</v>
      </c>
      <c r="D2615" s="0" t="n">
        <v>50</v>
      </c>
      <c r="E2615" s="0" t="n">
        <v>3</v>
      </c>
      <c r="F2615" s="0" t="n">
        <v>75</v>
      </c>
      <c r="G2615" s="0" t="n">
        <v>250</v>
      </c>
      <c r="H2615" s="0" t="s">
        <v>145</v>
      </c>
      <c r="I2615" s="0" t="n">
        <v>250</v>
      </c>
      <c r="J2615" s="0" t="n">
        <f aca="false">F2615*E2615</f>
        <v>225</v>
      </c>
      <c r="K2615" s="0" t="str">
        <f aca="false">IF(G2615&lt;1000,"1-Low",IF(G2615&lt;5000,"2-Medium","3-Bulk"))</f>
        <v>1-Low</v>
      </c>
      <c r="L2615" s="0" t="str">
        <f aca="false">IF(H2615="TRUE","Out of stock","In stock")</f>
        <v>In stock</v>
      </c>
      <c r="M2615" s="0" t="str">
        <f aca="false">IF(D2615&lt;5,"1) Under 5%",IF(D2615&lt;10,"2) 5-9%",IF(D2615&lt;15,"3) 10-14%",IF(D2615&lt;25,"4) 15-24%","5) 25%+"))))</f>
        <v>5) 25%+</v>
      </c>
      <c r="N2615" s="0" t="str">
        <f aca="false">IF(F2615&lt;50,"1) Under Rs 50",IF(F2615&lt;100,"2) Rs 50-99",IF(F2615&lt;200,"3) Rs 100-199",IF(F2615&lt;500,"4) Rs 200-499","5) Rs 500+"))))</f>
        <v>2) Rs 50-99</v>
      </c>
      <c r="O2615" s="0" t="n">
        <f aca="false">G2615*E2615/1000</f>
        <v>0.75</v>
      </c>
    </row>
    <row r="2616" customFormat="false" ht="15" hidden="false" customHeight="false" outlineLevel="0" collapsed="false">
      <c r="A2616" s="0" t="s">
        <v>82</v>
      </c>
      <c r="B2616" s="0" t="s">
        <v>1130</v>
      </c>
      <c r="C2616" s="0" t="n">
        <v>70</v>
      </c>
      <c r="D2616" s="0" t="n">
        <v>0</v>
      </c>
      <c r="E2616" s="0" t="n">
        <v>4</v>
      </c>
      <c r="F2616" s="0" t="n">
        <v>70</v>
      </c>
      <c r="G2616" s="0" t="n">
        <v>400</v>
      </c>
      <c r="H2616" s="0" t="s">
        <v>145</v>
      </c>
      <c r="I2616" s="0" t="n">
        <v>400</v>
      </c>
      <c r="J2616" s="0" t="n">
        <f aca="false">F2616*E2616</f>
        <v>280</v>
      </c>
      <c r="K2616" s="0" t="str">
        <f aca="false">IF(G2616&lt;1000,"1-Low",IF(G2616&lt;5000,"2-Medium","3-Bulk"))</f>
        <v>1-Low</v>
      </c>
      <c r="L2616" s="0" t="str">
        <f aca="false">IF(H2616="TRUE","Out of stock","In stock")</f>
        <v>In stock</v>
      </c>
      <c r="M2616" s="0" t="str">
        <f aca="false">IF(D2616&lt;5,"1) Under 5%",IF(D2616&lt;10,"2) 5-9%",IF(D2616&lt;15,"3) 10-14%",IF(D2616&lt;25,"4) 15-24%","5) 25%+"))))</f>
        <v>1) Under 5%</v>
      </c>
      <c r="N2616" s="0" t="str">
        <f aca="false">IF(F2616&lt;50,"1) Under Rs 50",IF(F2616&lt;100,"2) Rs 50-99",IF(F2616&lt;200,"3) Rs 100-199",IF(F2616&lt;500,"4) Rs 200-499","5) Rs 500+"))))</f>
        <v>2) Rs 50-99</v>
      </c>
      <c r="O2616" s="0" t="n">
        <f aca="false">G2616*E2616/1000</f>
        <v>1.6</v>
      </c>
    </row>
    <row r="2617" customFormat="false" ht="15" hidden="false" customHeight="false" outlineLevel="0" collapsed="false">
      <c r="A2617" s="0" t="s">
        <v>82</v>
      </c>
      <c r="B2617" s="0" t="s">
        <v>1131</v>
      </c>
      <c r="C2617" s="0" t="n">
        <v>45</v>
      </c>
      <c r="D2617" s="0" t="n">
        <v>51</v>
      </c>
      <c r="E2617" s="0" t="n">
        <v>5</v>
      </c>
      <c r="F2617" s="0" t="n">
        <v>22</v>
      </c>
      <c r="G2617" s="0" t="n">
        <v>60</v>
      </c>
      <c r="H2617" s="0" t="s">
        <v>145</v>
      </c>
      <c r="I2617" s="0" t="n">
        <v>75</v>
      </c>
      <c r="J2617" s="0" t="n">
        <f aca="false">F2617*E2617</f>
        <v>110</v>
      </c>
      <c r="K2617" s="0" t="str">
        <f aca="false">IF(G2617&lt;1000,"1-Low",IF(G2617&lt;5000,"2-Medium","3-Bulk"))</f>
        <v>1-Low</v>
      </c>
      <c r="L2617" s="0" t="str">
        <f aca="false">IF(H2617="TRUE","Out of stock","In stock")</f>
        <v>In stock</v>
      </c>
      <c r="M2617" s="0" t="str">
        <f aca="false">IF(D2617&lt;5,"1) Under 5%",IF(D2617&lt;10,"2) 5-9%",IF(D2617&lt;15,"3) 10-14%",IF(D2617&lt;25,"4) 15-24%","5) 25%+"))))</f>
        <v>5) 25%+</v>
      </c>
      <c r="N2617" s="0" t="str">
        <f aca="false">IF(F2617&lt;50,"1) Under Rs 50",IF(F2617&lt;100,"2) Rs 50-99",IF(F2617&lt;200,"3) Rs 100-199",IF(F2617&lt;500,"4) Rs 200-499","5) Rs 500+"))))</f>
        <v>1) Under Rs 50</v>
      </c>
      <c r="O2617" s="0" t="n">
        <f aca="false">G2617*E2617/1000</f>
        <v>0.3</v>
      </c>
    </row>
    <row r="2618" customFormat="false" ht="15" hidden="false" customHeight="false" outlineLevel="0" collapsed="false">
      <c r="A2618" s="0" t="s">
        <v>82</v>
      </c>
      <c r="B2618" s="0" t="s">
        <v>1127</v>
      </c>
      <c r="C2618" s="0" t="n">
        <v>20</v>
      </c>
      <c r="D2618" s="0" t="n">
        <v>0</v>
      </c>
      <c r="E2618" s="0" t="n">
        <v>6</v>
      </c>
      <c r="F2618" s="0" t="n">
        <v>20</v>
      </c>
      <c r="G2618" s="0" t="n">
        <v>100</v>
      </c>
      <c r="H2618" s="0" t="s">
        <v>145</v>
      </c>
      <c r="I2618" s="0" t="n">
        <v>100</v>
      </c>
      <c r="J2618" s="0" t="n">
        <f aca="false">F2618*E2618</f>
        <v>120</v>
      </c>
      <c r="K2618" s="0" t="str">
        <f aca="false">IF(G2618&lt;1000,"1-Low",IF(G2618&lt;5000,"2-Medium","3-Bulk"))</f>
        <v>1-Low</v>
      </c>
      <c r="L2618" s="0" t="str">
        <f aca="false">IF(H2618="TRUE","Out of stock","In stock")</f>
        <v>In stock</v>
      </c>
      <c r="M2618" s="0" t="str">
        <f aca="false">IF(D2618&lt;5,"1) Under 5%",IF(D2618&lt;10,"2) 5-9%",IF(D2618&lt;15,"3) 10-14%",IF(D2618&lt;25,"4) 15-24%","5) 25%+"))))</f>
        <v>1) Under 5%</v>
      </c>
      <c r="N2618" s="0" t="str">
        <f aca="false">IF(F2618&lt;50,"1) Under Rs 50",IF(F2618&lt;100,"2) Rs 50-99",IF(F2618&lt;200,"3) Rs 100-199",IF(F2618&lt;500,"4) Rs 200-499","5) Rs 500+"))))</f>
        <v>1) Under Rs 50</v>
      </c>
      <c r="O2618" s="0" t="n">
        <f aca="false">G2618*E2618/1000</f>
        <v>0.6</v>
      </c>
    </row>
    <row r="2619" customFormat="false" ht="15" hidden="false" customHeight="false" outlineLevel="0" collapsed="false">
      <c r="A2619" s="0" t="s">
        <v>82</v>
      </c>
      <c r="B2619" s="0" t="s">
        <v>1132</v>
      </c>
      <c r="C2619" s="0" t="n">
        <v>20</v>
      </c>
      <c r="D2619" s="0" t="n">
        <v>0</v>
      </c>
      <c r="E2619" s="0" t="n">
        <v>3</v>
      </c>
      <c r="F2619" s="0" t="n">
        <v>20</v>
      </c>
      <c r="G2619" s="0" t="n">
        <v>200</v>
      </c>
      <c r="H2619" s="0" t="s">
        <v>145</v>
      </c>
      <c r="I2619" s="0" t="n">
        <v>200</v>
      </c>
      <c r="J2619" s="0" t="n">
        <f aca="false">F2619*E2619</f>
        <v>60</v>
      </c>
      <c r="K2619" s="0" t="str">
        <f aca="false">IF(G2619&lt;1000,"1-Low",IF(G2619&lt;5000,"2-Medium","3-Bulk"))</f>
        <v>1-Low</v>
      </c>
      <c r="L2619" s="0" t="str">
        <f aca="false">IF(H2619="TRUE","Out of stock","In stock")</f>
        <v>In stock</v>
      </c>
      <c r="M2619" s="0" t="str">
        <f aca="false">IF(D2619&lt;5,"1) Under 5%",IF(D2619&lt;10,"2) 5-9%",IF(D2619&lt;15,"3) 10-14%",IF(D2619&lt;25,"4) 15-24%","5) 25%+"))))</f>
        <v>1) Under 5%</v>
      </c>
      <c r="N2619" s="0" t="str">
        <f aca="false">IF(F2619&lt;50,"1) Under Rs 50",IF(F2619&lt;100,"2) Rs 50-99",IF(F2619&lt;200,"3) Rs 100-199",IF(F2619&lt;500,"4) Rs 200-499","5) Rs 500+"))))</f>
        <v>1) Under Rs 50</v>
      </c>
      <c r="O2619" s="0" t="n">
        <f aca="false">G2619*E2619/1000</f>
        <v>0.6</v>
      </c>
    </row>
    <row r="2620" customFormat="false" ht="15" hidden="false" customHeight="false" outlineLevel="0" collapsed="false">
      <c r="A2620" s="0" t="s">
        <v>82</v>
      </c>
      <c r="B2620" s="0" t="s">
        <v>1133</v>
      </c>
      <c r="C2620" s="0" t="n">
        <v>65</v>
      </c>
      <c r="D2620" s="0" t="n">
        <v>0</v>
      </c>
      <c r="E2620" s="0" t="n">
        <v>6</v>
      </c>
      <c r="F2620" s="0" t="n">
        <v>65</v>
      </c>
      <c r="G2620" s="0" t="n">
        <v>400</v>
      </c>
      <c r="H2620" s="0" t="s">
        <v>145</v>
      </c>
      <c r="I2620" s="0" t="n">
        <v>400</v>
      </c>
      <c r="J2620" s="0" t="n">
        <f aca="false">F2620*E2620</f>
        <v>390</v>
      </c>
      <c r="K2620" s="0" t="str">
        <f aca="false">IF(G2620&lt;1000,"1-Low",IF(G2620&lt;5000,"2-Medium","3-Bulk"))</f>
        <v>1-Low</v>
      </c>
      <c r="L2620" s="0" t="str">
        <f aca="false">IF(H2620="TRUE","Out of stock","In stock")</f>
        <v>In stock</v>
      </c>
      <c r="M2620" s="0" t="str">
        <f aca="false">IF(D2620&lt;5,"1) Under 5%",IF(D2620&lt;10,"2) 5-9%",IF(D2620&lt;15,"3) 10-14%",IF(D2620&lt;25,"4) 15-24%","5) 25%+"))))</f>
        <v>1) Under 5%</v>
      </c>
      <c r="N2620" s="0" t="str">
        <f aca="false">IF(F2620&lt;50,"1) Under Rs 50",IF(F2620&lt;100,"2) Rs 50-99",IF(F2620&lt;200,"3) Rs 100-199",IF(F2620&lt;500,"4) Rs 200-499","5) Rs 500+"))))</f>
        <v>2) Rs 50-99</v>
      </c>
      <c r="O2620" s="0" t="n">
        <f aca="false">G2620*E2620/1000</f>
        <v>2.4</v>
      </c>
    </row>
    <row r="2621" customFormat="false" ht="15" hidden="false" customHeight="false" outlineLevel="0" collapsed="false">
      <c r="A2621" s="0" t="s">
        <v>82</v>
      </c>
      <c r="B2621" s="0" t="s">
        <v>1134</v>
      </c>
      <c r="C2621" s="0" t="n">
        <v>45</v>
      </c>
      <c r="D2621" s="0" t="n">
        <v>51</v>
      </c>
      <c r="E2621" s="0" t="n">
        <v>2</v>
      </c>
      <c r="F2621" s="0" t="n">
        <v>22</v>
      </c>
      <c r="G2621" s="0" t="n">
        <v>60</v>
      </c>
      <c r="H2621" s="0" t="s">
        <v>145</v>
      </c>
      <c r="I2621" s="0" t="n">
        <v>75</v>
      </c>
      <c r="J2621" s="0" t="n">
        <f aca="false">F2621*E2621</f>
        <v>44</v>
      </c>
      <c r="K2621" s="0" t="str">
        <f aca="false">IF(G2621&lt;1000,"1-Low",IF(G2621&lt;5000,"2-Medium","3-Bulk"))</f>
        <v>1-Low</v>
      </c>
      <c r="L2621" s="0" t="str">
        <f aca="false">IF(H2621="TRUE","Out of stock","In stock")</f>
        <v>In stock</v>
      </c>
      <c r="M2621" s="0" t="str">
        <f aca="false">IF(D2621&lt;5,"1) Under 5%",IF(D2621&lt;10,"2) 5-9%",IF(D2621&lt;15,"3) 10-14%",IF(D2621&lt;25,"4) 15-24%","5) 25%+"))))</f>
        <v>5) 25%+</v>
      </c>
      <c r="N2621" s="0" t="str">
        <f aca="false">IF(F2621&lt;50,"1) Under Rs 50",IF(F2621&lt;100,"2) Rs 50-99",IF(F2621&lt;200,"3) Rs 100-199",IF(F2621&lt;500,"4) Rs 200-499","5) Rs 500+"))))</f>
        <v>1) Under Rs 50</v>
      </c>
      <c r="O2621" s="0" t="n">
        <f aca="false">G2621*E2621/1000</f>
        <v>0.12</v>
      </c>
    </row>
    <row r="2622" customFormat="false" ht="15" hidden="false" customHeight="false" outlineLevel="0" collapsed="false">
      <c r="A2622" s="0" t="s">
        <v>82</v>
      </c>
      <c r="B2622" s="0" t="s">
        <v>1135</v>
      </c>
      <c r="C2622" s="0" t="n">
        <v>35</v>
      </c>
      <c r="D2622" s="0" t="n">
        <v>0</v>
      </c>
      <c r="E2622" s="0" t="n">
        <v>3</v>
      </c>
      <c r="F2622" s="0" t="n">
        <v>35</v>
      </c>
      <c r="G2622" s="0" t="n">
        <v>182</v>
      </c>
      <c r="H2622" s="0" t="s">
        <v>145</v>
      </c>
      <c r="I2622" s="0" t="n">
        <v>182</v>
      </c>
      <c r="J2622" s="0" t="n">
        <f aca="false">F2622*E2622</f>
        <v>105</v>
      </c>
      <c r="K2622" s="0" t="str">
        <f aca="false">IF(G2622&lt;1000,"1-Low",IF(G2622&lt;5000,"2-Medium","3-Bulk"))</f>
        <v>1-Low</v>
      </c>
      <c r="L2622" s="0" t="str">
        <f aca="false">IF(H2622="TRUE","Out of stock","In stock")</f>
        <v>In stock</v>
      </c>
      <c r="M2622" s="0" t="str">
        <f aca="false">IF(D2622&lt;5,"1) Under 5%",IF(D2622&lt;10,"2) 5-9%",IF(D2622&lt;15,"3) 10-14%",IF(D2622&lt;25,"4) 15-24%","5) 25%+"))))</f>
        <v>1) Under 5%</v>
      </c>
      <c r="N2622" s="0" t="str">
        <f aca="false">IF(F2622&lt;50,"1) Under Rs 50",IF(F2622&lt;100,"2) Rs 50-99",IF(F2622&lt;200,"3) Rs 100-199",IF(F2622&lt;500,"4) Rs 200-499","5) Rs 500+"))))</f>
        <v>1) Under Rs 50</v>
      </c>
      <c r="O2622" s="0" t="n">
        <f aca="false">G2622*E2622/1000</f>
        <v>0.546</v>
      </c>
    </row>
    <row r="2623" customFormat="false" ht="15" hidden="false" customHeight="false" outlineLevel="0" collapsed="false">
      <c r="A2623" s="0" t="s">
        <v>82</v>
      </c>
      <c r="B2623" s="0" t="s">
        <v>1136</v>
      </c>
      <c r="C2623" s="0" t="n">
        <v>80</v>
      </c>
      <c r="D2623" s="0" t="n">
        <v>10</v>
      </c>
      <c r="E2623" s="0" t="n">
        <v>3</v>
      </c>
      <c r="F2623" s="0" t="n">
        <v>72</v>
      </c>
      <c r="G2623" s="0" t="n">
        <v>168</v>
      </c>
      <c r="H2623" s="0" t="s">
        <v>145</v>
      </c>
      <c r="I2623" s="0" t="n">
        <v>168</v>
      </c>
      <c r="J2623" s="0" t="n">
        <f aca="false">F2623*E2623</f>
        <v>216</v>
      </c>
      <c r="K2623" s="0" t="str">
        <f aca="false">IF(G2623&lt;1000,"1-Low",IF(G2623&lt;5000,"2-Medium","3-Bulk"))</f>
        <v>1-Low</v>
      </c>
      <c r="L2623" s="0" t="str">
        <f aca="false">IF(H2623="TRUE","Out of stock","In stock")</f>
        <v>In stock</v>
      </c>
      <c r="M2623" s="0" t="str">
        <f aca="false">IF(D2623&lt;5,"1) Under 5%",IF(D2623&lt;10,"2) 5-9%",IF(D2623&lt;15,"3) 10-14%",IF(D2623&lt;25,"4) 15-24%","5) 25%+"))))</f>
        <v>3) 10-14%</v>
      </c>
      <c r="N2623" s="0" t="str">
        <f aca="false">IF(F2623&lt;50,"1) Under Rs 50",IF(F2623&lt;100,"2) Rs 50-99",IF(F2623&lt;200,"3) Rs 100-199",IF(F2623&lt;500,"4) Rs 200-499","5) Rs 500+"))))</f>
        <v>2) Rs 50-99</v>
      </c>
      <c r="O2623" s="0" t="n">
        <f aca="false">G2623*E2623/1000</f>
        <v>0.504</v>
      </c>
    </row>
    <row r="2624" customFormat="false" ht="15" hidden="false" customHeight="false" outlineLevel="0" collapsed="false">
      <c r="A2624" s="0" t="s">
        <v>82</v>
      </c>
      <c r="B2624" s="0" t="s">
        <v>1137</v>
      </c>
      <c r="C2624" s="0" t="n">
        <v>15</v>
      </c>
      <c r="D2624" s="0" t="n">
        <v>0</v>
      </c>
      <c r="E2624" s="0" t="n">
        <v>2</v>
      </c>
      <c r="F2624" s="0" t="n">
        <v>15</v>
      </c>
      <c r="G2624" s="0" t="n">
        <v>45</v>
      </c>
      <c r="H2624" s="0" t="s">
        <v>145</v>
      </c>
      <c r="I2624" s="0" t="n">
        <v>45</v>
      </c>
      <c r="J2624" s="0" t="n">
        <f aca="false">F2624*E2624</f>
        <v>30</v>
      </c>
      <c r="K2624" s="0" t="str">
        <f aca="false">IF(G2624&lt;1000,"1-Low",IF(G2624&lt;5000,"2-Medium","3-Bulk"))</f>
        <v>1-Low</v>
      </c>
      <c r="L2624" s="0" t="str">
        <f aca="false">IF(H2624="TRUE","Out of stock","In stock")</f>
        <v>In stock</v>
      </c>
      <c r="M2624" s="0" t="str">
        <f aca="false">IF(D2624&lt;5,"1) Under 5%",IF(D2624&lt;10,"2) 5-9%",IF(D2624&lt;15,"3) 10-14%",IF(D2624&lt;25,"4) 15-24%","5) 25%+"))))</f>
        <v>1) Under 5%</v>
      </c>
      <c r="N2624" s="0" t="str">
        <f aca="false">IF(F2624&lt;50,"1) Under Rs 50",IF(F2624&lt;100,"2) Rs 50-99",IF(F2624&lt;200,"3) Rs 100-199",IF(F2624&lt;500,"4) Rs 200-499","5) Rs 500+"))))</f>
        <v>1) Under Rs 50</v>
      </c>
      <c r="O2624" s="0" t="n">
        <f aca="false">G2624*E2624/1000</f>
        <v>0.09</v>
      </c>
    </row>
    <row r="2625" customFormat="false" ht="15" hidden="false" customHeight="false" outlineLevel="0" collapsed="false">
      <c r="A2625" s="0" t="s">
        <v>82</v>
      </c>
      <c r="B2625" s="0" t="s">
        <v>1138</v>
      </c>
      <c r="C2625" s="0" t="n">
        <v>150</v>
      </c>
      <c r="D2625" s="0" t="n">
        <v>15</v>
      </c>
      <c r="E2625" s="0" t="n">
        <v>3</v>
      </c>
      <c r="F2625" s="0" t="n">
        <v>127</v>
      </c>
      <c r="G2625" s="0" t="n">
        <v>300</v>
      </c>
      <c r="H2625" s="0" t="s">
        <v>145</v>
      </c>
      <c r="I2625" s="0" t="n">
        <v>300</v>
      </c>
      <c r="J2625" s="0" t="n">
        <f aca="false">F2625*E2625</f>
        <v>381</v>
      </c>
      <c r="K2625" s="0" t="str">
        <f aca="false">IF(G2625&lt;1000,"1-Low",IF(G2625&lt;5000,"2-Medium","3-Bulk"))</f>
        <v>1-Low</v>
      </c>
      <c r="L2625" s="0" t="str">
        <f aca="false">IF(H2625="TRUE","Out of stock","In stock")</f>
        <v>In stock</v>
      </c>
      <c r="M2625" s="0" t="str">
        <f aca="false">IF(D2625&lt;5,"1) Under 5%",IF(D2625&lt;10,"2) 5-9%",IF(D2625&lt;15,"3) 10-14%",IF(D2625&lt;25,"4) 15-24%","5) 25%+"))))</f>
        <v>4) 15-24%</v>
      </c>
      <c r="N2625" s="0" t="str">
        <f aca="false">IF(F2625&lt;50,"1) Under Rs 50",IF(F2625&lt;100,"2) Rs 50-99",IF(F2625&lt;200,"3) Rs 100-199",IF(F2625&lt;500,"4) Rs 200-499","5) Rs 500+"))))</f>
        <v>3) Rs 100-199</v>
      </c>
      <c r="O2625" s="0" t="n">
        <f aca="false">G2625*E2625/1000</f>
        <v>0.9</v>
      </c>
    </row>
    <row r="2626" customFormat="false" ht="15" hidden="false" customHeight="false" outlineLevel="0" collapsed="false">
      <c r="A2626" s="0" t="s">
        <v>82</v>
      </c>
      <c r="B2626" s="0" t="s">
        <v>1139</v>
      </c>
      <c r="C2626" s="0" t="n">
        <v>75</v>
      </c>
      <c r="D2626" s="0" t="n">
        <v>10</v>
      </c>
      <c r="E2626" s="0" t="n">
        <v>6</v>
      </c>
      <c r="F2626" s="0" t="n">
        <v>67.5</v>
      </c>
      <c r="G2626" s="0" t="n">
        <v>300</v>
      </c>
      <c r="H2626" s="0" t="s">
        <v>145</v>
      </c>
      <c r="I2626" s="0" t="n">
        <v>300</v>
      </c>
      <c r="J2626" s="0" t="n">
        <f aca="false">F2626*E2626</f>
        <v>405</v>
      </c>
      <c r="K2626" s="0" t="str">
        <f aca="false">IF(G2626&lt;1000,"1-Low",IF(G2626&lt;5000,"2-Medium","3-Bulk"))</f>
        <v>1-Low</v>
      </c>
      <c r="L2626" s="0" t="str">
        <f aca="false">IF(H2626="TRUE","Out of stock","In stock")</f>
        <v>In stock</v>
      </c>
      <c r="M2626" s="0" t="str">
        <f aca="false">IF(D2626&lt;5,"1) Under 5%",IF(D2626&lt;10,"2) 5-9%",IF(D2626&lt;15,"3) 10-14%",IF(D2626&lt;25,"4) 15-24%","5) 25%+"))))</f>
        <v>3) 10-14%</v>
      </c>
      <c r="N2626" s="0" t="str">
        <f aca="false">IF(F2626&lt;50,"1) Under Rs 50",IF(F2626&lt;100,"2) Rs 50-99",IF(F2626&lt;200,"3) Rs 100-199",IF(F2626&lt;500,"4) Rs 200-499","5) Rs 500+"))))</f>
        <v>2) Rs 50-99</v>
      </c>
      <c r="O2626" s="0" t="n">
        <f aca="false">G2626*E2626/1000</f>
        <v>1.8</v>
      </c>
    </row>
    <row r="2627" customFormat="false" ht="15" hidden="false" customHeight="false" outlineLevel="0" collapsed="false">
      <c r="A2627" s="0" t="s">
        <v>82</v>
      </c>
      <c r="B2627" s="0" t="s">
        <v>1140</v>
      </c>
      <c r="C2627" s="0" t="n">
        <v>25</v>
      </c>
      <c r="D2627" s="0" t="n">
        <v>0</v>
      </c>
      <c r="E2627" s="0" t="n">
        <v>4</v>
      </c>
      <c r="F2627" s="0" t="n">
        <v>25</v>
      </c>
      <c r="G2627" s="0" t="n">
        <v>200</v>
      </c>
      <c r="H2627" s="0" t="s">
        <v>145</v>
      </c>
      <c r="I2627" s="0" t="n">
        <v>200</v>
      </c>
      <c r="J2627" s="0" t="n">
        <f aca="false">F2627*E2627</f>
        <v>100</v>
      </c>
      <c r="K2627" s="0" t="str">
        <f aca="false">IF(G2627&lt;1000,"1-Low",IF(G2627&lt;5000,"2-Medium","3-Bulk"))</f>
        <v>1-Low</v>
      </c>
      <c r="L2627" s="0" t="str">
        <f aca="false">IF(H2627="TRUE","Out of stock","In stock")</f>
        <v>In stock</v>
      </c>
      <c r="M2627" s="0" t="str">
        <f aca="false">IF(D2627&lt;5,"1) Under 5%",IF(D2627&lt;10,"2) 5-9%",IF(D2627&lt;15,"3) 10-14%",IF(D2627&lt;25,"4) 15-24%","5) 25%+"))))</f>
        <v>1) Under 5%</v>
      </c>
      <c r="N2627" s="0" t="str">
        <f aca="false">IF(F2627&lt;50,"1) Under Rs 50",IF(F2627&lt;100,"2) Rs 50-99",IF(F2627&lt;200,"3) Rs 100-199",IF(F2627&lt;500,"4) Rs 200-499","5) Rs 500+"))))</f>
        <v>1) Under Rs 50</v>
      </c>
      <c r="O2627" s="0" t="n">
        <f aca="false">G2627*E2627/1000</f>
        <v>0.8</v>
      </c>
    </row>
    <row r="2628" customFormat="false" ht="15" hidden="false" customHeight="false" outlineLevel="0" collapsed="false">
      <c r="A2628" s="0" t="s">
        <v>82</v>
      </c>
      <c r="B2628" s="0" t="s">
        <v>1141</v>
      </c>
      <c r="C2628" s="0" t="n">
        <v>50</v>
      </c>
      <c r="D2628" s="0" t="n">
        <v>15</v>
      </c>
      <c r="E2628" s="0" t="n">
        <v>6</v>
      </c>
      <c r="F2628" s="0" t="n">
        <v>42.5</v>
      </c>
      <c r="G2628" s="0" t="n">
        <v>120</v>
      </c>
      <c r="H2628" s="0" t="s">
        <v>145</v>
      </c>
      <c r="I2628" s="0" t="n">
        <v>120</v>
      </c>
      <c r="J2628" s="0" t="n">
        <f aca="false">F2628*E2628</f>
        <v>255</v>
      </c>
      <c r="K2628" s="0" t="str">
        <f aca="false">IF(G2628&lt;1000,"1-Low",IF(G2628&lt;5000,"2-Medium","3-Bulk"))</f>
        <v>1-Low</v>
      </c>
      <c r="L2628" s="0" t="str">
        <f aca="false">IF(H2628="TRUE","Out of stock","In stock")</f>
        <v>In stock</v>
      </c>
      <c r="M2628" s="0" t="str">
        <f aca="false">IF(D2628&lt;5,"1) Under 5%",IF(D2628&lt;10,"2) 5-9%",IF(D2628&lt;15,"3) 10-14%",IF(D2628&lt;25,"4) 15-24%","5) 25%+"))))</f>
        <v>4) 15-24%</v>
      </c>
      <c r="N2628" s="0" t="str">
        <f aca="false">IF(F2628&lt;50,"1) Under Rs 50",IF(F2628&lt;100,"2) Rs 50-99",IF(F2628&lt;200,"3) Rs 100-199",IF(F2628&lt;500,"4) Rs 200-499","5) Rs 500+"))))</f>
        <v>1) Under Rs 50</v>
      </c>
      <c r="O2628" s="0" t="n">
        <f aca="false">G2628*E2628/1000</f>
        <v>0.72</v>
      </c>
    </row>
    <row r="2629" customFormat="false" ht="15" hidden="false" customHeight="false" outlineLevel="0" collapsed="false">
      <c r="A2629" s="0" t="s">
        <v>82</v>
      </c>
      <c r="B2629" s="0" t="s">
        <v>1142</v>
      </c>
      <c r="C2629" s="0" t="n">
        <v>23</v>
      </c>
      <c r="D2629" s="0" t="n">
        <v>13</v>
      </c>
      <c r="E2629" s="0" t="n">
        <v>1</v>
      </c>
      <c r="F2629" s="0" t="n">
        <v>20</v>
      </c>
      <c r="G2629" s="0" t="n">
        <v>200</v>
      </c>
      <c r="H2629" s="0" t="s">
        <v>145</v>
      </c>
      <c r="I2629" s="0" t="n">
        <v>200</v>
      </c>
      <c r="J2629" s="0" t="n">
        <f aca="false">F2629*E2629</f>
        <v>20</v>
      </c>
      <c r="K2629" s="0" t="str">
        <f aca="false">IF(G2629&lt;1000,"1-Low",IF(G2629&lt;5000,"2-Medium","3-Bulk"))</f>
        <v>1-Low</v>
      </c>
      <c r="L2629" s="0" t="str">
        <f aca="false">IF(H2629="TRUE","Out of stock","In stock")</f>
        <v>In stock</v>
      </c>
      <c r="M2629" s="0" t="str">
        <f aca="false">IF(D2629&lt;5,"1) Under 5%",IF(D2629&lt;10,"2) 5-9%",IF(D2629&lt;15,"3) 10-14%",IF(D2629&lt;25,"4) 15-24%","5) 25%+"))))</f>
        <v>3) 10-14%</v>
      </c>
      <c r="N2629" s="0" t="str">
        <f aca="false">IF(F2629&lt;50,"1) Under Rs 50",IF(F2629&lt;100,"2) Rs 50-99",IF(F2629&lt;200,"3) Rs 100-199",IF(F2629&lt;500,"4) Rs 200-499","5) Rs 500+"))))</f>
        <v>1) Under Rs 50</v>
      </c>
      <c r="O2629" s="0" t="n">
        <f aca="false">G2629*E2629/1000</f>
        <v>0.2</v>
      </c>
    </row>
    <row r="2630" customFormat="false" ht="15" hidden="false" customHeight="false" outlineLevel="0" collapsed="false">
      <c r="A2630" s="0" t="s">
        <v>82</v>
      </c>
      <c r="B2630" s="0" t="s">
        <v>1143</v>
      </c>
      <c r="C2630" s="0" t="n">
        <v>80</v>
      </c>
      <c r="D2630" s="0" t="n">
        <v>10</v>
      </c>
      <c r="E2630" s="0" t="n">
        <v>2</v>
      </c>
      <c r="F2630" s="0" t="n">
        <v>72</v>
      </c>
      <c r="G2630" s="0" t="n">
        <v>500</v>
      </c>
      <c r="H2630" s="0" t="s">
        <v>145</v>
      </c>
      <c r="I2630" s="0" t="n">
        <v>500</v>
      </c>
      <c r="J2630" s="0" t="n">
        <f aca="false">F2630*E2630</f>
        <v>144</v>
      </c>
      <c r="K2630" s="0" t="str">
        <f aca="false">IF(G2630&lt;1000,"1-Low",IF(G2630&lt;5000,"2-Medium","3-Bulk"))</f>
        <v>1-Low</v>
      </c>
      <c r="L2630" s="0" t="str">
        <f aca="false">IF(H2630="TRUE","Out of stock","In stock")</f>
        <v>In stock</v>
      </c>
      <c r="M2630" s="0" t="str">
        <f aca="false">IF(D2630&lt;5,"1) Under 5%",IF(D2630&lt;10,"2) 5-9%",IF(D2630&lt;15,"3) 10-14%",IF(D2630&lt;25,"4) 15-24%","5) 25%+"))))</f>
        <v>3) 10-14%</v>
      </c>
      <c r="N2630" s="0" t="str">
        <f aca="false">IF(F2630&lt;50,"1) Under Rs 50",IF(F2630&lt;100,"2) Rs 50-99",IF(F2630&lt;200,"3) Rs 100-199",IF(F2630&lt;500,"4) Rs 200-499","5) Rs 500+"))))</f>
        <v>2) Rs 50-99</v>
      </c>
      <c r="O2630" s="0" t="n">
        <f aca="false">G2630*E2630/1000</f>
        <v>1</v>
      </c>
    </row>
    <row r="2631" customFormat="false" ht="15" hidden="false" customHeight="false" outlineLevel="0" collapsed="false">
      <c r="A2631" s="0" t="s">
        <v>82</v>
      </c>
      <c r="B2631" s="0" t="s">
        <v>1144</v>
      </c>
      <c r="C2631" s="0" t="n">
        <v>65</v>
      </c>
      <c r="D2631" s="0" t="n">
        <v>6</v>
      </c>
      <c r="E2631" s="0" t="n">
        <v>5</v>
      </c>
      <c r="F2631" s="0" t="n">
        <v>61</v>
      </c>
      <c r="G2631" s="0" t="n">
        <v>200</v>
      </c>
      <c r="H2631" s="0" t="s">
        <v>145</v>
      </c>
      <c r="I2631" s="0" t="n">
        <v>200</v>
      </c>
      <c r="J2631" s="0" t="n">
        <f aca="false">F2631*E2631</f>
        <v>305</v>
      </c>
      <c r="K2631" s="0" t="str">
        <f aca="false">IF(G2631&lt;1000,"1-Low",IF(G2631&lt;5000,"2-Medium","3-Bulk"))</f>
        <v>1-Low</v>
      </c>
      <c r="L2631" s="0" t="str">
        <f aca="false">IF(H2631="TRUE","Out of stock","In stock")</f>
        <v>In stock</v>
      </c>
      <c r="M2631" s="0" t="str">
        <f aca="false">IF(D2631&lt;5,"1) Under 5%",IF(D2631&lt;10,"2) 5-9%",IF(D2631&lt;15,"3) 10-14%",IF(D2631&lt;25,"4) 15-24%","5) 25%+"))))</f>
        <v>2) 5-9%</v>
      </c>
      <c r="N2631" s="0" t="str">
        <f aca="false">IF(F2631&lt;50,"1) Under Rs 50",IF(F2631&lt;100,"2) Rs 50-99",IF(F2631&lt;200,"3) Rs 100-199",IF(F2631&lt;500,"4) Rs 200-499","5) Rs 500+"))))</f>
        <v>2) Rs 50-99</v>
      </c>
      <c r="O2631" s="0" t="n">
        <f aca="false">G2631*E2631/1000</f>
        <v>1</v>
      </c>
    </row>
    <row r="2632" customFormat="false" ht="15" hidden="false" customHeight="false" outlineLevel="0" collapsed="false">
      <c r="A2632" s="0" t="s">
        <v>82</v>
      </c>
      <c r="B2632" s="0" t="s">
        <v>1145</v>
      </c>
      <c r="C2632" s="0" t="n">
        <v>25</v>
      </c>
      <c r="D2632" s="0" t="n">
        <v>10</v>
      </c>
      <c r="E2632" s="0" t="n">
        <v>6</v>
      </c>
      <c r="F2632" s="0" t="n">
        <v>22.5</v>
      </c>
      <c r="G2632" s="0" t="n">
        <v>75</v>
      </c>
      <c r="H2632" s="0" t="s">
        <v>145</v>
      </c>
      <c r="I2632" s="0" t="n">
        <v>75</v>
      </c>
      <c r="J2632" s="0" t="n">
        <f aca="false">F2632*E2632</f>
        <v>135</v>
      </c>
      <c r="K2632" s="0" t="str">
        <f aca="false">IF(G2632&lt;1000,"1-Low",IF(G2632&lt;5000,"2-Medium","3-Bulk"))</f>
        <v>1-Low</v>
      </c>
      <c r="L2632" s="0" t="str">
        <f aca="false">IF(H2632="TRUE","Out of stock","In stock")</f>
        <v>In stock</v>
      </c>
      <c r="M2632" s="0" t="str">
        <f aca="false">IF(D2632&lt;5,"1) Under 5%",IF(D2632&lt;10,"2) 5-9%",IF(D2632&lt;15,"3) 10-14%",IF(D2632&lt;25,"4) 15-24%","5) 25%+"))))</f>
        <v>3) 10-14%</v>
      </c>
      <c r="N2632" s="0" t="str">
        <f aca="false">IF(F2632&lt;50,"1) Under Rs 50",IF(F2632&lt;100,"2) Rs 50-99",IF(F2632&lt;200,"3) Rs 100-199",IF(F2632&lt;500,"4) Rs 200-499","5) Rs 500+"))))</f>
        <v>1) Under Rs 50</v>
      </c>
      <c r="O2632" s="0" t="n">
        <f aca="false">G2632*E2632/1000</f>
        <v>0.45</v>
      </c>
    </row>
    <row r="2633" customFormat="false" ht="15" hidden="false" customHeight="false" outlineLevel="0" collapsed="false">
      <c r="A2633" s="0" t="s">
        <v>82</v>
      </c>
      <c r="B2633" s="0" t="s">
        <v>1146</v>
      </c>
      <c r="C2633" s="0" t="n">
        <v>80</v>
      </c>
      <c r="D2633" s="0" t="n">
        <v>27</v>
      </c>
      <c r="E2633" s="0" t="n">
        <v>4</v>
      </c>
      <c r="F2633" s="0" t="n">
        <v>58</v>
      </c>
      <c r="G2633" s="0" t="n">
        <v>300</v>
      </c>
      <c r="H2633" s="0" t="s">
        <v>145</v>
      </c>
      <c r="I2633" s="0" t="n">
        <v>300</v>
      </c>
      <c r="J2633" s="0" t="n">
        <f aca="false">F2633*E2633</f>
        <v>232</v>
      </c>
      <c r="K2633" s="0" t="str">
        <f aca="false">IF(G2633&lt;1000,"1-Low",IF(G2633&lt;5000,"2-Medium","3-Bulk"))</f>
        <v>1-Low</v>
      </c>
      <c r="L2633" s="0" t="str">
        <f aca="false">IF(H2633="TRUE","Out of stock","In stock")</f>
        <v>In stock</v>
      </c>
      <c r="M2633" s="0" t="str">
        <f aca="false">IF(D2633&lt;5,"1) Under 5%",IF(D2633&lt;10,"2) 5-9%",IF(D2633&lt;15,"3) 10-14%",IF(D2633&lt;25,"4) 15-24%","5) 25%+"))))</f>
        <v>5) 25%+</v>
      </c>
      <c r="N2633" s="0" t="str">
        <f aca="false">IF(F2633&lt;50,"1) Under Rs 50",IF(F2633&lt;100,"2) Rs 50-99",IF(F2633&lt;200,"3) Rs 100-199",IF(F2633&lt;500,"4) Rs 200-499","5) Rs 500+"))))</f>
        <v>2) Rs 50-99</v>
      </c>
      <c r="O2633" s="0" t="n">
        <f aca="false">G2633*E2633/1000</f>
        <v>1.2</v>
      </c>
    </row>
    <row r="2634" customFormat="false" ht="15" hidden="false" customHeight="false" outlineLevel="0" collapsed="false">
      <c r="A2634" s="0" t="s">
        <v>82</v>
      </c>
      <c r="B2634" s="0" t="s">
        <v>1147</v>
      </c>
      <c r="C2634" s="0" t="n">
        <v>25</v>
      </c>
      <c r="D2634" s="0" t="n">
        <v>0</v>
      </c>
      <c r="E2634" s="0" t="n">
        <v>6</v>
      </c>
      <c r="F2634" s="0" t="n">
        <v>25</v>
      </c>
      <c r="G2634" s="0" t="n">
        <v>56</v>
      </c>
      <c r="H2634" s="0" t="s">
        <v>145</v>
      </c>
      <c r="I2634" s="0" t="n">
        <v>56</v>
      </c>
      <c r="J2634" s="0" t="n">
        <f aca="false">F2634*E2634</f>
        <v>150</v>
      </c>
      <c r="K2634" s="0" t="str">
        <f aca="false">IF(G2634&lt;1000,"1-Low",IF(G2634&lt;5000,"2-Medium","3-Bulk"))</f>
        <v>1-Low</v>
      </c>
      <c r="L2634" s="0" t="str">
        <f aca="false">IF(H2634="TRUE","Out of stock","In stock")</f>
        <v>In stock</v>
      </c>
      <c r="M2634" s="0" t="str">
        <f aca="false">IF(D2634&lt;5,"1) Under 5%",IF(D2634&lt;10,"2) 5-9%",IF(D2634&lt;15,"3) 10-14%",IF(D2634&lt;25,"4) 15-24%","5) 25%+"))))</f>
        <v>1) Under 5%</v>
      </c>
      <c r="N2634" s="0" t="str">
        <f aca="false">IF(F2634&lt;50,"1) Under Rs 50",IF(F2634&lt;100,"2) Rs 50-99",IF(F2634&lt;200,"3) Rs 100-199",IF(F2634&lt;500,"4) Rs 200-499","5) Rs 500+"))))</f>
        <v>1) Under Rs 50</v>
      </c>
      <c r="O2634" s="0" t="n">
        <f aca="false">G2634*E2634/1000</f>
        <v>0.336</v>
      </c>
    </row>
    <row r="2635" customFormat="false" ht="15" hidden="false" customHeight="false" outlineLevel="0" collapsed="false">
      <c r="A2635" s="0" t="s">
        <v>82</v>
      </c>
      <c r="B2635" s="0" t="s">
        <v>1148</v>
      </c>
      <c r="C2635" s="0" t="n">
        <v>30</v>
      </c>
      <c r="D2635" s="0" t="n">
        <v>10</v>
      </c>
      <c r="E2635" s="0" t="n">
        <v>3</v>
      </c>
      <c r="F2635" s="0" t="n">
        <v>27</v>
      </c>
      <c r="G2635" s="0" t="n">
        <v>200</v>
      </c>
      <c r="H2635" s="0" t="s">
        <v>145</v>
      </c>
      <c r="I2635" s="0" t="n">
        <v>200</v>
      </c>
      <c r="J2635" s="0" t="n">
        <f aca="false">F2635*E2635</f>
        <v>81</v>
      </c>
      <c r="K2635" s="0" t="str">
        <f aca="false">IF(G2635&lt;1000,"1-Low",IF(G2635&lt;5000,"2-Medium","3-Bulk"))</f>
        <v>1-Low</v>
      </c>
      <c r="L2635" s="0" t="str">
        <f aca="false">IF(H2635="TRUE","Out of stock","In stock")</f>
        <v>In stock</v>
      </c>
      <c r="M2635" s="0" t="str">
        <f aca="false">IF(D2635&lt;5,"1) Under 5%",IF(D2635&lt;10,"2) 5-9%",IF(D2635&lt;15,"3) 10-14%",IF(D2635&lt;25,"4) 15-24%","5) 25%+"))))</f>
        <v>3) 10-14%</v>
      </c>
      <c r="N2635" s="0" t="str">
        <f aca="false">IF(F2635&lt;50,"1) Under Rs 50",IF(F2635&lt;100,"2) Rs 50-99",IF(F2635&lt;200,"3) Rs 100-199",IF(F2635&lt;500,"4) Rs 200-499","5) Rs 500+"))))</f>
        <v>1) Under Rs 50</v>
      </c>
      <c r="O2635" s="0" t="n">
        <f aca="false">G2635*E2635/1000</f>
        <v>0.6</v>
      </c>
    </row>
    <row r="2636" customFormat="false" ht="15" hidden="false" customHeight="false" outlineLevel="0" collapsed="false">
      <c r="A2636" s="0" t="s">
        <v>82</v>
      </c>
      <c r="B2636" s="0" t="s">
        <v>1149</v>
      </c>
      <c r="C2636" s="0" t="n">
        <v>50</v>
      </c>
      <c r="D2636" s="0" t="n">
        <v>16</v>
      </c>
      <c r="E2636" s="0" t="n">
        <v>3</v>
      </c>
      <c r="F2636" s="0" t="n">
        <v>42</v>
      </c>
      <c r="G2636" s="0" t="n">
        <v>75</v>
      </c>
      <c r="H2636" s="0" t="s">
        <v>145</v>
      </c>
      <c r="I2636" s="0" t="n">
        <v>75</v>
      </c>
      <c r="J2636" s="0" t="n">
        <f aca="false">F2636*E2636</f>
        <v>126</v>
      </c>
      <c r="K2636" s="0" t="str">
        <f aca="false">IF(G2636&lt;1000,"1-Low",IF(G2636&lt;5000,"2-Medium","3-Bulk"))</f>
        <v>1-Low</v>
      </c>
      <c r="L2636" s="0" t="str">
        <f aca="false">IF(H2636="TRUE","Out of stock","In stock")</f>
        <v>In stock</v>
      </c>
      <c r="M2636" s="0" t="str">
        <f aca="false">IF(D2636&lt;5,"1) Under 5%",IF(D2636&lt;10,"2) 5-9%",IF(D2636&lt;15,"3) 10-14%",IF(D2636&lt;25,"4) 15-24%","5) 25%+"))))</f>
        <v>4) 15-24%</v>
      </c>
      <c r="N2636" s="0" t="str">
        <f aca="false">IF(F2636&lt;50,"1) Under Rs 50",IF(F2636&lt;100,"2) Rs 50-99",IF(F2636&lt;200,"3) Rs 100-199",IF(F2636&lt;500,"4) Rs 200-499","5) Rs 500+"))))</f>
        <v>1) Under Rs 50</v>
      </c>
      <c r="O2636" s="0" t="n">
        <f aca="false">G2636*E2636/1000</f>
        <v>0.225</v>
      </c>
    </row>
    <row r="2637" customFormat="false" ht="15" hidden="false" customHeight="false" outlineLevel="0" collapsed="false">
      <c r="A2637" s="0" t="s">
        <v>82</v>
      </c>
      <c r="B2637" s="0" t="s">
        <v>1150</v>
      </c>
      <c r="C2637" s="0" t="n">
        <v>30</v>
      </c>
      <c r="D2637" s="0" t="n">
        <v>3</v>
      </c>
      <c r="E2637" s="0" t="n">
        <v>1</v>
      </c>
      <c r="F2637" s="0" t="n">
        <v>29</v>
      </c>
      <c r="G2637" s="0" t="n">
        <v>100</v>
      </c>
      <c r="H2637" s="0" t="s">
        <v>145</v>
      </c>
      <c r="I2637" s="0" t="n">
        <v>100</v>
      </c>
      <c r="J2637" s="0" t="n">
        <f aca="false">F2637*E2637</f>
        <v>29</v>
      </c>
      <c r="K2637" s="0" t="str">
        <f aca="false">IF(G2637&lt;1000,"1-Low",IF(G2637&lt;5000,"2-Medium","3-Bulk"))</f>
        <v>1-Low</v>
      </c>
      <c r="L2637" s="0" t="str">
        <f aca="false">IF(H2637="TRUE","Out of stock","In stock")</f>
        <v>In stock</v>
      </c>
      <c r="M2637" s="0" t="str">
        <f aca="false">IF(D2637&lt;5,"1) Under 5%",IF(D2637&lt;10,"2) 5-9%",IF(D2637&lt;15,"3) 10-14%",IF(D2637&lt;25,"4) 15-24%","5) 25%+"))))</f>
        <v>1) Under 5%</v>
      </c>
      <c r="N2637" s="0" t="str">
        <f aca="false">IF(F2637&lt;50,"1) Under Rs 50",IF(F2637&lt;100,"2) Rs 50-99",IF(F2637&lt;200,"3) Rs 100-199",IF(F2637&lt;500,"4) Rs 200-499","5) Rs 500+"))))</f>
        <v>1) Under Rs 50</v>
      </c>
      <c r="O2637" s="0" t="n">
        <f aca="false">G2637*E2637/1000</f>
        <v>0.1</v>
      </c>
    </row>
    <row r="2638" customFormat="false" ht="15" hidden="false" customHeight="false" outlineLevel="0" collapsed="false">
      <c r="A2638" s="0" t="s">
        <v>82</v>
      </c>
      <c r="B2638" s="0" t="s">
        <v>1151</v>
      </c>
      <c r="C2638" s="0" t="n">
        <v>25</v>
      </c>
      <c r="D2638" s="0" t="n">
        <v>8</v>
      </c>
      <c r="E2638" s="0" t="n">
        <v>3</v>
      </c>
      <c r="F2638" s="0" t="n">
        <v>23</v>
      </c>
      <c r="G2638" s="0" t="n">
        <v>67</v>
      </c>
      <c r="H2638" s="0" t="s">
        <v>145</v>
      </c>
      <c r="I2638" s="0" t="n">
        <v>67</v>
      </c>
      <c r="J2638" s="0" t="n">
        <f aca="false">F2638*E2638</f>
        <v>69</v>
      </c>
      <c r="K2638" s="0" t="str">
        <f aca="false">IF(G2638&lt;1000,"1-Low",IF(G2638&lt;5000,"2-Medium","3-Bulk"))</f>
        <v>1-Low</v>
      </c>
      <c r="L2638" s="0" t="str">
        <f aca="false">IF(H2638="TRUE","Out of stock","In stock")</f>
        <v>In stock</v>
      </c>
      <c r="M2638" s="0" t="str">
        <f aca="false">IF(D2638&lt;5,"1) Under 5%",IF(D2638&lt;10,"2) 5-9%",IF(D2638&lt;15,"3) 10-14%",IF(D2638&lt;25,"4) 15-24%","5) 25%+"))))</f>
        <v>2) 5-9%</v>
      </c>
      <c r="N2638" s="0" t="str">
        <f aca="false">IF(F2638&lt;50,"1) Under Rs 50",IF(F2638&lt;100,"2) Rs 50-99",IF(F2638&lt;200,"3) Rs 100-199",IF(F2638&lt;500,"4) Rs 200-499","5) Rs 500+"))))</f>
        <v>1) Under Rs 50</v>
      </c>
      <c r="O2638" s="0" t="n">
        <f aca="false">G2638*E2638/1000</f>
        <v>0.201</v>
      </c>
    </row>
    <row r="2639" customFormat="false" ht="15" hidden="false" customHeight="false" outlineLevel="0" collapsed="false">
      <c r="A2639" s="0" t="s">
        <v>82</v>
      </c>
      <c r="B2639" s="0" t="s">
        <v>1152</v>
      </c>
      <c r="C2639" s="0" t="n">
        <v>140</v>
      </c>
      <c r="D2639" s="0" t="n">
        <v>25</v>
      </c>
      <c r="E2639" s="0" t="n">
        <v>5</v>
      </c>
      <c r="F2639" s="0" t="n">
        <v>105</v>
      </c>
      <c r="G2639" s="0" t="n">
        <v>253</v>
      </c>
      <c r="H2639" s="0" t="s">
        <v>145</v>
      </c>
      <c r="I2639" s="0" t="n">
        <v>276</v>
      </c>
      <c r="J2639" s="0" t="n">
        <f aca="false">F2639*E2639</f>
        <v>525</v>
      </c>
      <c r="K2639" s="0" t="str">
        <f aca="false">IF(G2639&lt;1000,"1-Low",IF(G2639&lt;5000,"2-Medium","3-Bulk"))</f>
        <v>1-Low</v>
      </c>
      <c r="L2639" s="0" t="str">
        <f aca="false">IF(H2639="TRUE","Out of stock","In stock")</f>
        <v>In stock</v>
      </c>
      <c r="M2639" s="0" t="str">
        <f aca="false">IF(D2639&lt;5,"1) Under 5%",IF(D2639&lt;10,"2) 5-9%",IF(D2639&lt;15,"3) 10-14%",IF(D2639&lt;25,"4) 15-24%","5) 25%+"))))</f>
        <v>5) 25%+</v>
      </c>
      <c r="N2639" s="0" t="str">
        <f aca="false">IF(F2639&lt;50,"1) Under Rs 50",IF(F2639&lt;100,"2) Rs 50-99",IF(F2639&lt;200,"3) Rs 100-199",IF(F2639&lt;500,"4) Rs 200-499","5) Rs 500+"))))</f>
        <v>3) Rs 100-199</v>
      </c>
      <c r="O2639" s="0" t="n">
        <f aca="false">G2639*E2639/1000</f>
        <v>1.265</v>
      </c>
    </row>
    <row r="2640" customFormat="false" ht="15" hidden="false" customHeight="false" outlineLevel="0" collapsed="false">
      <c r="A2640" s="0" t="s">
        <v>82</v>
      </c>
      <c r="B2640" s="0" t="s">
        <v>1135</v>
      </c>
      <c r="C2640" s="0" t="n">
        <v>110</v>
      </c>
      <c r="D2640" s="0" t="n">
        <v>14</v>
      </c>
      <c r="E2640" s="0" t="n">
        <v>1</v>
      </c>
      <c r="F2640" s="0" t="n">
        <v>94</v>
      </c>
      <c r="G2640" s="0" t="n">
        <v>700</v>
      </c>
      <c r="H2640" s="0" t="s">
        <v>145</v>
      </c>
      <c r="I2640" s="0" t="n">
        <v>700</v>
      </c>
      <c r="J2640" s="0" t="n">
        <f aca="false">F2640*E2640</f>
        <v>94</v>
      </c>
      <c r="K2640" s="0" t="str">
        <f aca="false">IF(G2640&lt;1000,"1-Low",IF(G2640&lt;5000,"2-Medium","3-Bulk"))</f>
        <v>1-Low</v>
      </c>
      <c r="L2640" s="0" t="str">
        <f aca="false">IF(H2640="TRUE","Out of stock","In stock")</f>
        <v>In stock</v>
      </c>
      <c r="M2640" s="0" t="str">
        <f aca="false">IF(D2640&lt;5,"1) Under 5%",IF(D2640&lt;10,"2) 5-9%",IF(D2640&lt;15,"3) 10-14%",IF(D2640&lt;25,"4) 15-24%","5) 25%+"))))</f>
        <v>3) 10-14%</v>
      </c>
      <c r="N2640" s="0" t="str">
        <f aca="false">IF(F2640&lt;50,"1) Under Rs 50",IF(F2640&lt;100,"2) Rs 50-99",IF(F2640&lt;200,"3) Rs 100-199",IF(F2640&lt;500,"4) Rs 200-499","5) Rs 500+"))))</f>
        <v>2) Rs 50-99</v>
      </c>
      <c r="O2640" s="0" t="n">
        <f aca="false">G2640*E2640/1000</f>
        <v>0.7</v>
      </c>
    </row>
    <row r="2641" customFormat="false" ht="15" hidden="false" customHeight="false" outlineLevel="0" collapsed="false">
      <c r="A2641" s="0" t="s">
        <v>82</v>
      </c>
      <c r="B2641" s="0" t="s">
        <v>1153</v>
      </c>
      <c r="C2641" s="0" t="n">
        <v>30</v>
      </c>
      <c r="D2641" s="0" t="n">
        <v>0</v>
      </c>
      <c r="E2641" s="0" t="n">
        <v>6</v>
      </c>
      <c r="F2641" s="0" t="n">
        <v>30</v>
      </c>
      <c r="G2641" s="0" t="n">
        <v>250</v>
      </c>
      <c r="H2641" s="0" t="s">
        <v>145</v>
      </c>
      <c r="I2641" s="0" t="n">
        <v>250</v>
      </c>
      <c r="J2641" s="0" t="n">
        <f aca="false">F2641*E2641</f>
        <v>180</v>
      </c>
      <c r="K2641" s="0" t="str">
        <f aca="false">IF(G2641&lt;1000,"1-Low",IF(G2641&lt;5000,"2-Medium","3-Bulk"))</f>
        <v>1-Low</v>
      </c>
      <c r="L2641" s="0" t="str">
        <f aca="false">IF(H2641="TRUE","Out of stock","In stock")</f>
        <v>In stock</v>
      </c>
      <c r="M2641" s="0" t="str">
        <f aca="false">IF(D2641&lt;5,"1) Under 5%",IF(D2641&lt;10,"2) 5-9%",IF(D2641&lt;15,"3) 10-14%",IF(D2641&lt;25,"4) 15-24%","5) 25%+"))))</f>
        <v>1) Under 5%</v>
      </c>
      <c r="N2641" s="0" t="str">
        <f aca="false">IF(F2641&lt;50,"1) Under Rs 50",IF(F2641&lt;100,"2) Rs 50-99",IF(F2641&lt;200,"3) Rs 100-199",IF(F2641&lt;500,"4) Rs 200-499","5) Rs 500+"))))</f>
        <v>1) Under Rs 50</v>
      </c>
      <c r="O2641" s="0" t="n">
        <f aca="false">G2641*E2641/1000</f>
        <v>1.5</v>
      </c>
    </row>
    <row r="2642" customFormat="false" ht="15" hidden="false" customHeight="false" outlineLevel="0" collapsed="false">
      <c r="A2642" s="0" t="s">
        <v>82</v>
      </c>
      <c r="B2642" s="0" t="s">
        <v>1154</v>
      </c>
      <c r="C2642" s="0" t="n">
        <v>20</v>
      </c>
      <c r="D2642" s="0" t="n">
        <v>10</v>
      </c>
      <c r="E2642" s="0" t="n">
        <v>2</v>
      </c>
      <c r="F2642" s="0" t="n">
        <v>18</v>
      </c>
      <c r="G2642" s="0" t="n">
        <v>47</v>
      </c>
      <c r="H2642" s="0" t="s">
        <v>145</v>
      </c>
      <c r="I2642" s="0" t="n">
        <v>47</v>
      </c>
      <c r="J2642" s="0" t="n">
        <f aca="false">F2642*E2642</f>
        <v>36</v>
      </c>
      <c r="K2642" s="0" t="str">
        <f aca="false">IF(G2642&lt;1000,"1-Low",IF(G2642&lt;5000,"2-Medium","3-Bulk"))</f>
        <v>1-Low</v>
      </c>
      <c r="L2642" s="0" t="str">
        <f aca="false">IF(H2642="TRUE","Out of stock","In stock")</f>
        <v>In stock</v>
      </c>
      <c r="M2642" s="0" t="str">
        <f aca="false">IF(D2642&lt;5,"1) Under 5%",IF(D2642&lt;10,"2) 5-9%",IF(D2642&lt;15,"3) 10-14%",IF(D2642&lt;25,"4) 15-24%","5) 25%+"))))</f>
        <v>3) 10-14%</v>
      </c>
      <c r="N2642" s="0" t="str">
        <f aca="false">IF(F2642&lt;50,"1) Under Rs 50",IF(F2642&lt;100,"2) Rs 50-99",IF(F2642&lt;200,"3) Rs 100-199",IF(F2642&lt;500,"4) Rs 200-499","5) Rs 500+"))))</f>
        <v>1) Under Rs 50</v>
      </c>
      <c r="O2642" s="0" t="n">
        <f aca="false">G2642*E2642/1000</f>
        <v>0.094</v>
      </c>
    </row>
    <row r="2643" customFormat="false" ht="15" hidden="false" customHeight="false" outlineLevel="0" collapsed="false">
      <c r="A2643" s="0" t="s">
        <v>82</v>
      </c>
      <c r="B2643" s="0" t="s">
        <v>1155</v>
      </c>
      <c r="C2643" s="0" t="n">
        <v>25</v>
      </c>
      <c r="D2643" s="0" t="n">
        <v>8</v>
      </c>
      <c r="E2643" s="0" t="n">
        <v>6</v>
      </c>
      <c r="F2643" s="0" t="n">
        <v>23</v>
      </c>
      <c r="G2643" s="0" t="n">
        <v>75</v>
      </c>
      <c r="H2643" s="0" t="s">
        <v>145</v>
      </c>
      <c r="I2643" s="0" t="n">
        <v>75</v>
      </c>
      <c r="J2643" s="0" t="n">
        <f aca="false">F2643*E2643</f>
        <v>138</v>
      </c>
      <c r="K2643" s="0" t="str">
        <f aca="false">IF(G2643&lt;1000,"1-Low",IF(G2643&lt;5000,"2-Medium","3-Bulk"))</f>
        <v>1-Low</v>
      </c>
      <c r="L2643" s="0" t="str">
        <f aca="false">IF(H2643="TRUE","Out of stock","In stock")</f>
        <v>In stock</v>
      </c>
      <c r="M2643" s="0" t="str">
        <f aca="false">IF(D2643&lt;5,"1) Under 5%",IF(D2643&lt;10,"2) 5-9%",IF(D2643&lt;15,"3) 10-14%",IF(D2643&lt;25,"4) 15-24%","5) 25%+"))))</f>
        <v>2) 5-9%</v>
      </c>
      <c r="N2643" s="0" t="str">
        <f aca="false">IF(F2643&lt;50,"1) Under Rs 50",IF(F2643&lt;100,"2) Rs 50-99",IF(F2643&lt;200,"3) Rs 100-199",IF(F2643&lt;500,"4) Rs 200-499","5) Rs 500+"))))</f>
        <v>1) Under Rs 50</v>
      </c>
      <c r="O2643" s="0" t="n">
        <f aca="false">G2643*E2643/1000</f>
        <v>0.45</v>
      </c>
    </row>
    <row r="2644" customFormat="false" ht="15" hidden="false" customHeight="false" outlineLevel="0" collapsed="false">
      <c r="A2644" s="0" t="s">
        <v>82</v>
      </c>
      <c r="B2644" s="0" t="s">
        <v>1156</v>
      </c>
      <c r="C2644" s="0" t="n">
        <v>30</v>
      </c>
      <c r="D2644" s="0" t="n">
        <v>3</v>
      </c>
      <c r="E2644" s="0" t="n">
        <v>6</v>
      </c>
      <c r="F2644" s="0" t="n">
        <v>29</v>
      </c>
      <c r="G2644" s="0" t="n">
        <v>100</v>
      </c>
      <c r="H2644" s="0" t="s">
        <v>145</v>
      </c>
      <c r="I2644" s="0" t="n">
        <v>100</v>
      </c>
      <c r="J2644" s="0" t="n">
        <f aca="false">F2644*E2644</f>
        <v>174</v>
      </c>
      <c r="K2644" s="0" t="str">
        <f aca="false">IF(G2644&lt;1000,"1-Low",IF(G2644&lt;5000,"2-Medium","3-Bulk"))</f>
        <v>1-Low</v>
      </c>
      <c r="L2644" s="0" t="str">
        <f aca="false">IF(H2644="TRUE","Out of stock","In stock")</f>
        <v>In stock</v>
      </c>
      <c r="M2644" s="0" t="str">
        <f aca="false">IF(D2644&lt;5,"1) Under 5%",IF(D2644&lt;10,"2) 5-9%",IF(D2644&lt;15,"3) 10-14%",IF(D2644&lt;25,"4) 15-24%","5) 25%+"))))</f>
        <v>1) Under 5%</v>
      </c>
      <c r="N2644" s="0" t="str">
        <f aca="false">IF(F2644&lt;50,"1) Under Rs 50",IF(F2644&lt;100,"2) Rs 50-99",IF(F2644&lt;200,"3) Rs 100-199",IF(F2644&lt;500,"4) Rs 200-499","5) Rs 500+"))))</f>
        <v>1) Under Rs 50</v>
      </c>
      <c r="O2644" s="0" t="n">
        <f aca="false">G2644*E2644/1000</f>
        <v>0.6</v>
      </c>
    </row>
    <row r="2645" customFormat="false" ht="15" hidden="false" customHeight="false" outlineLevel="0" collapsed="false">
      <c r="A2645" s="0" t="s">
        <v>82</v>
      </c>
      <c r="B2645" s="0" t="s">
        <v>1157</v>
      </c>
      <c r="C2645" s="0" t="n">
        <v>95</v>
      </c>
      <c r="D2645" s="0" t="n">
        <v>6</v>
      </c>
      <c r="E2645" s="0" t="n">
        <v>3</v>
      </c>
      <c r="F2645" s="0" t="n">
        <v>89</v>
      </c>
      <c r="G2645" s="0" t="n">
        <v>100</v>
      </c>
      <c r="H2645" s="0" t="s">
        <v>145</v>
      </c>
      <c r="I2645" s="0" t="n">
        <v>100</v>
      </c>
      <c r="J2645" s="0" t="n">
        <f aca="false">F2645*E2645</f>
        <v>267</v>
      </c>
      <c r="K2645" s="0" t="str">
        <f aca="false">IF(G2645&lt;1000,"1-Low",IF(G2645&lt;5000,"2-Medium","3-Bulk"))</f>
        <v>1-Low</v>
      </c>
      <c r="L2645" s="0" t="str">
        <f aca="false">IF(H2645="TRUE","Out of stock","In stock")</f>
        <v>In stock</v>
      </c>
      <c r="M2645" s="0" t="str">
        <f aca="false">IF(D2645&lt;5,"1) Under 5%",IF(D2645&lt;10,"2) 5-9%",IF(D2645&lt;15,"3) 10-14%",IF(D2645&lt;25,"4) 15-24%","5) 25%+"))))</f>
        <v>2) 5-9%</v>
      </c>
      <c r="N2645" s="0" t="str">
        <f aca="false">IF(F2645&lt;50,"1) Under Rs 50",IF(F2645&lt;100,"2) Rs 50-99",IF(F2645&lt;200,"3) Rs 100-199",IF(F2645&lt;500,"4) Rs 200-499","5) Rs 500+"))))</f>
        <v>2) Rs 50-99</v>
      </c>
      <c r="O2645" s="0" t="n">
        <f aca="false">G2645*E2645/1000</f>
        <v>0.3</v>
      </c>
    </row>
    <row r="2646" customFormat="false" ht="15" hidden="false" customHeight="false" outlineLevel="0" collapsed="false">
      <c r="A2646" s="0" t="s">
        <v>82</v>
      </c>
      <c r="B2646" s="0" t="s">
        <v>1158</v>
      </c>
      <c r="C2646" s="0" t="n">
        <v>35</v>
      </c>
      <c r="D2646" s="0" t="n">
        <v>17</v>
      </c>
      <c r="E2646" s="0" t="n">
        <v>4</v>
      </c>
      <c r="F2646" s="0" t="n">
        <v>29</v>
      </c>
      <c r="G2646" s="0" t="n">
        <v>100</v>
      </c>
      <c r="H2646" s="0" t="s">
        <v>145</v>
      </c>
      <c r="I2646" s="0" t="n">
        <v>100</v>
      </c>
      <c r="J2646" s="0" t="n">
        <f aca="false">F2646*E2646</f>
        <v>116</v>
      </c>
      <c r="K2646" s="0" t="str">
        <f aca="false">IF(G2646&lt;1000,"1-Low",IF(G2646&lt;5000,"2-Medium","3-Bulk"))</f>
        <v>1-Low</v>
      </c>
      <c r="L2646" s="0" t="str">
        <f aca="false">IF(H2646="TRUE","Out of stock","In stock")</f>
        <v>In stock</v>
      </c>
      <c r="M2646" s="0" t="str">
        <f aca="false">IF(D2646&lt;5,"1) Under 5%",IF(D2646&lt;10,"2) 5-9%",IF(D2646&lt;15,"3) 10-14%",IF(D2646&lt;25,"4) 15-24%","5) 25%+"))))</f>
        <v>4) 15-24%</v>
      </c>
      <c r="N2646" s="0" t="str">
        <f aca="false">IF(F2646&lt;50,"1) Under Rs 50",IF(F2646&lt;100,"2) Rs 50-99",IF(F2646&lt;200,"3) Rs 100-199",IF(F2646&lt;500,"4) Rs 200-499","5) Rs 500+"))))</f>
        <v>1) Under Rs 50</v>
      </c>
      <c r="O2646" s="0" t="n">
        <f aca="false">G2646*E2646/1000</f>
        <v>0.4</v>
      </c>
    </row>
    <row r="2647" customFormat="false" ht="15" hidden="false" customHeight="false" outlineLevel="0" collapsed="false">
      <c r="A2647" s="0" t="s">
        <v>82</v>
      </c>
      <c r="B2647" s="0" t="s">
        <v>1159</v>
      </c>
      <c r="C2647" s="0" t="n">
        <v>105</v>
      </c>
      <c r="D2647" s="0" t="n">
        <v>22</v>
      </c>
      <c r="E2647" s="0" t="n">
        <v>4</v>
      </c>
      <c r="F2647" s="0" t="n">
        <v>81</v>
      </c>
      <c r="G2647" s="0" t="n">
        <v>75</v>
      </c>
      <c r="H2647" s="0" t="s">
        <v>145</v>
      </c>
      <c r="I2647" s="0" t="n">
        <v>75</v>
      </c>
      <c r="J2647" s="0" t="n">
        <f aca="false">F2647*E2647</f>
        <v>324</v>
      </c>
      <c r="K2647" s="0" t="str">
        <f aca="false">IF(G2647&lt;1000,"1-Low",IF(G2647&lt;5000,"2-Medium","3-Bulk"))</f>
        <v>1-Low</v>
      </c>
      <c r="L2647" s="0" t="str">
        <f aca="false">IF(H2647="TRUE","Out of stock","In stock")</f>
        <v>In stock</v>
      </c>
      <c r="M2647" s="0" t="str">
        <f aca="false">IF(D2647&lt;5,"1) Under 5%",IF(D2647&lt;10,"2) 5-9%",IF(D2647&lt;15,"3) 10-14%",IF(D2647&lt;25,"4) 15-24%","5) 25%+"))))</f>
        <v>4) 15-24%</v>
      </c>
      <c r="N2647" s="0" t="str">
        <f aca="false">IF(F2647&lt;50,"1) Under Rs 50",IF(F2647&lt;100,"2) Rs 50-99",IF(F2647&lt;200,"3) Rs 100-199",IF(F2647&lt;500,"4) Rs 200-499","5) Rs 500+"))))</f>
        <v>2) Rs 50-99</v>
      </c>
      <c r="O2647" s="0" t="n">
        <f aca="false">G2647*E2647/1000</f>
        <v>0.3</v>
      </c>
    </row>
    <row r="2648" customFormat="false" ht="15" hidden="false" customHeight="false" outlineLevel="0" collapsed="false">
      <c r="A2648" s="0" t="s">
        <v>82</v>
      </c>
      <c r="B2648" s="0" t="s">
        <v>1160</v>
      </c>
      <c r="C2648" s="0" t="n">
        <v>70</v>
      </c>
      <c r="D2648" s="0" t="n">
        <v>10</v>
      </c>
      <c r="E2648" s="0" t="n">
        <v>1</v>
      </c>
      <c r="F2648" s="0" t="n">
        <v>63</v>
      </c>
      <c r="G2648" s="0" t="n">
        <v>150</v>
      </c>
      <c r="H2648" s="0" t="s">
        <v>145</v>
      </c>
      <c r="I2648" s="0" t="n">
        <v>150</v>
      </c>
      <c r="J2648" s="0" t="n">
        <f aca="false">F2648*E2648</f>
        <v>63</v>
      </c>
      <c r="K2648" s="0" t="str">
        <f aca="false">IF(G2648&lt;1000,"1-Low",IF(G2648&lt;5000,"2-Medium","3-Bulk"))</f>
        <v>1-Low</v>
      </c>
      <c r="L2648" s="0" t="str">
        <f aca="false">IF(H2648="TRUE","Out of stock","In stock")</f>
        <v>In stock</v>
      </c>
      <c r="M2648" s="0" t="str">
        <f aca="false">IF(D2648&lt;5,"1) Under 5%",IF(D2648&lt;10,"2) 5-9%",IF(D2648&lt;15,"3) 10-14%",IF(D2648&lt;25,"4) 15-24%","5) 25%+"))))</f>
        <v>3) 10-14%</v>
      </c>
      <c r="N2648" s="0" t="str">
        <f aca="false">IF(F2648&lt;50,"1) Under Rs 50",IF(F2648&lt;100,"2) Rs 50-99",IF(F2648&lt;200,"3) Rs 100-199",IF(F2648&lt;500,"4) Rs 200-499","5) Rs 500+"))))</f>
        <v>2) Rs 50-99</v>
      </c>
      <c r="O2648" s="0" t="n">
        <f aca="false">G2648*E2648/1000</f>
        <v>0.15</v>
      </c>
    </row>
    <row r="2649" customFormat="false" ht="15" hidden="false" customHeight="false" outlineLevel="0" collapsed="false">
      <c r="A2649" s="0" t="s">
        <v>82</v>
      </c>
      <c r="B2649" s="0" t="s">
        <v>1161</v>
      </c>
      <c r="C2649" s="0" t="n">
        <v>60</v>
      </c>
      <c r="D2649" s="0" t="n">
        <v>10</v>
      </c>
      <c r="E2649" s="0" t="n">
        <v>3</v>
      </c>
      <c r="F2649" s="0" t="n">
        <v>54</v>
      </c>
      <c r="G2649" s="0" t="n">
        <v>150</v>
      </c>
      <c r="H2649" s="0" t="s">
        <v>145</v>
      </c>
      <c r="I2649" s="0" t="n">
        <v>150</v>
      </c>
      <c r="J2649" s="0" t="n">
        <f aca="false">F2649*E2649</f>
        <v>162</v>
      </c>
      <c r="K2649" s="0" t="str">
        <f aca="false">IF(G2649&lt;1000,"1-Low",IF(G2649&lt;5000,"2-Medium","3-Bulk"))</f>
        <v>1-Low</v>
      </c>
      <c r="L2649" s="0" t="str">
        <f aca="false">IF(H2649="TRUE","Out of stock","In stock")</f>
        <v>In stock</v>
      </c>
      <c r="M2649" s="0" t="str">
        <f aca="false">IF(D2649&lt;5,"1) Under 5%",IF(D2649&lt;10,"2) 5-9%",IF(D2649&lt;15,"3) 10-14%",IF(D2649&lt;25,"4) 15-24%","5) 25%+"))))</f>
        <v>3) 10-14%</v>
      </c>
      <c r="N2649" s="0" t="str">
        <f aca="false">IF(F2649&lt;50,"1) Under Rs 50",IF(F2649&lt;100,"2) Rs 50-99",IF(F2649&lt;200,"3) Rs 100-199",IF(F2649&lt;500,"4) Rs 200-499","5) Rs 500+"))))</f>
        <v>2) Rs 50-99</v>
      </c>
      <c r="O2649" s="0" t="n">
        <f aca="false">G2649*E2649/1000</f>
        <v>0.45</v>
      </c>
    </row>
    <row r="2650" customFormat="false" ht="15" hidden="false" customHeight="false" outlineLevel="0" collapsed="false">
      <c r="A2650" s="0" t="s">
        <v>82</v>
      </c>
      <c r="B2650" s="0" t="s">
        <v>1162</v>
      </c>
      <c r="C2650" s="0" t="n">
        <v>50</v>
      </c>
      <c r="D2650" s="0" t="n">
        <v>16</v>
      </c>
      <c r="E2650" s="0" t="n">
        <v>6</v>
      </c>
      <c r="F2650" s="0" t="n">
        <v>42</v>
      </c>
      <c r="G2650" s="0" t="n">
        <v>75</v>
      </c>
      <c r="H2650" s="0" t="s">
        <v>145</v>
      </c>
      <c r="I2650" s="0" t="n">
        <v>75</v>
      </c>
      <c r="J2650" s="0" t="n">
        <f aca="false">F2650*E2650</f>
        <v>252</v>
      </c>
      <c r="K2650" s="0" t="str">
        <f aca="false">IF(G2650&lt;1000,"1-Low",IF(G2650&lt;5000,"2-Medium","3-Bulk"))</f>
        <v>1-Low</v>
      </c>
      <c r="L2650" s="0" t="str">
        <f aca="false">IF(H2650="TRUE","Out of stock","In stock")</f>
        <v>In stock</v>
      </c>
      <c r="M2650" s="0" t="str">
        <f aca="false">IF(D2650&lt;5,"1) Under 5%",IF(D2650&lt;10,"2) 5-9%",IF(D2650&lt;15,"3) 10-14%",IF(D2650&lt;25,"4) 15-24%","5) 25%+"))))</f>
        <v>4) 15-24%</v>
      </c>
      <c r="N2650" s="0" t="str">
        <f aca="false">IF(F2650&lt;50,"1) Under Rs 50",IF(F2650&lt;100,"2) Rs 50-99",IF(F2650&lt;200,"3) Rs 100-199",IF(F2650&lt;500,"4) Rs 200-499","5) Rs 500+"))))</f>
        <v>1) Under Rs 50</v>
      </c>
      <c r="O2650" s="0" t="n">
        <f aca="false">G2650*E2650/1000</f>
        <v>0.45</v>
      </c>
    </row>
    <row r="2651" customFormat="false" ht="15" hidden="false" customHeight="false" outlineLevel="0" collapsed="false">
      <c r="A2651" s="0" t="s">
        <v>82</v>
      </c>
      <c r="B2651" s="0" t="s">
        <v>1163</v>
      </c>
      <c r="C2651" s="0" t="n">
        <v>120</v>
      </c>
      <c r="D2651" s="0" t="n">
        <v>12</v>
      </c>
      <c r="E2651" s="0" t="n">
        <v>6</v>
      </c>
      <c r="F2651" s="0" t="n">
        <v>105.6</v>
      </c>
      <c r="G2651" s="0" t="n">
        <v>600</v>
      </c>
      <c r="H2651" s="0" t="s">
        <v>145</v>
      </c>
      <c r="I2651" s="0" t="n">
        <v>600</v>
      </c>
      <c r="J2651" s="0" t="n">
        <f aca="false">F2651*E2651</f>
        <v>633.6</v>
      </c>
      <c r="K2651" s="0" t="str">
        <f aca="false">IF(G2651&lt;1000,"1-Low",IF(G2651&lt;5000,"2-Medium","3-Bulk"))</f>
        <v>1-Low</v>
      </c>
      <c r="L2651" s="0" t="str">
        <f aca="false">IF(H2651="TRUE","Out of stock","In stock")</f>
        <v>In stock</v>
      </c>
      <c r="M2651" s="0" t="str">
        <f aca="false">IF(D2651&lt;5,"1) Under 5%",IF(D2651&lt;10,"2) 5-9%",IF(D2651&lt;15,"3) 10-14%",IF(D2651&lt;25,"4) 15-24%","5) 25%+"))))</f>
        <v>3) 10-14%</v>
      </c>
      <c r="N2651" s="0" t="str">
        <f aca="false">IF(F2651&lt;50,"1) Under Rs 50",IF(F2651&lt;100,"2) Rs 50-99",IF(F2651&lt;200,"3) Rs 100-199",IF(F2651&lt;500,"4) Rs 200-499","5) Rs 500+"))))</f>
        <v>3) Rs 100-199</v>
      </c>
      <c r="O2651" s="0" t="n">
        <f aca="false">G2651*E2651/1000</f>
        <v>3.6</v>
      </c>
    </row>
    <row r="2652" customFormat="false" ht="15" hidden="false" customHeight="false" outlineLevel="0" collapsed="false">
      <c r="A2652" s="0" t="s">
        <v>82</v>
      </c>
      <c r="B2652" s="0" t="s">
        <v>1164</v>
      </c>
      <c r="C2652" s="0" t="n">
        <v>55</v>
      </c>
      <c r="D2652" s="0" t="n">
        <v>25</v>
      </c>
      <c r="E2652" s="0" t="n">
        <v>3</v>
      </c>
      <c r="F2652" s="0" t="n">
        <v>41</v>
      </c>
      <c r="G2652" s="0" t="n">
        <v>150</v>
      </c>
      <c r="H2652" s="0" t="s">
        <v>145</v>
      </c>
      <c r="I2652" s="0" t="n">
        <v>150</v>
      </c>
      <c r="J2652" s="0" t="n">
        <f aca="false">F2652*E2652</f>
        <v>123</v>
      </c>
      <c r="K2652" s="0" t="str">
        <f aca="false">IF(G2652&lt;1000,"1-Low",IF(G2652&lt;5000,"2-Medium","3-Bulk"))</f>
        <v>1-Low</v>
      </c>
      <c r="L2652" s="0" t="str">
        <f aca="false">IF(H2652="TRUE","Out of stock","In stock")</f>
        <v>In stock</v>
      </c>
      <c r="M2652" s="0" t="str">
        <f aca="false">IF(D2652&lt;5,"1) Under 5%",IF(D2652&lt;10,"2) 5-9%",IF(D2652&lt;15,"3) 10-14%",IF(D2652&lt;25,"4) 15-24%","5) 25%+"))))</f>
        <v>5) 25%+</v>
      </c>
      <c r="N2652" s="0" t="str">
        <f aca="false">IF(F2652&lt;50,"1) Under Rs 50",IF(F2652&lt;100,"2) Rs 50-99",IF(F2652&lt;200,"3) Rs 100-199",IF(F2652&lt;500,"4) Rs 200-499","5) Rs 500+"))))</f>
        <v>1) Under Rs 50</v>
      </c>
      <c r="O2652" s="0" t="n">
        <f aca="false">G2652*E2652/1000</f>
        <v>0.45</v>
      </c>
    </row>
    <row r="2653" customFormat="false" ht="15" hidden="false" customHeight="false" outlineLevel="0" collapsed="false">
      <c r="A2653" s="0" t="s">
        <v>82</v>
      </c>
      <c r="B2653" s="0" t="s">
        <v>1154</v>
      </c>
      <c r="C2653" s="0" t="n">
        <v>20</v>
      </c>
      <c r="D2653" s="0" t="n">
        <v>0</v>
      </c>
      <c r="E2653" s="0" t="n">
        <v>6</v>
      </c>
      <c r="F2653" s="0" t="n">
        <v>20</v>
      </c>
      <c r="G2653" s="0" t="n">
        <v>47</v>
      </c>
      <c r="H2653" s="0" t="s">
        <v>145</v>
      </c>
      <c r="I2653" s="0" t="n">
        <v>47</v>
      </c>
      <c r="J2653" s="0" t="n">
        <f aca="false">F2653*E2653</f>
        <v>120</v>
      </c>
      <c r="K2653" s="0" t="str">
        <f aca="false">IF(G2653&lt;1000,"1-Low",IF(G2653&lt;5000,"2-Medium","3-Bulk"))</f>
        <v>1-Low</v>
      </c>
      <c r="L2653" s="0" t="str">
        <f aca="false">IF(H2653="TRUE","Out of stock","In stock")</f>
        <v>In stock</v>
      </c>
      <c r="M2653" s="0" t="str">
        <f aca="false">IF(D2653&lt;5,"1) Under 5%",IF(D2653&lt;10,"2) 5-9%",IF(D2653&lt;15,"3) 10-14%",IF(D2653&lt;25,"4) 15-24%","5) 25%+"))))</f>
        <v>1) Under 5%</v>
      </c>
      <c r="N2653" s="0" t="str">
        <f aca="false">IF(F2653&lt;50,"1) Under Rs 50",IF(F2653&lt;100,"2) Rs 50-99",IF(F2653&lt;200,"3) Rs 100-199",IF(F2653&lt;500,"4) Rs 200-499","5) Rs 500+"))))</f>
        <v>1) Under Rs 50</v>
      </c>
      <c r="O2653" s="0" t="n">
        <f aca="false">G2653*E2653/1000</f>
        <v>0.282</v>
      </c>
    </row>
    <row r="2654" customFormat="false" ht="15" hidden="false" customHeight="false" outlineLevel="0" collapsed="false">
      <c r="A2654" s="0" t="s">
        <v>82</v>
      </c>
      <c r="B2654" s="0" t="s">
        <v>1165</v>
      </c>
      <c r="C2654" s="0" t="n">
        <v>50</v>
      </c>
      <c r="D2654" s="0" t="n">
        <v>2</v>
      </c>
      <c r="E2654" s="0" t="n">
        <v>4</v>
      </c>
      <c r="F2654" s="0" t="n">
        <v>49</v>
      </c>
      <c r="G2654" s="0" t="n">
        <v>120</v>
      </c>
      <c r="H2654" s="0" t="s">
        <v>145</v>
      </c>
      <c r="I2654" s="0" t="n">
        <v>120</v>
      </c>
      <c r="J2654" s="0" t="n">
        <f aca="false">F2654*E2654</f>
        <v>196</v>
      </c>
      <c r="K2654" s="0" t="str">
        <f aca="false">IF(G2654&lt;1000,"1-Low",IF(G2654&lt;5000,"2-Medium","3-Bulk"))</f>
        <v>1-Low</v>
      </c>
      <c r="L2654" s="0" t="str">
        <f aca="false">IF(H2654="TRUE","Out of stock","In stock")</f>
        <v>In stock</v>
      </c>
      <c r="M2654" s="0" t="str">
        <f aca="false">IF(D2654&lt;5,"1) Under 5%",IF(D2654&lt;10,"2) 5-9%",IF(D2654&lt;15,"3) 10-14%",IF(D2654&lt;25,"4) 15-24%","5) 25%+"))))</f>
        <v>1) Under 5%</v>
      </c>
      <c r="N2654" s="0" t="str">
        <f aca="false">IF(F2654&lt;50,"1) Under Rs 50",IF(F2654&lt;100,"2) Rs 50-99",IF(F2654&lt;200,"3) Rs 100-199",IF(F2654&lt;500,"4) Rs 200-499","5) Rs 500+"))))</f>
        <v>1) Under Rs 50</v>
      </c>
      <c r="O2654" s="0" t="n">
        <f aca="false">G2654*E2654/1000</f>
        <v>0.48</v>
      </c>
    </row>
    <row r="2655" customFormat="false" ht="15" hidden="false" customHeight="false" outlineLevel="0" collapsed="false">
      <c r="A2655" s="0" t="s">
        <v>82</v>
      </c>
      <c r="B2655" s="0" t="s">
        <v>1166</v>
      </c>
      <c r="C2655" s="0" t="n">
        <v>45</v>
      </c>
      <c r="D2655" s="0" t="n">
        <v>11</v>
      </c>
      <c r="E2655" s="0" t="n">
        <v>6</v>
      </c>
      <c r="F2655" s="0" t="n">
        <v>40</v>
      </c>
      <c r="G2655" s="0" t="n">
        <v>60</v>
      </c>
      <c r="H2655" s="0" t="s">
        <v>145</v>
      </c>
      <c r="I2655" s="0" t="n">
        <v>1</v>
      </c>
      <c r="J2655" s="0" t="n">
        <f aca="false">F2655*E2655</f>
        <v>240</v>
      </c>
      <c r="K2655" s="0" t="str">
        <f aca="false">IF(G2655&lt;1000,"1-Low",IF(G2655&lt;5000,"2-Medium","3-Bulk"))</f>
        <v>1-Low</v>
      </c>
      <c r="L2655" s="0" t="str">
        <f aca="false">IF(H2655="TRUE","Out of stock","In stock")</f>
        <v>In stock</v>
      </c>
      <c r="M2655" s="0" t="str">
        <f aca="false">IF(D2655&lt;5,"1) Under 5%",IF(D2655&lt;10,"2) 5-9%",IF(D2655&lt;15,"3) 10-14%",IF(D2655&lt;25,"4) 15-24%","5) 25%+"))))</f>
        <v>3) 10-14%</v>
      </c>
      <c r="N2655" s="0" t="str">
        <f aca="false">IF(F2655&lt;50,"1) Under Rs 50",IF(F2655&lt;100,"2) Rs 50-99",IF(F2655&lt;200,"3) Rs 100-199",IF(F2655&lt;500,"4) Rs 200-499","5) Rs 500+"))))</f>
        <v>1) Under Rs 50</v>
      </c>
      <c r="O2655" s="0" t="n">
        <f aca="false">G2655*E2655/1000</f>
        <v>0.36</v>
      </c>
    </row>
    <row r="2656" customFormat="false" ht="15" hidden="false" customHeight="false" outlineLevel="0" collapsed="false">
      <c r="A2656" s="0" t="s">
        <v>82</v>
      </c>
      <c r="B2656" s="0" t="s">
        <v>1167</v>
      </c>
      <c r="C2656" s="0" t="n">
        <v>48</v>
      </c>
      <c r="D2656" s="0" t="n">
        <v>2</v>
      </c>
      <c r="E2656" s="0" t="n">
        <v>6</v>
      </c>
      <c r="F2656" s="0" t="n">
        <v>47</v>
      </c>
      <c r="G2656" s="0" t="n">
        <v>300</v>
      </c>
      <c r="H2656" s="0" t="s">
        <v>145</v>
      </c>
      <c r="I2656" s="0" t="n">
        <v>300</v>
      </c>
      <c r="J2656" s="0" t="n">
        <f aca="false">F2656*E2656</f>
        <v>282</v>
      </c>
      <c r="K2656" s="0" t="str">
        <f aca="false">IF(G2656&lt;1000,"1-Low",IF(G2656&lt;5000,"2-Medium","3-Bulk"))</f>
        <v>1-Low</v>
      </c>
      <c r="L2656" s="0" t="str">
        <f aca="false">IF(H2656="TRUE","Out of stock","In stock")</f>
        <v>In stock</v>
      </c>
      <c r="M2656" s="0" t="str">
        <f aca="false">IF(D2656&lt;5,"1) Under 5%",IF(D2656&lt;10,"2) 5-9%",IF(D2656&lt;15,"3) 10-14%",IF(D2656&lt;25,"4) 15-24%","5) 25%+"))))</f>
        <v>1) Under 5%</v>
      </c>
      <c r="N2656" s="0" t="str">
        <f aca="false">IF(F2656&lt;50,"1) Under Rs 50",IF(F2656&lt;100,"2) Rs 50-99",IF(F2656&lt;200,"3) Rs 100-199",IF(F2656&lt;500,"4) Rs 200-499","5) Rs 500+"))))</f>
        <v>1) Under Rs 50</v>
      </c>
      <c r="O2656" s="0" t="n">
        <f aca="false">G2656*E2656/1000</f>
        <v>1.8</v>
      </c>
    </row>
    <row r="2657" customFormat="false" ht="15" hidden="false" customHeight="false" outlineLevel="0" collapsed="false">
      <c r="A2657" s="0" t="s">
        <v>82</v>
      </c>
      <c r="B2657" s="0" t="s">
        <v>1136</v>
      </c>
      <c r="C2657" s="0" t="n">
        <v>140</v>
      </c>
      <c r="D2657" s="0" t="n">
        <v>6</v>
      </c>
      <c r="E2657" s="0" t="n">
        <v>2</v>
      </c>
      <c r="F2657" s="0" t="n">
        <v>131</v>
      </c>
      <c r="G2657" s="0" t="n">
        <v>336</v>
      </c>
      <c r="H2657" s="0" t="s">
        <v>145</v>
      </c>
      <c r="I2657" s="0" t="n">
        <v>336</v>
      </c>
      <c r="J2657" s="0" t="n">
        <f aca="false">F2657*E2657</f>
        <v>262</v>
      </c>
      <c r="K2657" s="0" t="str">
        <f aca="false">IF(G2657&lt;1000,"1-Low",IF(G2657&lt;5000,"2-Medium","3-Bulk"))</f>
        <v>1-Low</v>
      </c>
      <c r="L2657" s="0" t="str">
        <f aca="false">IF(H2657="TRUE","Out of stock","In stock")</f>
        <v>In stock</v>
      </c>
      <c r="M2657" s="0" t="str">
        <f aca="false">IF(D2657&lt;5,"1) Under 5%",IF(D2657&lt;10,"2) 5-9%",IF(D2657&lt;15,"3) 10-14%",IF(D2657&lt;25,"4) 15-24%","5) 25%+"))))</f>
        <v>2) 5-9%</v>
      </c>
      <c r="N2657" s="0" t="str">
        <f aca="false">IF(F2657&lt;50,"1) Under Rs 50",IF(F2657&lt;100,"2) Rs 50-99",IF(F2657&lt;200,"3) Rs 100-199",IF(F2657&lt;500,"4) Rs 200-499","5) Rs 500+"))))</f>
        <v>3) Rs 100-199</v>
      </c>
      <c r="O2657" s="0" t="n">
        <f aca="false">G2657*E2657/1000</f>
        <v>0.672</v>
      </c>
    </row>
    <row r="2658" customFormat="false" ht="15" hidden="false" customHeight="false" outlineLevel="0" collapsed="false">
      <c r="A2658" s="0" t="s">
        <v>82</v>
      </c>
      <c r="B2658" s="0" t="s">
        <v>1168</v>
      </c>
      <c r="C2658" s="0" t="n">
        <v>120</v>
      </c>
      <c r="D2658" s="0" t="n">
        <v>15</v>
      </c>
      <c r="E2658" s="0" t="n">
        <v>6</v>
      </c>
      <c r="F2658" s="0" t="n">
        <v>102</v>
      </c>
      <c r="G2658" s="0" t="n">
        <v>600</v>
      </c>
      <c r="H2658" s="0" t="s">
        <v>145</v>
      </c>
      <c r="I2658" s="0" t="n">
        <v>600</v>
      </c>
      <c r="J2658" s="0" t="n">
        <f aca="false">F2658*E2658</f>
        <v>612</v>
      </c>
      <c r="K2658" s="0" t="str">
        <f aca="false">IF(G2658&lt;1000,"1-Low",IF(G2658&lt;5000,"2-Medium","3-Bulk"))</f>
        <v>1-Low</v>
      </c>
      <c r="L2658" s="0" t="str">
        <f aca="false">IF(H2658="TRUE","Out of stock","In stock")</f>
        <v>In stock</v>
      </c>
      <c r="M2658" s="0" t="str">
        <f aca="false">IF(D2658&lt;5,"1) Under 5%",IF(D2658&lt;10,"2) 5-9%",IF(D2658&lt;15,"3) 10-14%",IF(D2658&lt;25,"4) 15-24%","5) 25%+"))))</f>
        <v>4) 15-24%</v>
      </c>
      <c r="N2658" s="0" t="str">
        <f aca="false">IF(F2658&lt;50,"1) Under Rs 50",IF(F2658&lt;100,"2) Rs 50-99",IF(F2658&lt;200,"3) Rs 100-199",IF(F2658&lt;500,"4) Rs 200-499","5) Rs 500+"))))</f>
        <v>3) Rs 100-199</v>
      </c>
      <c r="O2658" s="0" t="n">
        <f aca="false">G2658*E2658/1000</f>
        <v>3.6</v>
      </c>
    </row>
    <row r="2659" customFormat="false" ht="15" hidden="false" customHeight="false" outlineLevel="0" collapsed="false">
      <c r="A2659" s="0" t="s">
        <v>82</v>
      </c>
      <c r="B2659" s="0" t="s">
        <v>1169</v>
      </c>
      <c r="C2659" s="0" t="n">
        <v>25</v>
      </c>
      <c r="D2659" s="0" t="n">
        <v>8</v>
      </c>
      <c r="E2659" s="0" t="n">
        <v>6</v>
      </c>
      <c r="F2659" s="0" t="n">
        <v>23</v>
      </c>
      <c r="G2659" s="0" t="n">
        <v>75</v>
      </c>
      <c r="H2659" s="0" t="s">
        <v>145</v>
      </c>
      <c r="I2659" s="0" t="n">
        <v>75</v>
      </c>
      <c r="J2659" s="0" t="n">
        <f aca="false">F2659*E2659</f>
        <v>138</v>
      </c>
      <c r="K2659" s="0" t="str">
        <f aca="false">IF(G2659&lt;1000,"1-Low",IF(G2659&lt;5000,"2-Medium","3-Bulk"))</f>
        <v>1-Low</v>
      </c>
      <c r="L2659" s="0" t="str">
        <f aca="false">IF(H2659="TRUE","Out of stock","In stock")</f>
        <v>In stock</v>
      </c>
      <c r="M2659" s="0" t="str">
        <f aca="false">IF(D2659&lt;5,"1) Under 5%",IF(D2659&lt;10,"2) 5-9%",IF(D2659&lt;15,"3) 10-14%",IF(D2659&lt;25,"4) 15-24%","5) 25%+"))))</f>
        <v>2) 5-9%</v>
      </c>
      <c r="N2659" s="0" t="str">
        <f aca="false">IF(F2659&lt;50,"1) Under Rs 50",IF(F2659&lt;100,"2) Rs 50-99",IF(F2659&lt;200,"3) Rs 100-199",IF(F2659&lt;500,"4) Rs 200-499","5) Rs 500+"))))</f>
        <v>1) Under Rs 50</v>
      </c>
      <c r="O2659" s="0" t="n">
        <f aca="false">G2659*E2659/1000</f>
        <v>0.45</v>
      </c>
    </row>
    <row r="2660" customFormat="false" ht="15" hidden="false" customHeight="false" outlineLevel="0" collapsed="false">
      <c r="A2660" s="0" t="s">
        <v>82</v>
      </c>
      <c r="B2660" s="0" t="s">
        <v>1170</v>
      </c>
      <c r="C2660" s="0" t="n">
        <v>60</v>
      </c>
      <c r="D2660" s="0" t="n">
        <v>10</v>
      </c>
      <c r="E2660" s="0" t="n">
        <v>4</v>
      </c>
      <c r="F2660" s="0" t="n">
        <v>54</v>
      </c>
      <c r="G2660" s="0" t="n">
        <v>200</v>
      </c>
      <c r="H2660" s="0" t="s">
        <v>145</v>
      </c>
      <c r="I2660" s="0" t="n">
        <v>200</v>
      </c>
      <c r="J2660" s="0" t="n">
        <f aca="false">F2660*E2660</f>
        <v>216</v>
      </c>
      <c r="K2660" s="0" t="str">
        <f aca="false">IF(G2660&lt;1000,"1-Low",IF(G2660&lt;5000,"2-Medium","3-Bulk"))</f>
        <v>1-Low</v>
      </c>
      <c r="L2660" s="0" t="str">
        <f aca="false">IF(H2660="TRUE","Out of stock","In stock")</f>
        <v>In stock</v>
      </c>
      <c r="M2660" s="0" t="str">
        <f aca="false">IF(D2660&lt;5,"1) Under 5%",IF(D2660&lt;10,"2) 5-9%",IF(D2660&lt;15,"3) 10-14%",IF(D2660&lt;25,"4) 15-24%","5) 25%+"))))</f>
        <v>3) 10-14%</v>
      </c>
      <c r="N2660" s="0" t="str">
        <f aca="false">IF(F2660&lt;50,"1) Under Rs 50",IF(F2660&lt;100,"2) Rs 50-99",IF(F2660&lt;200,"3) Rs 100-199",IF(F2660&lt;500,"4) Rs 200-499","5) Rs 500+"))))</f>
        <v>2) Rs 50-99</v>
      </c>
      <c r="O2660" s="0" t="n">
        <f aca="false">G2660*E2660/1000</f>
        <v>0.8</v>
      </c>
    </row>
    <row r="2661" customFormat="false" ht="15" hidden="false" customHeight="false" outlineLevel="0" collapsed="false">
      <c r="A2661" s="0" t="s">
        <v>82</v>
      </c>
      <c r="B2661" s="0" t="s">
        <v>1171</v>
      </c>
      <c r="C2661" s="0" t="n">
        <v>40</v>
      </c>
      <c r="D2661" s="0" t="n">
        <v>17</v>
      </c>
      <c r="E2661" s="0" t="n">
        <v>6</v>
      </c>
      <c r="F2661" s="0" t="n">
        <v>33</v>
      </c>
      <c r="G2661" s="0" t="n">
        <v>30</v>
      </c>
      <c r="H2661" s="0" t="s">
        <v>145</v>
      </c>
      <c r="I2661" s="0" t="n">
        <v>30</v>
      </c>
      <c r="J2661" s="0" t="n">
        <f aca="false">F2661*E2661</f>
        <v>198</v>
      </c>
      <c r="K2661" s="0" t="str">
        <f aca="false">IF(G2661&lt;1000,"1-Low",IF(G2661&lt;5000,"2-Medium","3-Bulk"))</f>
        <v>1-Low</v>
      </c>
      <c r="L2661" s="0" t="str">
        <f aca="false">IF(H2661="TRUE","Out of stock","In stock")</f>
        <v>In stock</v>
      </c>
      <c r="M2661" s="0" t="str">
        <f aca="false">IF(D2661&lt;5,"1) Under 5%",IF(D2661&lt;10,"2) 5-9%",IF(D2661&lt;15,"3) 10-14%",IF(D2661&lt;25,"4) 15-24%","5) 25%+"))))</f>
        <v>4) 15-24%</v>
      </c>
      <c r="N2661" s="0" t="str">
        <f aca="false">IF(F2661&lt;50,"1) Under Rs 50",IF(F2661&lt;100,"2) Rs 50-99",IF(F2661&lt;200,"3) Rs 100-199",IF(F2661&lt;500,"4) Rs 200-499","5) Rs 500+"))))</f>
        <v>1) Under Rs 50</v>
      </c>
      <c r="O2661" s="0" t="n">
        <f aca="false">G2661*E2661/1000</f>
        <v>0.18</v>
      </c>
    </row>
    <row r="2662" customFormat="false" ht="15" hidden="false" customHeight="false" outlineLevel="0" collapsed="false">
      <c r="A2662" s="0" t="s">
        <v>82</v>
      </c>
      <c r="B2662" s="0" t="s">
        <v>1172</v>
      </c>
      <c r="C2662" s="0" t="n">
        <v>65</v>
      </c>
      <c r="D2662" s="0" t="n">
        <v>6</v>
      </c>
      <c r="E2662" s="0" t="n">
        <v>2</v>
      </c>
      <c r="F2662" s="0" t="n">
        <v>61</v>
      </c>
      <c r="G2662" s="0" t="n">
        <v>200</v>
      </c>
      <c r="H2662" s="0" t="s">
        <v>145</v>
      </c>
      <c r="I2662" s="0" t="n">
        <v>200</v>
      </c>
      <c r="J2662" s="0" t="n">
        <f aca="false">F2662*E2662</f>
        <v>122</v>
      </c>
      <c r="K2662" s="0" t="str">
        <f aca="false">IF(G2662&lt;1000,"1-Low",IF(G2662&lt;5000,"2-Medium","3-Bulk"))</f>
        <v>1-Low</v>
      </c>
      <c r="L2662" s="0" t="str">
        <f aca="false">IF(H2662="TRUE","Out of stock","In stock")</f>
        <v>In stock</v>
      </c>
      <c r="M2662" s="0" t="str">
        <f aca="false">IF(D2662&lt;5,"1) Under 5%",IF(D2662&lt;10,"2) 5-9%",IF(D2662&lt;15,"3) 10-14%",IF(D2662&lt;25,"4) 15-24%","5) 25%+"))))</f>
        <v>2) 5-9%</v>
      </c>
      <c r="N2662" s="0" t="str">
        <f aca="false">IF(F2662&lt;50,"1) Under Rs 50",IF(F2662&lt;100,"2) Rs 50-99",IF(F2662&lt;200,"3) Rs 100-199",IF(F2662&lt;500,"4) Rs 200-499","5) Rs 500+"))))</f>
        <v>2) Rs 50-99</v>
      </c>
      <c r="O2662" s="0" t="n">
        <f aca="false">G2662*E2662/1000</f>
        <v>0.4</v>
      </c>
    </row>
    <row r="2663" customFormat="false" ht="15" hidden="false" customHeight="false" outlineLevel="0" collapsed="false">
      <c r="A2663" s="0" t="s">
        <v>82</v>
      </c>
      <c r="B2663" s="0" t="s">
        <v>1173</v>
      </c>
      <c r="C2663" s="0" t="n">
        <v>100</v>
      </c>
      <c r="D2663" s="0" t="n">
        <v>0</v>
      </c>
      <c r="E2663" s="0" t="n">
        <v>6</v>
      </c>
      <c r="F2663" s="0" t="n">
        <v>100</v>
      </c>
      <c r="G2663" s="0" t="n">
        <v>500</v>
      </c>
      <c r="H2663" s="0" t="s">
        <v>145</v>
      </c>
      <c r="I2663" s="0" t="n">
        <v>500</v>
      </c>
      <c r="J2663" s="0" t="n">
        <f aca="false">F2663*E2663</f>
        <v>600</v>
      </c>
      <c r="K2663" s="0" t="str">
        <f aca="false">IF(G2663&lt;1000,"1-Low",IF(G2663&lt;5000,"2-Medium","3-Bulk"))</f>
        <v>1-Low</v>
      </c>
      <c r="L2663" s="0" t="str">
        <f aca="false">IF(H2663="TRUE","Out of stock","In stock")</f>
        <v>In stock</v>
      </c>
      <c r="M2663" s="0" t="str">
        <f aca="false">IF(D2663&lt;5,"1) Under 5%",IF(D2663&lt;10,"2) 5-9%",IF(D2663&lt;15,"3) 10-14%",IF(D2663&lt;25,"4) 15-24%","5) 25%+"))))</f>
        <v>1) Under 5%</v>
      </c>
      <c r="N2663" s="0" t="str">
        <f aca="false">IF(F2663&lt;50,"1) Under Rs 50",IF(F2663&lt;100,"2) Rs 50-99",IF(F2663&lt;200,"3) Rs 100-199",IF(F2663&lt;500,"4) Rs 200-499","5) Rs 500+"))))</f>
        <v>3) Rs 100-199</v>
      </c>
      <c r="O2663" s="0" t="n">
        <f aca="false">G2663*E2663/1000</f>
        <v>3</v>
      </c>
    </row>
    <row r="2664" customFormat="false" ht="15" hidden="false" customHeight="false" outlineLevel="0" collapsed="false">
      <c r="A2664" s="0" t="s">
        <v>82</v>
      </c>
      <c r="B2664" s="0" t="s">
        <v>1174</v>
      </c>
      <c r="C2664" s="0" t="n">
        <v>35</v>
      </c>
      <c r="D2664" s="0" t="n">
        <v>22</v>
      </c>
      <c r="E2664" s="0" t="n">
        <v>3</v>
      </c>
      <c r="F2664" s="0" t="n">
        <v>27</v>
      </c>
      <c r="G2664" s="0" t="n">
        <v>25</v>
      </c>
      <c r="H2664" s="0" t="s">
        <v>145</v>
      </c>
      <c r="I2664" s="0" t="n">
        <v>25</v>
      </c>
      <c r="J2664" s="0" t="n">
        <f aca="false">F2664*E2664</f>
        <v>81</v>
      </c>
      <c r="K2664" s="0" t="str">
        <f aca="false">IF(G2664&lt;1000,"1-Low",IF(G2664&lt;5000,"2-Medium","3-Bulk"))</f>
        <v>1-Low</v>
      </c>
      <c r="L2664" s="0" t="str">
        <f aca="false">IF(H2664="TRUE","Out of stock","In stock")</f>
        <v>In stock</v>
      </c>
      <c r="M2664" s="0" t="str">
        <f aca="false">IF(D2664&lt;5,"1) Under 5%",IF(D2664&lt;10,"2) 5-9%",IF(D2664&lt;15,"3) 10-14%",IF(D2664&lt;25,"4) 15-24%","5) 25%+"))))</f>
        <v>4) 15-24%</v>
      </c>
      <c r="N2664" s="0" t="str">
        <f aca="false">IF(F2664&lt;50,"1) Under Rs 50",IF(F2664&lt;100,"2) Rs 50-99",IF(F2664&lt;200,"3) Rs 100-199",IF(F2664&lt;500,"4) Rs 200-499","5) Rs 500+"))))</f>
        <v>1) Under Rs 50</v>
      </c>
      <c r="O2664" s="0" t="n">
        <f aca="false">G2664*E2664/1000</f>
        <v>0.075</v>
      </c>
    </row>
    <row r="2665" customFormat="false" ht="15" hidden="false" customHeight="false" outlineLevel="0" collapsed="false">
      <c r="A2665" s="0" t="s">
        <v>82</v>
      </c>
      <c r="B2665" s="0" t="s">
        <v>1136</v>
      </c>
      <c r="C2665" s="0" t="n">
        <v>150</v>
      </c>
      <c r="D2665" s="0" t="n">
        <v>20</v>
      </c>
      <c r="E2665" s="0" t="n">
        <v>6</v>
      </c>
      <c r="F2665" s="0" t="n">
        <v>120</v>
      </c>
      <c r="G2665" s="0" t="n">
        <v>696</v>
      </c>
      <c r="H2665" s="0" t="s">
        <v>145</v>
      </c>
      <c r="I2665" s="0" t="n">
        <v>12</v>
      </c>
      <c r="J2665" s="0" t="n">
        <f aca="false">F2665*E2665</f>
        <v>720</v>
      </c>
      <c r="K2665" s="0" t="str">
        <f aca="false">IF(G2665&lt;1000,"1-Low",IF(G2665&lt;5000,"2-Medium","3-Bulk"))</f>
        <v>1-Low</v>
      </c>
      <c r="L2665" s="0" t="str">
        <f aca="false">IF(H2665="TRUE","Out of stock","In stock")</f>
        <v>In stock</v>
      </c>
      <c r="M2665" s="0" t="str">
        <f aca="false">IF(D2665&lt;5,"1) Under 5%",IF(D2665&lt;10,"2) 5-9%",IF(D2665&lt;15,"3) 10-14%",IF(D2665&lt;25,"4) 15-24%","5) 25%+"))))</f>
        <v>4) 15-24%</v>
      </c>
      <c r="N2665" s="0" t="str">
        <f aca="false">IF(F2665&lt;50,"1) Under Rs 50",IF(F2665&lt;100,"2) Rs 50-99",IF(F2665&lt;200,"3) Rs 100-199",IF(F2665&lt;500,"4) Rs 200-499","5) Rs 500+"))))</f>
        <v>3) Rs 100-199</v>
      </c>
      <c r="O2665" s="0" t="n">
        <f aca="false">G2665*E2665/1000</f>
        <v>4.176</v>
      </c>
    </row>
    <row r="2666" customFormat="false" ht="15" hidden="false" customHeight="false" outlineLevel="0" collapsed="false">
      <c r="A2666" s="0" t="s">
        <v>82</v>
      </c>
      <c r="B2666" s="0" t="s">
        <v>1175</v>
      </c>
      <c r="C2666" s="0" t="n">
        <v>30</v>
      </c>
      <c r="D2666" s="0" t="n">
        <v>10</v>
      </c>
      <c r="E2666" s="0" t="n">
        <v>6</v>
      </c>
      <c r="F2666" s="0" t="n">
        <v>27</v>
      </c>
      <c r="G2666" s="0" t="n">
        <v>200</v>
      </c>
      <c r="H2666" s="0" t="s">
        <v>145</v>
      </c>
      <c r="I2666" s="0" t="n">
        <v>200</v>
      </c>
      <c r="J2666" s="0" t="n">
        <f aca="false">F2666*E2666</f>
        <v>162</v>
      </c>
      <c r="K2666" s="0" t="str">
        <f aca="false">IF(G2666&lt;1000,"1-Low",IF(G2666&lt;5000,"2-Medium","3-Bulk"))</f>
        <v>1-Low</v>
      </c>
      <c r="L2666" s="0" t="str">
        <f aca="false">IF(H2666="TRUE","Out of stock","In stock")</f>
        <v>In stock</v>
      </c>
      <c r="M2666" s="0" t="str">
        <f aca="false">IF(D2666&lt;5,"1) Under 5%",IF(D2666&lt;10,"2) 5-9%",IF(D2666&lt;15,"3) 10-14%",IF(D2666&lt;25,"4) 15-24%","5) 25%+"))))</f>
        <v>3) 10-14%</v>
      </c>
      <c r="N2666" s="0" t="str">
        <f aca="false">IF(F2666&lt;50,"1) Under Rs 50",IF(F2666&lt;100,"2) Rs 50-99",IF(F2666&lt;200,"3) Rs 100-199",IF(F2666&lt;500,"4) Rs 200-499","5) Rs 500+"))))</f>
        <v>1) Under Rs 50</v>
      </c>
      <c r="O2666" s="0" t="n">
        <f aca="false">G2666*E2666/1000</f>
        <v>1.2</v>
      </c>
    </row>
    <row r="2667" customFormat="false" ht="15" hidden="false" customHeight="false" outlineLevel="0" collapsed="false">
      <c r="A2667" s="0" t="s">
        <v>82</v>
      </c>
      <c r="B2667" s="0" t="s">
        <v>1165</v>
      </c>
      <c r="C2667" s="0" t="n">
        <v>30</v>
      </c>
      <c r="D2667" s="0" t="n">
        <v>0</v>
      </c>
      <c r="E2667" s="0" t="n">
        <v>1</v>
      </c>
      <c r="F2667" s="0" t="n">
        <v>30</v>
      </c>
      <c r="G2667" s="0" t="n">
        <v>75</v>
      </c>
      <c r="H2667" s="0" t="s">
        <v>145</v>
      </c>
      <c r="I2667" s="0" t="n">
        <v>75</v>
      </c>
      <c r="J2667" s="0" t="n">
        <f aca="false">F2667*E2667</f>
        <v>30</v>
      </c>
      <c r="K2667" s="0" t="str">
        <f aca="false">IF(G2667&lt;1000,"1-Low",IF(G2667&lt;5000,"2-Medium","3-Bulk"))</f>
        <v>1-Low</v>
      </c>
      <c r="L2667" s="0" t="str">
        <f aca="false">IF(H2667="TRUE","Out of stock","In stock")</f>
        <v>In stock</v>
      </c>
      <c r="M2667" s="0" t="str">
        <f aca="false">IF(D2667&lt;5,"1) Under 5%",IF(D2667&lt;10,"2) 5-9%",IF(D2667&lt;15,"3) 10-14%",IF(D2667&lt;25,"4) 15-24%","5) 25%+"))))</f>
        <v>1) Under 5%</v>
      </c>
      <c r="N2667" s="0" t="str">
        <f aca="false">IF(F2667&lt;50,"1) Under Rs 50",IF(F2667&lt;100,"2) Rs 50-99",IF(F2667&lt;200,"3) Rs 100-199",IF(F2667&lt;500,"4) Rs 200-499","5) Rs 500+"))))</f>
        <v>1) Under Rs 50</v>
      </c>
      <c r="O2667" s="0" t="n">
        <f aca="false">G2667*E2667/1000</f>
        <v>0.075</v>
      </c>
    </row>
    <row r="2668" customFormat="false" ht="15" hidden="false" customHeight="false" outlineLevel="0" collapsed="false">
      <c r="A2668" s="0" t="s">
        <v>82</v>
      </c>
      <c r="B2668" s="0" t="s">
        <v>1176</v>
      </c>
      <c r="C2668" s="0" t="n">
        <v>80</v>
      </c>
      <c r="D2668" s="0" t="n">
        <v>15</v>
      </c>
      <c r="E2668" s="0" t="n">
        <v>6</v>
      </c>
      <c r="F2668" s="0" t="n">
        <v>68</v>
      </c>
      <c r="G2668" s="0" t="n">
        <v>300</v>
      </c>
      <c r="H2668" s="0" t="s">
        <v>145</v>
      </c>
      <c r="I2668" s="0" t="n">
        <v>300</v>
      </c>
      <c r="J2668" s="0" t="n">
        <f aca="false">F2668*E2668</f>
        <v>408</v>
      </c>
      <c r="K2668" s="0" t="str">
        <f aca="false">IF(G2668&lt;1000,"1-Low",IF(G2668&lt;5000,"2-Medium","3-Bulk"))</f>
        <v>1-Low</v>
      </c>
      <c r="L2668" s="0" t="str">
        <f aca="false">IF(H2668="TRUE","Out of stock","In stock")</f>
        <v>In stock</v>
      </c>
      <c r="M2668" s="0" t="str">
        <f aca="false">IF(D2668&lt;5,"1) Under 5%",IF(D2668&lt;10,"2) 5-9%",IF(D2668&lt;15,"3) 10-14%",IF(D2668&lt;25,"4) 15-24%","5) 25%+"))))</f>
        <v>4) 15-24%</v>
      </c>
      <c r="N2668" s="0" t="str">
        <f aca="false">IF(F2668&lt;50,"1) Under Rs 50",IF(F2668&lt;100,"2) Rs 50-99",IF(F2668&lt;200,"3) Rs 100-199",IF(F2668&lt;500,"4) Rs 200-499","5) Rs 500+"))))</f>
        <v>2) Rs 50-99</v>
      </c>
      <c r="O2668" s="0" t="n">
        <f aca="false">G2668*E2668/1000</f>
        <v>1.8</v>
      </c>
    </row>
    <row r="2669" customFormat="false" ht="15" hidden="false" customHeight="false" outlineLevel="0" collapsed="false">
      <c r="A2669" s="0" t="s">
        <v>82</v>
      </c>
      <c r="B2669" s="0" t="s">
        <v>1177</v>
      </c>
      <c r="C2669" s="0" t="n">
        <v>30</v>
      </c>
      <c r="D2669" s="0" t="n">
        <v>0</v>
      </c>
      <c r="E2669" s="0" t="n">
        <v>3</v>
      </c>
      <c r="F2669" s="0" t="n">
        <v>30</v>
      </c>
      <c r="G2669" s="0" t="n">
        <v>120</v>
      </c>
      <c r="H2669" s="0" t="s">
        <v>145</v>
      </c>
      <c r="I2669" s="0" t="n">
        <v>120</v>
      </c>
      <c r="J2669" s="0" t="n">
        <f aca="false">F2669*E2669</f>
        <v>90</v>
      </c>
      <c r="K2669" s="0" t="str">
        <f aca="false">IF(G2669&lt;1000,"1-Low",IF(G2669&lt;5000,"2-Medium","3-Bulk"))</f>
        <v>1-Low</v>
      </c>
      <c r="L2669" s="0" t="str">
        <f aca="false">IF(H2669="TRUE","Out of stock","In stock")</f>
        <v>In stock</v>
      </c>
      <c r="M2669" s="0" t="str">
        <f aca="false">IF(D2669&lt;5,"1) Under 5%",IF(D2669&lt;10,"2) 5-9%",IF(D2669&lt;15,"3) 10-14%",IF(D2669&lt;25,"4) 15-24%","5) 25%+"))))</f>
        <v>1) Under 5%</v>
      </c>
      <c r="N2669" s="0" t="str">
        <f aca="false">IF(F2669&lt;50,"1) Under Rs 50",IF(F2669&lt;100,"2) Rs 50-99",IF(F2669&lt;200,"3) Rs 100-199",IF(F2669&lt;500,"4) Rs 200-499","5) Rs 500+"))))</f>
        <v>1) Under Rs 50</v>
      </c>
      <c r="O2669" s="0" t="n">
        <f aca="false">G2669*E2669/1000</f>
        <v>0.36</v>
      </c>
    </row>
    <row r="2670" customFormat="false" ht="15" hidden="false" customHeight="false" outlineLevel="0" collapsed="false">
      <c r="A2670" s="0" t="s">
        <v>82</v>
      </c>
      <c r="B2670" s="0" t="s">
        <v>1178</v>
      </c>
      <c r="C2670" s="0" t="n">
        <v>35</v>
      </c>
      <c r="D2670" s="0" t="n">
        <v>2</v>
      </c>
      <c r="E2670" s="0" t="n">
        <v>3</v>
      </c>
      <c r="F2670" s="0" t="n">
        <v>34</v>
      </c>
      <c r="G2670" s="0" t="n">
        <v>75</v>
      </c>
      <c r="H2670" s="0" t="s">
        <v>145</v>
      </c>
      <c r="I2670" s="0" t="n">
        <v>75</v>
      </c>
      <c r="J2670" s="0" t="n">
        <f aca="false">F2670*E2670</f>
        <v>102</v>
      </c>
      <c r="K2670" s="0" t="str">
        <f aca="false">IF(G2670&lt;1000,"1-Low",IF(G2670&lt;5000,"2-Medium","3-Bulk"))</f>
        <v>1-Low</v>
      </c>
      <c r="L2670" s="0" t="str">
        <f aca="false">IF(H2670="TRUE","Out of stock","In stock")</f>
        <v>In stock</v>
      </c>
      <c r="M2670" s="0" t="str">
        <f aca="false">IF(D2670&lt;5,"1) Under 5%",IF(D2670&lt;10,"2) 5-9%",IF(D2670&lt;15,"3) 10-14%",IF(D2670&lt;25,"4) 15-24%","5) 25%+"))))</f>
        <v>1) Under 5%</v>
      </c>
      <c r="N2670" s="0" t="str">
        <f aca="false">IF(F2670&lt;50,"1) Under Rs 50",IF(F2670&lt;100,"2) Rs 50-99",IF(F2670&lt;200,"3) Rs 100-199",IF(F2670&lt;500,"4) Rs 200-499","5) Rs 500+"))))</f>
        <v>1) Under Rs 50</v>
      </c>
      <c r="O2670" s="0" t="n">
        <f aca="false">G2670*E2670/1000</f>
        <v>0.225</v>
      </c>
    </row>
    <row r="2671" customFormat="false" ht="15" hidden="false" customHeight="false" outlineLevel="0" collapsed="false">
      <c r="A2671" s="0" t="s">
        <v>82</v>
      </c>
      <c r="B2671" s="0" t="s">
        <v>1179</v>
      </c>
      <c r="C2671" s="0" t="n">
        <v>210</v>
      </c>
      <c r="D2671" s="0" t="n">
        <v>5</v>
      </c>
      <c r="E2671" s="0" t="n">
        <v>4</v>
      </c>
      <c r="F2671" s="0" t="n">
        <v>199</v>
      </c>
      <c r="G2671" s="0" t="n">
        <v>400</v>
      </c>
      <c r="H2671" s="0" t="s">
        <v>145</v>
      </c>
      <c r="I2671" s="0" t="n">
        <v>400</v>
      </c>
      <c r="J2671" s="0" t="n">
        <f aca="false">F2671*E2671</f>
        <v>796</v>
      </c>
      <c r="K2671" s="0" t="str">
        <f aca="false">IF(G2671&lt;1000,"1-Low",IF(G2671&lt;5000,"2-Medium","3-Bulk"))</f>
        <v>1-Low</v>
      </c>
      <c r="L2671" s="0" t="str">
        <f aca="false">IF(H2671="TRUE","Out of stock","In stock")</f>
        <v>In stock</v>
      </c>
      <c r="M2671" s="0" t="str">
        <f aca="false">IF(D2671&lt;5,"1) Under 5%",IF(D2671&lt;10,"2) 5-9%",IF(D2671&lt;15,"3) 10-14%",IF(D2671&lt;25,"4) 15-24%","5) 25%+"))))</f>
        <v>2) 5-9%</v>
      </c>
      <c r="N2671" s="0" t="str">
        <f aca="false">IF(F2671&lt;50,"1) Under Rs 50",IF(F2671&lt;100,"2) Rs 50-99",IF(F2671&lt;200,"3) Rs 100-199",IF(F2671&lt;500,"4) Rs 200-499","5) Rs 500+"))))</f>
        <v>3) Rs 100-199</v>
      </c>
      <c r="O2671" s="0" t="n">
        <f aca="false">G2671*E2671/1000</f>
        <v>1.6</v>
      </c>
    </row>
    <row r="2672" customFormat="false" ht="15" hidden="false" customHeight="false" outlineLevel="0" collapsed="false">
      <c r="A2672" s="0" t="s">
        <v>82</v>
      </c>
      <c r="B2672" s="0" t="s">
        <v>1180</v>
      </c>
      <c r="C2672" s="0" t="n">
        <v>120</v>
      </c>
      <c r="D2672" s="0" t="n">
        <v>20</v>
      </c>
      <c r="E2672" s="0" t="n">
        <v>4</v>
      </c>
      <c r="F2672" s="0" t="n">
        <v>96</v>
      </c>
      <c r="G2672" s="0" t="n">
        <v>300</v>
      </c>
      <c r="H2672" s="0" t="s">
        <v>145</v>
      </c>
      <c r="I2672" s="0" t="n">
        <v>300</v>
      </c>
      <c r="J2672" s="0" t="n">
        <f aca="false">F2672*E2672</f>
        <v>384</v>
      </c>
      <c r="K2672" s="0" t="str">
        <f aca="false">IF(G2672&lt;1000,"1-Low",IF(G2672&lt;5000,"2-Medium","3-Bulk"))</f>
        <v>1-Low</v>
      </c>
      <c r="L2672" s="0" t="str">
        <f aca="false">IF(H2672="TRUE","Out of stock","In stock")</f>
        <v>In stock</v>
      </c>
      <c r="M2672" s="0" t="str">
        <f aca="false">IF(D2672&lt;5,"1) Under 5%",IF(D2672&lt;10,"2) 5-9%",IF(D2672&lt;15,"3) 10-14%",IF(D2672&lt;25,"4) 15-24%","5) 25%+"))))</f>
        <v>4) 15-24%</v>
      </c>
      <c r="N2672" s="0" t="str">
        <f aca="false">IF(F2672&lt;50,"1) Under Rs 50",IF(F2672&lt;100,"2) Rs 50-99",IF(F2672&lt;200,"3) Rs 100-199",IF(F2672&lt;500,"4) Rs 200-499","5) Rs 500+"))))</f>
        <v>2) Rs 50-99</v>
      </c>
      <c r="O2672" s="0" t="n">
        <f aca="false">G2672*E2672/1000</f>
        <v>1.2</v>
      </c>
    </row>
    <row r="2673" customFormat="false" ht="15" hidden="false" customHeight="false" outlineLevel="0" collapsed="false">
      <c r="A2673" s="0" t="s">
        <v>82</v>
      </c>
      <c r="B2673" s="0" t="s">
        <v>1181</v>
      </c>
      <c r="C2673" s="0" t="n">
        <v>45</v>
      </c>
      <c r="D2673" s="0" t="n">
        <v>11</v>
      </c>
      <c r="E2673" s="0" t="n">
        <v>6</v>
      </c>
      <c r="F2673" s="0" t="n">
        <v>40</v>
      </c>
      <c r="G2673" s="0" t="n">
        <v>60</v>
      </c>
      <c r="H2673" s="0" t="s">
        <v>145</v>
      </c>
      <c r="I2673" s="0" t="n">
        <v>1</v>
      </c>
      <c r="J2673" s="0" t="n">
        <f aca="false">F2673*E2673</f>
        <v>240</v>
      </c>
      <c r="K2673" s="0" t="str">
        <f aca="false">IF(G2673&lt;1000,"1-Low",IF(G2673&lt;5000,"2-Medium","3-Bulk"))</f>
        <v>1-Low</v>
      </c>
      <c r="L2673" s="0" t="str">
        <f aca="false">IF(H2673="TRUE","Out of stock","In stock")</f>
        <v>In stock</v>
      </c>
      <c r="M2673" s="0" t="str">
        <f aca="false">IF(D2673&lt;5,"1) Under 5%",IF(D2673&lt;10,"2) 5-9%",IF(D2673&lt;15,"3) 10-14%",IF(D2673&lt;25,"4) 15-24%","5) 25%+"))))</f>
        <v>3) 10-14%</v>
      </c>
      <c r="N2673" s="0" t="str">
        <f aca="false">IF(F2673&lt;50,"1) Under Rs 50",IF(F2673&lt;100,"2) Rs 50-99",IF(F2673&lt;200,"3) Rs 100-199",IF(F2673&lt;500,"4) Rs 200-499","5) Rs 500+"))))</f>
        <v>1) Under Rs 50</v>
      </c>
      <c r="O2673" s="0" t="n">
        <f aca="false">G2673*E2673/1000</f>
        <v>0.36</v>
      </c>
    </row>
    <row r="2674" customFormat="false" ht="15" hidden="false" customHeight="false" outlineLevel="0" collapsed="false">
      <c r="A2674" s="0" t="s">
        <v>82</v>
      </c>
      <c r="B2674" s="0" t="s">
        <v>1182</v>
      </c>
      <c r="C2674" s="0" t="n">
        <v>30</v>
      </c>
      <c r="D2674" s="0" t="n">
        <v>6</v>
      </c>
      <c r="E2674" s="0" t="n">
        <v>6</v>
      </c>
      <c r="F2674" s="0" t="n">
        <v>28</v>
      </c>
      <c r="G2674" s="0" t="n">
        <v>75</v>
      </c>
      <c r="H2674" s="0" t="s">
        <v>145</v>
      </c>
      <c r="I2674" s="0" t="n">
        <v>75</v>
      </c>
      <c r="J2674" s="0" t="n">
        <f aca="false">F2674*E2674</f>
        <v>168</v>
      </c>
      <c r="K2674" s="0" t="str">
        <f aca="false">IF(G2674&lt;1000,"1-Low",IF(G2674&lt;5000,"2-Medium","3-Bulk"))</f>
        <v>1-Low</v>
      </c>
      <c r="L2674" s="0" t="str">
        <f aca="false">IF(H2674="TRUE","Out of stock","In stock")</f>
        <v>In stock</v>
      </c>
      <c r="M2674" s="0" t="str">
        <f aca="false">IF(D2674&lt;5,"1) Under 5%",IF(D2674&lt;10,"2) 5-9%",IF(D2674&lt;15,"3) 10-14%",IF(D2674&lt;25,"4) 15-24%","5) 25%+"))))</f>
        <v>2) 5-9%</v>
      </c>
      <c r="N2674" s="0" t="str">
        <f aca="false">IF(F2674&lt;50,"1) Under Rs 50",IF(F2674&lt;100,"2) Rs 50-99",IF(F2674&lt;200,"3) Rs 100-199",IF(F2674&lt;500,"4) Rs 200-499","5) Rs 500+"))))</f>
        <v>1) Under Rs 50</v>
      </c>
      <c r="O2674" s="0" t="n">
        <f aca="false">G2674*E2674/1000</f>
        <v>0.45</v>
      </c>
    </row>
    <row r="2675" customFormat="false" ht="15" hidden="false" customHeight="false" outlineLevel="0" collapsed="false">
      <c r="A2675" s="0" t="s">
        <v>82</v>
      </c>
      <c r="B2675" s="0" t="s">
        <v>1183</v>
      </c>
      <c r="C2675" s="0" t="n">
        <v>60</v>
      </c>
      <c r="D2675" s="0" t="n">
        <v>0</v>
      </c>
      <c r="E2675" s="0" t="n">
        <v>6</v>
      </c>
      <c r="F2675" s="0" t="n">
        <v>60</v>
      </c>
      <c r="G2675" s="0" t="n">
        <v>150</v>
      </c>
      <c r="H2675" s="0" t="s">
        <v>145</v>
      </c>
      <c r="I2675" s="0" t="n">
        <v>150</v>
      </c>
      <c r="J2675" s="0" t="n">
        <f aca="false">F2675*E2675</f>
        <v>360</v>
      </c>
      <c r="K2675" s="0" t="str">
        <f aca="false">IF(G2675&lt;1000,"1-Low",IF(G2675&lt;5000,"2-Medium","3-Bulk"))</f>
        <v>1-Low</v>
      </c>
      <c r="L2675" s="0" t="str">
        <f aca="false">IF(H2675="TRUE","Out of stock","In stock")</f>
        <v>In stock</v>
      </c>
      <c r="M2675" s="0" t="str">
        <f aca="false">IF(D2675&lt;5,"1) Under 5%",IF(D2675&lt;10,"2) 5-9%",IF(D2675&lt;15,"3) 10-14%",IF(D2675&lt;25,"4) 15-24%","5) 25%+"))))</f>
        <v>1) Under 5%</v>
      </c>
      <c r="N2675" s="0" t="str">
        <f aca="false">IF(F2675&lt;50,"1) Under Rs 50",IF(F2675&lt;100,"2) Rs 50-99",IF(F2675&lt;200,"3) Rs 100-199",IF(F2675&lt;500,"4) Rs 200-499","5) Rs 500+"))))</f>
        <v>2) Rs 50-99</v>
      </c>
      <c r="O2675" s="0" t="n">
        <f aca="false">G2675*E2675/1000</f>
        <v>0.9</v>
      </c>
    </row>
    <row r="2676" customFormat="false" ht="15" hidden="false" customHeight="false" outlineLevel="0" collapsed="false">
      <c r="A2676" s="0" t="s">
        <v>82</v>
      </c>
      <c r="B2676" s="0" t="s">
        <v>1184</v>
      </c>
      <c r="C2676" s="0" t="n">
        <v>60</v>
      </c>
      <c r="D2676" s="0" t="n">
        <v>6</v>
      </c>
      <c r="E2676" s="0" t="n">
        <v>2</v>
      </c>
      <c r="F2676" s="0" t="n">
        <v>56</v>
      </c>
      <c r="G2676" s="0" t="n">
        <v>200</v>
      </c>
      <c r="H2676" s="0" t="s">
        <v>145</v>
      </c>
      <c r="I2676" s="0" t="n">
        <v>200</v>
      </c>
      <c r="J2676" s="0" t="n">
        <f aca="false">F2676*E2676</f>
        <v>112</v>
      </c>
      <c r="K2676" s="0" t="str">
        <f aca="false">IF(G2676&lt;1000,"1-Low",IF(G2676&lt;5000,"2-Medium","3-Bulk"))</f>
        <v>1-Low</v>
      </c>
      <c r="L2676" s="0" t="str">
        <f aca="false">IF(H2676="TRUE","Out of stock","In stock")</f>
        <v>In stock</v>
      </c>
      <c r="M2676" s="0" t="str">
        <f aca="false">IF(D2676&lt;5,"1) Under 5%",IF(D2676&lt;10,"2) 5-9%",IF(D2676&lt;15,"3) 10-14%",IF(D2676&lt;25,"4) 15-24%","5) 25%+"))))</f>
        <v>2) 5-9%</v>
      </c>
      <c r="N2676" s="0" t="str">
        <f aca="false">IF(F2676&lt;50,"1) Under Rs 50",IF(F2676&lt;100,"2) Rs 50-99",IF(F2676&lt;200,"3) Rs 100-199",IF(F2676&lt;500,"4) Rs 200-499","5) Rs 500+"))))</f>
        <v>2) Rs 50-99</v>
      </c>
      <c r="O2676" s="0" t="n">
        <f aca="false">G2676*E2676/1000</f>
        <v>0.4</v>
      </c>
    </row>
    <row r="2677" customFormat="false" ht="15" hidden="false" customHeight="false" outlineLevel="0" collapsed="false">
      <c r="A2677" s="0" t="s">
        <v>82</v>
      </c>
      <c r="B2677" s="0" t="s">
        <v>1185</v>
      </c>
      <c r="C2677" s="0" t="n">
        <v>45</v>
      </c>
      <c r="D2677" s="0" t="n">
        <v>15</v>
      </c>
      <c r="E2677" s="0" t="n">
        <v>5</v>
      </c>
      <c r="F2677" s="0" t="n">
        <v>38</v>
      </c>
      <c r="G2677" s="0" t="n">
        <v>75</v>
      </c>
      <c r="H2677" s="0" t="s">
        <v>145</v>
      </c>
      <c r="I2677" s="0" t="n">
        <v>75</v>
      </c>
      <c r="J2677" s="0" t="n">
        <f aca="false">F2677*E2677</f>
        <v>190</v>
      </c>
      <c r="K2677" s="0" t="str">
        <f aca="false">IF(G2677&lt;1000,"1-Low",IF(G2677&lt;5000,"2-Medium","3-Bulk"))</f>
        <v>1-Low</v>
      </c>
      <c r="L2677" s="0" t="str">
        <f aca="false">IF(H2677="TRUE","Out of stock","In stock")</f>
        <v>In stock</v>
      </c>
      <c r="M2677" s="0" t="str">
        <f aca="false">IF(D2677&lt;5,"1) Under 5%",IF(D2677&lt;10,"2) 5-9%",IF(D2677&lt;15,"3) 10-14%",IF(D2677&lt;25,"4) 15-24%","5) 25%+"))))</f>
        <v>4) 15-24%</v>
      </c>
      <c r="N2677" s="0" t="str">
        <f aca="false">IF(F2677&lt;50,"1) Under Rs 50",IF(F2677&lt;100,"2) Rs 50-99",IF(F2677&lt;200,"3) Rs 100-199",IF(F2677&lt;500,"4) Rs 200-499","5) Rs 500+"))))</f>
        <v>1) Under Rs 50</v>
      </c>
      <c r="O2677" s="0" t="n">
        <f aca="false">G2677*E2677/1000</f>
        <v>0.375</v>
      </c>
    </row>
    <row r="2678" customFormat="false" ht="15" hidden="false" customHeight="false" outlineLevel="0" collapsed="false">
      <c r="A2678" s="0" t="s">
        <v>82</v>
      </c>
      <c r="B2678" s="0" t="s">
        <v>1186</v>
      </c>
      <c r="C2678" s="0" t="n">
        <v>45</v>
      </c>
      <c r="D2678" s="0" t="n">
        <v>11</v>
      </c>
      <c r="E2678" s="0" t="n">
        <v>6</v>
      </c>
      <c r="F2678" s="0" t="n">
        <v>40</v>
      </c>
      <c r="G2678" s="0" t="n">
        <v>60</v>
      </c>
      <c r="H2678" s="0" t="s">
        <v>145</v>
      </c>
      <c r="I2678" s="0" t="n">
        <v>60</v>
      </c>
      <c r="J2678" s="0" t="n">
        <f aca="false">F2678*E2678</f>
        <v>240</v>
      </c>
      <c r="K2678" s="0" t="str">
        <f aca="false">IF(G2678&lt;1000,"1-Low",IF(G2678&lt;5000,"2-Medium","3-Bulk"))</f>
        <v>1-Low</v>
      </c>
      <c r="L2678" s="0" t="str">
        <f aca="false">IF(H2678="TRUE","Out of stock","In stock")</f>
        <v>In stock</v>
      </c>
      <c r="M2678" s="0" t="str">
        <f aca="false">IF(D2678&lt;5,"1) Under 5%",IF(D2678&lt;10,"2) 5-9%",IF(D2678&lt;15,"3) 10-14%",IF(D2678&lt;25,"4) 15-24%","5) 25%+"))))</f>
        <v>3) 10-14%</v>
      </c>
      <c r="N2678" s="0" t="str">
        <f aca="false">IF(F2678&lt;50,"1) Under Rs 50",IF(F2678&lt;100,"2) Rs 50-99",IF(F2678&lt;200,"3) Rs 100-199",IF(F2678&lt;500,"4) Rs 200-499","5) Rs 500+"))))</f>
        <v>1) Under Rs 50</v>
      </c>
      <c r="O2678" s="0" t="n">
        <f aca="false">G2678*E2678/1000</f>
        <v>0.36</v>
      </c>
    </row>
    <row r="2679" customFormat="false" ht="15" hidden="false" customHeight="false" outlineLevel="0" collapsed="false">
      <c r="A2679" s="0" t="s">
        <v>82</v>
      </c>
      <c r="B2679" s="0" t="s">
        <v>1187</v>
      </c>
      <c r="C2679" s="0" t="n">
        <v>60</v>
      </c>
      <c r="D2679" s="0" t="n">
        <v>10</v>
      </c>
      <c r="E2679" s="0" t="n">
        <v>6</v>
      </c>
      <c r="F2679" s="0" t="n">
        <v>54</v>
      </c>
      <c r="G2679" s="0" t="n">
        <v>180</v>
      </c>
      <c r="H2679" s="0" t="s">
        <v>145</v>
      </c>
      <c r="I2679" s="0" t="n">
        <v>190</v>
      </c>
      <c r="J2679" s="0" t="n">
        <f aca="false">F2679*E2679</f>
        <v>324</v>
      </c>
      <c r="K2679" s="0" t="str">
        <f aca="false">IF(G2679&lt;1000,"1-Low",IF(G2679&lt;5000,"2-Medium","3-Bulk"))</f>
        <v>1-Low</v>
      </c>
      <c r="L2679" s="0" t="str">
        <f aca="false">IF(H2679="TRUE","Out of stock","In stock")</f>
        <v>In stock</v>
      </c>
      <c r="M2679" s="0" t="str">
        <f aca="false">IF(D2679&lt;5,"1) Under 5%",IF(D2679&lt;10,"2) 5-9%",IF(D2679&lt;15,"3) 10-14%",IF(D2679&lt;25,"4) 15-24%","5) 25%+"))))</f>
        <v>3) 10-14%</v>
      </c>
      <c r="N2679" s="0" t="str">
        <f aca="false">IF(F2679&lt;50,"1) Under Rs 50",IF(F2679&lt;100,"2) Rs 50-99",IF(F2679&lt;200,"3) Rs 100-199",IF(F2679&lt;500,"4) Rs 200-499","5) Rs 500+"))))</f>
        <v>2) Rs 50-99</v>
      </c>
      <c r="O2679" s="0" t="n">
        <f aca="false">G2679*E2679/1000</f>
        <v>1.08</v>
      </c>
    </row>
    <row r="2680" customFormat="false" ht="15" hidden="false" customHeight="false" outlineLevel="0" collapsed="false">
      <c r="A2680" s="0" t="s">
        <v>82</v>
      </c>
      <c r="B2680" s="0" t="s">
        <v>1188</v>
      </c>
      <c r="C2680" s="0" t="n">
        <v>50</v>
      </c>
      <c r="D2680" s="0" t="n">
        <v>6</v>
      </c>
      <c r="E2680" s="0" t="n">
        <v>6</v>
      </c>
      <c r="F2680" s="0" t="n">
        <v>47</v>
      </c>
      <c r="G2680" s="0" t="n">
        <v>150</v>
      </c>
      <c r="H2680" s="0" t="s">
        <v>145</v>
      </c>
      <c r="I2680" s="0" t="n">
        <v>150</v>
      </c>
      <c r="J2680" s="0" t="n">
        <f aca="false">F2680*E2680</f>
        <v>282</v>
      </c>
      <c r="K2680" s="0" t="str">
        <f aca="false">IF(G2680&lt;1000,"1-Low",IF(G2680&lt;5000,"2-Medium","3-Bulk"))</f>
        <v>1-Low</v>
      </c>
      <c r="L2680" s="0" t="str">
        <f aca="false">IF(H2680="TRUE","Out of stock","In stock")</f>
        <v>In stock</v>
      </c>
      <c r="M2680" s="0" t="str">
        <f aca="false">IF(D2680&lt;5,"1) Under 5%",IF(D2680&lt;10,"2) 5-9%",IF(D2680&lt;15,"3) 10-14%",IF(D2680&lt;25,"4) 15-24%","5) 25%+"))))</f>
        <v>2) 5-9%</v>
      </c>
      <c r="N2680" s="0" t="str">
        <f aca="false">IF(F2680&lt;50,"1) Under Rs 50",IF(F2680&lt;100,"2) Rs 50-99",IF(F2680&lt;200,"3) Rs 100-199",IF(F2680&lt;500,"4) Rs 200-499","5) Rs 500+"))))</f>
        <v>1) Under Rs 50</v>
      </c>
      <c r="O2680" s="0" t="n">
        <f aca="false">G2680*E2680/1000</f>
        <v>0.9</v>
      </c>
    </row>
    <row r="2681" customFormat="false" ht="15" hidden="false" customHeight="false" outlineLevel="0" collapsed="false">
      <c r="A2681" s="0" t="s">
        <v>82</v>
      </c>
      <c r="B2681" s="0" t="s">
        <v>1189</v>
      </c>
      <c r="C2681" s="0" t="n">
        <v>150</v>
      </c>
      <c r="D2681" s="0" t="n">
        <v>25</v>
      </c>
      <c r="E2681" s="0" t="n">
        <v>2</v>
      </c>
      <c r="F2681" s="0" t="n">
        <v>112</v>
      </c>
      <c r="G2681" s="0" t="n">
        <v>336</v>
      </c>
      <c r="H2681" s="0" t="s">
        <v>145</v>
      </c>
      <c r="I2681" s="0" t="n">
        <v>336</v>
      </c>
      <c r="J2681" s="0" t="n">
        <f aca="false">F2681*E2681</f>
        <v>224</v>
      </c>
      <c r="K2681" s="0" t="str">
        <f aca="false">IF(G2681&lt;1000,"1-Low",IF(G2681&lt;5000,"2-Medium","3-Bulk"))</f>
        <v>1-Low</v>
      </c>
      <c r="L2681" s="0" t="str">
        <f aca="false">IF(H2681="TRUE","Out of stock","In stock")</f>
        <v>In stock</v>
      </c>
      <c r="M2681" s="0" t="str">
        <f aca="false">IF(D2681&lt;5,"1) Under 5%",IF(D2681&lt;10,"2) 5-9%",IF(D2681&lt;15,"3) 10-14%",IF(D2681&lt;25,"4) 15-24%","5) 25%+"))))</f>
        <v>5) 25%+</v>
      </c>
      <c r="N2681" s="0" t="str">
        <f aca="false">IF(F2681&lt;50,"1) Under Rs 50",IF(F2681&lt;100,"2) Rs 50-99",IF(F2681&lt;200,"3) Rs 100-199",IF(F2681&lt;500,"4) Rs 200-499","5) Rs 500+"))))</f>
        <v>3) Rs 100-199</v>
      </c>
      <c r="O2681" s="0" t="n">
        <f aca="false">G2681*E2681/1000</f>
        <v>0.672</v>
      </c>
    </row>
    <row r="2682" customFormat="false" ht="15" hidden="false" customHeight="false" outlineLevel="0" collapsed="false">
      <c r="A2682" s="0" t="s">
        <v>82</v>
      </c>
      <c r="B2682" s="0" t="s">
        <v>1190</v>
      </c>
      <c r="C2682" s="0" t="n">
        <v>120</v>
      </c>
      <c r="D2682" s="0" t="n">
        <v>10</v>
      </c>
      <c r="E2682" s="0" t="n">
        <v>6</v>
      </c>
      <c r="F2682" s="0" t="n">
        <v>108</v>
      </c>
      <c r="G2682" s="0" t="n">
        <v>120</v>
      </c>
      <c r="H2682" s="0" t="s">
        <v>145</v>
      </c>
      <c r="I2682" s="0" t="n">
        <v>120</v>
      </c>
      <c r="J2682" s="0" t="n">
        <f aca="false">F2682*E2682</f>
        <v>648</v>
      </c>
      <c r="K2682" s="0" t="str">
        <f aca="false">IF(G2682&lt;1000,"1-Low",IF(G2682&lt;5000,"2-Medium","3-Bulk"))</f>
        <v>1-Low</v>
      </c>
      <c r="L2682" s="0" t="str">
        <f aca="false">IF(H2682="TRUE","Out of stock","In stock")</f>
        <v>In stock</v>
      </c>
      <c r="M2682" s="0" t="str">
        <f aca="false">IF(D2682&lt;5,"1) Under 5%",IF(D2682&lt;10,"2) 5-9%",IF(D2682&lt;15,"3) 10-14%",IF(D2682&lt;25,"4) 15-24%","5) 25%+"))))</f>
        <v>3) 10-14%</v>
      </c>
      <c r="N2682" s="0" t="str">
        <f aca="false">IF(F2682&lt;50,"1) Under Rs 50",IF(F2682&lt;100,"2) Rs 50-99",IF(F2682&lt;200,"3) Rs 100-199",IF(F2682&lt;500,"4) Rs 200-499","5) Rs 500+"))))</f>
        <v>3) Rs 100-199</v>
      </c>
      <c r="O2682" s="0" t="n">
        <f aca="false">G2682*E2682/1000</f>
        <v>0.72</v>
      </c>
    </row>
    <row r="2683" customFormat="false" ht="15" hidden="false" customHeight="false" outlineLevel="0" collapsed="false">
      <c r="A2683" s="0" t="s">
        <v>82</v>
      </c>
      <c r="B2683" s="0" t="s">
        <v>1191</v>
      </c>
      <c r="C2683" s="0" t="n">
        <v>30</v>
      </c>
      <c r="D2683" s="0" t="n">
        <v>0</v>
      </c>
      <c r="E2683" s="0" t="n">
        <v>3</v>
      </c>
      <c r="F2683" s="0" t="n">
        <v>30</v>
      </c>
      <c r="G2683" s="0" t="n">
        <v>150</v>
      </c>
      <c r="H2683" s="0" t="s">
        <v>145</v>
      </c>
      <c r="I2683" s="0" t="n">
        <v>150</v>
      </c>
      <c r="J2683" s="0" t="n">
        <f aca="false">F2683*E2683</f>
        <v>90</v>
      </c>
      <c r="K2683" s="0" t="str">
        <f aca="false">IF(G2683&lt;1000,"1-Low",IF(G2683&lt;5000,"2-Medium","3-Bulk"))</f>
        <v>1-Low</v>
      </c>
      <c r="L2683" s="0" t="str">
        <f aca="false">IF(H2683="TRUE","Out of stock","In stock")</f>
        <v>In stock</v>
      </c>
      <c r="M2683" s="0" t="str">
        <f aca="false">IF(D2683&lt;5,"1) Under 5%",IF(D2683&lt;10,"2) 5-9%",IF(D2683&lt;15,"3) 10-14%",IF(D2683&lt;25,"4) 15-24%","5) 25%+"))))</f>
        <v>1) Under 5%</v>
      </c>
      <c r="N2683" s="0" t="str">
        <f aca="false">IF(F2683&lt;50,"1) Under Rs 50",IF(F2683&lt;100,"2) Rs 50-99",IF(F2683&lt;200,"3) Rs 100-199",IF(F2683&lt;500,"4) Rs 200-499","5) Rs 500+"))))</f>
        <v>1) Under Rs 50</v>
      </c>
      <c r="O2683" s="0" t="n">
        <f aca="false">G2683*E2683/1000</f>
        <v>0.45</v>
      </c>
    </row>
    <row r="2684" customFormat="false" ht="15" hidden="false" customHeight="false" outlineLevel="0" collapsed="false">
      <c r="A2684" s="0" t="s">
        <v>82</v>
      </c>
      <c r="B2684" s="0" t="s">
        <v>1192</v>
      </c>
      <c r="C2684" s="0" t="n">
        <v>35</v>
      </c>
      <c r="D2684" s="0" t="n">
        <v>22</v>
      </c>
      <c r="E2684" s="0" t="n">
        <v>1</v>
      </c>
      <c r="F2684" s="0" t="n">
        <v>27</v>
      </c>
      <c r="G2684" s="0" t="n">
        <v>25</v>
      </c>
      <c r="H2684" s="0" t="s">
        <v>145</v>
      </c>
      <c r="I2684" s="0" t="n">
        <v>25</v>
      </c>
      <c r="J2684" s="0" t="n">
        <f aca="false">F2684*E2684</f>
        <v>27</v>
      </c>
      <c r="K2684" s="0" t="str">
        <f aca="false">IF(G2684&lt;1000,"1-Low",IF(G2684&lt;5000,"2-Medium","3-Bulk"))</f>
        <v>1-Low</v>
      </c>
      <c r="L2684" s="0" t="str">
        <f aca="false">IF(H2684="TRUE","Out of stock","In stock")</f>
        <v>In stock</v>
      </c>
      <c r="M2684" s="0" t="str">
        <f aca="false">IF(D2684&lt;5,"1) Under 5%",IF(D2684&lt;10,"2) 5-9%",IF(D2684&lt;15,"3) 10-14%",IF(D2684&lt;25,"4) 15-24%","5) 25%+"))))</f>
        <v>4) 15-24%</v>
      </c>
      <c r="N2684" s="0" t="str">
        <f aca="false">IF(F2684&lt;50,"1) Under Rs 50",IF(F2684&lt;100,"2) Rs 50-99",IF(F2684&lt;200,"3) Rs 100-199",IF(F2684&lt;500,"4) Rs 200-499","5) Rs 500+"))))</f>
        <v>1) Under Rs 50</v>
      </c>
      <c r="O2684" s="0" t="n">
        <f aca="false">G2684*E2684/1000</f>
        <v>0.025</v>
      </c>
    </row>
    <row r="2685" customFormat="false" ht="15" hidden="false" customHeight="false" outlineLevel="0" collapsed="false">
      <c r="A2685" s="0" t="s">
        <v>82</v>
      </c>
      <c r="B2685" s="0" t="s">
        <v>1193</v>
      </c>
      <c r="C2685" s="0" t="n">
        <v>60</v>
      </c>
      <c r="D2685" s="0" t="n">
        <v>6</v>
      </c>
      <c r="E2685" s="0" t="n">
        <v>1</v>
      </c>
      <c r="F2685" s="0" t="n">
        <v>56</v>
      </c>
      <c r="G2685" s="0" t="n">
        <v>100</v>
      </c>
      <c r="H2685" s="0" t="s">
        <v>145</v>
      </c>
      <c r="I2685" s="0" t="n">
        <v>100</v>
      </c>
      <c r="J2685" s="0" t="n">
        <f aca="false">F2685*E2685</f>
        <v>56</v>
      </c>
      <c r="K2685" s="0" t="str">
        <f aca="false">IF(G2685&lt;1000,"1-Low",IF(G2685&lt;5000,"2-Medium","3-Bulk"))</f>
        <v>1-Low</v>
      </c>
      <c r="L2685" s="0" t="str">
        <f aca="false">IF(H2685="TRUE","Out of stock","In stock")</f>
        <v>In stock</v>
      </c>
      <c r="M2685" s="0" t="str">
        <f aca="false">IF(D2685&lt;5,"1) Under 5%",IF(D2685&lt;10,"2) 5-9%",IF(D2685&lt;15,"3) 10-14%",IF(D2685&lt;25,"4) 15-24%","5) 25%+"))))</f>
        <v>2) 5-9%</v>
      </c>
      <c r="N2685" s="0" t="str">
        <f aca="false">IF(F2685&lt;50,"1) Under Rs 50",IF(F2685&lt;100,"2) Rs 50-99",IF(F2685&lt;200,"3) Rs 100-199",IF(F2685&lt;500,"4) Rs 200-499","5) Rs 500+"))))</f>
        <v>2) Rs 50-99</v>
      </c>
      <c r="O2685" s="0" t="n">
        <f aca="false">G2685*E2685/1000</f>
        <v>0.1</v>
      </c>
    </row>
    <row r="2686" customFormat="false" ht="15" hidden="false" customHeight="false" outlineLevel="0" collapsed="false">
      <c r="A2686" s="0" t="s">
        <v>82</v>
      </c>
      <c r="B2686" s="0" t="s">
        <v>1194</v>
      </c>
      <c r="C2686" s="0" t="n">
        <v>149</v>
      </c>
      <c r="D2686" s="0" t="n">
        <v>8</v>
      </c>
      <c r="E2686" s="0" t="n">
        <v>6</v>
      </c>
      <c r="F2686" s="0" t="n">
        <v>137</v>
      </c>
      <c r="G2686" s="0" t="n">
        <v>450</v>
      </c>
      <c r="H2686" s="0" t="s">
        <v>145</v>
      </c>
      <c r="I2686" s="0" t="n">
        <v>450</v>
      </c>
      <c r="J2686" s="0" t="n">
        <f aca="false">F2686*E2686</f>
        <v>822</v>
      </c>
      <c r="K2686" s="0" t="str">
        <f aca="false">IF(G2686&lt;1000,"1-Low",IF(G2686&lt;5000,"2-Medium","3-Bulk"))</f>
        <v>1-Low</v>
      </c>
      <c r="L2686" s="0" t="str">
        <f aca="false">IF(H2686="TRUE","Out of stock","In stock")</f>
        <v>In stock</v>
      </c>
      <c r="M2686" s="0" t="str">
        <f aca="false">IF(D2686&lt;5,"1) Under 5%",IF(D2686&lt;10,"2) 5-9%",IF(D2686&lt;15,"3) 10-14%",IF(D2686&lt;25,"4) 15-24%","5) 25%+"))))</f>
        <v>2) 5-9%</v>
      </c>
      <c r="N2686" s="0" t="str">
        <f aca="false">IF(F2686&lt;50,"1) Under Rs 50",IF(F2686&lt;100,"2) Rs 50-99",IF(F2686&lt;200,"3) Rs 100-199",IF(F2686&lt;500,"4) Rs 200-499","5) Rs 500+"))))</f>
        <v>3) Rs 100-199</v>
      </c>
      <c r="O2686" s="0" t="n">
        <f aca="false">G2686*E2686/1000</f>
        <v>2.7</v>
      </c>
    </row>
    <row r="2687" customFormat="false" ht="15" hidden="false" customHeight="false" outlineLevel="0" collapsed="false">
      <c r="A2687" s="0" t="s">
        <v>82</v>
      </c>
      <c r="B2687" s="0" t="s">
        <v>1195</v>
      </c>
      <c r="C2687" s="0" t="n">
        <v>60</v>
      </c>
      <c r="D2687" s="0" t="n">
        <v>6</v>
      </c>
      <c r="E2687" s="0" t="n">
        <v>4</v>
      </c>
      <c r="F2687" s="0" t="n">
        <v>56</v>
      </c>
      <c r="G2687" s="0" t="n">
        <v>200</v>
      </c>
      <c r="H2687" s="0" t="s">
        <v>145</v>
      </c>
      <c r="I2687" s="0" t="n">
        <v>200</v>
      </c>
      <c r="J2687" s="0" t="n">
        <f aca="false">F2687*E2687</f>
        <v>224</v>
      </c>
      <c r="K2687" s="0" t="str">
        <f aca="false">IF(G2687&lt;1000,"1-Low",IF(G2687&lt;5000,"2-Medium","3-Bulk"))</f>
        <v>1-Low</v>
      </c>
      <c r="L2687" s="0" t="str">
        <f aca="false">IF(H2687="TRUE","Out of stock","In stock")</f>
        <v>In stock</v>
      </c>
      <c r="M2687" s="0" t="str">
        <f aca="false">IF(D2687&lt;5,"1) Under 5%",IF(D2687&lt;10,"2) 5-9%",IF(D2687&lt;15,"3) 10-14%",IF(D2687&lt;25,"4) 15-24%","5) 25%+"))))</f>
        <v>2) 5-9%</v>
      </c>
      <c r="N2687" s="0" t="str">
        <f aca="false">IF(F2687&lt;50,"1) Under Rs 50",IF(F2687&lt;100,"2) Rs 50-99",IF(F2687&lt;200,"3) Rs 100-199",IF(F2687&lt;500,"4) Rs 200-499","5) Rs 500+"))))</f>
        <v>2) Rs 50-99</v>
      </c>
      <c r="O2687" s="0" t="n">
        <f aca="false">G2687*E2687/1000</f>
        <v>0.8</v>
      </c>
    </row>
    <row r="2688" customFormat="false" ht="15" hidden="false" customHeight="false" outlineLevel="0" collapsed="false">
      <c r="A2688" s="0" t="s">
        <v>82</v>
      </c>
      <c r="B2688" s="0" t="s">
        <v>1196</v>
      </c>
      <c r="C2688" s="0" t="n">
        <v>90</v>
      </c>
      <c r="D2688" s="0" t="n">
        <v>10</v>
      </c>
      <c r="E2688" s="0" t="n">
        <v>6</v>
      </c>
      <c r="F2688" s="0" t="n">
        <v>81</v>
      </c>
      <c r="G2688" s="0" t="n">
        <v>168</v>
      </c>
      <c r="H2688" s="0" t="s">
        <v>145</v>
      </c>
      <c r="I2688" s="0" t="n">
        <v>168</v>
      </c>
      <c r="J2688" s="0" t="n">
        <f aca="false">F2688*E2688</f>
        <v>486</v>
      </c>
      <c r="K2688" s="0" t="str">
        <f aca="false">IF(G2688&lt;1000,"1-Low",IF(G2688&lt;5000,"2-Medium","3-Bulk"))</f>
        <v>1-Low</v>
      </c>
      <c r="L2688" s="0" t="str">
        <f aca="false">IF(H2688="TRUE","Out of stock","In stock")</f>
        <v>In stock</v>
      </c>
      <c r="M2688" s="0" t="str">
        <f aca="false">IF(D2688&lt;5,"1) Under 5%",IF(D2688&lt;10,"2) 5-9%",IF(D2688&lt;15,"3) 10-14%",IF(D2688&lt;25,"4) 15-24%","5) 25%+"))))</f>
        <v>3) 10-14%</v>
      </c>
      <c r="N2688" s="0" t="str">
        <f aca="false">IF(F2688&lt;50,"1) Under Rs 50",IF(F2688&lt;100,"2) Rs 50-99",IF(F2688&lt;200,"3) Rs 100-199",IF(F2688&lt;500,"4) Rs 200-499","5) Rs 500+"))))</f>
        <v>2) Rs 50-99</v>
      </c>
      <c r="O2688" s="0" t="n">
        <f aca="false">G2688*E2688/1000</f>
        <v>1.008</v>
      </c>
    </row>
    <row r="2689" customFormat="false" ht="15" hidden="false" customHeight="false" outlineLevel="0" collapsed="false">
      <c r="A2689" s="0" t="s">
        <v>82</v>
      </c>
      <c r="B2689" s="0" t="s">
        <v>1197</v>
      </c>
      <c r="C2689" s="0" t="n">
        <v>15</v>
      </c>
      <c r="D2689" s="0" t="n">
        <v>0</v>
      </c>
      <c r="E2689" s="0" t="n">
        <v>5</v>
      </c>
      <c r="F2689" s="0" t="n">
        <v>15</v>
      </c>
      <c r="G2689" s="0" t="n">
        <v>45</v>
      </c>
      <c r="H2689" s="0" t="s">
        <v>145</v>
      </c>
      <c r="I2689" s="0" t="n">
        <v>47</v>
      </c>
      <c r="J2689" s="0" t="n">
        <f aca="false">F2689*E2689</f>
        <v>75</v>
      </c>
      <c r="K2689" s="0" t="str">
        <f aca="false">IF(G2689&lt;1000,"1-Low",IF(G2689&lt;5000,"2-Medium","3-Bulk"))</f>
        <v>1-Low</v>
      </c>
      <c r="L2689" s="0" t="str">
        <f aca="false">IF(H2689="TRUE","Out of stock","In stock")</f>
        <v>In stock</v>
      </c>
      <c r="M2689" s="0" t="str">
        <f aca="false">IF(D2689&lt;5,"1) Under 5%",IF(D2689&lt;10,"2) 5-9%",IF(D2689&lt;15,"3) 10-14%",IF(D2689&lt;25,"4) 15-24%","5) 25%+"))))</f>
        <v>1) Under 5%</v>
      </c>
      <c r="N2689" s="0" t="str">
        <f aca="false">IF(F2689&lt;50,"1) Under Rs 50",IF(F2689&lt;100,"2) Rs 50-99",IF(F2689&lt;200,"3) Rs 100-199",IF(F2689&lt;500,"4) Rs 200-499","5) Rs 500+"))))</f>
        <v>1) Under Rs 50</v>
      </c>
      <c r="O2689" s="0" t="n">
        <f aca="false">G2689*E2689/1000</f>
        <v>0.225</v>
      </c>
    </row>
    <row r="2690" customFormat="false" ht="15" hidden="false" customHeight="false" outlineLevel="0" collapsed="false">
      <c r="A2690" s="0" t="s">
        <v>82</v>
      </c>
      <c r="B2690" s="0" t="s">
        <v>1198</v>
      </c>
      <c r="C2690" s="0" t="n">
        <v>75</v>
      </c>
      <c r="D2690" s="0" t="n">
        <v>6</v>
      </c>
      <c r="E2690" s="0" t="n">
        <v>6</v>
      </c>
      <c r="F2690" s="0" t="n">
        <v>70</v>
      </c>
      <c r="G2690" s="0" t="n">
        <v>100</v>
      </c>
      <c r="H2690" s="0" t="s">
        <v>145</v>
      </c>
      <c r="I2690" s="0" t="n">
        <v>200</v>
      </c>
      <c r="J2690" s="0" t="n">
        <f aca="false">F2690*E2690</f>
        <v>420</v>
      </c>
      <c r="K2690" s="0" t="str">
        <f aca="false">IF(G2690&lt;1000,"1-Low",IF(G2690&lt;5000,"2-Medium","3-Bulk"))</f>
        <v>1-Low</v>
      </c>
      <c r="L2690" s="0" t="str">
        <f aca="false">IF(H2690="TRUE","Out of stock","In stock")</f>
        <v>In stock</v>
      </c>
      <c r="M2690" s="0" t="str">
        <f aca="false">IF(D2690&lt;5,"1) Under 5%",IF(D2690&lt;10,"2) 5-9%",IF(D2690&lt;15,"3) 10-14%",IF(D2690&lt;25,"4) 15-24%","5) 25%+"))))</f>
        <v>2) 5-9%</v>
      </c>
      <c r="N2690" s="0" t="str">
        <f aca="false">IF(F2690&lt;50,"1) Under Rs 50",IF(F2690&lt;100,"2) Rs 50-99",IF(F2690&lt;200,"3) Rs 100-199",IF(F2690&lt;500,"4) Rs 200-499","5) Rs 500+"))))</f>
        <v>2) Rs 50-99</v>
      </c>
      <c r="O2690" s="0" t="n">
        <f aca="false">G2690*E2690/1000</f>
        <v>0.6</v>
      </c>
    </row>
    <row r="2691" customFormat="false" ht="15" hidden="false" customHeight="false" outlineLevel="0" collapsed="false">
      <c r="A2691" s="0" t="s">
        <v>82</v>
      </c>
      <c r="B2691" s="0" t="s">
        <v>1199</v>
      </c>
      <c r="C2691" s="0" t="n">
        <v>30</v>
      </c>
      <c r="D2691" s="0" t="n">
        <v>0</v>
      </c>
      <c r="E2691" s="0" t="n">
        <v>6</v>
      </c>
      <c r="F2691" s="0" t="n">
        <v>30</v>
      </c>
      <c r="G2691" s="0" t="n">
        <v>120</v>
      </c>
      <c r="H2691" s="0" t="s">
        <v>145</v>
      </c>
      <c r="I2691" s="0" t="n">
        <v>120</v>
      </c>
      <c r="J2691" s="0" t="n">
        <f aca="false">F2691*E2691</f>
        <v>180</v>
      </c>
      <c r="K2691" s="0" t="str">
        <f aca="false">IF(G2691&lt;1000,"1-Low",IF(G2691&lt;5000,"2-Medium","3-Bulk"))</f>
        <v>1-Low</v>
      </c>
      <c r="L2691" s="0" t="str">
        <f aca="false">IF(H2691="TRUE","Out of stock","In stock")</f>
        <v>In stock</v>
      </c>
      <c r="M2691" s="0" t="str">
        <f aca="false">IF(D2691&lt;5,"1) Under 5%",IF(D2691&lt;10,"2) 5-9%",IF(D2691&lt;15,"3) 10-14%",IF(D2691&lt;25,"4) 15-24%","5) 25%+"))))</f>
        <v>1) Under 5%</v>
      </c>
      <c r="N2691" s="0" t="str">
        <f aca="false">IF(F2691&lt;50,"1) Under Rs 50",IF(F2691&lt;100,"2) Rs 50-99",IF(F2691&lt;200,"3) Rs 100-199",IF(F2691&lt;500,"4) Rs 200-499","5) Rs 500+"))))</f>
        <v>1) Under Rs 50</v>
      </c>
      <c r="O2691" s="0" t="n">
        <f aca="false">G2691*E2691/1000</f>
        <v>0.72</v>
      </c>
    </row>
    <row r="2692" customFormat="false" ht="15" hidden="false" customHeight="false" outlineLevel="0" collapsed="false">
      <c r="A2692" s="0" t="s">
        <v>82</v>
      </c>
      <c r="B2692" s="0" t="s">
        <v>1200</v>
      </c>
      <c r="C2692" s="0" t="n">
        <v>30</v>
      </c>
      <c r="D2692" s="0" t="n">
        <v>10</v>
      </c>
      <c r="E2692" s="0" t="n">
        <v>6</v>
      </c>
      <c r="F2692" s="0" t="n">
        <v>27</v>
      </c>
      <c r="G2692" s="0" t="n">
        <v>200</v>
      </c>
      <c r="H2692" s="0" t="s">
        <v>145</v>
      </c>
      <c r="I2692" s="0" t="n">
        <v>200</v>
      </c>
      <c r="J2692" s="0" t="n">
        <f aca="false">F2692*E2692</f>
        <v>162</v>
      </c>
      <c r="K2692" s="0" t="str">
        <f aca="false">IF(G2692&lt;1000,"1-Low",IF(G2692&lt;5000,"2-Medium","3-Bulk"))</f>
        <v>1-Low</v>
      </c>
      <c r="L2692" s="0" t="str">
        <f aca="false">IF(H2692="TRUE","Out of stock","In stock")</f>
        <v>In stock</v>
      </c>
      <c r="M2692" s="0" t="str">
        <f aca="false">IF(D2692&lt;5,"1) Under 5%",IF(D2692&lt;10,"2) 5-9%",IF(D2692&lt;15,"3) 10-14%",IF(D2692&lt;25,"4) 15-24%","5) 25%+"))))</f>
        <v>3) 10-14%</v>
      </c>
      <c r="N2692" s="0" t="str">
        <f aca="false">IF(F2692&lt;50,"1) Under Rs 50",IF(F2692&lt;100,"2) Rs 50-99",IF(F2692&lt;200,"3) Rs 100-199",IF(F2692&lt;500,"4) Rs 200-499","5) Rs 500+"))))</f>
        <v>1) Under Rs 50</v>
      </c>
      <c r="O2692" s="0" t="n">
        <f aca="false">G2692*E2692/1000</f>
        <v>1.2</v>
      </c>
    </row>
    <row r="2693" customFormat="false" ht="15" hidden="false" customHeight="false" outlineLevel="0" collapsed="false">
      <c r="A2693" s="0" t="s">
        <v>82</v>
      </c>
      <c r="B2693" s="0" t="s">
        <v>1201</v>
      </c>
      <c r="C2693" s="0" t="n">
        <v>60</v>
      </c>
      <c r="D2693" s="0" t="n">
        <v>6</v>
      </c>
      <c r="E2693" s="0" t="n">
        <v>4</v>
      </c>
      <c r="F2693" s="0" t="n">
        <v>56</v>
      </c>
      <c r="G2693" s="0" t="n">
        <v>200</v>
      </c>
      <c r="H2693" s="0" t="s">
        <v>145</v>
      </c>
      <c r="I2693" s="0" t="n">
        <v>200</v>
      </c>
      <c r="J2693" s="0" t="n">
        <f aca="false">F2693*E2693</f>
        <v>224</v>
      </c>
      <c r="K2693" s="0" t="str">
        <f aca="false">IF(G2693&lt;1000,"1-Low",IF(G2693&lt;5000,"2-Medium","3-Bulk"))</f>
        <v>1-Low</v>
      </c>
      <c r="L2693" s="0" t="str">
        <f aca="false">IF(H2693="TRUE","Out of stock","In stock")</f>
        <v>In stock</v>
      </c>
      <c r="M2693" s="0" t="str">
        <f aca="false">IF(D2693&lt;5,"1) Under 5%",IF(D2693&lt;10,"2) 5-9%",IF(D2693&lt;15,"3) 10-14%",IF(D2693&lt;25,"4) 15-24%","5) 25%+"))))</f>
        <v>2) 5-9%</v>
      </c>
      <c r="N2693" s="0" t="str">
        <f aca="false">IF(F2693&lt;50,"1) Under Rs 50",IF(F2693&lt;100,"2) Rs 50-99",IF(F2693&lt;200,"3) Rs 100-199",IF(F2693&lt;500,"4) Rs 200-499","5) Rs 500+"))))</f>
        <v>2) Rs 50-99</v>
      </c>
      <c r="O2693" s="0" t="n">
        <f aca="false">G2693*E2693/1000</f>
        <v>0.8</v>
      </c>
    </row>
    <row r="2694" customFormat="false" ht="15" hidden="false" customHeight="false" outlineLevel="0" collapsed="false">
      <c r="A2694" s="0" t="s">
        <v>82</v>
      </c>
      <c r="B2694" s="0" t="s">
        <v>1202</v>
      </c>
      <c r="C2694" s="0" t="n">
        <v>105</v>
      </c>
      <c r="D2694" s="0" t="n">
        <v>22</v>
      </c>
      <c r="E2694" s="0" t="n">
        <v>6</v>
      </c>
      <c r="F2694" s="0" t="n">
        <v>81</v>
      </c>
      <c r="G2694" s="0" t="n">
        <v>75</v>
      </c>
      <c r="H2694" s="0" t="s">
        <v>145</v>
      </c>
      <c r="I2694" s="0" t="n">
        <v>75</v>
      </c>
      <c r="J2694" s="0" t="n">
        <f aca="false">F2694*E2694</f>
        <v>486</v>
      </c>
      <c r="K2694" s="0" t="str">
        <f aca="false">IF(G2694&lt;1000,"1-Low",IF(G2694&lt;5000,"2-Medium","3-Bulk"))</f>
        <v>1-Low</v>
      </c>
      <c r="L2694" s="0" t="str">
        <f aca="false">IF(H2694="TRUE","Out of stock","In stock")</f>
        <v>In stock</v>
      </c>
      <c r="M2694" s="0" t="str">
        <f aca="false">IF(D2694&lt;5,"1) Under 5%",IF(D2694&lt;10,"2) 5-9%",IF(D2694&lt;15,"3) 10-14%",IF(D2694&lt;25,"4) 15-24%","5) 25%+"))))</f>
        <v>4) 15-24%</v>
      </c>
      <c r="N2694" s="0" t="str">
        <f aca="false">IF(F2694&lt;50,"1) Under Rs 50",IF(F2694&lt;100,"2) Rs 50-99",IF(F2694&lt;200,"3) Rs 100-199",IF(F2694&lt;500,"4) Rs 200-499","5) Rs 500+"))))</f>
        <v>2) Rs 50-99</v>
      </c>
      <c r="O2694" s="0" t="n">
        <f aca="false">G2694*E2694/1000</f>
        <v>0.45</v>
      </c>
    </row>
    <row r="2695" customFormat="false" ht="15" hidden="false" customHeight="false" outlineLevel="0" collapsed="false">
      <c r="A2695" s="0" t="s">
        <v>82</v>
      </c>
      <c r="B2695" s="0" t="s">
        <v>1203</v>
      </c>
      <c r="C2695" s="0" t="n">
        <v>105</v>
      </c>
      <c r="D2695" s="0" t="n">
        <v>22</v>
      </c>
      <c r="E2695" s="0" t="n">
        <v>6</v>
      </c>
      <c r="F2695" s="0" t="n">
        <v>81</v>
      </c>
      <c r="G2695" s="0" t="n">
        <v>75</v>
      </c>
      <c r="H2695" s="0" t="s">
        <v>145</v>
      </c>
      <c r="I2695" s="0" t="n">
        <v>75</v>
      </c>
      <c r="J2695" s="0" t="n">
        <f aca="false">F2695*E2695</f>
        <v>486</v>
      </c>
      <c r="K2695" s="0" t="str">
        <f aca="false">IF(G2695&lt;1000,"1-Low",IF(G2695&lt;5000,"2-Medium","3-Bulk"))</f>
        <v>1-Low</v>
      </c>
      <c r="L2695" s="0" t="str">
        <f aca="false">IF(H2695="TRUE","Out of stock","In stock")</f>
        <v>In stock</v>
      </c>
      <c r="M2695" s="0" t="str">
        <f aca="false">IF(D2695&lt;5,"1) Under 5%",IF(D2695&lt;10,"2) 5-9%",IF(D2695&lt;15,"3) 10-14%",IF(D2695&lt;25,"4) 15-24%","5) 25%+"))))</f>
        <v>4) 15-24%</v>
      </c>
      <c r="N2695" s="0" t="str">
        <f aca="false">IF(F2695&lt;50,"1) Under Rs 50",IF(F2695&lt;100,"2) Rs 50-99",IF(F2695&lt;200,"3) Rs 100-199",IF(F2695&lt;500,"4) Rs 200-499","5) Rs 500+"))))</f>
        <v>2) Rs 50-99</v>
      </c>
      <c r="O2695" s="0" t="n">
        <f aca="false">G2695*E2695/1000</f>
        <v>0.45</v>
      </c>
    </row>
    <row r="2696" customFormat="false" ht="15" hidden="false" customHeight="false" outlineLevel="0" collapsed="false">
      <c r="A2696" s="0" t="s">
        <v>82</v>
      </c>
      <c r="B2696" s="0" t="s">
        <v>1204</v>
      </c>
      <c r="C2696" s="0" t="n">
        <v>75</v>
      </c>
      <c r="D2696" s="0" t="n">
        <v>6</v>
      </c>
      <c r="E2696" s="0" t="n">
        <v>3</v>
      </c>
      <c r="F2696" s="0" t="n">
        <v>70</v>
      </c>
      <c r="G2696" s="0" t="n">
        <v>100</v>
      </c>
      <c r="H2696" s="0" t="s">
        <v>145</v>
      </c>
      <c r="I2696" s="0" t="n">
        <v>200</v>
      </c>
      <c r="J2696" s="0" t="n">
        <f aca="false">F2696*E2696</f>
        <v>210</v>
      </c>
      <c r="K2696" s="0" t="str">
        <f aca="false">IF(G2696&lt;1000,"1-Low",IF(G2696&lt;5000,"2-Medium","3-Bulk"))</f>
        <v>1-Low</v>
      </c>
      <c r="L2696" s="0" t="str">
        <f aca="false">IF(H2696="TRUE","Out of stock","In stock")</f>
        <v>In stock</v>
      </c>
      <c r="M2696" s="0" t="str">
        <f aca="false">IF(D2696&lt;5,"1) Under 5%",IF(D2696&lt;10,"2) 5-9%",IF(D2696&lt;15,"3) 10-14%",IF(D2696&lt;25,"4) 15-24%","5) 25%+"))))</f>
        <v>2) 5-9%</v>
      </c>
      <c r="N2696" s="0" t="str">
        <f aca="false">IF(F2696&lt;50,"1) Under Rs 50",IF(F2696&lt;100,"2) Rs 50-99",IF(F2696&lt;200,"3) Rs 100-199",IF(F2696&lt;500,"4) Rs 200-499","5) Rs 500+"))))</f>
        <v>2) Rs 50-99</v>
      </c>
      <c r="O2696" s="0" t="n">
        <f aca="false">G2696*E2696/1000</f>
        <v>0.3</v>
      </c>
    </row>
    <row r="2697" customFormat="false" ht="15" hidden="false" customHeight="false" outlineLevel="0" collapsed="false">
      <c r="A2697" s="0" t="s">
        <v>82</v>
      </c>
      <c r="B2697" s="0" t="s">
        <v>1205</v>
      </c>
      <c r="C2697" s="0" t="n">
        <v>45</v>
      </c>
      <c r="D2697" s="0" t="n">
        <v>0</v>
      </c>
      <c r="E2697" s="0" t="n">
        <v>2</v>
      </c>
      <c r="F2697" s="0" t="n">
        <v>45</v>
      </c>
      <c r="G2697" s="0" t="n">
        <v>120</v>
      </c>
      <c r="H2697" s="0" t="s">
        <v>145</v>
      </c>
      <c r="I2697" s="0" t="n">
        <v>120</v>
      </c>
      <c r="J2697" s="0" t="n">
        <f aca="false">F2697*E2697</f>
        <v>90</v>
      </c>
      <c r="K2697" s="0" t="str">
        <f aca="false">IF(G2697&lt;1000,"1-Low",IF(G2697&lt;5000,"2-Medium","3-Bulk"))</f>
        <v>1-Low</v>
      </c>
      <c r="L2697" s="0" t="str">
        <f aca="false">IF(H2697="TRUE","Out of stock","In stock")</f>
        <v>In stock</v>
      </c>
      <c r="M2697" s="0" t="str">
        <f aca="false">IF(D2697&lt;5,"1) Under 5%",IF(D2697&lt;10,"2) 5-9%",IF(D2697&lt;15,"3) 10-14%",IF(D2697&lt;25,"4) 15-24%","5) 25%+"))))</f>
        <v>1) Under 5%</v>
      </c>
      <c r="N2697" s="0" t="str">
        <f aca="false">IF(F2697&lt;50,"1) Under Rs 50",IF(F2697&lt;100,"2) Rs 50-99",IF(F2697&lt;200,"3) Rs 100-199",IF(F2697&lt;500,"4) Rs 200-499","5) Rs 500+"))))</f>
        <v>1) Under Rs 50</v>
      </c>
      <c r="O2697" s="0" t="n">
        <f aca="false">G2697*E2697/1000</f>
        <v>0.24</v>
      </c>
    </row>
    <row r="2698" customFormat="false" ht="15" hidden="false" customHeight="false" outlineLevel="0" collapsed="false">
      <c r="A2698" s="0" t="s">
        <v>82</v>
      </c>
      <c r="B2698" s="0" t="s">
        <v>1206</v>
      </c>
      <c r="C2698" s="0" t="n">
        <v>120</v>
      </c>
      <c r="D2698" s="0" t="n">
        <v>0</v>
      </c>
      <c r="E2698" s="0" t="n">
        <v>4</v>
      </c>
      <c r="F2698" s="0" t="n">
        <v>120</v>
      </c>
      <c r="G2698" s="0" t="n">
        <v>400</v>
      </c>
      <c r="H2698" s="0" t="s">
        <v>145</v>
      </c>
      <c r="I2698" s="0" t="n">
        <v>400</v>
      </c>
      <c r="J2698" s="0" t="n">
        <f aca="false">F2698*E2698</f>
        <v>480</v>
      </c>
      <c r="K2698" s="0" t="str">
        <f aca="false">IF(G2698&lt;1000,"1-Low",IF(G2698&lt;5000,"2-Medium","3-Bulk"))</f>
        <v>1-Low</v>
      </c>
      <c r="L2698" s="0" t="str">
        <f aca="false">IF(H2698="TRUE","Out of stock","In stock")</f>
        <v>In stock</v>
      </c>
      <c r="M2698" s="0" t="str">
        <f aca="false">IF(D2698&lt;5,"1) Under 5%",IF(D2698&lt;10,"2) 5-9%",IF(D2698&lt;15,"3) 10-14%",IF(D2698&lt;25,"4) 15-24%","5) 25%+"))))</f>
        <v>1) Under 5%</v>
      </c>
      <c r="N2698" s="0" t="str">
        <f aca="false">IF(F2698&lt;50,"1) Under Rs 50",IF(F2698&lt;100,"2) Rs 50-99",IF(F2698&lt;200,"3) Rs 100-199",IF(F2698&lt;500,"4) Rs 200-499","5) Rs 500+"))))</f>
        <v>3) Rs 100-199</v>
      </c>
      <c r="O2698" s="0" t="n">
        <f aca="false">G2698*E2698/1000</f>
        <v>1.6</v>
      </c>
    </row>
    <row r="2699" customFormat="false" ht="15" hidden="false" customHeight="false" outlineLevel="0" collapsed="false">
      <c r="A2699" s="0" t="s">
        <v>82</v>
      </c>
      <c r="B2699" s="0" t="s">
        <v>1207</v>
      </c>
      <c r="C2699" s="0" t="n">
        <v>30</v>
      </c>
      <c r="D2699" s="0" t="n">
        <v>10</v>
      </c>
      <c r="E2699" s="0" t="n">
        <v>6</v>
      </c>
      <c r="F2699" s="0" t="n">
        <v>27</v>
      </c>
      <c r="G2699" s="0" t="n">
        <v>200</v>
      </c>
      <c r="H2699" s="0" t="s">
        <v>145</v>
      </c>
      <c r="I2699" s="0" t="n">
        <v>200</v>
      </c>
      <c r="J2699" s="0" t="n">
        <f aca="false">F2699*E2699</f>
        <v>162</v>
      </c>
      <c r="K2699" s="0" t="str">
        <f aca="false">IF(G2699&lt;1000,"1-Low",IF(G2699&lt;5000,"2-Medium","3-Bulk"))</f>
        <v>1-Low</v>
      </c>
      <c r="L2699" s="0" t="str">
        <f aca="false">IF(H2699="TRUE","Out of stock","In stock")</f>
        <v>In stock</v>
      </c>
      <c r="M2699" s="0" t="str">
        <f aca="false">IF(D2699&lt;5,"1) Under 5%",IF(D2699&lt;10,"2) 5-9%",IF(D2699&lt;15,"3) 10-14%",IF(D2699&lt;25,"4) 15-24%","5) 25%+"))))</f>
        <v>3) 10-14%</v>
      </c>
      <c r="N2699" s="0" t="str">
        <f aca="false">IF(F2699&lt;50,"1) Under Rs 50",IF(F2699&lt;100,"2) Rs 50-99",IF(F2699&lt;200,"3) Rs 100-199",IF(F2699&lt;500,"4) Rs 200-499","5) Rs 500+"))))</f>
        <v>1) Under Rs 50</v>
      </c>
      <c r="O2699" s="0" t="n">
        <f aca="false">G2699*E2699/1000</f>
        <v>1.2</v>
      </c>
    </row>
    <row r="2700" customFormat="false" ht="15" hidden="false" customHeight="false" outlineLevel="0" collapsed="false">
      <c r="A2700" s="0" t="s">
        <v>82</v>
      </c>
      <c r="B2700" s="0" t="s">
        <v>1208</v>
      </c>
      <c r="C2700" s="0" t="n">
        <v>15</v>
      </c>
      <c r="D2700" s="0" t="n">
        <v>0</v>
      </c>
      <c r="E2700" s="0" t="n">
        <v>5</v>
      </c>
      <c r="F2700" s="0" t="n">
        <v>15</v>
      </c>
      <c r="G2700" s="0" t="n">
        <v>45</v>
      </c>
      <c r="H2700" s="0" t="s">
        <v>145</v>
      </c>
      <c r="I2700" s="0" t="n">
        <v>45</v>
      </c>
      <c r="J2700" s="0" t="n">
        <f aca="false">F2700*E2700</f>
        <v>75</v>
      </c>
      <c r="K2700" s="0" t="str">
        <f aca="false">IF(G2700&lt;1000,"1-Low",IF(G2700&lt;5000,"2-Medium","3-Bulk"))</f>
        <v>1-Low</v>
      </c>
      <c r="L2700" s="0" t="str">
        <f aca="false">IF(H2700="TRUE","Out of stock","In stock")</f>
        <v>In stock</v>
      </c>
      <c r="M2700" s="0" t="str">
        <f aca="false">IF(D2700&lt;5,"1) Under 5%",IF(D2700&lt;10,"2) 5-9%",IF(D2700&lt;15,"3) 10-14%",IF(D2700&lt;25,"4) 15-24%","5) 25%+"))))</f>
        <v>1) Under 5%</v>
      </c>
      <c r="N2700" s="0" t="str">
        <f aca="false">IF(F2700&lt;50,"1) Under Rs 50",IF(F2700&lt;100,"2) Rs 50-99",IF(F2700&lt;200,"3) Rs 100-199",IF(F2700&lt;500,"4) Rs 200-499","5) Rs 500+"))))</f>
        <v>1) Under Rs 50</v>
      </c>
      <c r="O2700" s="0" t="n">
        <f aca="false">G2700*E2700/1000</f>
        <v>0.225</v>
      </c>
    </row>
    <row r="2701" customFormat="false" ht="15" hidden="false" customHeight="false" outlineLevel="0" collapsed="false">
      <c r="A2701" s="0" t="s">
        <v>82</v>
      </c>
      <c r="B2701" s="0" t="s">
        <v>1209</v>
      </c>
      <c r="C2701" s="0" t="n">
        <v>80</v>
      </c>
      <c r="D2701" s="0" t="n">
        <v>10</v>
      </c>
      <c r="E2701" s="0" t="n">
        <v>6</v>
      </c>
      <c r="F2701" s="0" t="n">
        <v>72</v>
      </c>
      <c r="G2701" s="0" t="n">
        <v>600</v>
      </c>
      <c r="H2701" s="0" t="s">
        <v>145</v>
      </c>
      <c r="I2701" s="0" t="n">
        <v>600</v>
      </c>
      <c r="J2701" s="0" t="n">
        <f aca="false">F2701*E2701</f>
        <v>432</v>
      </c>
      <c r="K2701" s="0" t="str">
        <f aca="false">IF(G2701&lt;1000,"1-Low",IF(G2701&lt;5000,"2-Medium","3-Bulk"))</f>
        <v>1-Low</v>
      </c>
      <c r="L2701" s="0" t="str">
        <f aca="false">IF(H2701="TRUE","Out of stock","In stock")</f>
        <v>In stock</v>
      </c>
      <c r="M2701" s="0" t="str">
        <f aca="false">IF(D2701&lt;5,"1) Under 5%",IF(D2701&lt;10,"2) 5-9%",IF(D2701&lt;15,"3) 10-14%",IF(D2701&lt;25,"4) 15-24%","5) 25%+"))))</f>
        <v>3) 10-14%</v>
      </c>
      <c r="N2701" s="0" t="str">
        <f aca="false">IF(F2701&lt;50,"1) Under Rs 50",IF(F2701&lt;100,"2) Rs 50-99",IF(F2701&lt;200,"3) Rs 100-199",IF(F2701&lt;500,"4) Rs 200-499","5) Rs 500+"))))</f>
        <v>2) Rs 50-99</v>
      </c>
      <c r="O2701" s="0" t="n">
        <f aca="false">G2701*E2701/1000</f>
        <v>3.6</v>
      </c>
    </row>
    <row r="2702" customFormat="false" ht="15" hidden="false" customHeight="false" outlineLevel="0" collapsed="false">
      <c r="A2702" s="0" t="s">
        <v>82</v>
      </c>
      <c r="B2702" s="0" t="s">
        <v>1165</v>
      </c>
      <c r="C2702" s="0" t="n">
        <v>60</v>
      </c>
      <c r="D2702" s="0" t="n">
        <v>0</v>
      </c>
      <c r="E2702" s="0" t="n">
        <v>1</v>
      </c>
      <c r="F2702" s="0" t="n">
        <v>60</v>
      </c>
      <c r="G2702" s="0" t="n">
        <v>120</v>
      </c>
      <c r="H2702" s="0" t="s">
        <v>145</v>
      </c>
      <c r="I2702" s="0" t="n">
        <v>120</v>
      </c>
      <c r="J2702" s="0" t="n">
        <f aca="false">F2702*E2702</f>
        <v>60</v>
      </c>
      <c r="K2702" s="0" t="str">
        <f aca="false">IF(G2702&lt;1000,"1-Low",IF(G2702&lt;5000,"2-Medium","3-Bulk"))</f>
        <v>1-Low</v>
      </c>
      <c r="L2702" s="0" t="str">
        <f aca="false">IF(H2702="TRUE","Out of stock","In stock")</f>
        <v>In stock</v>
      </c>
      <c r="M2702" s="0" t="str">
        <f aca="false">IF(D2702&lt;5,"1) Under 5%",IF(D2702&lt;10,"2) 5-9%",IF(D2702&lt;15,"3) 10-14%",IF(D2702&lt;25,"4) 15-24%","5) 25%+"))))</f>
        <v>1) Under 5%</v>
      </c>
      <c r="N2702" s="0" t="str">
        <f aca="false">IF(F2702&lt;50,"1) Under Rs 50",IF(F2702&lt;100,"2) Rs 50-99",IF(F2702&lt;200,"3) Rs 100-199",IF(F2702&lt;500,"4) Rs 200-499","5) Rs 500+"))))</f>
        <v>2) Rs 50-99</v>
      </c>
      <c r="O2702" s="0" t="n">
        <f aca="false">G2702*E2702/1000</f>
        <v>0.12</v>
      </c>
    </row>
    <row r="2703" customFormat="false" ht="15" hidden="false" customHeight="false" outlineLevel="0" collapsed="false">
      <c r="A2703" s="0" t="s">
        <v>82</v>
      </c>
      <c r="B2703" s="0" t="s">
        <v>1210</v>
      </c>
      <c r="C2703" s="0" t="n">
        <v>60</v>
      </c>
      <c r="D2703" s="0" t="n">
        <v>6</v>
      </c>
      <c r="E2703" s="0" t="n">
        <v>6</v>
      </c>
      <c r="F2703" s="0" t="n">
        <v>56</v>
      </c>
      <c r="G2703" s="0" t="n">
        <v>100</v>
      </c>
      <c r="H2703" s="0" t="s">
        <v>145</v>
      </c>
      <c r="I2703" s="0" t="n">
        <v>100</v>
      </c>
      <c r="J2703" s="0" t="n">
        <f aca="false">F2703*E2703</f>
        <v>336</v>
      </c>
      <c r="K2703" s="0" t="str">
        <f aca="false">IF(G2703&lt;1000,"1-Low",IF(G2703&lt;5000,"2-Medium","3-Bulk"))</f>
        <v>1-Low</v>
      </c>
      <c r="L2703" s="0" t="str">
        <f aca="false">IF(H2703="TRUE","Out of stock","In stock")</f>
        <v>In stock</v>
      </c>
      <c r="M2703" s="0" t="str">
        <f aca="false">IF(D2703&lt;5,"1) Under 5%",IF(D2703&lt;10,"2) 5-9%",IF(D2703&lt;15,"3) 10-14%",IF(D2703&lt;25,"4) 15-24%","5) 25%+"))))</f>
        <v>2) 5-9%</v>
      </c>
      <c r="N2703" s="0" t="str">
        <f aca="false">IF(F2703&lt;50,"1) Under Rs 50",IF(F2703&lt;100,"2) Rs 50-99",IF(F2703&lt;200,"3) Rs 100-199",IF(F2703&lt;500,"4) Rs 200-499","5) Rs 500+"))))</f>
        <v>2) Rs 50-99</v>
      </c>
      <c r="O2703" s="0" t="n">
        <f aca="false">G2703*E2703/1000</f>
        <v>0.6</v>
      </c>
    </row>
    <row r="2704" customFormat="false" ht="15" hidden="false" customHeight="false" outlineLevel="0" collapsed="false">
      <c r="A2704" s="0" t="s">
        <v>82</v>
      </c>
      <c r="B2704" s="0" t="s">
        <v>1211</v>
      </c>
      <c r="C2704" s="0" t="n">
        <v>30</v>
      </c>
      <c r="D2704" s="0" t="n">
        <v>3</v>
      </c>
      <c r="E2704" s="0" t="n">
        <v>6</v>
      </c>
      <c r="F2704" s="0" t="n">
        <v>29</v>
      </c>
      <c r="G2704" s="0" t="n">
        <v>120</v>
      </c>
      <c r="H2704" s="0" t="s">
        <v>145</v>
      </c>
      <c r="I2704" s="0" t="n">
        <v>120</v>
      </c>
      <c r="J2704" s="0" t="n">
        <f aca="false">F2704*E2704</f>
        <v>174</v>
      </c>
      <c r="K2704" s="0" t="str">
        <f aca="false">IF(G2704&lt;1000,"1-Low",IF(G2704&lt;5000,"2-Medium","3-Bulk"))</f>
        <v>1-Low</v>
      </c>
      <c r="L2704" s="0" t="str">
        <f aca="false">IF(H2704="TRUE","Out of stock","In stock")</f>
        <v>In stock</v>
      </c>
      <c r="M2704" s="0" t="str">
        <f aca="false">IF(D2704&lt;5,"1) Under 5%",IF(D2704&lt;10,"2) 5-9%",IF(D2704&lt;15,"3) 10-14%",IF(D2704&lt;25,"4) 15-24%","5) 25%+"))))</f>
        <v>1) Under 5%</v>
      </c>
      <c r="N2704" s="0" t="str">
        <f aca="false">IF(F2704&lt;50,"1) Under Rs 50",IF(F2704&lt;100,"2) Rs 50-99",IF(F2704&lt;200,"3) Rs 100-199",IF(F2704&lt;500,"4) Rs 200-499","5) Rs 500+"))))</f>
        <v>1) Under Rs 50</v>
      </c>
      <c r="O2704" s="0" t="n">
        <f aca="false">G2704*E2704/1000</f>
        <v>0.72</v>
      </c>
    </row>
    <row r="2705" customFormat="false" ht="15" hidden="false" customHeight="false" outlineLevel="0" collapsed="false">
      <c r="A2705" s="0" t="s">
        <v>82</v>
      </c>
      <c r="B2705" s="0" t="s">
        <v>1212</v>
      </c>
      <c r="C2705" s="0" t="n">
        <v>70</v>
      </c>
      <c r="D2705" s="0" t="n">
        <v>11</v>
      </c>
      <c r="E2705" s="0" t="n">
        <v>6</v>
      </c>
      <c r="F2705" s="0" t="n">
        <v>62</v>
      </c>
      <c r="G2705" s="0" t="n">
        <v>250</v>
      </c>
      <c r="H2705" s="0" t="s">
        <v>145</v>
      </c>
      <c r="I2705" s="0" t="n">
        <v>250</v>
      </c>
      <c r="J2705" s="0" t="n">
        <f aca="false">F2705*E2705</f>
        <v>372</v>
      </c>
      <c r="K2705" s="0" t="str">
        <f aca="false">IF(G2705&lt;1000,"1-Low",IF(G2705&lt;5000,"2-Medium","3-Bulk"))</f>
        <v>1-Low</v>
      </c>
      <c r="L2705" s="0" t="str">
        <f aca="false">IF(H2705="TRUE","Out of stock","In stock")</f>
        <v>In stock</v>
      </c>
      <c r="M2705" s="0" t="str">
        <f aca="false">IF(D2705&lt;5,"1) Under 5%",IF(D2705&lt;10,"2) 5-9%",IF(D2705&lt;15,"3) 10-14%",IF(D2705&lt;25,"4) 15-24%","5) 25%+"))))</f>
        <v>3) 10-14%</v>
      </c>
      <c r="N2705" s="0" t="str">
        <f aca="false">IF(F2705&lt;50,"1) Under Rs 50",IF(F2705&lt;100,"2) Rs 50-99",IF(F2705&lt;200,"3) Rs 100-199",IF(F2705&lt;500,"4) Rs 200-499","5) Rs 500+"))))</f>
        <v>2) Rs 50-99</v>
      </c>
      <c r="O2705" s="0" t="n">
        <f aca="false">G2705*E2705/1000</f>
        <v>1.5</v>
      </c>
    </row>
    <row r="2706" customFormat="false" ht="15" hidden="false" customHeight="false" outlineLevel="0" collapsed="false">
      <c r="A2706" s="0" t="s">
        <v>82</v>
      </c>
      <c r="B2706" s="0" t="s">
        <v>1213</v>
      </c>
      <c r="C2706" s="0" t="n">
        <v>35</v>
      </c>
      <c r="D2706" s="0" t="n">
        <v>2</v>
      </c>
      <c r="E2706" s="0" t="n">
        <v>6</v>
      </c>
      <c r="F2706" s="0" t="n">
        <v>34</v>
      </c>
      <c r="G2706" s="0" t="n">
        <v>100</v>
      </c>
      <c r="H2706" s="0" t="s">
        <v>145</v>
      </c>
      <c r="I2706" s="0" t="n">
        <v>100</v>
      </c>
      <c r="J2706" s="0" t="n">
        <f aca="false">F2706*E2706</f>
        <v>204</v>
      </c>
      <c r="K2706" s="0" t="str">
        <f aca="false">IF(G2706&lt;1000,"1-Low",IF(G2706&lt;5000,"2-Medium","3-Bulk"))</f>
        <v>1-Low</v>
      </c>
      <c r="L2706" s="0" t="str">
        <f aca="false">IF(H2706="TRUE","Out of stock","In stock")</f>
        <v>In stock</v>
      </c>
      <c r="M2706" s="0" t="str">
        <f aca="false">IF(D2706&lt;5,"1) Under 5%",IF(D2706&lt;10,"2) 5-9%",IF(D2706&lt;15,"3) 10-14%",IF(D2706&lt;25,"4) 15-24%","5) 25%+"))))</f>
        <v>1) Under 5%</v>
      </c>
      <c r="N2706" s="0" t="str">
        <f aca="false">IF(F2706&lt;50,"1) Under Rs 50",IF(F2706&lt;100,"2) Rs 50-99",IF(F2706&lt;200,"3) Rs 100-199",IF(F2706&lt;500,"4) Rs 200-499","5) Rs 500+"))))</f>
        <v>1) Under Rs 50</v>
      </c>
      <c r="O2706" s="0" t="n">
        <f aca="false">G2706*E2706/1000</f>
        <v>0.6</v>
      </c>
    </row>
    <row r="2707" customFormat="false" ht="15" hidden="false" customHeight="false" outlineLevel="0" collapsed="false">
      <c r="A2707" s="0" t="s">
        <v>82</v>
      </c>
      <c r="B2707" s="0" t="s">
        <v>1214</v>
      </c>
      <c r="C2707" s="0" t="n">
        <v>130</v>
      </c>
      <c r="D2707" s="0" t="n">
        <v>10</v>
      </c>
      <c r="E2707" s="0" t="n">
        <v>3</v>
      </c>
      <c r="F2707" s="0" t="n">
        <v>116</v>
      </c>
      <c r="G2707" s="0" t="n">
        <v>100</v>
      </c>
      <c r="H2707" s="0" t="s">
        <v>145</v>
      </c>
      <c r="I2707" s="0" t="n">
        <v>150</v>
      </c>
      <c r="J2707" s="0" t="n">
        <f aca="false">F2707*E2707</f>
        <v>348</v>
      </c>
      <c r="K2707" s="0" t="str">
        <f aca="false">IF(G2707&lt;1000,"1-Low",IF(G2707&lt;5000,"2-Medium","3-Bulk"))</f>
        <v>1-Low</v>
      </c>
      <c r="L2707" s="0" t="str">
        <f aca="false">IF(H2707="TRUE","Out of stock","In stock")</f>
        <v>In stock</v>
      </c>
      <c r="M2707" s="0" t="str">
        <f aca="false">IF(D2707&lt;5,"1) Under 5%",IF(D2707&lt;10,"2) 5-9%",IF(D2707&lt;15,"3) 10-14%",IF(D2707&lt;25,"4) 15-24%","5) 25%+"))))</f>
        <v>3) 10-14%</v>
      </c>
      <c r="N2707" s="0" t="str">
        <f aca="false">IF(F2707&lt;50,"1) Under Rs 50",IF(F2707&lt;100,"2) Rs 50-99",IF(F2707&lt;200,"3) Rs 100-199",IF(F2707&lt;500,"4) Rs 200-499","5) Rs 500+"))))</f>
        <v>3) Rs 100-199</v>
      </c>
      <c r="O2707" s="0" t="n">
        <f aca="false">G2707*E2707/1000</f>
        <v>0.3</v>
      </c>
    </row>
    <row r="2708" customFormat="false" ht="15" hidden="false" customHeight="false" outlineLevel="0" collapsed="false">
      <c r="A2708" s="0" t="s">
        <v>82</v>
      </c>
      <c r="B2708" s="0" t="s">
        <v>1215</v>
      </c>
      <c r="C2708" s="0" t="n">
        <v>70</v>
      </c>
      <c r="D2708" s="0" t="n">
        <v>10</v>
      </c>
      <c r="E2708" s="0" t="n">
        <v>6</v>
      </c>
      <c r="F2708" s="0" t="n">
        <v>63</v>
      </c>
      <c r="G2708" s="0" t="n">
        <v>150</v>
      </c>
      <c r="H2708" s="0" t="s">
        <v>145</v>
      </c>
      <c r="I2708" s="0" t="n">
        <v>150</v>
      </c>
      <c r="J2708" s="0" t="n">
        <f aca="false">F2708*E2708</f>
        <v>378</v>
      </c>
      <c r="K2708" s="0" t="str">
        <f aca="false">IF(G2708&lt;1000,"1-Low",IF(G2708&lt;5000,"2-Medium","3-Bulk"))</f>
        <v>1-Low</v>
      </c>
      <c r="L2708" s="0" t="str">
        <f aca="false">IF(H2708="TRUE","Out of stock","In stock")</f>
        <v>In stock</v>
      </c>
      <c r="M2708" s="0" t="str">
        <f aca="false">IF(D2708&lt;5,"1) Under 5%",IF(D2708&lt;10,"2) 5-9%",IF(D2708&lt;15,"3) 10-14%",IF(D2708&lt;25,"4) 15-24%","5) 25%+"))))</f>
        <v>3) 10-14%</v>
      </c>
      <c r="N2708" s="0" t="str">
        <f aca="false">IF(F2708&lt;50,"1) Under Rs 50",IF(F2708&lt;100,"2) Rs 50-99",IF(F2708&lt;200,"3) Rs 100-199",IF(F2708&lt;500,"4) Rs 200-499","5) Rs 500+"))))</f>
        <v>2) Rs 50-99</v>
      </c>
      <c r="O2708" s="0" t="n">
        <f aca="false">G2708*E2708/1000</f>
        <v>0.9</v>
      </c>
    </row>
    <row r="2709" customFormat="false" ht="15" hidden="false" customHeight="false" outlineLevel="0" collapsed="false">
      <c r="A2709" s="0" t="s">
        <v>82</v>
      </c>
      <c r="B2709" s="0" t="s">
        <v>1216</v>
      </c>
      <c r="C2709" s="0" t="n">
        <v>60</v>
      </c>
      <c r="D2709" s="0" t="n">
        <v>0</v>
      </c>
      <c r="E2709" s="0" t="n">
        <v>2</v>
      </c>
      <c r="F2709" s="0" t="n">
        <v>60</v>
      </c>
      <c r="G2709" s="0" t="n">
        <v>250</v>
      </c>
      <c r="H2709" s="0" t="s">
        <v>145</v>
      </c>
      <c r="I2709" s="0" t="n">
        <v>250</v>
      </c>
      <c r="J2709" s="0" t="n">
        <f aca="false">F2709*E2709</f>
        <v>120</v>
      </c>
      <c r="K2709" s="0" t="str">
        <f aca="false">IF(G2709&lt;1000,"1-Low",IF(G2709&lt;5000,"2-Medium","3-Bulk"))</f>
        <v>1-Low</v>
      </c>
      <c r="L2709" s="0" t="str">
        <f aca="false">IF(H2709="TRUE","Out of stock","In stock")</f>
        <v>In stock</v>
      </c>
      <c r="M2709" s="0" t="str">
        <f aca="false">IF(D2709&lt;5,"1) Under 5%",IF(D2709&lt;10,"2) 5-9%",IF(D2709&lt;15,"3) 10-14%",IF(D2709&lt;25,"4) 15-24%","5) 25%+"))))</f>
        <v>1) Under 5%</v>
      </c>
      <c r="N2709" s="0" t="str">
        <f aca="false">IF(F2709&lt;50,"1) Under Rs 50",IF(F2709&lt;100,"2) Rs 50-99",IF(F2709&lt;200,"3) Rs 100-199",IF(F2709&lt;500,"4) Rs 200-499","5) Rs 500+"))))</f>
        <v>2) Rs 50-99</v>
      </c>
      <c r="O2709" s="0" t="n">
        <f aca="false">G2709*E2709/1000</f>
        <v>0.5</v>
      </c>
    </row>
    <row r="2710" customFormat="false" ht="15" hidden="false" customHeight="false" outlineLevel="0" collapsed="false">
      <c r="A2710" s="0" t="s">
        <v>82</v>
      </c>
      <c r="B2710" s="0" t="s">
        <v>1217</v>
      </c>
      <c r="C2710" s="0" t="n">
        <v>50</v>
      </c>
      <c r="D2710" s="0" t="n">
        <v>0</v>
      </c>
      <c r="E2710" s="0" t="n">
        <v>6</v>
      </c>
      <c r="F2710" s="0" t="n">
        <v>50</v>
      </c>
      <c r="G2710" s="0" t="n">
        <v>150</v>
      </c>
      <c r="H2710" s="0" t="s">
        <v>145</v>
      </c>
      <c r="I2710" s="0" t="n">
        <v>150</v>
      </c>
      <c r="J2710" s="0" t="n">
        <f aca="false">F2710*E2710</f>
        <v>300</v>
      </c>
      <c r="K2710" s="0" t="str">
        <f aca="false">IF(G2710&lt;1000,"1-Low",IF(G2710&lt;5000,"2-Medium","3-Bulk"))</f>
        <v>1-Low</v>
      </c>
      <c r="L2710" s="0" t="str">
        <f aca="false">IF(H2710="TRUE","Out of stock","In stock")</f>
        <v>In stock</v>
      </c>
      <c r="M2710" s="0" t="str">
        <f aca="false">IF(D2710&lt;5,"1) Under 5%",IF(D2710&lt;10,"2) 5-9%",IF(D2710&lt;15,"3) 10-14%",IF(D2710&lt;25,"4) 15-24%","5) 25%+"))))</f>
        <v>1) Under 5%</v>
      </c>
      <c r="N2710" s="0" t="str">
        <f aca="false">IF(F2710&lt;50,"1) Under Rs 50",IF(F2710&lt;100,"2) Rs 50-99",IF(F2710&lt;200,"3) Rs 100-199",IF(F2710&lt;500,"4) Rs 200-499","5) Rs 500+"))))</f>
        <v>2) Rs 50-99</v>
      </c>
      <c r="O2710" s="0" t="n">
        <f aca="false">G2710*E2710/1000</f>
        <v>0.9</v>
      </c>
    </row>
    <row r="2711" customFormat="false" ht="15" hidden="false" customHeight="false" outlineLevel="0" collapsed="false">
      <c r="A2711" s="0" t="s">
        <v>82</v>
      </c>
      <c r="B2711" s="0" t="s">
        <v>1218</v>
      </c>
      <c r="C2711" s="0" t="n">
        <v>350</v>
      </c>
      <c r="D2711" s="0" t="n">
        <v>0</v>
      </c>
      <c r="E2711" s="0" t="n">
        <v>1</v>
      </c>
      <c r="F2711" s="0" t="n">
        <v>350</v>
      </c>
      <c r="G2711" s="0" t="n">
        <v>400</v>
      </c>
      <c r="H2711" s="0" t="s">
        <v>145</v>
      </c>
      <c r="I2711" s="0" t="n">
        <v>400</v>
      </c>
      <c r="J2711" s="0" t="n">
        <f aca="false">F2711*E2711</f>
        <v>350</v>
      </c>
      <c r="K2711" s="0" t="str">
        <f aca="false">IF(G2711&lt;1000,"1-Low",IF(G2711&lt;5000,"2-Medium","3-Bulk"))</f>
        <v>1-Low</v>
      </c>
      <c r="L2711" s="0" t="str">
        <f aca="false">IF(H2711="TRUE","Out of stock","In stock")</f>
        <v>In stock</v>
      </c>
      <c r="M2711" s="0" t="str">
        <f aca="false">IF(D2711&lt;5,"1) Under 5%",IF(D2711&lt;10,"2) 5-9%",IF(D2711&lt;15,"3) 10-14%",IF(D2711&lt;25,"4) 15-24%","5) 25%+"))))</f>
        <v>1) Under 5%</v>
      </c>
      <c r="N2711" s="0" t="str">
        <f aca="false">IF(F2711&lt;50,"1) Under Rs 50",IF(F2711&lt;100,"2) Rs 50-99",IF(F2711&lt;200,"3) Rs 100-199",IF(F2711&lt;500,"4) Rs 200-499","5) Rs 500+"))))</f>
        <v>4) Rs 200-499</v>
      </c>
      <c r="O2711" s="0" t="n">
        <f aca="false">G2711*E2711/1000</f>
        <v>0.4</v>
      </c>
    </row>
    <row r="2712" customFormat="false" ht="15" hidden="false" customHeight="false" outlineLevel="0" collapsed="false">
      <c r="A2712" s="0" t="s">
        <v>82</v>
      </c>
      <c r="B2712" s="0" t="s">
        <v>1219</v>
      </c>
      <c r="C2712" s="0" t="n">
        <v>130</v>
      </c>
      <c r="D2712" s="0" t="n">
        <v>10</v>
      </c>
      <c r="E2712" s="0" t="n">
        <v>4</v>
      </c>
      <c r="F2712" s="0" t="n">
        <v>116</v>
      </c>
      <c r="G2712" s="0" t="n">
        <v>100</v>
      </c>
      <c r="H2712" s="0" t="s">
        <v>145</v>
      </c>
      <c r="I2712" s="0" t="n">
        <v>150</v>
      </c>
      <c r="J2712" s="0" t="n">
        <f aca="false">F2712*E2712</f>
        <v>464</v>
      </c>
      <c r="K2712" s="0" t="str">
        <f aca="false">IF(G2712&lt;1000,"1-Low",IF(G2712&lt;5000,"2-Medium","3-Bulk"))</f>
        <v>1-Low</v>
      </c>
      <c r="L2712" s="0" t="str">
        <f aca="false">IF(H2712="TRUE","Out of stock","In stock")</f>
        <v>In stock</v>
      </c>
      <c r="M2712" s="0" t="str">
        <f aca="false">IF(D2712&lt;5,"1) Under 5%",IF(D2712&lt;10,"2) 5-9%",IF(D2712&lt;15,"3) 10-14%",IF(D2712&lt;25,"4) 15-24%","5) 25%+"))))</f>
        <v>3) 10-14%</v>
      </c>
      <c r="N2712" s="0" t="str">
        <f aca="false">IF(F2712&lt;50,"1) Under Rs 50",IF(F2712&lt;100,"2) Rs 50-99",IF(F2712&lt;200,"3) Rs 100-199",IF(F2712&lt;500,"4) Rs 200-499","5) Rs 500+"))))</f>
        <v>3) Rs 100-199</v>
      </c>
      <c r="O2712" s="0" t="n">
        <f aca="false">G2712*E2712/1000</f>
        <v>0.4</v>
      </c>
    </row>
    <row r="2713" customFormat="false" ht="15" hidden="false" customHeight="false" outlineLevel="0" collapsed="false">
      <c r="A2713" s="0" t="s">
        <v>82</v>
      </c>
      <c r="B2713" s="0" t="s">
        <v>1220</v>
      </c>
      <c r="C2713" s="0" t="n">
        <v>10</v>
      </c>
      <c r="D2713" s="0" t="n">
        <v>0</v>
      </c>
      <c r="E2713" s="0" t="n">
        <v>0</v>
      </c>
      <c r="F2713" s="0" t="n">
        <v>10</v>
      </c>
      <c r="G2713" s="0" t="n">
        <v>75</v>
      </c>
      <c r="H2713" s="0" t="s">
        <v>230</v>
      </c>
      <c r="I2713" s="0" t="n">
        <v>75</v>
      </c>
      <c r="J2713" s="0" t="n">
        <f aca="false">F2713*E2713</f>
        <v>0</v>
      </c>
      <c r="K2713" s="0" t="str">
        <f aca="false">IF(G2713&lt;1000,"1-Low",IF(G2713&lt;5000,"2-Medium","3-Bulk"))</f>
        <v>1-Low</v>
      </c>
      <c r="L2713" s="0" t="str">
        <f aca="false">IF(H2713="TRUE","Out of stock","In stock")</f>
        <v>Out of stock</v>
      </c>
      <c r="M2713" s="0" t="str">
        <f aca="false">IF(D2713&lt;5,"1) Under 5%",IF(D2713&lt;10,"2) 5-9%",IF(D2713&lt;15,"3) 10-14%",IF(D2713&lt;25,"4) 15-24%","5) 25%+"))))</f>
        <v>1) Under 5%</v>
      </c>
      <c r="N2713" s="0" t="str">
        <f aca="false">IF(F2713&lt;50,"1) Under Rs 50",IF(F2713&lt;100,"2) Rs 50-99",IF(F2713&lt;200,"3) Rs 100-199",IF(F2713&lt;500,"4) Rs 200-499","5) Rs 500+"))))</f>
        <v>1) Under Rs 50</v>
      </c>
      <c r="O2713" s="0" t="n">
        <f aca="false">G2713*E2713/1000</f>
        <v>0</v>
      </c>
    </row>
    <row r="2714" customFormat="false" ht="15" hidden="false" customHeight="false" outlineLevel="0" collapsed="false">
      <c r="A2714" s="0" t="s">
        <v>82</v>
      </c>
      <c r="B2714" s="0" t="s">
        <v>1221</v>
      </c>
      <c r="C2714" s="0" t="n">
        <v>30</v>
      </c>
      <c r="D2714" s="0" t="n">
        <v>0</v>
      </c>
      <c r="E2714" s="0" t="n">
        <v>0</v>
      </c>
      <c r="F2714" s="0" t="n">
        <v>30</v>
      </c>
      <c r="G2714" s="0" t="n">
        <v>250</v>
      </c>
      <c r="H2714" s="0" t="s">
        <v>230</v>
      </c>
      <c r="I2714" s="0" t="n">
        <v>250</v>
      </c>
      <c r="J2714" s="0" t="n">
        <f aca="false">F2714*E2714</f>
        <v>0</v>
      </c>
      <c r="K2714" s="0" t="str">
        <f aca="false">IF(G2714&lt;1000,"1-Low",IF(G2714&lt;5000,"2-Medium","3-Bulk"))</f>
        <v>1-Low</v>
      </c>
      <c r="L2714" s="0" t="str">
        <f aca="false">IF(H2714="TRUE","Out of stock","In stock")</f>
        <v>Out of stock</v>
      </c>
      <c r="M2714" s="0" t="str">
        <f aca="false">IF(D2714&lt;5,"1) Under 5%",IF(D2714&lt;10,"2) 5-9%",IF(D2714&lt;15,"3) 10-14%",IF(D2714&lt;25,"4) 15-24%","5) 25%+"))))</f>
        <v>1) Under 5%</v>
      </c>
      <c r="N2714" s="0" t="str">
        <f aca="false">IF(F2714&lt;50,"1) Under Rs 50",IF(F2714&lt;100,"2) Rs 50-99",IF(F2714&lt;200,"3) Rs 100-199",IF(F2714&lt;500,"4) Rs 200-499","5) Rs 500+"))))</f>
        <v>1) Under Rs 50</v>
      </c>
      <c r="O2714" s="0" t="n">
        <f aca="false">G2714*E2714/1000</f>
        <v>0</v>
      </c>
    </row>
    <row r="2715" customFormat="false" ht="15" hidden="false" customHeight="false" outlineLevel="0" collapsed="false">
      <c r="A2715" s="0" t="s">
        <v>82</v>
      </c>
      <c r="B2715" s="0" t="s">
        <v>1122</v>
      </c>
      <c r="C2715" s="0" t="n">
        <v>20</v>
      </c>
      <c r="D2715" s="0" t="n">
        <v>0</v>
      </c>
      <c r="E2715" s="0" t="n">
        <v>0</v>
      </c>
      <c r="F2715" s="0" t="n">
        <v>20</v>
      </c>
      <c r="G2715" s="0" t="n">
        <v>100</v>
      </c>
      <c r="H2715" s="0" t="s">
        <v>230</v>
      </c>
      <c r="I2715" s="0" t="n">
        <v>100</v>
      </c>
      <c r="J2715" s="0" t="n">
        <f aca="false">F2715*E2715</f>
        <v>0</v>
      </c>
      <c r="K2715" s="0" t="str">
        <f aca="false">IF(G2715&lt;1000,"1-Low",IF(G2715&lt;5000,"2-Medium","3-Bulk"))</f>
        <v>1-Low</v>
      </c>
      <c r="L2715" s="0" t="str">
        <f aca="false">IF(H2715="TRUE","Out of stock","In stock")</f>
        <v>Out of stock</v>
      </c>
      <c r="M2715" s="0" t="str">
        <f aca="false">IF(D2715&lt;5,"1) Under 5%",IF(D2715&lt;10,"2) 5-9%",IF(D2715&lt;15,"3) 10-14%",IF(D2715&lt;25,"4) 15-24%","5) 25%+"))))</f>
        <v>1) Under 5%</v>
      </c>
      <c r="N2715" s="0" t="str">
        <f aca="false">IF(F2715&lt;50,"1) Under Rs 50",IF(F2715&lt;100,"2) Rs 50-99",IF(F2715&lt;200,"3) Rs 100-199",IF(F2715&lt;500,"4) Rs 200-499","5) Rs 500+"))))</f>
        <v>1) Under Rs 50</v>
      </c>
      <c r="O2715" s="0" t="n">
        <f aca="false">G2715*E2715/1000</f>
        <v>0</v>
      </c>
    </row>
    <row r="2716" customFormat="false" ht="15" hidden="false" customHeight="false" outlineLevel="0" collapsed="false">
      <c r="A2716" s="0" t="s">
        <v>82</v>
      </c>
      <c r="B2716" s="0" t="s">
        <v>1222</v>
      </c>
      <c r="C2716" s="0" t="n">
        <v>35</v>
      </c>
      <c r="D2716" s="0" t="n">
        <v>8</v>
      </c>
      <c r="E2716" s="0" t="n">
        <v>0</v>
      </c>
      <c r="F2716" s="0" t="n">
        <v>32</v>
      </c>
      <c r="G2716" s="0" t="n">
        <v>75</v>
      </c>
      <c r="H2716" s="0" t="s">
        <v>230</v>
      </c>
      <c r="I2716" s="0" t="n">
        <v>75</v>
      </c>
      <c r="J2716" s="0" t="n">
        <f aca="false">F2716*E2716</f>
        <v>0</v>
      </c>
      <c r="K2716" s="0" t="str">
        <f aca="false">IF(G2716&lt;1000,"1-Low",IF(G2716&lt;5000,"2-Medium","3-Bulk"))</f>
        <v>1-Low</v>
      </c>
      <c r="L2716" s="0" t="str">
        <f aca="false">IF(H2716="TRUE","Out of stock","In stock")</f>
        <v>Out of stock</v>
      </c>
      <c r="M2716" s="0" t="str">
        <f aca="false">IF(D2716&lt;5,"1) Under 5%",IF(D2716&lt;10,"2) 5-9%",IF(D2716&lt;15,"3) 10-14%",IF(D2716&lt;25,"4) 15-24%","5) 25%+"))))</f>
        <v>2) 5-9%</v>
      </c>
      <c r="N2716" s="0" t="str">
        <f aca="false">IF(F2716&lt;50,"1) Under Rs 50",IF(F2716&lt;100,"2) Rs 50-99",IF(F2716&lt;200,"3) Rs 100-199",IF(F2716&lt;500,"4) Rs 200-499","5) Rs 500+"))))</f>
        <v>1) Under Rs 50</v>
      </c>
      <c r="O2716" s="0" t="n">
        <f aca="false">G2716*E2716/1000</f>
        <v>0</v>
      </c>
    </row>
    <row r="2717" customFormat="false" ht="15" hidden="false" customHeight="false" outlineLevel="0" collapsed="false">
      <c r="A2717" s="0" t="s">
        <v>82</v>
      </c>
      <c r="B2717" s="0" t="s">
        <v>1223</v>
      </c>
      <c r="C2717" s="0" t="n">
        <v>25</v>
      </c>
      <c r="D2717" s="0" t="n">
        <v>0</v>
      </c>
      <c r="E2717" s="0" t="n">
        <v>0</v>
      </c>
      <c r="F2717" s="0" t="n">
        <v>25</v>
      </c>
      <c r="G2717" s="0" t="n">
        <v>100</v>
      </c>
      <c r="H2717" s="0" t="s">
        <v>230</v>
      </c>
      <c r="I2717" s="0" t="n">
        <v>100</v>
      </c>
      <c r="J2717" s="0" t="n">
        <f aca="false">F2717*E2717</f>
        <v>0</v>
      </c>
      <c r="K2717" s="0" t="str">
        <f aca="false">IF(G2717&lt;1000,"1-Low",IF(G2717&lt;5000,"2-Medium","3-Bulk"))</f>
        <v>1-Low</v>
      </c>
      <c r="L2717" s="0" t="str">
        <f aca="false">IF(H2717="TRUE","Out of stock","In stock")</f>
        <v>Out of stock</v>
      </c>
      <c r="M2717" s="0" t="str">
        <f aca="false">IF(D2717&lt;5,"1) Under 5%",IF(D2717&lt;10,"2) 5-9%",IF(D2717&lt;15,"3) 10-14%",IF(D2717&lt;25,"4) 15-24%","5) 25%+"))))</f>
        <v>1) Under 5%</v>
      </c>
      <c r="N2717" s="0" t="str">
        <f aca="false">IF(F2717&lt;50,"1) Under Rs 50",IF(F2717&lt;100,"2) Rs 50-99",IF(F2717&lt;200,"3) Rs 100-199",IF(F2717&lt;500,"4) Rs 200-499","5) Rs 500+"))))</f>
        <v>1) Under Rs 50</v>
      </c>
      <c r="O2717" s="0" t="n">
        <f aca="false">G2717*E2717/1000</f>
        <v>0</v>
      </c>
    </row>
    <row r="2718" customFormat="false" ht="15" hidden="false" customHeight="false" outlineLevel="0" collapsed="false">
      <c r="A2718" s="0" t="s">
        <v>82</v>
      </c>
      <c r="B2718" s="0" t="s">
        <v>1224</v>
      </c>
      <c r="C2718" s="0" t="n">
        <v>25</v>
      </c>
      <c r="D2718" s="0" t="n">
        <v>0</v>
      </c>
      <c r="E2718" s="0" t="n">
        <v>0</v>
      </c>
      <c r="F2718" s="0" t="n">
        <v>25</v>
      </c>
      <c r="G2718" s="0" t="n">
        <v>75</v>
      </c>
      <c r="H2718" s="0" t="s">
        <v>230</v>
      </c>
      <c r="I2718" s="0" t="n">
        <v>75</v>
      </c>
      <c r="J2718" s="0" t="n">
        <f aca="false">F2718*E2718</f>
        <v>0</v>
      </c>
      <c r="K2718" s="0" t="str">
        <f aca="false">IF(G2718&lt;1000,"1-Low",IF(G2718&lt;5000,"2-Medium","3-Bulk"))</f>
        <v>1-Low</v>
      </c>
      <c r="L2718" s="0" t="str">
        <f aca="false">IF(H2718="TRUE","Out of stock","In stock")</f>
        <v>Out of stock</v>
      </c>
      <c r="M2718" s="0" t="str">
        <f aca="false">IF(D2718&lt;5,"1) Under 5%",IF(D2718&lt;10,"2) 5-9%",IF(D2718&lt;15,"3) 10-14%",IF(D2718&lt;25,"4) 15-24%","5) 25%+"))))</f>
        <v>1) Under 5%</v>
      </c>
      <c r="N2718" s="0" t="str">
        <f aca="false">IF(F2718&lt;50,"1) Under Rs 50",IF(F2718&lt;100,"2) Rs 50-99",IF(F2718&lt;200,"3) Rs 100-199",IF(F2718&lt;500,"4) Rs 200-499","5) Rs 500+"))))</f>
        <v>1) Under Rs 50</v>
      </c>
      <c r="O2718" s="0" t="n">
        <f aca="false">G2718*E2718/1000</f>
        <v>0</v>
      </c>
    </row>
    <row r="2719" customFormat="false" ht="15" hidden="false" customHeight="false" outlineLevel="0" collapsed="false">
      <c r="A2719" s="0" t="s">
        <v>82</v>
      </c>
      <c r="B2719" s="0" t="s">
        <v>1163</v>
      </c>
      <c r="C2719" s="0" t="n">
        <v>40</v>
      </c>
      <c r="D2719" s="0" t="n">
        <v>5</v>
      </c>
      <c r="E2719" s="0" t="n">
        <v>0</v>
      </c>
      <c r="F2719" s="0" t="n">
        <v>38</v>
      </c>
      <c r="G2719" s="0" t="n">
        <v>200</v>
      </c>
      <c r="H2719" s="0" t="s">
        <v>230</v>
      </c>
      <c r="I2719" s="0" t="n">
        <v>200</v>
      </c>
      <c r="J2719" s="0" t="n">
        <f aca="false">F2719*E2719</f>
        <v>0</v>
      </c>
      <c r="K2719" s="0" t="str">
        <f aca="false">IF(G2719&lt;1000,"1-Low",IF(G2719&lt;5000,"2-Medium","3-Bulk"))</f>
        <v>1-Low</v>
      </c>
      <c r="L2719" s="0" t="str">
        <f aca="false">IF(H2719="TRUE","Out of stock","In stock")</f>
        <v>Out of stock</v>
      </c>
      <c r="M2719" s="0" t="str">
        <f aca="false">IF(D2719&lt;5,"1) Under 5%",IF(D2719&lt;10,"2) 5-9%",IF(D2719&lt;15,"3) 10-14%",IF(D2719&lt;25,"4) 15-24%","5) 25%+"))))</f>
        <v>2) 5-9%</v>
      </c>
      <c r="N2719" s="0" t="str">
        <f aca="false">IF(F2719&lt;50,"1) Under Rs 50",IF(F2719&lt;100,"2) Rs 50-99",IF(F2719&lt;200,"3) Rs 100-199",IF(F2719&lt;500,"4) Rs 200-499","5) Rs 500+"))))</f>
        <v>1) Under Rs 50</v>
      </c>
      <c r="O2719" s="0" t="n">
        <f aca="false">G2719*E2719/1000</f>
        <v>0</v>
      </c>
    </row>
    <row r="2720" customFormat="false" ht="15" hidden="false" customHeight="false" outlineLevel="0" collapsed="false">
      <c r="A2720" s="0" t="s">
        <v>82</v>
      </c>
      <c r="B2720" s="0" t="s">
        <v>1225</v>
      </c>
      <c r="C2720" s="0" t="n">
        <v>25</v>
      </c>
      <c r="D2720" s="0" t="n">
        <v>0</v>
      </c>
      <c r="E2720" s="0" t="n">
        <v>0</v>
      </c>
      <c r="F2720" s="0" t="n">
        <v>25</v>
      </c>
      <c r="G2720" s="0" t="n">
        <v>150</v>
      </c>
      <c r="H2720" s="0" t="s">
        <v>230</v>
      </c>
      <c r="I2720" s="0" t="n">
        <v>150</v>
      </c>
      <c r="J2720" s="0" t="n">
        <f aca="false">F2720*E2720</f>
        <v>0</v>
      </c>
      <c r="K2720" s="0" t="str">
        <f aca="false">IF(G2720&lt;1000,"1-Low",IF(G2720&lt;5000,"2-Medium","3-Bulk"))</f>
        <v>1-Low</v>
      </c>
      <c r="L2720" s="0" t="str">
        <f aca="false">IF(H2720="TRUE","Out of stock","In stock")</f>
        <v>Out of stock</v>
      </c>
      <c r="M2720" s="0" t="str">
        <f aca="false">IF(D2720&lt;5,"1) Under 5%",IF(D2720&lt;10,"2) 5-9%",IF(D2720&lt;15,"3) 10-14%",IF(D2720&lt;25,"4) 15-24%","5) 25%+"))))</f>
        <v>1) Under 5%</v>
      </c>
      <c r="N2720" s="0" t="str">
        <f aca="false">IF(F2720&lt;50,"1) Under Rs 50",IF(F2720&lt;100,"2) Rs 50-99",IF(F2720&lt;200,"3) Rs 100-199",IF(F2720&lt;500,"4) Rs 200-499","5) Rs 500+"))))</f>
        <v>1) Under Rs 50</v>
      </c>
      <c r="O2720" s="0" t="n">
        <f aca="false">G2720*E2720/1000</f>
        <v>0</v>
      </c>
    </row>
    <row r="2721" customFormat="false" ht="15" hidden="false" customHeight="false" outlineLevel="0" collapsed="false">
      <c r="A2721" s="0" t="s">
        <v>82</v>
      </c>
      <c r="B2721" s="0" t="s">
        <v>1226</v>
      </c>
      <c r="C2721" s="0" t="n">
        <v>45</v>
      </c>
      <c r="D2721" s="0" t="n">
        <v>0</v>
      </c>
      <c r="E2721" s="0" t="n">
        <v>0</v>
      </c>
      <c r="F2721" s="0" t="n">
        <v>45</v>
      </c>
      <c r="G2721" s="0" t="n">
        <v>200</v>
      </c>
      <c r="H2721" s="0" t="s">
        <v>230</v>
      </c>
      <c r="I2721" s="0" t="n">
        <v>200</v>
      </c>
      <c r="J2721" s="0" t="n">
        <f aca="false">F2721*E2721</f>
        <v>0</v>
      </c>
      <c r="K2721" s="0" t="str">
        <f aca="false">IF(G2721&lt;1000,"1-Low",IF(G2721&lt;5000,"2-Medium","3-Bulk"))</f>
        <v>1-Low</v>
      </c>
      <c r="L2721" s="0" t="str">
        <f aca="false">IF(H2721="TRUE","Out of stock","In stock")</f>
        <v>Out of stock</v>
      </c>
      <c r="M2721" s="0" t="str">
        <f aca="false">IF(D2721&lt;5,"1) Under 5%",IF(D2721&lt;10,"2) 5-9%",IF(D2721&lt;15,"3) 10-14%",IF(D2721&lt;25,"4) 15-24%","5) 25%+"))))</f>
        <v>1) Under 5%</v>
      </c>
      <c r="N2721" s="0" t="str">
        <f aca="false">IF(F2721&lt;50,"1) Under Rs 50",IF(F2721&lt;100,"2) Rs 50-99",IF(F2721&lt;200,"3) Rs 100-199",IF(F2721&lt;500,"4) Rs 200-499","5) Rs 500+"))))</f>
        <v>1) Under Rs 50</v>
      </c>
      <c r="O2721" s="0" t="n">
        <f aca="false">G2721*E2721/1000</f>
        <v>0</v>
      </c>
    </row>
    <row r="2722" customFormat="false" ht="15" hidden="false" customHeight="false" outlineLevel="0" collapsed="false">
      <c r="A2722" s="0" t="s">
        <v>82</v>
      </c>
      <c r="B2722" s="0" t="s">
        <v>1227</v>
      </c>
      <c r="C2722" s="0" t="n">
        <v>35</v>
      </c>
      <c r="D2722" s="0" t="n">
        <v>2</v>
      </c>
      <c r="E2722" s="0" t="n">
        <v>0</v>
      </c>
      <c r="F2722" s="0" t="n">
        <v>34</v>
      </c>
      <c r="G2722" s="0" t="n">
        <v>150</v>
      </c>
      <c r="H2722" s="0" t="s">
        <v>230</v>
      </c>
      <c r="I2722" s="0" t="n">
        <v>150</v>
      </c>
      <c r="J2722" s="0" t="n">
        <f aca="false">F2722*E2722</f>
        <v>0</v>
      </c>
      <c r="K2722" s="0" t="str">
        <f aca="false">IF(G2722&lt;1000,"1-Low",IF(G2722&lt;5000,"2-Medium","3-Bulk"))</f>
        <v>1-Low</v>
      </c>
      <c r="L2722" s="0" t="str">
        <f aca="false">IF(H2722="TRUE","Out of stock","In stock")</f>
        <v>Out of stock</v>
      </c>
      <c r="M2722" s="0" t="str">
        <f aca="false">IF(D2722&lt;5,"1) Under 5%",IF(D2722&lt;10,"2) 5-9%",IF(D2722&lt;15,"3) 10-14%",IF(D2722&lt;25,"4) 15-24%","5) 25%+"))))</f>
        <v>1) Under 5%</v>
      </c>
      <c r="N2722" s="0" t="str">
        <f aca="false">IF(F2722&lt;50,"1) Under Rs 50",IF(F2722&lt;100,"2) Rs 50-99",IF(F2722&lt;200,"3) Rs 100-199",IF(F2722&lt;500,"4) Rs 200-499","5) Rs 500+"))))</f>
        <v>1) Under Rs 50</v>
      </c>
      <c r="O2722" s="0" t="n">
        <f aca="false">G2722*E2722/1000</f>
        <v>0</v>
      </c>
    </row>
    <row r="2723" customFormat="false" ht="15" hidden="false" customHeight="false" outlineLevel="0" collapsed="false">
      <c r="A2723" s="0" t="s">
        <v>82</v>
      </c>
      <c r="B2723" s="0" t="s">
        <v>1228</v>
      </c>
      <c r="C2723" s="0" t="n">
        <v>150</v>
      </c>
      <c r="D2723" s="0" t="n">
        <v>50</v>
      </c>
      <c r="E2723" s="0" t="n">
        <v>0</v>
      </c>
      <c r="F2723" s="0" t="n">
        <v>75</v>
      </c>
      <c r="G2723" s="0" t="n">
        <v>250</v>
      </c>
      <c r="H2723" s="0" t="s">
        <v>230</v>
      </c>
      <c r="I2723" s="0" t="n">
        <v>250</v>
      </c>
      <c r="J2723" s="0" t="n">
        <f aca="false">F2723*E2723</f>
        <v>0</v>
      </c>
      <c r="K2723" s="0" t="str">
        <f aca="false">IF(G2723&lt;1000,"1-Low",IF(G2723&lt;5000,"2-Medium","3-Bulk"))</f>
        <v>1-Low</v>
      </c>
      <c r="L2723" s="0" t="str">
        <f aca="false">IF(H2723="TRUE","Out of stock","In stock")</f>
        <v>Out of stock</v>
      </c>
      <c r="M2723" s="0" t="str">
        <f aca="false">IF(D2723&lt;5,"1) Under 5%",IF(D2723&lt;10,"2) 5-9%",IF(D2723&lt;15,"3) 10-14%",IF(D2723&lt;25,"4) 15-24%","5) 25%+"))))</f>
        <v>5) 25%+</v>
      </c>
      <c r="N2723" s="0" t="str">
        <f aca="false">IF(F2723&lt;50,"1) Under Rs 50",IF(F2723&lt;100,"2) Rs 50-99",IF(F2723&lt;200,"3) Rs 100-199",IF(F2723&lt;500,"4) Rs 200-499","5) Rs 500+"))))</f>
        <v>2) Rs 50-99</v>
      </c>
      <c r="O2723" s="0" t="n">
        <f aca="false">G2723*E2723/1000</f>
        <v>0</v>
      </c>
    </row>
    <row r="2724" customFormat="false" ht="15" hidden="false" customHeight="false" outlineLevel="0" collapsed="false">
      <c r="A2724" s="0" t="s">
        <v>82</v>
      </c>
      <c r="B2724" s="0" t="s">
        <v>1229</v>
      </c>
      <c r="C2724" s="0" t="n">
        <v>25</v>
      </c>
      <c r="D2724" s="0" t="n">
        <v>0</v>
      </c>
      <c r="E2724" s="0" t="n">
        <v>0</v>
      </c>
      <c r="F2724" s="0" t="n">
        <v>25</v>
      </c>
      <c r="G2724" s="0" t="n">
        <v>120</v>
      </c>
      <c r="H2724" s="0" t="s">
        <v>230</v>
      </c>
      <c r="I2724" s="0" t="n">
        <v>120</v>
      </c>
      <c r="J2724" s="0" t="n">
        <f aca="false">F2724*E2724</f>
        <v>0</v>
      </c>
      <c r="K2724" s="0" t="str">
        <f aca="false">IF(G2724&lt;1000,"1-Low",IF(G2724&lt;5000,"2-Medium","3-Bulk"))</f>
        <v>1-Low</v>
      </c>
      <c r="L2724" s="0" t="str">
        <f aca="false">IF(H2724="TRUE","Out of stock","In stock")</f>
        <v>Out of stock</v>
      </c>
      <c r="M2724" s="0" t="str">
        <f aca="false">IF(D2724&lt;5,"1) Under 5%",IF(D2724&lt;10,"2) 5-9%",IF(D2724&lt;15,"3) 10-14%",IF(D2724&lt;25,"4) 15-24%","5) 25%+"))))</f>
        <v>1) Under 5%</v>
      </c>
      <c r="N2724" s="0" t="str">
        <f aca="false">IF(F2724&lt;50,"1) Under Rs 50",IF(F2724&lt;100,"2) Rs 50-99",IF(F2724&lt;200,"3) Rs 100-199",IF(F2724&lt;500,"4) Rs 200-499","5) Rs 500+"))))</f>
        <v>1) Under Rs 50</v>
      </c>
      <c r="O2724" s="0" t="n">
        <f aca="false">G2724*E2724/1000</f>
        <v>0</v>
      </c>
    </row>
    <row r="2725" customFormat="false" ht="15" hidden="false" customHeight="false" outlineLevel="0" collapsed="false">
      <c r="A2725" s="0" t="s">
        <v>82</v>
      </c>
      <c r="B2725" s="0" t="s">
        <v>1230</v>
      </c>
      <c r="C2725" s="0" t="n">
        <v>28</v>
      </c>
      <c r="D2725" s="0" t="n">
        <v>0</v>
      </c>
      <c r="E2725" s="0" t="n">
        <v>0</v>
      </c>
      <c r="F2725" s="0" t="n">
        <v>28</v>
      </c>
      <c r="G2725" s="0" t="n">
        <v>200</v>
      </c>
      <c r="H2725" s="0" t="s">
        <v>230</v>
      </c>
      <c r="I2725" s="0" t="n">
        <v>200</v>
      </c>
      <c r="J2725" s="0" t="n">
        <f aca="false">F2725*E2725</f>
        <v>0</v>
      </c>
      <c r="K2725" s="0" t="str">
        <f aca="false">IF(G2725&lt;1000,"1-Low",IF(G2725&lt;5000,"2-Medium","3-Bulk"))</f>
        <v>1-Low</v>
      </c>
      <c r="L2725" s="0" t="str">
        <f aca="false">IF(H2725="TRUE","Out of stock","In stock")</f>
        <v>Out of stock</v>
      </c>
      <c r="M2725" s="0" t="str">
        <f aca="false">IF(D2725&lt;5,"1) Under 5%",IF(D2725&lt;10,"2) 5-9%",IF(D2725&lt;15,"3) 10-14%",IF(D2725&lt;25,"4) 15-24%","5) 25%+"))))</f>
        <v>1) Under 5%</v>
      </c>
      <c r="N2725" s="0" t="str">
        <f aca="false">IF(F2725&lt;50,"1) Under Rs 50",IF(F2725&lt;100,"2) Rs 50-99",IF(F2725&lt;200,"3) Rs 100-199",IF(F2725&lt;500,"4) Rs 200-499","5) Rs 500+"))))</f>
        <v>1) Under Rs 50</v>
      </c>
      <c r="O2725" s="0" t="n">
        <f aca="false">G2725*E2725/1000</f>
        <v>0</v>
      </c>
    </row>
    <row r="2726" customFormat="false" ht="15" hidden="false" customHeight="false" outlineLevel="0" collapsed="false">
      <c r="A2726" s="0" t="s">
        <v>82</v>
      </c>
      <c r="B2726" s="0" t="s">
        <v>1231</v>
      </c>
      <c r="C2726" s="0" t="n">
        <v>80</v>
      </c>
      <c r="D2726" s="0" t="n">
        <v>0</v>
      </c>
      <c r="E2726" s="0" t="n">
        <v>0</v>
      </c>
      <c r="F2726" s="0" t="n">
        <v>80</v>
      </c>
      <c r="G2726" s="0" t="n">
        <v>600</v>
      </c>
      <c r="H2726" s="0" t="s">
        <v>230</v>
      </c>
      <c r="I2726" s="0" t="n">
        <v>600</v>
      </c>
      <c r="J2726" s="0" t="n">
        <f aca="false">F2726*E2726</f>
        <v>0</v>
      </c>
      <c r="K2726" s="0" t="str">
        <f aca="false">IF(G2726&lt;1000,"1-Low",IF(G2726&lt;5000,"2-Medium","3-Bulk"))</f>
        <v>1-Low</v>
      </c>
      <c r="L2726" s="0" t="str">
        <f aca="false">IF(H2726="TRUE","Out of stock","In stock")</f>
        <v>Out of stock</v>
      </c>
      <c r="M2726" s="0" t="str">
        <f aca="false">IF(D2726&lt;5,"1) Under 5%",IF(D2726&lt;10,"2) 5-9%",IF(D2726&lt;15,"3) 10-14%",IF(D2726&lt;25,"4) 15-24%","5) 25%+"))))</f>
        <v>1) Under 5%</v>
      </c>
      <c r="N2726" s="0" t="str">
        <f aca="false">IF(F2726&lt;50,"1) Under Rs 50",IF(F2726&lt;100,"2) Rs 50-99",IF(F2726&lt;200,"3) Rs 100-199",IF(F2726&lt;500,"4) Rs 200-499","5) Rs 500+"))))</f>
        <v>2) Rs 50-99</v>
      </c>
      <c r="O2726" s="0" t="n">
        <f aca="false">G2726*E2726/1000</f>
        <v>0</v>
      </c>
    </row>
    <row r="2727" customFormat="false" ht="15" hidden="false" customHeight="false" outlineLevel="0" collapsed="false">
      <c r="A2727" s="0" t="s">
        <v>82</v>
      </c>
      <c r="B2727" s="0" t="s">
        <v>1139</v>
      </c>
      <c r="C2727" s="0" t="n">
        <v>10</v>
      </c>
      <c r="D2727" s="0" t="n">
        <v>0</v>
      </c>
      <c r="E2727" s="0" t="n">
        <v>0</v>
      </c>
      <c r="F2727" s="0" t="n">
        <v>10</v>
      </c>
      <c r="G2727" s="0" t="n">
        <v>46</v>
      </c>
      <c r="H2727" s="0" t="s">
        <v>230</v>
      </c>
      <c r="I2727" s="0" t="n">
        <v>45</v>
      </c>
      <c r="J2727" s="0" t="n">
        <f aca="false">F2727*E2727</f>
        <v>0</v>
      </c>
      <c r="K2727" s="0" t="str">
        <f aca="false">IF(G2727&lt;1000,"1-Low",IF(G2727&lt;5000,"2-Medium","3-Bulk"))</f>
        <v>1-Low</v>
      </c>
      <c r="L2727" s="0" t="str">
        <f aca="false">IF(H2727="TRUE","Out of stock","In stock")</f>
        <v>Out of stock</v>
      </c>
      <c r="M2727" s="0" t="str">
        <f aca="false">IF(D2727&lt;5,"1) Under 5%",IF(D2727&lt;10,"2) 5-9%",IF(D2727&lt;15,"3) 10-14%",IF(D2727&lt;25,"4) 15-24%","5) 25%+"))))</f>
        <v>1) Under 5%</v>
      </c>
      <c r="N2727" s="0" t="str">
        <f aca="false">IF(F2727&lt;50,"1) Under Rs 50",IF(F2727&lt;100,"2) Rs 50-99",IF(F2727&lt;200,"3) Rs 100-199",IF(F2727&lt;500,"4) Rs 200-499","5) Rs 500+"))))</f>
        <v>1) Under Rs 50</v>
      </c>
      <c r="O2727" s="0" t="n">
        <f aca="false">G2727*E2727/1000</f>
        <v>0</v>
      </c>
    </row>
    <row r="2728" customFormat="false" ht="15" hidden="false" customHeight="false" outlineLevel="0" collapsed="false">
      <c r="A2728" s="0" t="s">
        <v>82</v>
      </c>
      <c r="B2728" s="0" t="s">
        <v>1232</v>
      </c>
      <c r="C2728" s="0" t="n">
        <v>25</v>
      </c>
      <c r="D2728" s="0" t="n">
        <v>8</v>
      </c>
      <c r="E2728" s="0" t="n">
        <v>0</v>
      </c>
      <c r="F2728" s="0" t="n">
        <v>23</v>
      </c>
      <c r="G2728" s="0" t="n">
        <v>75</v>
      </c>
      <c r="H2728" s="0" t="s">
        <v>230</v>
      </c>
      <c r="I2728" s="0" t="n">
        <v>75</v>
      </c>
      <c r="J2728" s="0" t="n">
        <f aca="false">F2728*E2728</f>
        <v>0</v>
      </c>
      <c r="K2728" s="0" t="str">
        <f aca="false">IF(G2728&lt;1000,"1-Low",IF(G2728&lt;5000,"2-Medium","3-Bulk"))</f>
        <v>1-Low</v>
      </c>
      <c r="L2728" s="0" t="str">
        <f aca="false">IF(H2728="TRUE","Out of stock","In stock")</f>
        <v>Out of stock</v>
      </c>
      <c r="M2728" s="0" t="str">
        <f aca="false">IF(D2728&lt;5,"1) Under 5%",IF(D2728&lt;10,"2) 5-9%",IF(D2728&lt;15,"3) 10-14%",IF(D2728&lt;25,"4) 15-24%","5) 25%+"))))</f>
        <v>2) 5-9%</v>
      </c>
      <c r="N2728" s="0" t="str">
        <f aca="false">IF(F2728&lt;50,"1) Under Rs 50",IF(F2728&lt;100,"2) Rs 50-99",IF(F2728&lt;200,"3) Rs 100-199",IF(F2728&lt;500,"4) Rs 200-499","5) Rs 500+"))))</f>
        <v>1) Under Rs 50</v>
      </c>
      <c r="O2728" s="0" t="n">
        <f aca="false">G2728*E2728/1000</f>
        <v>0</v>
      </c>
    </row>
    <row r="2729" customFormat="false" ht="15" hidden="false" customHeight="false" outlineLevel="0" collapsed="false">
      <c r="A2729" s="0" t="s">
        <v>82</v>
      </c>
      <c r="B2729" s="0" t="s">
        <v>1233</v>
      </c>
      <c r="C2729" s="0" t="n">
        <v>45</v>
      </c>
      <c r="D2729" s="0" t="n">
        <v>0</v>
      </c>
      <c r="E2729" s="0" t="n">
        <v>0</v>
      </c>
      <c r="F2729" s="0" t="n">
        <v>45</v>
      </c>
      <c r="G2729" s="0" t="n">
        <v>300</v>
      </c>
      <c r="H2729" s="0" t="s">
        <v>230</v>
      </c>
      <c r="I2729" s="0" t="n">
        <v>300</v>
      </c>
      <c r="J2729" s="0" t="n">
        <f aca="false">F2729*E2729</f>
        <v>0</v>
      </c>
      <c r="K2729" s="0" t="str">
        <f aca="false">IF(G2729&lt;1000,"1-Low",IF(G2729&lt;5000,"2-Medium","3-Bulk"))</f>
        <v>1-Low</v>
      </c>
      <c r="L2729" s="0" t="str">
        <f aca="false">IF(H2729="TRUE","Out of stock","In stock")</f>
        <v>Out of stock</v>
      </c>
      <c r="M2729" s="0" t="str">
        <f aca="false">IF(D2729&lt;5,"1) Under 5%",IF(D2729&lt;10,"2) 5-9%",IF(D2729&lt;15,"3) 10-14%",IF(D2729&lt;25,"4) 15-24%","5) 25%+"))))</f>
        <v>1) Under 5%</v>
      </c>
      <c r="N2729" s="0" t="str">
        <f aca="false">IF(F2729&lt;50,"1) Under Rs 50",IF(F2729&lt;100,"2) Rs 50-99",IF(F2729&lt;200,"3) Rs 100-199",IF(F2729&lt;500,"4) Rs 200-499","5) Rs 500+"))))</f>
        <v>1) Under Rs 50</v>
      </c>
      <c r="O2729" s="0" t="n">
        <f aca="false">G2729*E2729/1000</f>
        <v>0</v>
      </c>
    </row>
    <row r="2730" customFormat="false" ht="15" hidden="false" customHeight="false" outlineLevel="0" collapsed="false">
      <c r="A2730" s="0" t="s">
        <v>82</v>
      </c>
      <c r="B2730" s="0" t="s">
        <v>1234</v>
      </c>
      <c r="C2730" s="0" t="n">
        <v>65</v>
      </c>
      <c r="D2730" s="0" t="n">
        <v>6</v>
      </c>
      <c r="E2730" s="0" t="n">
        <v>0</v>
      </c>
      <c r="F2730" s="0" t="n">
        <v>61</v>
      </c>
      <c r="G2730" s="0" t="n">
        <v>200</v>
      </c>
      <c r="H2730" s="0" t="s">
        <v>230</v>
      </c>
      <c r="I2730" s="0" t="n">
        <v>100</v>
      </c>
      <c r="J2730" s="0" t="n">
        <f aca="false">F2730*E2730</f>
        <v>0</v>
      </c>
      <c r="K2730" s="0" t="str">
        <f aca="false">IF(G2730&lt;1000,"1-Low",IF(G2730&lt;5000,"2-Medium","3-Bulk"))</f>
        <v>1-Low</v>
      </c>
      <c r="L2730" s="0" t="str">
        <f aca="false">IF(H2730="TRUE","Out of stock","In stock")</f>
        <v>Out of stock</v>
      </c>
      <c r="M2730" s="0" t="str">
        <f aca="false">IF(D2730&lt;5,"1) Under 5%",IF(D2730&lt;10,"2) 5-9%",IF(D2730&lt;15,"3) 10-14%",IF(D2730&lt;25,"4) 15-24%","5) 25%+"))))</f>
        <v>2) 5-9%</v>
      </c>
      <c r="N2730" s="0" t="str">
        <f aca="false">IF(F2730&lt;50,"1) Under Rs 50",IF(F2730&lt;100,"2) Rs 50-99",IF(F2730&lt;200,"3) Rs 100-199",IF(F2730&lt;500,"4) Rs 200-499","5) Rs 500+"))))</f>
        <v>2) Rs 50-99</v>
      </c>
      <c r="O2730" s="0" t="n">
        <f aca="false">G2730*E2730/1000</f>
        <v>0</v>
      </c>
    </row>
    <row r="2731" customFormat="false" ht="15" hidden="false" customHeight="false" outlineLevel="0" collapsed="false">
      <c r="A2731" s="0" t="s">
        <v>82</v>
      </c>
      <c r="B2731" s="0" t="s">
        <v>1235</v>
      </c>
      <c r="C2731" s="0" t="n">
        <v>35</v>
      </c>
      <c r="D2731" s="0" t="n">
        <v>2</v>
      </c>
      <c r="E2731" s="0" t="n">
        <v>0</v>
      </c>
      <c r="F2731" s="0" t="n">
        <v>34</v>
      </c>
      <c r="G2731" s="0" t="n">
        <v>150</v>
      </c>
      <c r="H2731" s="0" t="s">
        <v>230</v>
      </c>
      <c r="I2731" s="0" t="n">
        <v>150</v>
      </c>
      <c r="J2731" s="0" t="n">
        <f aca="false">F2731*E2731</f>
        <v>0</v>
      </c>
      <c r="K2731" s="0" t="str">
        <f aca="false">IF(G2731&lt;1000,"1-Low",IF(G2731&lt;5000,"2-Medium","3-Bulk"))</f>
        <v>1-Low</v>
      </c>
      <c r="L2731" s="0" t="str">
        <f aca="false">IF(H2731="TRUE","Out of stock","In stock")</f>
        <v>Out of stock</v>
      </c>
      <c r="M2731" s="0" t="str">
        <f aca="false">IF(D2731&lt;5,"1) Under 5%",IF(D2731&lt;10,"2) 5-9%",IF(D2731&lt;15,"3) 10-14%",IF(D2731&lt;25,"4) 15-24%","5) 25%+"))))</f>
        <v>1) Under 5%</v>
      </c>
      <c r="N2731" s="0" t="str">
        <f aca="false">IF(F2731&lt;50,"1) Under Rs 50",IF(F2731&lt;100,"2) Rs 50-99",IF(F2731&lt;200,"3) Rs 100-199",IF(F2731&lt;500,"4) Rs 200-499","5) Rs 500+"))))</f>
        <v>1) Under Rs 50</v>
      </c>
      <c r="O2731" s="0" t="n">
        <f aca="false">G2731*E2731/1000</f>
        <v>0</v>
      </c>
    </row>
    <row r="2732" customFormat="false" ht="15" hidden="false" customHeight="false" outlineLevel="0" collapsed="false">
      <c r="A2732" s="0" t="s">
        <v>82</v>
      </c>
      <c r="B2732" s="0" t="s">
        <v>1236</v>
      </c>
      <c r="C2732" s="0" t="n">
        <v>25</v>
      </c>
      <c r="D2732" s="0" t="n">
        <v>12</v>
      </c>
      <c r="E2732" s="0" t="n">
        <v>0</v>
      </c>
      <c r="F2732" s="0" t="n">
        <v>22</v>
      </c>
      <c r="G2732" s="0" t="n">
        <v>150</v>
      </c>
      <c r="H2732" s="0" t="s">
        <v>230</v>
      </c>
      <c r="I2732" s="0" t="n">
        <v>150</v>
      </c>
      <c r="J2732" s="0" t="n">
        <f aca="false">F2732*E2732</f>
        <v>0</v>
      </c>
      <c r="K2732" s="0" t="str">
        <f aca="false">IF(G2732&lt;1000,"1-Low",IF(G2732&lt;5000,"2-Medium","3-Bulk"))</f>
        <v>1-Low</v>
      </c>
      <c r="L2732" s="0" t="str">
        <f aca="false">IF(H2732="TRUE","Out of stock","In stock")</f>
        <v>Out of stock</v>
      </c>
      <c r="M2732" s="0" t="str">
        <f aca="false">IF(D2732&lt;5,"1) Under 5%",IF(D2732&lt;10,"2) 5-9%",IF(D2732&lt;15,"3) 10-14%",IF(D2732&lt;25,"4) 15-24%","5) 25%+"))))</f>
        <v>3) 10-14%</v>
      </c>
      <c r="N2732" s="0" t="str">
        <f aca="false">IF(F2732&lt;50,"1) Under Rs 50",IF(F2732&lt;100,"2) Rs 50-99",IF(F2732&lt;200,"3) Rs 100-199",IF(F2732&lt;500,"4) Rs 200-499","5) Rs 500+"))))</f>
        <v>1) Under Rs 50</v>
      </c>
      <c r="O2732" s="0" t="n">
        <f aca="false">G2732*E2732/1000</f>
        <v>0</v>
      </c>
    </row>
    <row r="2733" customFormat="false" ht="15" hidden="false" customHeight="false" outlineLevel="0" collapsed="false">
      <c r="A2733" s="0" t="s">
        <v>82</v>
      </c>
      <c r="B2733" s="0" t="s">
        <v>1237</v>
      </c>
      <c r="C2733" s="0" t="n">
        <v>75</v>
      </c>
      <c r="D2733" s="0" t="n">
        <v>0</v>
      </c>
      <c r="E2733" s="0" t="n">
        <v>0</v>
      </c>
      <c r="F2733" s="0" t="n">
        <v>75</v>
      </c>
      <c r="G2733" s="0" t="n">
        <v>200</v>
      </c>
      <c r="H2733" s="0" t="s">
        <v>230</v>
      </c>
      <c r="I2733" s="0" t="n">
        <v>200</v>
      </c>
      <c r="J2733" s="0" t="n">
        <f aca="false">F2733*E2733</f>
        <v>0</v>
      </c>
      <c r="K2733" s="0" t="str">
        <f aca="false">IF(G2733&lt;1000,"1-Low",IF(G2733&lt;5000,"2-Medium","3-Bulk"))</f>
        <v>1-Low</v>
      </c>
      <c r="L2733" s="0" t="str">
        <f aca="false">IF(H2733="TRUE","Out of stock","In stock")</f>
        <v>Out of stock</v>
      </c>
      <c r="M2733" s="0" t="str">
        <f aca="false">IF(D2733&lt;5,"1) Under 5%",IF(D2733&lt;10,"2) 5-9%",IF(D2733&lt;15,"3) 10-14%",IF(D2733&lt;25,"4) 15-24%","5) 25%+"))))</f>
        <v>1) Under 5%</v>
      </c>
      <c r="N2733" s="0" t="str">
        <f aca="false">IF(F2733&lt;50,"1) Under Rs 50",IF(F2733&lt;100,"2) Rs 50-99",IF(F2733&lt;200,"3) Rs 100-199",IF(F2733&lt;500,"4) Rs 200-499","5) Rs 500+"))))</f>
        <v>2) Rs 50-99</v>
      </c>
      <c r="O2733" s="0" t="n">
        <f aca="false">G2733*E2733/1000</f>
        <v>0</v>
      </c>
    </row>
    <row r="2734" customFormat="false" ht="15" hidden="false" customHeight="false" outlineLevel="0" collapsed="false">
      <c r="A2734" s="0" t="s">
        <v>82</v>
      </c>
      <c r="B2734" s="0" t="s">
        <v>1238</v>
      </c>
      <c r="C2734" s="0" t="n">
        <v>30</v>
      </c>
      <c r="D2734" s="0" t="n">
        <v>3</v>
      </c>
      <c r="E2734" s="0" t="n">
        <v>0</v>
      </c>
      <c r="F2734" s="0" t="n">
        <v>29</v>
      </c>
      <c r="G2734" s="0" t="n">
        <v>120</v>
      </c>
      <c r="H2734" s="0" t="s">
        <v>230</v>
      </c>
      <c r="I2734" s="0" t="n">
        <v>120</v>
      </c>
      <c r="J2734" s="0" t="n">
        <f aca="false">F2734*E2734</f>
        <v>0</v>
      </c>
      <c r="K2734" s="0" t="str">
        <f aca="false">IF(G2734&lt;1000,"1-Low",IF(G2734&lt;5000,"2-Medium","3-Bulk"))</f>
        <v>1-Low</v>
      </c>
      <c r="L2734" s="0" t="str">
        <f aca="false">IF(H2734="TRUE","Out of stock","In stock")</f>
        <v>Out of stock</v>
      </c>
      <c r="M2734" s="0" t="str">
        <f aca="false">IF(D2734&lt;5,"1) Under 5%",IF(D2734&lt;10,"2) 5-9%",IF(D2734&lt;15,"3) 10-14%",IF(D2734&lt;25,"4) 15-24%","5) 25%+"))))</f>
        <v>1) Under 5%</v>
      </c>
      <c r="N2734" s="0" t="str">
        <f aca="false">IF(F2734&lt;50,"1) Under Rs 50",IF(F2734&lt;100,"2) Rs 50-99",IF(F2734&lt;200,"3) Rs 100-199",IF(F2734&lt;500,"4) Rs 200-499","5) Rs 500+"))))</f>
        <v>1) Under Rs 50</v>
      </c>
      <c r="O2734" s="0" t="n">
        <f aca="false">G2734*E2734/1000</f>
        <v>0</v>
      </c>
    </row>
    <row r="2735" customFormat="false" ht="15" hidden="false" customHeight="false" outlineLevel="0" collapsed="false">
      <c r="A2735" s="0" t="s">
        <v>82</v>
      </c>
      <c r="B2735" s="0" t="s">
        <v>1239</v>
      </c>
      <c r="C2735" s="0" t="n">
        <v>10</v>
      </c>
      <c r="D2735" s="0" t="n">
        <v>0</v>
      </c>
      <c r="E2735" s="0" t="n">
        <v>0</v>
      </c>
      <c r="F2735" s="0" t="n">
        <v>10</v>
      </c>
      <c r="G2735" s="0" t="n">
        <v>60</v>
      </c>
      <c r="H2735" s="0" t="s">
        <v>230</v>
      </c>
      <c r="I2735" s="0" t="n">
        <v>60</v>
      </c>
      <c r="J2735" s="0" t="n">
        <f aca="false">F2735*E2735</f>
        <v>0</v>
      </c>
      <c r="K2735" s="0" t="str">
        <f aca="false">IF(G2735&lt;1000,"1-Low",IF(G2735&lt;5000,"2-Medium","3-Bulk"))</f>
        <v>1-Low</v>
      </c>
      <c r="L2735" s="0" t="str">
        <f aca="false">IF(H2735="TRUE","Out of stock","In stock")</f>
        <v>Out of stock</v>
      </c>
      <c r="M2735" s="0" t="str">
        <f aca="false">IF(D2735&lt;5,"1) Under 5%",IF(D2735&lt;10,"2) 5-9%",IF(D2735&lt;15,"3) 10-14%",IF(D2735&lt;25,"4) 15-24%","5) 25%+"))))</f>
        <v>1) Under 5%</v>
      </c>
      <c r="N2735" s="0" t="str">
        <f aca="false">IF(F2735&lt;50,"1) Under Rs 50",IF(F2735&lt;100,"2) Rs 50-99",IF(F2735&lt;200,"3) Rs 100-199",IF(F2735&lt;500,"4) Rs 200-499","5) Rs 500+"))))</f>
        <v>1) Under Rs 50</v>
      </c>
      <c r="O2735" s="0" t="n">
        <f aca="false">G2735*E2735/1000</f>
        <v>0</v>
      </c>
    </row>
    <row r="2736" customFormat="false" ht="15" hidden="false" customHeight="false" outlineLevel="0" collapsed="false">
      <c r="A2736" s="0" t="s">
        <v>82</v>
      </c>
      <c r="B2736" s="0" t="s">
        <v>1240</v>
      </c>
      <c r="C2736" s="0" t="n">
        <v>10</v>
      </c>
      <c r="D2736" s="0" t="n">
        <v>0</v>
      </c>
      <c r="E2736" s="0" t="n">
        <v>0</v>
      </c>
      <c r="F2736" s="0" t="n">
        <v>10</v>
      </c>
      <c r="G2736" s="0" t="n">
        <v>28</v>
      </c>
      <c r="H2736" s="0" t="s">
        <v>230</v>
      </c>
      <c r="I2736" s="0" t="n">
        <v>28</v>
      </c>
      <c r="J2736" s="0" t="n">
        <f aca="false">F2736*E2736</f>
        <v>0</v>
      </c>
      <c r="K2736" s="0" t="str">
        <f aca="false">IF(G2736&lt;1000,"1-Low",IF(G2736&lt;5000,"2-Medium","3-Bulk"))</f>
        <v>1-Low</v>
      </c>
      <c r="L2736" s="0" t="str">
        <f aca="false">IF(H2736="TRUE","Out of stock","In stock")</f>
        <v>Out of stock</v>
      </c>
      <c r="M2736" s="0" t="str">
        <f aca="false">IF(D2736&lt;5,"1) Under 5%",IF(D2736&lt;10,"2) 5-9%",IF(D2736&lt;15,"3) 10-14%",IF(D2736&lt;25,"4) 15-24%","5) 25%+"))))</f>
        <v>1) Under 5%</v>
      </c>
      <c r="N2736" s="0" t="str">
        <f aca="false">IF(F2736&lt;50,"1) Under Rs 50",IF(F2736&lt;100,"2) Rs 50-99",IF(F2736&lt;200,"3) Rs 100-199",IF(F2736&lt;500,"4) Rs 200-499","5) Rs 500+"))))</f>
        <v>1) Under Rs 50</v>
      </c>
      <c r="O2736" s="0" t="n">
        <f aca="false">G2736*E2736/1000</f>
        <v>0</v>
      </c>
    </row>
    <row r="2737" customFormat="false" ht="15" hidden="false" customHeight="false" outlineLevel="0" collapsed="false">
      <c r="A2737" s="0" t="s">
        <v>82</v>
      </c>
      <c r="B2737" s="0" t="s">
        <v>1241</v>
      </c>
      <c r="C2737" s="0" t="n">
        <v>15</v>
      </c>
      <c r="D2737" s="0" t="n">
        <v>0</v>
      </c>
      <c r="E2737" s="0" t="n">
        <v>0</v>
      </c>
      <c r="F2737" s="0" t="n">
        <v>15</v>
      </c>
      <c r="G2737" s="0" t="n">
        <v>45</v>
      </c>
      <c r="H2737" s="0" t="s">
        <v>230</v>
      </c>
      <c r="I2737" s="0" t="n">
        <v>45</v>
      </c>
      <c r="J2737" s="0" t="n">
        <f aca="false">F2737*E2737</f>
        <v>0</v>
      </c>
      <c r="K2737" s="0" t="str">
        <f aca="false">IF(G2737&lt;1000,"1-Low",IF(G2737&lt;5000,"2-Medium","3-Bulk"))</f>
        <v>1-Low</v>
      </c>
      <c r="L2737" s="0" t="str">
        <f aca="false">IF(H2737="TRUE","Out of stock","In stock")</f>
        <v>Out of stock</v>
      </c>
      <c r="M2737" s="0" t="str">
        <f aca="false">IF(D2737&lt;5,"1) Under 5%",IF(D2737&lt;10,"2) 5-9%",IF(D2737&lt;15,"3) 10-14%",IF(D2737&lt;25,"4) 15-24%","5) 25%+"))))</f>
        <v>1) Under 5%</v>
      </c>
      <c r="N2737" s="0" t="str">
        <f aca="false">IF(F2737&lt;50,"1) Under Rs 50",IF(F2737&lt;100,"2) Rs 50-99",IF(F2737&lt;200,"3) Rs 100-199",IF(F2737&lt;500,"4) Rs 200-499","5) Rs 500+"))))</f>
        <v>1) Under Rs 50</v>
      </c>
      <c r="O2737" s="0" t="n">
        <f aca="false">G2737*E2737/1000</f>
        <v>0</v>
      </c>
    </row>
    <row r="2738" customFormat="false" ht="15" hidden="false" customHeight="false" outlineLevel="0" collapsed="false">
      <c r="A2738" s="0" t="s">
        <v>82</v>
      </c>
      <c r="B2738" s="0" t="s">
        <v>1242</v>
      </c>
      <c r="C2738" s="0" t="n">
        <v>25</v>
      </c>
      <c r="D2738" s="0" t="n">
        <v>10</v>
      </c>
      <c r="E2738" s="0" t="n">
        <v>0</v>
      </c>
      <c r="F2738" s="0" t="n">
        <v>22.5</v>
      </c>
      <c r="G2738" s="0" t="n">
        <v>100</v>
      </c>
      <c r="H2738" s="0" t="s">
        <v>230</v>
      </c>
      <c r="I2738" s="0" t="n">
        <v>75</v>
      </c>
      <c r="J2738" s="0" t="n">
        <f aca="false">F2738*E2738</f>
        <v>0</v>
      </c>
      <c r="K2738" s="0" t="str">
        <f aca="false">IF(G2738&lt;1000,"1-Low",IF(G2738&lt;5000,"2-Medium","3-Bulk"))</f>
        <v>1-Low</v>
      </c>
      <c r="L2738" s="0" t="str">
        <f aca="false">IF(H2738="TRUE","Out of stock","In stock")</f>
        <v>Out of stock</v>
      </c>
      <c r="M2738" s="0" t="str">
        <f aca="false">IF(D2738&lt;5,"1) Under 5%",IF(D2738&lt;10,"2) 5-9%",IF(D2738&lt;15,"3) 10-14%",IF(D2738&lt;25,"4) 15-24%","5) 25%+"))))</f>
        <v>3) 10-14%</v>
      </c>
      <c r="N2738" s="0" t="str">
        <f aca="false">IF(F2738&lt;50,"1) Under Rs 50",IF(F2738&lt;100,"2) Rs 50-99",IF(F2738&lt;200,"3) Rs 100-199",IF(F2738&lt;500,"4) Rs 200-499","5) Rs 500+"))))</f>
        <v>1) Under Rs 50</v>
      </c>
      <c r="O2738" s="0" t="n">
        <f aca="false">G2738*E2738/1000</f>
        <v>0</v>
      </c>
    </row>
    <row r="2739" customFormat="false" ht="15" hidden="false" customHeight="false" outlineLevel="0" collapsed="false">
      <c r="A2739" s="0" t="s">
        <v>82</v>
      </c>
      <c r="B2739" s="0" t="s">
        <v>1243</v>
      </c>
      <c r="C2739" s="0" t="n">
        <v>35</v>
      </c>
      <c r="D2739" s="0" t="n">
        <v>0</v>
      </c>
      <c r="E2739" s="0" t="n">
        <v>0</v>
      </c>
      <c r="F2739" s="0" t="n">
        <v>35</v>
      </c>
      <c r="G2739" s="0" t="n">
        <v>300</v>
      </c>
      <c r="H2739" s="0" t="s">
        <v>230</v>
      </c>
      <c r="I2739" s="0" t="n">
        <v>300</v>
      </c>
      <c r="J2739" s="0" t="n">
        <f aca="false">F2739*E2739</f>
        <v>0</v>
      </c>
      <c r="K2739" s="0" t="str">
        <f aca="false">IF(G2739&lt;1000,"1-Low",IF(G2739&lt;5000,"2-Medium","3-Bulk"))</f>
        <v>1-Low</v>
      </c>
      <c r="L2739" s="0" t="str">
        <f aca="false">IF(H2739="TRUE","Out of stock","In stock")</f>
        <v>Out of stock</v>
      </c>
      <c r="M2739" s="0" t="str">
        <f aca="false">IF(D2739&lt;5,"1) Under 5%",IF(D2739&lt;10,"2) 5-9%",IF(D2739&lt;15,"3) 10-14%",IF(D2739&lt;25,"4) 15-24%","5) 25%+"))))</f>
        <v>1) Under 5%</v>
      </c>
      <c r="N2739" s="0" t="str">
        <f aca="false">IF(F2739&lt;50,"1) Under Rs 50",IF(F2739&lt;100,"2) Rs 50-99",IF(F2739&lt;200,"3) Rs 100-199",IF(F2739&lt;500,"4) Rs 200-499","5) Rs 500+"))))</f>
        <v>1) Under Rs 50</v>
      </c>
      <c r="O2739" s="0" t="n">
        <f aca="false">G2739*E2739/1000</f>
        <v>0</v>
      </c>
    </row>
    <row r="2740" customFormat="false" ht="15" hidden="false" customHeight="false" outlineLevel="0" collapsed="false">
      <c r="A2740" s="0" t="s">
        <v>82</v>
      </c>
      <c r="B2740" s="0" t="s">
        <v>1244</v>
      </c>
      <c r="C2740" s="0" t="n">
        <v>80</v>
      </c>
      <c r="D2740" s="0" t="n">
        <v>0</v>
      </c>
      <c r="E2740" s="0" t="n">
        <v>0</v>
      </c>
      <c r="F2740" s="0" t="n">
        <v>80</v>
      </c>
      <c r="G2740" s="0" t="n">
        <v>300</v>
      </c>
      <c r="H2740" s="0" t="s">
        <v>230</v>
      </c>
      <c r="I2740" s="0" t="n">
        <v>300</v>
      </c>
      <c r="J2740" s="0" t="n">
        <f aca="false">F2740*E2740</f>
        <v>0</v>
      </c>
      <c r="K2740" s="0" t="str">
        <f aca="false">IF(G2740&lt;1000,"1-Low",IF(G2740&lt;5000,"2-Medium","3-Bulk"))</f>
        <v>1-Low</v>
      </c>
      <c r="L2740" s="0" t="str">
        <f aca="false">IF(H2740="TRUE","Out of stock","In stock")</f>
        <v>Out of stock</v>
      </c>
      <c r="M2740" s="0" t="str">
        <f aca="false">IF(D2740&lt;5,"1) Under 5%",IF(D2740&lt;10,"2) 5-9%",IF(D2740&lt;15,"3) 10-14%",IF(D2740&lt;25,"4) 15-24%","5) 25%+"))))</f>
        <v>1) Under 5%</v>
      </c>
      <c r="N2740" s="0" t="str">
        <f aca="false">IF(F2740&lt;50,"1) Under Rs 50",IF(F2740&lt;100,"2) Rs 50-99",IF(F2740&lt;200,"3) Rs 100-199",IF(F2740&lt;500,"4) Rs 200-499","5) Rs 500+"))))</f>
        <v>2) Rs 50-99</v>
      </c>
      <c r="O2740" s="0" t="n">
        <f aca="false">G2740*E2740/1000</f>
        <v>0</v>
      </c>
    </row>
    <row r="2741" customFormat="false" ht="15" hidden="false" customHeight="false" outlineLevel="0" collapsed="false">
      <c r="A2741" s="0" t="s">
        <v>82</v>
      </c>
      <c r="B2741" s="0" t="s">
        <v>1245</v>
      </c>
      <c r="C2741" s="0" t="n">
        <v>15</v>
      </c>
      <c r="D2741" s="0" t="n">
        <v>0</v>
      </c>
      <c r="E2741" s="0" t="n">
        <v>0</v>
      </c>
      <c r="F2741" s="0" t="n">
        <v>15</v>
      </c>
      <c r="G2741" s="0" t="n">
        <v>45</v>
      </c>
      <c r="H2741" s="0" t="s">
        <v>230</v>
      </c>
      <c r="I2741" s="0" t="n">
        <v>45</v>
      </c>
      <c r="J2741" s="0" t="n">
        <f aca="false">F2741*E2741</f>
        <v>0</v>
      </c>
      <c r="K2741" s="0" t="str">
        <f aca="false">IF(G2741&lt;1000,"1-Low",IF(G2741&lt;5000,"2-Medium","3-Bulk"))</f>
        <v>1-Low</v>
      </c>
      <c r="L2741" s="0" t="str">
        <f aca="false">IF(H2741="TRUE","Out of stock","In stock")</f>
        <v>Out of stock</v>
      </c>
      <c r="M2741" s="0" t="str">
        <f aca="false">IF(D2741&lt;5,"1) Under 5%",IF(D2741&lt;10,"2) 5-9%",IF(D2741&lt;15,"3) 10-14%",IF(D2741&lt;25,"4) 15-24%","5) 25%+"))))</f>
        <v>1) Under 5%</v>
      </c>
      <c r="N2741" s="0" t="str">
        <f aca="false">IF(F2741&lt;50,"1) Under Rs 50",IF(F2741&lt;100,"2) Rs 50-99",IF(F2741&lt;200,"3) Rs 100-199",IF(F2741&lt;500,"4) Rs 200-499","5) Rs 500+"))))</f>
        <v>1) Under Rs 50</v>
      </c>
      <c r="O2741" s="0" t="n">
        <f aca="false">G2741*E2741/1000</f>
        <v>0</v>
      </c>
    </row>
    <row r="2742" customFormat="false" ht="15" hidden="false" customHeight="false" outlineLevel="0" collapsed="false">
      <c r="A2742" s="0" t="s">
        <v>82</v>
      </c>
      <c r="B2742" s="0" t="s">
        <v>1246</v>
      </c>
      <c r="C2742" s="0" t="n">
        <v>25</v>
      </c>
      <c r="D2742" s="0" t="n">
        <v>0</v>
      </c>
      <c r="E2742" s="0" t="n">
        <v>0</v>
      </c>
      <c r="F2742" s="0" t="n">
        <v>25</v>
      </c>
      <c r="G2742" s="0" t="n">
        <v>100</v>
      </c>
      <c r="H2742" s="0" t="s">
        <v>230</v>
      </c>
      <c r="I2742" s="0" t="n">
        <v>100</v>
      </c>
      <c r="J2742" s="0" t="n">
        <f aca="false">F2742*E2742</f>
        <v>0</v>
      </c>
      <c r="K2742" s="0" t="str">
        <f aca="false">IF(G2742&lt;1000,"1-Low",IF(G2742&lt;5000,"2-Medium","3-Bulk"))</f>
        <v>1-Low</v>
      </c>
      <c r="L2742" s="0" t="str">
        <f aca="false">IF(H2742="TRUE","Out of stock","In stock")</f>
        <v>Out of stock</v>
      </c>
      <c r="M2742" s="0" t="str">
        <f aca="false">IF(D2742&lt;5,"1) Under 5%",IF(D2742&lt;10,"2) 5-9%",IF(D2742&lt;15,"3) 10-14%",IF(D2742&lt;25,"4) 15-24%","5) 25%+"))))</f>
        <v>1) Under 5%</v>
      </c>
      <c r="N2742" s="0" t="str">
        <f aca="false">IF(F2742&lt;50,"1) Under Rs 50",IF(F2742&lt;100,"2) Rs 50-99",IF(F2742&lt;200,"3) Rs 100-199",IF(F2742&lt;500,"4) Rs 200-499","5) Rs 500+"))))</f>
        <v>1) Under Rs 50</v>
      </c>
      <c r="O2742" s="0" t="n">
        <f aca="false">G2742*E2742/1000</f>
        <v>0</v>
      </c>
    </row>
    <row r="2743" customFormat="false" ht="15" hidden="false" customHeight="false" outlineLevel="0" collapsed="false">
      <c r="A2743" s="0" t="s">
        <v>82</v>
      </c>
      <c r="B2743" s="0" t="s">
        <v>1135</v>
      </c>
      <c r="C2743" s="0" t="n">
        <v>50</v>
      </c>
      <c r="D2743" s="0" t="n">
        <v>6</v>
      </c>
      <c r="E2743" s="0" t="n">
        <v>0</v>
      </c>
      <c r="F2743" s="0" t="n">
        <v>47</v>
      </c>
      <c r="G2743" s="0" t="n">
        <v>300</v>
      </c>
      <c r="H2743" s="0" t="s">
        <v>230</v>
      </c>
      <c r="I2743" s="0" t="n">
        <v>300</v>
      </c>
      <c r="J2743" s="0" t="n">
        <f aca="false">F2743*E2743</f>
        <v>0</v>
      </c>
      <c r="K2743" s="0" t="str">
        <f aca="false">IF(G2743&lt;1000,"1-Low",IF(G2743&lt;5000,"2-Medium","3-Bulk"))</f>
        <v>1-Low</v>
      </c>
      <c r="L2743" s="0" t="str">
        <f aca="false">IF(H2743="TRUE","Out of stock","In stock")</f>
        <v>Out of stock</v>
      </c>
      <c r="M2743" s="0" t="str">
        <f aca="false">IF(D2743&lt;5,"1) Under 5%",IF(D2743&lt;10,"2) 5-9%",IF(D2743&lt;15,"3) 10-14%",IF(D2743&lt;25,"4) 15-24%","5) 25%+"))))</f>
        <v>2) 5-9%</v>
      </c>
      <c r="N2743" s="0" t="str">
        <f aca="false">IF(F2743&lt;50,"1) Under Rs 50",IF(F2743&lt;100,"2) Rs 50-99",IF(F2743&lt;200,"3) Rs 100-199",IF(F2743&lt;500,"4) Rs 200-499","5) Rs 500+"))))</f>
        <v>1) Under Rs 50</v>
      </c>
      <c r="O2743" s="0" t="n">
        <f aca="false">G2743*E2743/1000</f>
        <v>0</v>
      </c>
    </row>
    <row r="2744" customFormat="false" ht="15" hidden="false" customHeight="false" outlineLevel="0" collapsed="false">
      <c r="A2744" s="0" t="s">
        <v>82</v>
      </c>
      <c r="B2744" s="0" t="s">
        <v>1247</v>
      </c>
      <c r="C2744" s="0" t="n">
        <v>65</v>
      </c>
      <c r="D2744" s="0" t="n">
        <v>0</v>
      </c>
      <c r="E2744" s="0" t="n">
        <v>0</v>
      </c>
      <c r="F2744" s="0" t="n">
        <v>65</v>
      </c>
      <c r="G2744" s="0" t="n">
        <v>200</v>
      </c>
      <c r="H2744" s="0" t="s">
        <v>230</v>
      </c>
      <c r="I2744" s="0" t="n">
        <v>200</v>
      </c>
      <c r="J2744" s="0" t="n">
        <f aca="false">F2744*E2744</f>
        <v>0</v>
      </c>
      <c r="K2744" s="0" t="str">
        <f aca="false">IF(G2744&lt;1000,"1-Low",IF(G2744&lt;5000,"2-Medium","3-Bulk"))</f>
        <v>1-Low</v>
      </c>
      <c r="L2744" s="0" t="str">
        <f aca="false">IF(H2744="TRUE","Out of stock","In stock")</f>
        <v>Out of stock</v>
      </c>
      <c r="M2744" s="0" t="str">
        <f aca="false">IF(D2744&lt;5,"1) Under 5%",IF(D2744&lt;10,"2) 5-9%",IF(D2744&lt;15,"3) 10-14%",IF(D2744&lt;25,"4) 15-24%","5) 25%+"))))</f>
        <v>1) Under 5%</v>
      </c>
      <c r="N2744" s="0" t="str">
        <f aca="false">IF(F2744&lt;50,"1) Under Rs 50",IF(F2744&lt;100,"2) Rs 50-99",IF(F2744&lt;200,"3) Rs 100-199",IF(F2744&lt;500,"4) Rs 200-499","5) Rs 500+"))))</f>
        <v>2) Rs 50-99</v>
      </c>
      <c r="O2744" s="0" t="n">
        <f aca="false">G2744*E2744/1000</f>
        <v>0</v>
      </c>
    </row>
    <row r="2745" customFormat="false" ht="15" hidden="false" customHeight="false" outlineLevel="0" collapsed="false">
      <c r="A2745" s="0" t="s">
        <v>82</v>
      </c>
      <c r="B2745" s="0" t="s">
        <v>1248</v>
      </c>
      <c r="C2745" s="0" t="n">
        <v>30</v>
      </c>
      <c r="D2745" s="0" t="n">
        <v>3</v>
      </c>
      <c r="E2745" s="0" t="n">
        <v>0</v>
      </c>
      <c r="F2745" s="0" t="n">
        <v>29</v>
      </c>
      <c r="G2745" s="0" t="n">
        <v>120</v>
      </c>
      <c r="H2745" s="0" t="s">
        <v>230</v>
      </c>
      <c r="I2745" s="0" t="n">
        <v>120</v>
      </c>
      <c r="J2745" s="0" t="n">
        <f aca="false">F2745*E2745</f>
        <v>0</v>
      </c>
      <c r="K2745" s="0" t="str">
        <f aca="false">IF(G2745&lt;1000,"1-Low",IF(G2745&lt;5000,"2-Medium","3-Bulk"))</f>
        <v>1-Low</v>
      </c>
      <c r="L2745" s="0" t="str">
        <f aca="false">IF(H2745="TRUE","Out of stock","In stock")</f>
        <v>Out of stock</v>
      </c>
      <c r="M2745" s="0" t="str">
        <f aca="false">IF(D2745&lt;5,"1) Under 5%",IF(D2745&lt;10,"2) 5-9%",IF(D2745&lt;15,"3) 10-14%",IF(D2745&lt;25,"4) 15-24%","5) 25%+"))))</f>
        <v>1) Under 5%</v>
      </c>
      <c r="N2745" s="0" t="str">
        <f aca="false">IF(F2745&lt;50,"1) Under Rs 50",IF(F2745&lt;100,"2) Rs 50-99",IF(F2745&lt;200,"3) Rs 100-199",IF(F2745&lt;500,"4) Rs 200-499","5) Rs 500+"))))</f>
        <v>1) Under Rs 50</v>
      </c>
      <c r="O2745" s="0" t="n">
        <f aca="false">G2745*E2745/1000</f>
        <v>0</v>
      </c>
    </row>
    <row r="2746" customFormat="false" ht="15" hidden="false" customHeight="false" outlineLevel="0" collapsed="false">
      <c r="A2746" s="0" t="s">
        <v>82</v>
      </c>
      <c r="B2746" s="0" t="s">
        <v>1122</v>
      </c>
      <c r="C2746" s="0" t="n">
        <v>230</v>
      </c>
      <c r="D2746" s="0" t="n">
        <v>25</v>
      </c>
      <c r="E2746" s="0" t="n">
        <v>0</v>
      </c>
      <c r="F2746" s="0" t="n">
        <v>172</v>
      </c>
      <c r="G2746" s="0" t="n">
        <v>1000</v>
      </c>
      <c r="H2746" s="0" t="s">
        <v>230</v>
      </c>
      <c r="I2746" s="0" t="n">
        <v>1</v>
      </c>
      <c r="J2746" s="0" t="n">
        <f aca="false">F2746*E2746</f>
        <v>0</v>
      </c>
      <c r="K2746" s="0" t="str">
        <f aca="false">IF(G2746&lt;1000,"1-Low",IF(G2746&lt;5000,"2-Medium","3-Bulk"))</f>
        <v>2-Medium</v>
      </c>
      <c r="L2746" s="0" t="str">
        <f aca="false">IF(H2746="TRUE","Out of stock","In stock")</f>
        <v>Out of stock</v>
      </c>
      <c r="M2746" s="0" t="str">
        <f aca="false">IF(D2746&lt;5,"1) Under 5%",IF(D2746&lt;10,"2) 5-9%",IF(D2746&lt;15,"3) 10-14%",IF(D2746&lt;25,"4) 15-24%","5) 25%+"))))</f>
        <v>5) 25%+</v>
      </c>
      <c r="N2746" s="0" t="str">
        <f aca="false">IF(F2746&lt;50,"1) Under Rs 50",IF(F2746&lt;100,"2) Rs 50-99",IF(F2746&lt;200,"3) Rs 100-199",IF(F2746&lt;500,"4) Rs 200-499","5) Rs 500+"))))</f>
        <v>3) Rs 100-199</v>
      </c>
      <c r="O2746" s="0" t="n">
        <f aca="false">G2746*E2746/1000</f>
        <v>0</v>
      </c>
    </row>
    <row r="2747" customFormat="false" ht="15" hidden="false" customHeight="false" outlineLevel="0" collapsed="false">
      <c r="A2747" s="0" t="s">
        <v>82</v>
      </c>
      <c r="B2747" s="0" t="s">
        <v>1249</v>
      </c>
      <c r="C2747" s="0" t="n">
        <v>15</v>
      </c>
      <c r="D2747" s="0" t="n">
        <v>0</v>
      </c>
      <c r="E2747" s="0" t="n">
        <v>0</v>
      </c>
      <c r="F2747" s="0" t="n">
        <v>15</v>
      </c>
      <c r="G2747" s="0" t="n">
        <v>45</v>
      </c>
      <c r="H2747" s="0" t="s">
        <v>230</v>
      </c>
      <c r="I2747" s="0" t="n">
        <v>45</v>
      </c>
      <c r="J2747" s="0" t="n">
        <f aca="false">F2747*E2747</f>
        <v>0</v>
      </c>
      <c r="K2747" s="0" t="str">
        <f aca="false">IF(G2747&lt;1000,"1-Low",IF(G2747&lt;5000,"2-Medium","3-Bulk"))</f>
        <v>1-Low</v>
      </c>
      <c r="L2747" s="0" t="str">
        <f aca="false">IF(H2747="TRUE","Out of stock","In stock")</f>
        <v>Out of stock</v>
      </c>
      <c r="M2747" s="0" t="str">
        <f aca="false">IF(D2747&lt;5,"1) Under 5%",IF(D2747&lt;10,"2) 5-9%",IF(D2747&lt;15,"3) 10-14%",IF(D2747&lt;25,"4) 15-24%","5) 25%+"))))</f>
        <v>1) Under 5%</v>
      </c>
      <c r="N2747" s="0" t="str">
        <f aca="false">IF(F2747&lt;50,"1) Under Rs 50",IF(F2747&lt;100,"2) Rs 50-99",IF(F2747&lt;200,"3) Rs 100-199",IF(F2747&lt;500,"4) Rs 200-499","5) Rs 500+"))))</f>
        <v>1) Under Rs 50</v>
      </c>
      <c r="O2747" s="0" t="n">
        <f aca="false">G2747*E2747/1000</f>
        <v>0</v>
      </c>
    </row>
    <row r="2748" customFormat="false" ht="15" hidden="false" customHeight="false" outlineLevel="0" collapsed="false">
      <c r="A2748" s="0" t="s">
        <v>82</v>
      </c>
      <c r="B2748" s="0" t="s">
        <v>1250</v>
      </c>
      <c r="C2748" s="0" t="n">
        <v>10</v>
      </c>
      <c r="D2748" s="0" t="n">
        <v>0</v>
      </c>
      <c r="E2748" s="0" t="n">
        <v>0</v>
      </c>
      <c r="F2748" s="0" t="n">
        <v>10</v>
      </c>
      <c r="G2748" s="0" t="n">
        <v>28</v>
      </c>
      <c r="H2748" s="0" t="s">
        <v>230</v>
      </c>
      <c r="I2748" s="0" t="n">
        <v>28</v>
      </c>
      <c r="J2748" s="0" t="n">
        <f aca="false">F2748*E2748</f>
        <v>0</v>
      </c>
      <c r="K2748" s="0" t="str">
        <f aca="false">IF(G2748&lt;1000,"1-Low",IF(G2748&lt;5000,"2-Medium","3-Bulk"))</f>
        <v>1-Low</v>
      </c>
      <c r="L2748" s="0" t="str">
        <f aca="false">IF(H2748="TRUE","Out of stock","In stock")</f>
        <v>Out of stock</v>
      </c>
      <c r="M2748" s="0" t="str">
        <f aca="false">IF(D2748&lt;5,"1) Under 5%",IF(D2748&lt;10,"2) 5-9%",IF(D2748&lt;15,"3) 10-14%",IF(D2748&lt;25,"4) 15-24%","5) 25%+"))))</f>
        <v>1) Under 5%</v>
      </c>
      <c r="N2748" s="0" t="str">
        <f aca="false">IF(F2748&lt;50,"1) Under Rs 50",IF(F2748&lt;100,"2) Rs 50-99",IF(F2748&lt;200,"3) Rs 100-199",IF(F2748&lt;500,"4) Rs 200-499","5) Rs 500+"))))</f>
        <v>1) Under Rs 50</v>
      </c>
      <c r="O2748" s="0" t="n">
        <f aca="false">G2748*E2748/1000</f>
        <v>0</v>
      </c>
    </row>
    <row r="2749" customFormat="false" ht="15" hidden="false" customHeight="false" outlineLevel="0" collapsed="false">
      <c r="A2749" s="0" t="s">
        <v>82</v>
      </c>
      <c r="B2749" s="0" t="s">
        <v>1226</v>
      </c>
      <c r="C2749" s="0" t="n">
        <v>70</v>
      </c>
      <c r="D2749" s="0" t="n">
        <v>0</v>
      </c>
      <c r="E2749" s="0" t="n">
        <v>0</v>
      </c>
      <c r="F2749" s="0" t="n">
        <v>70</v>
      </c>
      <c r="G2749" s="0" t="n">
        <v>500</v>
      </c>
      <c r="H2749" s="0" t="s">
        <v>230</v>
      </c>
      <c r="I2749" s="0" t="n">
        <v>500</v>
      </c>
      <c r="J2749" s="0" t="n">
        <f aca="false">F2749*E2749</f>
        <v>0</v>
      </c>
      <c r="K2749" s="0" t="str">
        <f aca="false">IF(G2749&lt;1000,"1-Low",IF(G2749&lt;5000,"2-Medium","3-Bulk"))</f>
        <v>1-Low</v>
      </c>
      <c r="L2749" s="0" t="str">
        <f aca="false">IF(H2749="TRUE","Out of stock","In stock")</f>
        <v>Out of stock</v>
      </c>
      <c r="M2749" s="0" t="str">
        <f aca="false">IF(D2749&lt;5,"1) Under 5%",IF(D2749&lt;10,"2) 5-9%",IF(D2749&lt;15,"3) 10-14%",IF(D2749&lt;25,"4) 15-24%","5) 25%+"))))</f>
        <v>1) Under 5%</v>
      </c>
      <c r="N2749" s="0" t="str">
        <f aca="false">IF(F2749&lt;50,"1) Under Rs 50",IF(F2749&lt;100,"2) Rs 50-99",IF(F2749&lt;200,"3) Rs 100-199",IF(F2749&lt;500,"4) Rs 200-499","5) Rs 500+"))))</f>
        <v>2) Rs 50-99</v>
      </c>
      <c r="O2749" s="0" t="n">
        <f aca="false">G2749*E2749/1000</f>
        <v>0</v>
      </c>
    </row>
    <row r="2750" customFormat="false" ht="15" hidden="false" customHeight="false" outlineLevel="0" collapsed="false">
      <c r="A2750" s="0" t="s">
        <v>82</v>
      </c>
      <c r="B2750" s="0" t="s">
        <v>1251</v>
      </c>
      <c r="C2750" s="0" t="n">
        <v>105</v>
      </c>
      <c r="D2750" s="0" t="n">
        <v>22</v>
      </c>
      <c r="E2750" s="0" t="n">
        <v>0</v>
      </c>
      <c r="F2750" s="0" t="n">
        <v>81</v>
      </c>
      <c r="G2750" s="0" t="n">
        <v>75</v>
      </c>
      <c r="H2750" s="0" t="s">
        <v>230</v>
      </c>
      <c r="I2750" s="0" t="n">
        <v>75</v>
      </c>
      <c r="J2750" s="0" t="n">
        <f aca="false">F2750*E2750</f>
        <v>0</v>
      </c>
      <c r="K2750" s="0" t="str">
        <f aca="false">IF(G2750&lt;1000,"1-Low",IF(G2750&lt;5000,"2-Medium","3-Bulk"))</f>
        <v>1-Low</v>
      </c>
      <c r="L2750" s="0" t="str">
        <f aca="false">IF(H2750="TRUE","Out of stock","In stock")</f>
        <v>Out of stock</v>
      </c>
      <c r="M2750" s="0" t="str">
        <f aca="false">IF(D2750&lt;5,"1) Under 5%",IF(D2750&lt;10,"2) 5-9%",IF(D2750&lt;15,"3) 10-14%",IF(D2750&lt;25,"4) 15-24%","5) 25%+"))))</f>
        <v>4) 15-24%</v>
      </c>
      <c r="N2750" s="0" t="str">
        <f aca="false">IF(F2750&lt;50,"1) Under Rs 50",IF(F2750&lt;100,"2) Rs 50-99",IF(F2750&lt;200,"3) Rs 100-199",IF(F2750&lt;500,"4) Rs 200-499","5) Rs 500+"))))</f>
        <v>2) Rs 50-99</v>
      </c>
      <c r="O2750" s="0" t="n">
        <f aca="false">G2750*E2750/1000</f>
        <v>0</v>
      </c>
    </row>
    <row r="2751" customFormat="false" ht="15" hidden="false" customHeight="false" outlineLevel="0" collapsed="false">
      <c r="A2751" s="0" t="s">
        <v>82</v>
      </c>
      <c r="B2751" s="0" t="s">
        <v>1252</v>
      </c>
      <c r="C2751" s="0" t="n">
        <v>60</v>
      </c>
      <c r="D2751" s="0" t="n">
        <v>10</v>
      </c>
      <c r="E2751" s="0" t="n">
        <v>0</v>
      </c>
      <c r="F2751" s="0" t="n">
        <v>54</v>
      </c>
      <c r="G2751" s="0" t="n">
        <v>200</v>
      </c>
      <c r="H2751" s="0" t="s">
        <v>230</v>
      </c>
      <c r="I2751" s="0" t="n">
        <v>200</v>
      </c>
      <c r="J2751" s="0" t="n">
        <f aca="false">F2751*E2751</f>
        <v>0</v>
      </c>
      <c r="K2751" s="0" t="str">
        <f aca="false">IF(G2751&lt;1000,"1-Low",IF(G2751&lt;5000,"2-Medium","3-Bulk"))</f>
        <v>1-Low</v>
      </c>
      <c r="L2751" s="0" t="str">
        <f aca="false">IF(H2751="TRUE","Out of stock","In stock")</f>
        <v>Out of stock</v>
      </c>
      <c r="M2751" s="0" t="str">
        <f aca="false">IF(D2751&lt;5,"1) Under 5%",IF(D2751&lt;10,"2) 5-9%",IF(D2751&lt;15,"3) 10-14%",IF(D2751&lt;25,"4) 15-24%","5) 25%+"))))</f>
        <v>3) 10-14%</v>
      </c>
      <c r="N2751" s="0" t="str">
        <f aca="false">IF(F2751&lt;50,"1) Under Rs 50",IF(F2751&lt;100,"2) Rs 50-99",IF(F2751&lt;200,"3) Rs 100-199",IF(F2751&lt;500,"4) Rs 200-499","5) Rs 500+"))))</f>
        <v>2) Rs 50-99</v>
      </c>
      <c r="O2751" s="0" t="n">
        <f aca="false">G2751*E2751/1000</f>
        <v>0</v>
      </c>
    </row>
    <row r="2752" customFormat="false" ht="15" hidden="false" customHeight="false" outlineLevel="0" collapsed="false">
      <c r="A2752" s="0" t="s">
        <v>82</v>
      </c>
      <c r="B2752" s="0" t="s">
        <v>1253</v>
      </c>
      <c r="C2752" s="0" t="n">
        <v>35</v>
      </c>
      <c r="D2752" s="0" t="n">
        <v>17</v>
      </c>
      <c r="E2752" s="0" t="n">
        <v>0</v>
      </c>
      <c r="F2752" s="0" t="n">
        <v>29</v>
      </c>
      <c r="G2752" s="0" t="n">
        <v>150</v>
      </c>
      <c r="H2752" s="0" t="s">
        <v>230</v>
      </c>
      <c r="I2752" s="0" t="n">
        <v>150</v>
      </c>
      <c r="J2752" s="0" t="n">
        <f aca="false">F2752*E2752</f>
        <v>0</v>
      </c>
      <c r="K2752" s="0" t="str">
        <f aca="false">IF(G2752&lt;1000,"1-Low",IF(G2752&lt;5000,"2-Medium","3-Bulk"))</f>
        <v>1-Low</v>
      </c>
      <c r="L2752" s="0" t="str">
        <f aca="false">IF(H2752="TRUE","Out of stock","In stock")</f>
        <v>Out of stock</v>
      </c>
      <c r="M2752" s="0" t="str">
        <f aca="false">IF(D2752&lt;5,"1) Under 5%",IF(D2752&lt;10,"2) 5-9%",IF(D2752&lt;15,"3) 10-14%",IF(D2752&lt;25,"4) 15-24%","5) 25%+"))))</f>
        <v>4) 15-24%</v>
      </c>
      <c r="N2752" s="0" t="str">
        <f aca="false">IF(F2752&lt;50,"1) Under Rs 50",IF(F2752&lt;100,"2) Rs 50-99",IF(F2752&lt;200,"3) Rs 100-199",IF(F2752&lt;500,"4) Rs 200-499","5) Rs 500+"))))</f>
        <v>1) Under Rs 50</v>
      </c>
      <c r="O2752" s="0" t="n">
        <f aca="false">G2752*E2752/1000</f>
        <v>0</v>
      </c>
    </row>
    <row r="2753" customFormat="false" ht="15" hidden="false" customHeight="false" outlineLevel="0" collapsed="false">
      <c r="A2753" s="0" t="s">
        <v>82</v>
      </c>
      <c r="B2753" s="0" t="s">
        <v>1254</v>
      </c>
      <c r="C2753" s="0" t="n">
        <v>40</v>
      </c>
      <c r="D2753" s="0" t="n">
        <v>0</v>
      </c>
      <c r="E2753" s="0" t="n">
        <v>0</v>
      </c>
      <c r="F2753" s="0" t="n">
        <v>40</v>
      </c>
      <c r="G2753" s="0" t="n">
        <v>300</v>
      </c>
      <c r="H2753" s="0" t="s">
        <v>230</v>
      </c>
      <c r="I2753" s="0" t="n">
        <v>300</v>
      </c>
      <c r="J2753" s="0" t="n">
        <f aca="false">F2753*E2753</f>
        <v>0</v>
      </c>
      <c r="K2753" s="0" t="str">
        <f aca="false">IF(G2753&lt;1000,"1-Low",IF(G2753&lt;5000,"2-Medium","3-Bulk"))</f>
        <v>1-Low</v>
      </c>
      <c r="L2753" s="0" t="str">
        <f aca="false">IF(H2753="TRUE","Out of stock","In stock")</f>
        <v>Out of stock</v>
      </c>
      <c r="M2753" s="0" t="str">
        <f aca="false">IF(D2753&lt;5,"1) Under 5%",IF(D2753&lt;10,"2) 5-9%",IF(D2753&lt;15,"3) 10-14%",IF(D2753&lt;25,"4) 15-24%","5) 25%+"))))</f>
        <v>1) Under 5%</v>
      </c>
      <c r="N2753" s="0" t="str">
        <f aca="false">IF(F2753&lt;50,"1) Under Rs 50",IF(F2753&lt;100,"2) Rs 50-99",IF(F2753&lt;200,"3) Rs 100-199",IF(F2753&lt;500,"4) Rs 200-499","5) Rs 500+"))))</f>
        <v>1) Under Rs 50</v>
      </c>
      <c r="O2753" s="0" t="n">
        <f aca="false">G2753*E2753/1000</f>
        <v>0</v>
      </c>
    </row>
    <row r="2754" customFormat="false" ht="15" hidden="false" customHeight="false" outlineLevel="0" collapsed="false">
      <c r="A2754" s="0" t="s">
        <v>82</v>
      </c>
      <c r="B2754" s="0" t="s">
        <v>1253</v>
      </c>
      <c r="C2754" s="0" t="n">
        <v>35</v>
      </c>
      <c r="D2754" s="0" t="n">
        <v>0</v>
      </c>
      <c r="E2754" s="0" t="n">
        <v>0</v>
      </c>
      <c r="F2754" s="0" t="n">
        <v>35</v>
      </c>
      <c r="G2754" s="0" t="n">
        <v>150</v>
      </c>
      <c r="H2754" s="0" t="s">
        <v>230</v>
      </c>
      <c r="I2754" s="0" t="n">
        <v>150</v>
      </c>
      <c r="J2754" s="0" t="n">
        <f aca="false">F2754*E2754</f>
        <v>0</v>
      </c>
      <c r="K2754" s="0" t="str">
        <f aca="false">IF(G2754&lt;1000,"1-Low",IF(G2754&lt;5000,"2-Medium","3-Bulk"))</f>
        <v>1-Low</v>
      </c>
      <c r="L2754" s="0" t="str">
        <f aca="false">IF(H2754="TRUE","Out of stock","In stock")</f>
        <v>Out of stock</v>
      </c>
      <c r="M2754" s="0" t="str">
        <f aca="false">IF(D2754&lt;5,"1) Under 5%",IF(D2754&lt;10,"2) 5-9%",IF(D2754&lt;15,"3) 10-14%",IF(D2754&lt;25,"4) 15-24%","5) 25%+"))))</f>
        <v>1) Under 5%</v>
      </c>
      <c r="N2754" s="0" t="str">
        <f aca="false">IF(F2754&lt;50,"1) Under Rs 50",IF(F2754&lt;100,"2) Rs 50-99",IF(F2754&lt;200,"3) Rs 100-199",IF(F2754&lt;500,"4) Rs 200-499","5) Rs 500+"))))</f>
        <v>1) Under Rs 50</v>
      </c>
      <c r="O2754" s="0" t="n">
        <f aca="false">G2754*E2754/1000</f>
        <v>0</v>
      </c>
    </row>
    <row r="2755" customFormat="false" ht="15" hidden="false" customHeight="false" outlineLevel="0" collapsed="false">
      <c r="A2755" s="0" t="s">
        <v>123</v>
      </c>
      <c r="B2755" s="0" t="s">
        <v>1255</v>
      </c>
      <c r="C2755" s="0" t="n">
        <v>160</v>
      </c>
      <c r="D2755" s="0" t="n">
        <v>35</v>
      </c>
      <c r="E2755" s="0" t="n">
        <v>3</v>
      </c>
      <c r="F2755" s="0" t="n">
        <v>104</v>
      </c>
      <c r="G2755" s="0" t="n">
        <v>80</v>
      </c>
      <c r="H2755" s="0" t="s">
        <v>145</v>
      </c>
      <c r="I2755" s="0" t="n">
        <v>80</v>
      </c>
      <c r="J2755" s="0" t="n">
        <f aca="false">F2755*E2755</f>
        <v>312</v>
      </c>
      <c r="K2755" s="0" t="str">
        <f aca="false">IF(G2755&lt;1000,"1-Low",IF(G2755&lt;5000,"2-Medium","3-Bulk"))</f>
        <v>1-Low</v>
      </c>
      <c r="L2755" s="0" t="str">
        <f aca="false">IF(H2755="TRUE","Out of stock","In stock")</f>
        <v>In stock</v>
      </c>
      <c r="M2755" s="0" t="str">
        <f aca="false">IF(D2755&lt;5,"1) Under 5%",IF(D2755&lt;10,"2) 5-9%",IF(D2755&lt;15,"3) 10-14%",IF(D2755&lt;25,"4) 15-24%","5) 25%+"))))</f>
        <v>5) 25%+</v>
      </c>
      <c r="N2755" s="0" t="str">
        <f aca="false">IF(F2755&lt;50,"1) Under Rs 50",IF(F2755&lt;100,"2) Rs 50-99",IF(F2755&lt;200,"3) Rs 100-199",IF(F2755&lt;500,"4) Rs 200-499","5) Rs 500+"))))</f>
        <v>3) Rs 100-199</v>
      </c>
      <c r="O2755" s="0" t="n">
        <f aca="false">G2755*E2755/1000</f>
        <v>0.24</v>
      </c>
    </row>
    <row r="2756" customFormat="false" ht="15" hidden="false" customHeight="false" outlineLevel="0" collapsed="false">
      <c r="A2756" s="0" t="s">
        <v>123</v>
      </c>
      <c r="B2756" s="0" t="s">
        <v>1256</v>
      </c>
      <c r="C2756" s="0" t="n">
        <v>25</v>
      </c>
      <c r="D2756" s="0" t="n">
        <v>0</v>
      </c>
      <c r="E2756" s="0" t="n">
        <v>6</v>
      </c>
      <c r="F2756" s="0" t="n">
        <v>25</v>
      </c>
      <c r="G2756" s="0" t="n">
        <v>50</v>
      </c>
      <c r="H2756" s="0" t="s">
        <v>145</v>
      </c>
      <c r="I2756" s="0" t="n">
        <v>50</v>
      </c>
      <c r="J2756" s="0" t="n">
        <f aca="false">F2756*E2756</f>
        <v>150</v>
      </c>
      <c r="K2756" s="0" t="str">
        <f aca="false">IF(G2756&lt;1000,"1-Low",IF(G2756&lt;5000,"2-Medium","3-Bulk"))</f>
        <v>1-Low</v>
      </c>
      <c r="L2756" s="0" t="str">
        <f aca="false">IF(H2756="TRUE","Out of stock","In stock")</f>
        <v>In stock</v>
      </c>
      <c r="M2756" s="0" t="str">
        <f aca="false">IF(D2756&lt;5,"1) Under 5%",IF(D2756&lt;10,"2) 5-9%",IF(D2756&lt;15,"3) 10-14%",IF(D2756&lt;25,"4) 15-24%","5) 25%+"))))</f>
        <v>1) Under 5%</v>
      </c>
      <c r="N2756" s="0" t="str">
        <f aca="false">IF(F2756&lt;50,"1) Under Rs 50",IF(F2756&lt;100,"2) Rs 50-99",IF(F2756&lt;200,"3) Rs 100-199",IF(F2756&lt;500,"4) Rs 200-499","5) Rs 500+"))))</f>
        <v>1) Under Rs 50</v>
      </c>
      <c r="O2756" s="0" t="n">
        <f aca="false">G2756*E2756/1000</f>
        <v>0.3</v>
      </c>
    </row>
    <row r="2757" customFormat="false" ht="15" hidden="false" customHeight="false" outlineLevel="0" collapsed="false">
      <c r="A2757" s="0" t="s">
        <v>123</v>
      </c>
      <c r="B2757" s="0" t="s">
        <v>1257</v>
      </c>
      <c r="C2757" s="0" t="n">
        <v>115</v>
      </c>
      <c r="D2757" s="0" t="n">
        <v>10</v>
      </c>
      <c r="E2757" s="0" t="n">
        <v>6</v>
      </c>
      <c r="F2757" s="0" t="n">
        <v>103</v>
      </c>
      <c r="G2757" s="0" t="n">
        <v>100</v>
      </c>
      <c r="H2757" s="0" t="s">
        <v>145</v>
      </c>
      <c r="I2757" s="0" t="n">
        <v>100</v>
      </c>
      <c r="J2757" s="0" t="n">
        <f aca="false">F2757*E2757</f>
        <v>618</v>
      </c>
      <c r="K2757" s="0" t="str">
        <f aca="false">IF(G2757&lt;1000,"1-Low",IF(G2757&lt;5000,"2-Medium","3-Bulk"))</f>
        <v>1-Low</v>
      </c>
      <c r="L2757" s="0" t="str">
        <f aca="false">IF(H2757="TRUE","Out of stock","In stock")</f>
        <v>In stock</v>
      </c>
      <c r="M2757" s="0" t="str">
        <f aca="false">IF(D2757&lt;5,"1) Under 5%",IF(D2757&lt;10,"2) 5-9%",IF(D2757&lt;15,"3) 10-14%",IF(D2757&lt;25,"4) 15-24%","5) 25%+"))))</f>
        <v>3) 10-14%</v>
      </c>
      <c r="N2757" s="0" t="str">
        <f aca="false">IF(F2757&lt;50,"1) Under Rs 50",IF(F2757&lt;100,"2) Rs 50-99",IF(F2757&lt;200,"3) Rs 100-199",IF(F2757&lt;500,"4) Rs 200-499","5) Rs 500+"))))</f>
        <v>3) Rs 100-199</v>
      </c>
      <c r="O2757" s="0" t="n">
        <f aca="false">G2757*E2757/1000</f>
        <v>0.6</v>
      </c>
    </row>
    <row r="2758" customFormat="false" ht="15" hidden="false" customHeight="false" outlineLevel="0" collapsed="false">
      <c r="A2758" s="0" t="s">
        <v>123</v>
      </c>
      <c r="B2758" s="0" t="s">
        <v>1258</v>
      </c>
      <c r="C2758" s="0" t="n">
        <v>109</v>
      </c>
      <c r="D2758" s="0" t="n">
        <v>3</v>
      </c>
      <c r="E2758" s="0" t="n">
        <v>6</v>
      </c>
      <c r="F2758" s="0" t="n">
        <v>105</v>
      </c>
      <c r="G2758" s="0" t="n">
        <v>750</v>
      </c>
      <c r="H2758" s="0" t="s">
        <v>145</v>
      </c>
      <c r="I2758" s="0" t="n">
        <v>750</v>
      </c>
      <c r="J2758" s="0" t="n">
        <f aca="false">F2758*E2758</f>
        <v>630</v>
      </c>
      <c r="K2758" s="0" t="str">
        <f aca="false">IF(G2758&lt;1000,"1-Low",IF(G2758&lt;5000,"2-Medium","3-Bulk"))</f>
        <v>1-Low</v>
      </c>
      <c r="L2758" s="0" t="str">
        <f aca="false">IF(H2758="TRUE","Out of stock","In stock")</f>
        <v>In stock</v>
      </c>
      <c r="M2758" s="0" t="str">
        <f aca="false">IF(D2758&lt;5,"1) Under 5%",IF(D2758&lt;10,"2) 5-9%",IF(D2758&lt;15,"3) 10-14%",IF(D2758&lt;25,"4) 15-24%","5) 25%+"))))</f>
        <v>1) Under 5%</v>
      </c>
      <c r="N2758" s="0" t="str">
        <f aca="false">IF(F2758&lt;50,"1) Under Rs 50",IF(F2758&lt;100,"2) Rs 50-99",IF(F2758&lt;200,"3) Rs 100-199",IF(F2758&lt;500,"4) Rs 200-499","5) Rs 500+"))))</f>
        <v>3) Rs 100-199</v>
      </c>
      <c r="O2758" s="0" t="n">
        <f aca="false">G2758*E2758/1000</f>
        <v>4.5</v>
      </c>
    </row>
    <row r="2759" customFormat="false" ht="15" hidden="false" customHeight="false" outlineLevel="0" collapsed="false">
      <c r="A2759" s="0" t="s">
        <v>123</v>
      </c>
      <c r="B2759" s="0" t="s">
        <v>1259</v>
      </c>
      <c r="C2759" s="0" t="n">
        <v>115</v>
      </c>
      <c r="D2759" s="0" t="n">
        <v>4</v>
      </c>
      <c r="E2759" s="0" t="n">
        <v>6</v>
      </c>
      <c r="F2759" s="0" t="n">
        <v>110</v>
      </c>
      <c r="G2759" s="0" t="n">
        <v>750</v>
      </c>
      <c r="H2759" s="0" t="s">
        <v>145</v>
      </c>
      <c r="I2759" s="0" t="n">
        <v>500</v>
      </c>
      <c r="J2759" s="0" t="n">
        <f aca="false">F2759*E2759</f>
        <v>660</v>
      </c>
      <c r="K2759" s="0" t="str">
        <f aca="false">IF(G2759&lt;1000,"1-Low",IF(G2759&lt;5000,"2-Medium","3-Bulk"))</f>
        <v>1-Low</v>
      </c>
      <c r="L2759" s="0" t="str">
        <f aca="false">IF(H2759="TRUE","Out of stock","In stock")</f>
        <v>In stock</v>
      </c>
      <c r="M2759" s="0" t="str">
        <f aca="false">IF(D2759&lt;5,"1) Under 5%",IF(D2759&lt;10,"2) 5-9%",IF(D2759&lt;15,"3) 10-14%",IF(D2759&lt;25,"4) 15-24%","5) 25%+"))))</f>
        <v>1) Under 5%</v>
      </c>
      <c r="N2759" s="0" t="str">
        <f aca="false">IF(F2759&lt;50,"1) Under Rs 50",IF(F2759&lt;100,"2) Rs 50-99",IF(F2759&lt;200,"3) Rs 100-199",IF(F2759&lt;500,"4) Rs 200-499","5) Rs 500+"))))</f>
        <v>3) Rs 100-199</v>
      </c>
      <c r="O2759" s="0" t="n">
        <f aca="false">G2759*E2759/1000</f>
        <v>4.5</v>
      </c>
    </row>
    <row r="2760" customFormat="false" ht="15" hidden="false" customHeight="false" outlineLevel="0" collapsed="false">
      <c r="A2760" s="0" t="s">
        <v>123</v>
      </c>
      <c r="B2760" s="0" t="s">
        <v>1260</v>
      </c>
      <c r="C2760" s="0" t="n">
        <v>120</v>
      </c>
      <c r="D2760" s="0" t="n">
        <v>10</v>
      </c>
      <c r="E2760" s="0" t="n">
        <v>6</v>
      </c>
      <c r="F2760" s="0" t="n">
        <v>108</v>
      </c>
      <c r="G2760" s="0" t="n">
        <v>120</v>
      </c>
      <c r="H2760" s="0" t="s">
        <v>145</v>
      </c>
      <c r="I2760" s="0" t="n">
        <v>120</v>
      </c>
      <c r="J2760" s="0" t="n">
        <f aca="false">F2760*E2760</f>
        <v>648</v>
      </c>
      <c r="K2760" s="0" t="str">
        <f aca="false">IF(G2760&lt;1000,"1-Low",IF(G2760&lt;5000,"2-Medium","3-Bulk"))</f>
        <v>1-Low</v>
      </c>
      <c r="L2760" s="0" t="str">
        <f aca="false">IF(H2760="TRUE","Out of stock","In stock")</f>
        <v>In stock</v>
      </c>
      <c r="M2760" s="0" t="str">
        <f aca="false">IF(D2760&lt;5,"1) Under 5%",IF(D2760&lt;10,"2) 5-9%",IF(D2760&lt;15,"3) 10-14%",IF(D2760&lt;25,"4) 15-24%","5) 25%+"))))</f>
        <v>3) 10-14%</v>
      </c>
      <c r="N2760" s="0" t="str">
        <f aca="false">IF(F2760&lt;50,"1) Under Rs 50",IF(F2760&lt;100,"2) Rs 50-99",IF(F2760&lt;200,"3) Rs 100-199",IF(F2760&lt;500,"4) Rs 200-499","5) Rs 500+"))))</f>
        <v>3) Rs 100-199</v>
      </c>
      <c r="O2760" s="0" t="n">
        <f aca="false">G2760*E2760/1000</f>
        <v>0.72</v>
      </c>
    </row>
    <row r="2761" customFormat="false" ht="15" hidden="false" customHeight="false" outlineLevel="0" collapsed="false">
      <c r="A2761" s="0" t="s">
        <v>123</v>
      </c>
      <c r="B2761" s="0" t="s">
        <v>1261</v>
      </c>
      <c r="C2761" s="0" t="n">
        <v>35</v>
      </c>
      <c r="D2761" s="0" t="n">
        <v>2</v>
      </c>
      <c r="E2761" s="0" t="n">
        <v>6</v>
      </c>
      <c r="F2761" s="0" t="n">
        <v>34</v>
      </c>
      <c r="G2761" s="0" t="n">
        <v>75</v>
      </c>
      <c r="H2761" s="0" t="s">
        <v>145</v>
      </c>
      <c r="I2761" s="0" t="n">
        <v>75</v>
      </c>
      <c r="J2761" s="0" t="n">
        <f aca="false">F2761*E2761</f>
        <v>204</v>
      </c>
      <c r="K2761" s="0" t="str">
        <f aca="false">IF(G2761&lt;1000,"1-Low",IF(G2761&lt;5000,"2-Medium","3-Bulk"))</f>
        <v>1-Low</v>
      </c>
      <c r="L2761" s="0" t="str">
        <f aca="false">IF(H2761="TRUE","Out of stock","In stock")</f>
        <v>In stock</v>
      </c>
      <c r="M2761" s="0" t="str">
        <f aca="false">IF(D2761&lt;5,"1) Under 5%",IF(D2761&lt;10,"2) 5-9%",IF(D2761&lt;15,"3) 10-14%",IF(D2761&lt;25,"4) 15-24%","5) 25%+"))))</f>
        <v>1) Under 5%</v>
      </c>
      <c r="N2761" s="0" t="str">
        <f aca="false">IF(F2761&lt;50,"1) Under Rs 50",IF(F2761&lt;100,"2) Rs 50-99",IF(F2761&lt;200,"3) Rs 100-199",IF(F2761&lt;500,"4) Rs 200-499","5) Rs 500+"))))</f>
        <v>1) Under Rs 50</v>
      </c>
      <c r="O2761" s="0" t="n">
        <f aca="false">G2761*E2761/1000</f>
        <v>0.45</v>
      </c>
    </row>
    <row r="2762" customFormat="false" ht="15" hidden="false" customHeight="false" outlineLevel="0" collapsed="false">
      <c r="A2762" s="0" t="s">
        <v>123</v>
      </c>
      <c r="B2762" s="0" t="s">
        <v>1262</v>
      </c>
      <c r="C2762" s="0" t="n">
        <v>114</v>
      </c>
      <c r="D2762" s="0" t="n">
        <v>18</v>
      </c>
      <c r="E2762" s="0" t="n">
        <v>2</v>
      </c>
      <c r="F2762" s="0" t="n">
        <v>93</v>
      </c>
      <c r="G2762" s="0" t="n">
        <v>200</v>
      </c>
      <c r="H2762" s="0" t="s">
        <v>145</v>
      </c>
      <c r="I2762" s="0" t="n">
        <v>200</v>
      </c>
      <c r="J2762" s="0" t="n">
        <f aca="false">F2762*E2762</f>
        <v>186</v>
      </c>
      <c r="K2762" s="0" t="str">
        <f aca="false">IF(G2762&lt;1000,"1-Low",IF(G2762&lt;5000,"2-Medium","3-Bulk"))</f>
        <v>1-Low</v>
      </c>
      <c r="L2762" s="0" t="str">
        <f aca="false">IF(H2762="TRUE","Out of stock","In stock")</f>
        <v>In stock</v>
      </c>
      <c r="M2762" s="0" t="str">
        <f aca="false">IF(D2762&lt;5,"1) Under 5%",IF(D2762&lt;10,"2) 5-9%",IF(D2762&lt;15,"3) 10-14%",IF(D2762&lt;25,"4) 15-24%","5) 25%+"))))</f>
        <v>4) 15-24%</v>
      </c>
      <c r="N2762" s="0" t="str">
        <f aca="false">IF(F2762&lt;50,"1) Under Rs 50",IF(F2762&lt;100,"2) Rs 50-99",IF(F2762&lt;200,"3) Rs 100-199",IF(F2762&lt;500,"4) Rs 200-499","5) Rs 500+"))))</f>
        <v>2) Rs 50-99</v>
      </c>
      <c r="O2762" s="0" t="n">
        <f aca="false">G2762*E2762/1000</f>
        <v>0.4</v>
      </c>
    </row>
    <row r="2763" customFormat="false" ht="15" hidden="false" customHeight="false" outlineLevel="0" collapsed="false">
      <c r="A2763" s="0" t="s">
        <v>123</v>
      </c>
      <c r="B2763" s="0" t="s">
        <v>1263</v>
      </c>
      <c r="C2763" s="0" t="n">
        <v>225</v>
      </c>
      <c r="D2763" s="0" t="n">
        <v>24</v>
      </c>
      <c r="E2763" s="0" t="n">
        <v>6</v>
      </c>
      <c r="F2763" s="0" t="n">
        <v>169</v>
      </c>
      <c r="G2763" s="0" t="n">
        <v>150</v>
      </c>
      <c r="H2763" s="0" t="s">
        <v>145</v>
      </c>
      <c r="I2763" s="0" t="n">
        <v>150</v>
      </c>
      <c r="J2763" s="0" t="n">
        <f aca="false">F2763*E2763</f>
        <v>1014</v>
      </c>
      <c r="K2763" s="0" t="str">
        <f aca="false">IF(G2763&lt;1000,"1-Low",IF(G2763&lt;5000,"2-Medium","3-Bulk"))</f>
        <v>1-Low</v>
      </c>
      <c r="L2763" s="0" t="str">
        <f aca="false">IF(H2763="TRUE","Out of stock","In stock")</f>
        <v>In stock</v>
      </c>
      <c r="M2763" s="0" t="str">
        <f aca="false">IF(D2763&lt;5,"1) Under 5%",IF(D2763&lt;10,"2) 5-9%",IF(D2763&lt;15,"3) 10-14%",IF(D2763&lt;25,"4) 15-24%","5) 25%+"))))</f>
        <v>4) 15-24%</v>
      </c>
      <c r="N2763" s="0" t="str">
        <f aca="false">IF(F2763&lt;50,"1) Under Rs 50",IF(F2763&lt;100,"2) Rs 50-99",IF(F2763&lt;200,"3) Rs 100-199",IF(F2763&lt;500,"4) Rs 200-499","5) Rs 500+"))))</f>
        <v>3) Rs 100-199</v>
      </c>
      <c r="O2763" s="0" t="n">
        <f aca="false">G2763*E2763/1000</f>
        <v>0.9</v>
      </c>
    </row>
    <row r="2764" customFormat="false" ht="15" hidden="false" customHeight="false" outlineLevel="0" collapsed="false">
      <c r="A2764" s="0" t="s">
        <v>123</v>
      </c>
      <c r="B2764" s="0" t="s">
        <v>1264</v>
      </c>
      <c r="C2764" s="0" t="n">
        <v>58</v>
      </c>
      <c r="D2764" s="0" t="n">
        <v>5</v>
      </c>
      <c r="E2764" s="0" t="n">
        <v>6</v>
      </c>
      <c r="F2764" s="0" t="n">
        <v>55</v>
      </c>
      <c r="G2764" s="0" t="n">
        <v>100</v>
      </c>
      <c r="H2764" s="0" t="s">
        <v>145</v>
      </c>
      <c r="I2764" s="0" t="n">
        <v>100</v>
      </c>
      <c r="J2764" s="0" t="n">
        <f aca="false">F2764*E2764</f>
        <v>330</v>
      </c>
      <c r="K2764" s="0" t="str">
        <f aca="false">IF(G2764&lt;1000,"1-Low",IF(G2764&lt;5000,"2-Medium","3-Bulk"))</f>
        <v>1-Low</v>
      </c>
      <c r="L2764" s="0" t="str">
        <f aca="false">IF(H2764="TRUE","Out of stock","In stock")</f>
        <v>In stock</v>
      </c>
      <c r="M2764" s="0" t="str">
        <f aca="false">IF(D2764&lt;5,"1) Under 5%",IF(D2764&lt;10,"2) 5-9%",IF(D2764&lt;15,"3) 10-14%",IF(D2764&lt;25,"4) 15-24%","5) 25%+"))))</f>
        <v>2) 5-9%</v>
      </c>
      <c r="N2764" s="0" t="str">
        <f aca="false">IF(F2764&lt;50,"1) Under Rs 50",IF(F2764&lt;100,"2) Rs 50-99",IF(F2764&lt;200,"3) Rs 100-199",IF(F2764&lt;500,"4) Rs 200-499","5) Rs 500+"))))</f>
        <v>2) Rs 50-99</v>
      </c>
      <c r="O2764" s="0" t="n">
        <f aca="false">G2764*E2764/1000</f>
        <v>0.6</v>
      </c>
    </row>
    <row r="2765" customFormat="false" ht="15" hidden="false" customHeight="false" outlineLevel="0" collapsed="false">
      <c r="A2765" s="0" t="s">
        <v>123</v>
      </c>
      <c r="B2765" s="0" t="s">
        <v>1265</v>
      </c>
      <c r="C2765" s="0" t="n">
        <v>101</v>
      </c>
      <c r="D2765" s="0" t="n">
        <v>5</v>
      </c>
      <c r="E2765" s="0" t="n">
        <v>2</v>
      </c>
      <c r="F2765" s="0" t="n">
        <v>95</v>
      </c>
      <c r="G2765" s="0" t="n">
        <v>150</v>
      </c>
      <c r="H2765" s="0" t="s">
        <v>145</v>
      </c>
      <c r="I2765" s="0" t="n">
        <v>150</v>
      </c>
      <c r="J2765" s="0" t="n">
        <f aca="false">F2765*E2765</f>
        <v>190</v>
      </c>
      <c r="K2765" s="0" t="str">
        <f aca="false">IF(G2765&lt;1000,"1-Low",IF(G2765&lt;5000,"2-Medium","3-Bulk"))</f>
        <v>1-Low</v>
      </c>
      <c r="L2765" s="0" t="str">
        <f aca="false">IF(H2765="TRUE","Out of stock","In stock")</f>
        <v>In stock</v>
      </c>
      <c r="M2765" s="0" t="str">
        <f aca="false">IF(D2765&lt;5,"1) Under 5%",IF(D2765&lt;10,"2) 5-9%",IF(D2765&lt;15,"3) 10-14%",IF(D2765&lt;25,"4) 15-24%","5) 25%+"))))</f>
        <v>2) 5-9%</v>
      </c>
      <c r="N2765" s="0" t="str">
        <f aca="false">IF(F2765&lt;50,"1) Under Rs 50",IF(F2765&lt;100,"2) Rs 50-99",IF(F2765&lt;200,"3) Rs 100-199",IF(F2765&lt;500,"4) Rs 200-499","5) Rs 500+"))))</f>
        <v>2) Rs 50-99</v>
      </c>
      <c r="O2765" s="0" t="n">
        <f aca="false">G2765*E2765/1000</f>
        <v>0.3</v>
      </c>
    </row>
    <row r="2766" customFormat="false" ht="15" hidden="false" customHeight="false" outlineLevel="0" collapsed="false">
      <c r="A2766" s="0" t="s">
        <v>123</v>
      </c>
      <c r="B2766" s="0" t="s">
        <v>1266</v>
      </c>
      <c r="C2766" s="0" t="n">
        <v>432</v>
      </c>
      <c r="D2766" s="0" t="n">
        <v>15</v>
      </c>
      <c r="E2766" s="0" t="n">
        <v>6</v>
      </c>
      <c r="F2766" s="0" t="n">
        <v>367</v>
      </c>
      <c r="G2766" s="0" t="n">
        <v>100</v>
      </c>
      <c r="H2766" s="0" t="s">
        <v>145</v>
      </c>
      <c r="I2766" s="0" t="n">
        <v>100</v>
      </c>
      <c r="J2766" s="0" t="n">
        <f aca="false">F2766*E2766</f>
        <v>2202</v>
      </c>
      <c r="K2766" s="0" t="str">
        <f aca="false">IF(G2766&lt;1000,"1-Low",IF(G2766&lt;5000,"2-Medium","3-Bulk"))</f>
        <v>1-Low</v>
      </c>
      <c r="L2766" s="0" t="str">
        <f aca="false">IF(H2766="TRUE","Out of stock","In stock")</f>
        <v>In stock</v>
      </c>
      <c r="M2766" s="0" t="str">
        <f aca="false">IF(D2766&lt;5,"1) Under 5%",IF(D2766&lt;10,"2) 5-9%",IF(D2766&lt;15,"3) 10-14%",IF(D2766&lt;25,"4) 15-24%","5) 25%+"))))</f>
        <v>4) 15-24%</v>
      </c>
      <c r="N2766" s="0" t="str">
        <f aca="false">IF(F2766&lt;50,"1) Under Rs 50",IF(F2766&lt;100,"2) Rs 50-99",IF(F2766&lt;200,"3) Rs 100-199",IF(F2766&lt;500,"4) Rs 200-499","5) Rs 500+"))))</f>
        <v>4) Rs 200-499</v>
      </c>
      <c r="O2766" s="0" t="n">
        <f aca="false">G2766*E2766/1000</f>
        <v>0.6</v>
      </c>
    </row>
    <row r="2767" customFormat="false" ht="15" hidden="false" customHeight="false" outlineLevel="0" collapsed="false">
      <c r="A2767" s="0" t="s">
        <v>123</v>
      </c>
      <c r="B2767" s="0" t="s">
        <v>1267</v>
      </c>
      <c r="C2767" s="0" t="n">
        <v>50</v>
      </c>
      <c r="D2767" s="0" t="n">
        <v>0</v>
      </c>
      <c r="E2767" s="0" t="n">
        <v>6</v>
      </c>
      <c r="F2767" s="0" t="n">
        <v>50</v>
      </c>
      <c r="G2767" s="0" t="n">
        <v>58</v>
      </c>
      <c r="H2767" s="0" t="s">
        <v>145</v>
      </c>
      <c r="I2767" s="0" t="n">
        <v>1</v>
      </c>
      <c r="J2767" s="0" t="n">
        <f aca="false">F2767*E2767</f>
        <v>300</v>
      </c>
      <c r="K2767" s="0" t="str">
        <f aca="false">IF(G2767&lt;1000,"1-Low",IF(G2767&lt;5000,"2-Medium","3-Bulk"))</f>
        <v>1-Low</v>
      </c>
      <c r="L2767" s="0" t="str">
        <f aca="false">IF(H2767="TRUE","Out of stock","In stock")</f>
        <v>In stock</v>
      </c>
      <c r="M2767" s="0" t="str">
        <f aca="false">IF(D2767&lt;5,"1) Under 5%",IF(D2767&lt;10,"2) 5-9%",IF(D2767&lt;15,"3) 10-14%",IF(D2767&lt;25,"4) 15-24%","5) 25%+"))))</f>
        <v>1) Under 5%</v>
      </c>
      <c r="N2767" s="0" t="str">
        <f aca="false">IF(F2767&lt;50,"1) Under Rs 50",IF(F2767&lt;100,"2) Rs 50-99",IF(F2767&lt;200,"3) Rs 100-199",IF(F2767&lt;500,"4) Rs 200-499","5) Rs 500+"))))</f>
        <v>2) Rs 50-99</v>
      </c>
      <c r="O2767" s="0" t="n">
        <f aca="false">G2767*E2767/1000</f>
        <v>0.348</v>
      </c>
    </row>
    <row r="2768" customFormat="false" ht="15" hidden="false" customHeight="false" outlineLevel="0" collapsed="false">
      <c r="A2768" s="0" t="s">
        <v>123</v>
      </c>
      <c r="B2768" s="0" t="s">
        <v>1268</v>
      </c>
      <c r="C2768" s="0" t="n">
        <v>75</v>
      </c>
      <c r="D2768" s="0" t="n">
        <v>0</v>
      </c>
      <c r="E2768" s="0" t="n">
        <v>6</v>
      </c>
      <c r="F2768" s="0" t="n">
        <v>75</v>
      </c>
      <c r="G2768" s="0" t="n">
        <v>125</v>
      </c>
      <c r="H2768" s="0" t="s">
        <v>145</v>
      </c>
      <c r="I2768" s="0" t="n">
        <v>125</v>
      </c>
      <c r="J2768" s="0" t="n">
        <f aca="false">F2768*E2768</f>
        <v>450</v>
      </c>
      <c r="K2768" s="0" t="str">
        <f aca="false">IF(G2768&lt;1000,"1-Low",IF(G2768&lt;5000,"2-Medium","3-Bulk"))</f>
        <v>1-Low</v>
      </c>
      <c r="L2768" s="0" t="str">
        <f aca="false">IF(H2768="TRUE","Out of stock","In stock")</f>
        <v>In stock</v>
      </c>
      <c r="M2768" s="0" t="str">
        <f aca="false">IF(D2768&lt;5,"1) Under 5%",IF(D2768&lt;10,"2) 5-9%",IF(D2768&lt;15,"3) 10-14%",IF(D2768&lt;25,"4) 15-24%","5) 25%+"))))</f>
        <v>1) Under 5%</v>
      </c>
      <c r="N2768" s="0" t="str">
        <f aca="false">IF(F2768&lt;50,"1) Under Rs 50",IF(F2768&lt;100,"2) Rs 50-99",IF(F2768&lt;200,"3) Rs 100-199",IF(F2768&lt;500,"4) Rs 200-499","5) Rs 500+"))))</f>
        <v>2) Rs 50-99</v>
      </c>
      <c r="O2768" s="0" t="n">
        <f aca="false">G2768*E2768/1000</f>
        <v>0.75</v>
      </c>
    </row>
    <row r="2769" customFormat="false" ht="15" hidden="false" customHeight="false" outlineLevel="0" collapsed="false">
      <c r="A2769" s="0" t="s">
        <v>123</v>
      </c>
      <c r="B2769" s="0" t="s">
        <v>1269</v>
      </c>
      <c r="C2769" s="0" t="n">
        <v>79</v>
      </c>
      <c r="D2769" s="0" t="n">
        <v>13</v>
      </c>
      <c r="E2769" s="0" t="n">
        <v>6</v>
      </c>
      <c r="F2769" s="0" t="n">
        <v>68</v>
      </c>
      <c r="G2769" s="0" t="n">
        <v>50</v>
      </c>
      <c r="H2769" s="0" t="s">
        <v>145</v>
      </c>
      <c r="I2769" s="0" t="n">
        <v>50</v>
      </c>
      <c r="J2769" s="0" t="n">
        <f aca="false">F2769*E2769</f>
        <v>408</v>
      </c>
      <c r="K2769" s="0" t="str">
        <f aca="false">IF(G2769&lt;1000,"1-Low",IF(G2769&lt;5000,"2-Medium","3-Bulk"))</f>
        <v>1-Low</v>
      </c>
      <c r="L2769" s="0" t="str">
        <f aca="false">IF(H2769="TRUE","Out of stock","In stock")</f>
        <v>In stock</v>
      </c>
      <c r="M2769" s="0" t="str">
        <f aca="false">IF(D2769&lt;5,"1) Under 5%",IF(D2769&lt;10,"2) 5-9%",IF(D2769&lt;15,"3) 10-14%",IF(D2769&lt;25,"4) 15-24%","5) 25%+"))))</f>
        <v>3) 10-14%</v>
      </c>
      <c r="N2769" s="0" t="str">
        <f aca="false">IF(F2769&lt;50,"1) Under Rs 50",IF(F2769&lt;100,"2) Rs 50-99",IF(F2769&lt;200,"3) Rs 100-199",IF(F2769&lt;500,"4) Rs 200-499","5) Rs 500+"))))</f>
        <v>2) Rs 50-99</v>
      </c>
      <c r="O2769" s="0" t="n">
        <f aca="false">G2769*E2769/1000</f>
        <v>0.3</v>
      </c>
    </row>
    <row r="2770" customFormat="false" ht="15" hidden="false" customHeight="false" outlineLevel="0" collapsed="false">
      <c r="A2770" s="0" t="s">
        <v>123</v>
      </c>
      <c r="B2770" s="0" t="s">
        <v>1270</v>
      </c>
      <c r="C2770" s="0" t="n">
        <v>166</v>
      </c>
      <c r="D2770" s="0" t="n">
        <v>5</v>
      </c>
      <c r="E2770" s="0" t="n">
        <v>4</v>
      </c>
      <c r="F2770" s="0" t="n">
        <v>157</v>
      </c>
      <c r="G2770" s="0" t="n">
        <v>375</v>
      </c>
      <c r="H2770" s="0" t="s">
        <v>145</v>
      </c>
      <c r="I2770" s="0" t="n">
        <v>375</v>
      </c>
      <c r="J2770" s="0" t="n">
        <f aca="false">F2770*E2770</f>
        <v>628</v>
      </c>
      <c r="K2770" s="0" t="str">
        <f aca="false">IF(G2770&lt;1000,"1-Low",IF(G2770&lt;5000,"2-Medium","3-Bulk"))</f>
        <v>1-Low</v>
      </c>
      <c r="L2770" s="0" t="str">
        <f aca="false">IF(H2770="TRUE","Out of stock","In stock")</f>
        <v>In stock</v>
      </c>
      <c r="M2770" s="0" t="str">
        <f aca="false">IF(D2770&lt;5,"1) Under 5%",IF(D2770&lt;10,"2) 5-9%",IF(D2770&lt;15,"3) 10-14%",IF(D2770&lt;25,"4) 15-24%","5) 25%+"))))</f>
        <v>2) 5-9%</v>
      </c>
      <c r="N2770" s="0" t="str">
        <f aca="false">IF(F2770&lt;50,"1) Under Rs 50",IF(F2770&lt;100,"2) Rs 50-99",IF(F2770&lt;200,"3) Rs 100-199",IF(F2770&lt;500,"4) Rs 200-499","5) Rs 500+"))))</f>
        <v>3) Rs 100-199</v>
      </c>
      <c r="O2770" s="0" t="n">
        <f aca="false">G2770*E2770/1000</f>
        <v>1.5</v>
      </c>
    </row>
    <row r="2771" customFormat="false" ht="15" hidden="false" customHeight="false" outlineLevel="0" collapsed="false">
      <c r="A2771" s="0" t="s">
        <v>123</v>
      </c>
      <c r="B2771" s="0" t="s">
        <v>1271</v>
      </c>
      <c r="C2771" s="0" t="n">
        <v>260</v>
      </c>
      <c r="D2771" s="0" t="n">
        <v>5</v>
      </c>
      <c r="E2771" s="0" t="n">
        <v>6</v>
      </c>
      <c r="F2771" s="0" t="n">
        <v>247</v>
      </c>
      <c r="G2771" s="0" t="n">
        <v>625</v>
      </c>
      <c r="H2771" s="0" t="s">
        <v>145</v>
      </c>
      <c r="I2771" s="0" t="n">
        <v>625</v>
      </c>
      <c r="J2771" s="0" t="n">
        <f aca="false">F2771*E2771</f>
        <v>1482</v>
      </c>
      <c r="K2771" s="0" t="str">
        <f aca="false">IF(G2771&lt;1000,"1-Low",IF(G2771&lt;5000,"2-Medium","3-Bulk"))</f>
        <v>1-Low</v>
      </c>
      <c r="L2771" s="0" t="str">
        <f aca="false">IF(H2771="TRUE","Out of stock","In stock")</f>
        <v>In stock</v>
      </c>
      <c r="M2771" s="0" t="str">
        <f aca="false">IF(D2771&lt;5,"1) Under 5%",IF(D2771&lt;10,"2) 5-9%",IF(D2771&lt;15,"3) 10-14%",IF(D2771&lt;25,"4) 15-24%","5) 25%+"))))</f>
        <v>2) 5-9%</v>
      </c>
      <c r="N2771" s="0" t="str">
        <f aca="false">IF(F2771&lt;50,"1) Under Rs 50",IF(F2771&lt;100,"2) Rs 50-99",IF(F2771&lt;200,"3) Rs 100-199",IF(F2771&lt;500,"4) Rs 200-499","5) Rs 500+"))))</f>
        <v>4) Rs 200-499</v>
      </c>
      <c r="O2771" s="0" t="n">
        <f aca="false">G2771*E2771/1000</f>
        <v>3.75</v>
      </c>
    </row>
    <row r="2772" customFormat="false" ht="15" hidden="false" customHeight="false" outlineLevel="0" collapsed="false">
      <c r="A2772" s="0" t="s">
        <v>123</v>
      </c>
      <c r="B2772" s="0" t="s">
        <v>1272</v>
      </c>
      <c r="C2772" s="0" t="n">
        <v>250</v>
      </c>
      <c r="D2772" s="0" t="n">
        <v>10</v>
      </c>
      <c r="E2772" s="0" t="n">
        <v>3</v>
      </c>
      <c r="F2772" s="0" t="n">
        <v>225</v>
      </c>
      <c r="G2772" s="0" t="n">
        <v>100</v>
      </c>
      <c r="H2772" s="0" t="s">
        <v>145</v>
      </c>
      <c r="I2772" s="0" t="n">
        <v>100</v>
      </c>
      <c r="J2772" s="0" t="n">
        <f aca="false">F2772*E2772</f>
        <v>675</v>
      </c>
      <c r="K2772" s="0" t="str">
        <f aca="false">IF(G2772&lt;1000,"1-Low",IF(G2772&lt;5000,"2-Medium","3-Bulk"))</f>
        <v>1-Low</v>
      </c>
      <c r="L2772" s="0" t="str">
        <f aca="false">IF(H2772="TRUE","Out of stock","In stock")</f>
        <v>In stock</v>
      </c>
      <c r="M2772" s="0" t="str">
        <f aca="false">IF(D2772&lt;5,"1) Under 5%",IF(D2772&lt;10,"2) 5-9%",IF(D2772&lt;15,"3) 10-14%",IF(D2772&lt;25,"4) 15-24%","5) 25%+"))))</f>
        <v>3) 10-14%</v>
      </c>
      <c r="N2772" s="0" t="str">
        <f aca="false">IF(F2772&lt;50,"1) Under Rs 50",IF(F2772&lt;100,"2) Rs 50-99",IF(F2772&lt;200,"3) Rs 100-199",IF(F2772&lt;500,"4) Rs 200-499","5) Rs 500+"))))</f>
        <v>4) Rs 200-499</v>
      </c>
      <c r="O2772" s="0" t="n">
        <f aca="false">G2772*E2772/1000</f>
        <v>0.3</v>
      </c>
    </row>
    <row r="2773" customFormat="false" ht="15" hidden="false" customHeight="false" outlineLevel="0" collapsed="false">
      <c r="A2773" s="0" t="s">
        <v>123</v>
      </c>
      <c r="B2773" s="0" t="s">
        <v>1273</v>
      </c>
      <c r="C2773" s="0" t="n">
        <v>30</v>
      </c>
      <c r="D2773" s="0" t="n">
        <v>3</v>
      </c>
      <c r="E2773" s="0" t="n">
        <v>3</v>
      </c>
      <c r="F2773" s="0" t="n">
        <v>29</v>
      </c>
      <c r="G2773" s="0" t="n">
        <v>100</v>
      </c>
      <c r="H2773" s="0" t="s">
        <v>145</v>
      </c>
      <c r="I2773" s="0" t="n">
        <v>125</v>
      </c>
      <c r="J2773" s="0" t="n">
        <f aca="false">F2773*E2773</f>
        <v>87</v>
      </c>
      <c r="K2773" s="0" t="str">
        <f aca="false">IF(G2773&lt;1000,"1-Low",IF(G2773&lt;5000,"2-Medium","3-Bulk"))</f>
        <v>1-Low</v>
      </c>
      <c r="L2773" s="0" t="str">
        <f aca="false">IF(H2773="TRUE","Out of stock","In stock")</f>
        <v>In stock</v>
      </c>
      <c r="M2773" s="0" t="str">
        <f aca="false">IF(D2773&lt;5,"1) Under 5%",IF(D2773&lt;10,"2) 5-9%",IF(D2773&lt;15,"3) 10-14%",IF(D2773&lt;25,"4) 15-24%","5) 25%+"))))</f>
        <v>1) Under 5%</v>
      </c>
      <c r="N2773" s="0" t="str">
        <f aca="false">IF(F2773&lt;50,"1) Under Rs 50",IF(F2773&lt;100,"2) Rs 50-99",IF(F2773&lt;200,"3) Rs 100-199",IF(F2773&lt;500,"4) Rs 200-499","5) Rs 500+"))))</f>
        <v>1) Under Rs 50</v>
      </c>
      <c r="O2773" s="0" t="n">
        <f aca="false">G2773*E2773/1000</f>
        <v>0.3</v>
      </c>
    </row>
    <row r="2774" customFormat="false" ht="15" hidden="false" customHeight="false" outlineLevel="0" collapsed="false">
      <c r="A2774" s="0" t="s">
        <v>123</v>
      </c>
      <c r="B2774" s="0" t="s">
        <v>1261</v>
      </c>
      <c r="C2774" s="0" t="n">
        <v>70</v>
      </c>
      <c r="D2774" s="0" t="n">
        <v>10</v>
      </c>
      <c r="E2774" s="0" t="n">
        <v>6</v>
      </c>
      <c r="F2774" s="0" t="n">
        <v>63</v>
      </c>
      <c r="G2774" s="0" t="n">
        <v>125</v>
      </c>
      <c r="H2774" s="0" t="s">
        <v>145</v>
      </c>
      <c r="I2774" s="0" t="n">
        <v>125</v>
      </c>
      <c r="J2774" s="0" t="n">
        <f aca="false">F2774*E2774</f>
        <v>378</v>
      </c>
      <c r="K2774" s="0" t="str">
        <f aca="false">IF(G2774&lt;1000,"1-Low",IF(G2774&lt;5000,"2-Medium","3-Bulk"))</f>
        <v>1-Low</v>
      </c>
      <c r="L2774" s="0" t="str">
        <f aca="false">IF(H2774="TRUE","Out of stock","In stock")</f>
        <v>In stock</v>
      </c>
      <c r="M2774" s="0" t="str">
        <f aca="false">IF(D2774&lt;5,"1) Under 5%",IF(D2774&lt;10,"2) 5-9%",IF(D2774&lt;15,"3) 10-14%",IF(D2774&lt;25,"4) 15-24%","5) 25%+"))))</f>
        <v>3) 10-14%</v>
      </c>
      <c r="N2774" s="0" t="str">
        <f aca="false">IF(F2774&lt;50,"1) Under Rs 50",IF(F2774&lt;100,"2) Rs 50-99",IF(F2774&lt;200,"3) Rs 100-199",IF(F2774&lt;500,"4) Rs 200-499","5) Rs 500+"))))</f>
        <v>2) Rs 50-99</v>
      </c>
      <c r="O2774" s="0" t="n">
        <f aca="false">G2774*E2774/1000</f>
        <v>0.75</v>
      </c>
    </row>
    <row r="2775" customFormat="false" ht="15" hidden="false" customHeight="false" outlineLevel="0" collapsed="false">
      <c r="A2775" s="0" t="s">
        <v>123</v>
      </c>
      <c r="B2775" s="0" t="s">
        <v>1274</v>
      </c>
      <c r="C2775" s="0" t="n">
        <v>10</v>
      </c>
      <c r="D2775" s="0" t="n">
        <v>0</v>
      </c>
      <c r="E2775" s="0" t="n">
        <v>6</v>
      </c>
      <c r="F2775" s="0" t="n">
        <v>10</v>
      </c>
      <c r="G2775" s="0" t="n">
        <v>18</v>
      </c>
      <c r="H2775" s="0" t="s">
        <v>145</v>
      </c>
      <c r="I2775" s="0" t="n">
        <v>18</v>
      </c>
      <c r="J2775" s="0" t="n">
        <f aca="false">F2775*E2775</f>
        <v>60</v>
      </c>
      <c r="K2775" s="0" t="str">
        <f aca="false">IF(G2775&lt;1000,"1-Low",IF(G2775&lt;5000,"2-Medium","3-Bulk"))</f>
        <v>1-Low</v>
      </c>
      <c r="L2775" s="0" t="str">
        <f aca="false">IF(H2775="TRUE","Out of stock","In stock")</f>
        <v>In stock</v>
      </c>
      <c r="M2775" s="0" t="str">
        <f aca="false">IF(D2775&lt;5,"1) Under 5%",IF(D2775&lt;10,"2) 5-9%",IF(D2775&lt;15,"3) 10-14%",IF(D2775&lt;25,"4) 15-24%","5) 25%+"))))</f>
        <v>1) Under 5%</v>
      </c>
      <c r="N2775" s="0" t="str">
        <f aca="false">IF(F2775&lt;50,"1) Under Rs 50",IF(F2775&lt;100,"2) Rs 50-99",IF(F2775&lt;200,"3) Rs 100-199",IF(F2775&lt;500,"4) Rs 200-499","5) Rs 500+"))))</f>
        <v>1) Under Rs 50</v>
      </c>
      <c r="O2775" s="0" t="n">
        <f aca="false">G2775*E2775/1000</f>
        <v>0.108</v>
      </c>
    </row>
    <row r="2776" customFormat="false" ht="15" hidden="false" customHeight="false" outlineLevel="0" collapsed="false">
      <c r="A2776" s="0" t="s">
        <v>123</v>
      </c>
      <c r="B2776" s="0" t="s">
        <v>1275</v>
      </c>
      <c r="C2776" s="0" t="n">
        <v>213</v>
      </c>
      <c r="D2776" s="0" t="n">
        <v>10</v>
      </c>
      <c r="E2776" s="0" t="n">
        <v>6</v>
      </c>
      <c r="F2776" s="0" t="n">
        <v>190</v>
      </c>
      <c r="G2776" s="0" t="n">
        <v>110</v>
      </c>
      <c r="H2776" s="0" t="s">
        <v>145</v>
      </c>
      <c r="I2776" s="0" t="n">
        <v>110</v>
      </c>
      <c r="J2776" s="0" t="n">
        <f aca="false">F2776*E2776</f>
        <v>1140</v>
      </c>
      <c r="K2776" s="0" t="str">
        <f aca="false">IF(G2776&lt;1000,"1-Low",IF(G2776&lt;5000,"2-Medium","3-Bulk"))</f>
        <v>1-Low</v>
      </c>
      <c r="L2776" s="0" t="str">
        <f aca="false">IF(H2776="TRUE","Out of stock","In stock")</f>
        <v>In stock</v>
      </c>
      <c r="M2776" s="0" t="str">
        <f aca="false">IF(D2776&lt;5,"1) Under 5%",IF(D2776&lt;10,"2) 5-9%",IF(D2776&lt;15,"3) 10-14%",IF(D2776&lt;25,"4) 15-24%","5) 25%+"))))</f>
        <v>3) 10-14%</v>
      </c>
      <c r="N2776" s="0" t="str">
        <f aca="false">IF(F2776&lt;50,"1) Under Rs 50",IF(F2776&lt;100,"2) Rs 50-99",IF(F2776&lt;200,"3) Rs 100-199",IF(F2776&lt;500,"4) Rs 200-499","5) Rs 500+"))))</f>
        <v>3) Rs 100-199</v>
      </c>
      <c r="O2776" s="0" t="n">
        <f aca="false">G2776*E2776/1000</f>
        <v>0.66</v>
      </c>
    </row>
    <row r="2777" customFormat="false" ht="15" hidden="false" customHeight="false" outlineLevel="0" collapsed="false">
      <c r="A2777" s="0" t="s">
        <v>123</v>
      </c>
      <c r="B2777" s="0" t="s">
        <v>1276</v>
      </c>
      <c r="C2777" s="0" t="n">
        <v>50</v>
      </c>
      <c r="D2777" s="0" t="n">
        <v>10</v>
      </c>
      <c r="E2777" s="0" t="n">
        <v>4</v>
      </c>
      <c r="F2777" s="0" t="n">
        <v>45</v>
      </c>
      <c r="G2777" s="0" t="n">
        <v>50</v>
      </c>
      <c r="H2777" s="0" t="s">
        <v>145</v>
      </c>
      <c r="I2777" s="0" t="n">
        <v>50</v>
      </c>
      <c r="J2777" s="0" t="n">
        <f aca="false">F2777*E2777</f>
        <v>180</v>
      </c>
      <c r="K2777" s="0" t="str">
        <f aca="false">IF(G2777&lt;1000,"1-Low",IF(G2777&lt;5000,"2-Medium","3-Bulk"))</f>
        <v>1-Low</v>
      </c>
      <c r="L2777" s="0" t="str">
        <f aca="false">IF(H2777="TRUE","Out of stock","In stock")</f>
        <v>In stock</v>
      </c>
      <c r="M2777" s="0" t="str">
        <f aca="false">IF(D2777&lt;5,"1) Under 5%",IF(D2777&lt;10,"2) 5-9%",IF(D2777&lt;15,"3) 10-14%",IF(D2777&lt;25,"4) 15-24%","5) 25%+"))))</f>
        <v>3) 10-14%</v>
      </c>
      <c r="N2777" s="0" t="str">
        <f aca="false">IF(F2777&lt;50,"1) Under Rs 50",IF(F2777&lt;100,"2) Rs 50-99",IF(F2777&lt;200,"3) Rs 100-199",IF(F2777&lt;500,"4) Rs 200-499","5) Rs 500+"))))</f>
        <v>1) Under Rs 50</v>
      </c>
      <c r="O2777" s="0" t="n">
        <f aca="false">G2777*E2777/1000</f>
        <v>0.2</v>
      </c>
    </row>
    <row r="2778" customFormat="false" ht="15" hidden="false" customHeight="false" outlineLevel="0" collapsed="false">
      <c r="A2778" s="0" t="s">
        <v>123</v>
      </c>
      <c r="B2778" s="0" t="s">
        <v>1277</v>
      </c>
      <c r="C2778" s="0" t="n">
        <v>30</v>
      </c>
      <c r="D2778" s="0" t="n">
        <v>0</v>
      </c>
      <c r="E2778" s="0" t="n">
        <v>6</v>
      </c>
      <c r="F2778" s="0" t="n">
        <v>30</v>
      </c>
      <c r="G2778" s="0" t="n">
        <v>20</v>
      </c>
      <c r="H2778" s="0" t="s">
        <v>145</v>
      </c>
      <c r="I2778" s="0" t="n">
        <v>20</v>
      </c>
      <c r="J2778" s="0" t="n">
        <f aca="false">F2778*E2778</f>
        <v>180</v>
      </c>
      <c r="K2778" s="0" t="str">
        <f aca="false">IF(G2778&lt;1000,"1-Low",IF(G2778&lt;5000,"2-Medium","3-Bulk"))</f>
        <v>1-Low</v>
      </c>
      <c r="L2778" s="0" t="str">
        <f aca="false">IF(H2778="TRUE","Out of stock","In stock")</f>
        <v>In stock</v>
      </c>
      <c r="M2778" s="0" t="str">
        <f aca="false">IF(D2778&lt;5,"1) Under 5%",IF(D2778&lt;10,"2) 5-9%",IF(D2778&lt;15,"3) 10-14%",IF(D2778&lt;25,"4) 15-24%","5) 25%+"))))</f>
        <v>1) Under 5%</v>
      </c>
      <c r="N2778" s="0" t="str">
        <f aca="false">IF(F2778&lt;50,"1) Under Rs 50",IF(F2778&lt;100,"2) Rs 50-99",IF(F2778&lt;200,"3) Rs 100-199",IF(F2778&lt;500,"4) Rs 200-499","5) Rs 500+"))))</f>
        <v>1) Under Rs 50</v>
      </c>
      <c r="O2778" s="0" t="n">
        <f aca="false">G2778*E2778/1000</f>
        <v>0.12</v>
      </c>
    </row>
    <row r="2779" customFormat="false" ht="15" hidden="false" customHeight="false" outlineLevel="0" collapsed="false">
      <c r="A2779" s="0" t="s">
        <v>123</v>
      </c>
      <c r="B2779" s="0" t="s">
        <v>1278</v>
      </c>
      <c r="C2779" s="0" t="n">
        <v>130</v>
      </c>
      <c r="D2779" s="0" t="n">
        <v>8</v>
      </c>
      <c r="E2779" s="0" t="n">
        <v>1</v>
      </c>
      <c r="F2779" s="0" t="n">
        <v>119</v>
      </c>
      <c r="G2779" s="0" t="n">
        <v>150</v>
      </c>
      <c r="H2779" s="0" t="s">
        <v>145</v>
      </c>
      <c r="I2779" s="0" t="n">
        <v>200</v>
      </c>
      <c r="J2779" s="0" t="n">
        <f aca="false">F2779*E2779</f>
        <v>119</v>
      </c>
      <c r="K2779" s="0" t="str">
        <f aca="false">IF(G2779&lt;1000,"1-Low",IF(G2779&lt;5000,"2-Medium","3-Bulk"))</f>
        <v>1-Low</v>
      </c>
      <c r="L2779" s="0" t="str">
        <f aca="false">IF(H2779="TRUE","Out of stock","In stock")</f>
        <v>In stock</v>
      </c>
      <c r="M2779" s="0" t="str">
        <f aca="false">IF(D2779&lt;5,"1) Under 5%",IF(D2779&lt;10,"2) 5-9%",IF(D2779&lt;15,"3) 10-14%",IF(D2779&lt;25,"4) 15-24%","5) 25%+"))))</f>
        <v>2) 5-9%</v>
      </c>
      <c r="N2779" s="0" t="str">
        <f aca="false">IF(F2779&lt;50,"1) Under Rs 50",IF(F2779&lt;100,"2) Rs 50-99",IF(F2779&lt;200,"3) Rs 100-199",IF(F2779&lt;500,"4) Rs 200-499","5) Rs 500+"))))</f>
        <v>3) Rs 100-199</v>
      </c>
      <c r="O2779" s="0" t="n">
        <f aca="false">G2779*E2779/1000</f>
        <v>0.15</v>
      </c>
    </row>
    <row r="2780" customFormat="false" ht="15" hidden="false" customHeight="false" outlineLevel="0" collapsed="false">
      <c r="A2780" s="0" t="s">
        <v>123</v>
      </c>
      <c r="B2780" s="0" t="s">
        <v>1279</v>
      </c>
      <c r="C2780" s="0" t="n">
        <v>30</v>
      </c>
      <c r="D2780" s="0" t="n">
        <v>0</v>
      </c>
      <c r="E2780" s="0" t="n">
        <v>6</v>
      </c>
      <c r="F2780" s="0" t="n">
        <v>30</v>
      </c>
      <c r="G2780" s="0" t="n">
        <v>20</v>
      </c>
      <c r="H2780" s="0" t="s">
        <v>145</v>
      </c>
      <c r="I2780" s="0" t="n">
        <v>20</v>
      </c>
      <c r="J2780" s="0" t="n">
        <f aca="false">F2780*E2780</f>
        <v>180</v>
      </c>
      <c r="K2780" s="0" t="str">
        <f aca="false">IF(G2780&lt;1000,"1-Low",IF(G2780&lt;5000,"2-Medium","3-Bulk"))</f>
        <v>1-Low</v>
      </c>
      <c r="L2780" s="0" t="str">
        <f aca="false">IF(H2780="TRUE","Out of stock","In stock")</f>
        <v>In stock</v>
      </c>
      <c r="M2780" s="0" t="str">
        <f aca="false">IF(D2780&lt;5,"1) Under 5%",IF(D2780&lt;10,"2) 5-9%",IF(D2780&lt;15,"3) 10-14%",IF(D2780&lt;25,"4) 15-24%","5) 25%+"))))</f>
        <v>1) Under 5%</v>
      </c>
      <c r="N2780" s="0" t="str">
        <f aca="false">IF(F2780&lt;50,"1) Under Rs 50",IF(F2780&lt;100,"2) Rs 50-99",IF(F2780&lt;200,"3) Rs 100-199",IF(F2780&lt;500,"4) Rs 200-499","5) Rs 500+"))))</f>
        <v>1) Under Rs 50</v>
      </c>
      <c r="O2780" s="0" t="n">
        <f aca="false">G2780*E2780/1000</f>
        <v>0.12</v>
      </c>
    </row>
    <row r="2781" customFormat="false" ht="15" hidden="false" customHeight="false" outlineLevel="0" collapsed="false">
      <c r="A2781" s="0" t="s">
        <v>123</v>
      </c>
      <c r="B2781" s="0" t="s">
        <v>1280</v>
      </c>
      <c r="C2781" s="0" t="n">
        <v>135</v>
      </c>
      <c r="D2781" s="0" t="n">
        <v>5</v>
      </c>
      <c r="E2781" s="0" t="n">
        <v>6</v>
      </c>
      <c r="F2781" s="0" t="n">
        <v>128</v>
      </c>
      <c r="G2781" s="0" t="n">
        <v>50</v>
      </c>
      <c r="H2781" s="0" t="s">
        <v>145</v>
      </c>
      <c r="I2781" s="0" t="n">
        <v>50</v>
      </c>
      <c r="J2781" s="0" t="n">
        <f aca="false">F2781*E2781</f>
        <v>768</v>
      </c>
      <c r="K2781" s="0" t="str">
        <f aca="false">IF(G2781&lt;1000,"1-Low",IF(G2781&lt;5000,"2-Medium","3-Bulk"))</f>
        <v>1-Low</v>
      </c>
      <c r="L2781" s="0" t="str">
        <f aca="false">IF(H2781="TRUE","Out of stock","In stock")</f>
        <v>In stock</v>
      </c>
      <c r="M2781" s="0" t="str">
        <f aca="false">IF(D2781&lt;5,"1) Under 5%",IF(D2781&lt;10,"2) 5-9%",IF(D2781&lt;15,"3) 10-14%",IF(D2781&lt;25,"4) 15-24%","5) 25%+"))))</f>
        <v>2) 5-9%</v>
      </c>
      <c r="N2781" s="0" t="str">
        <f aca="false">IF(F2781&lt;50,"1) Under Rs 50",IF(F2781&lt;100,"2) Rs 50-99",IF(F2781&lt;200,"3) Rs 100-199",IF(F2781&lt;500,"4) Rs 200-499","5) Rs 500+"))))</f>
        <v>3) Rs 100-199</v>
      </c>
      <c r="O2781" s="0" t="n">
        <f aca="false">G2781*E2781/1000</f>
        <v>0.3</v>
      </c>
    </row>
    <row r="2782" customFormat="false" ht="15" hidden="false" customHeight="false" outlineLevel="0" collapsed="false">
      <c r="A2782" s="0" t="s">
        <v>123</v>
      </c>
      <c r="B2782" s="0" t="s">
        <v>1281</v>
      </c>
      <c r="C2782" s="0" t="n">
        <v>50</v>
      </c>
      <c r="D2782" s="0" t="n">
        <v>2</v>
      </c>
      <c r="E2782" s="0" t="n">
        <v>1</v>
      </c>
      <c r="F2782" s="0" t="n">
        <v>49</v>
      </c>
      <c r="G2782" s="0" t="n">
        <v>80</v>
      </c>
      <c r="H2782" s="0" t="s">
        <v>145</v>
      </c>
      <c r="I2782" s="0" t="n">
        <v>80</v>
      </c>
      <c r="J2782" s="0" t="n">
        <f aca="false">F2782*E2782</f>
        <v>49</v>
      </c>
      <c r="K2782" s="0" t="str">
        <f aca="false">IF(G2782&lt;1000,"1-Low",IF(G2782&lt;5000,"2-Medium","3-Bulk"))</f>
        <v>1-Low</v>
      </c>
      <c r="L2782" s="0" t="str">
        <f aca="false">IF(H2782="TRUE","Out of stock","In stock")</f>
        <v>In stock</v>
      </c>
      <c r="M2782" s="0" t="str">
        <f aca="false">IF(D2782&lt;5,"1) Under 5%",IF(D2782&lt;10,"2) 5-9%",IF(D2782&lt;15,"3) 10-14%",IF(D2782&lt;25,"4) 15-24%","5) 25%+"))))</f>
        <v>1) Under 5%</v>
      </c>
      <c r="N2782" s="0" t="str">
        <f aca="false">IF(F2782&lt;50,"1) Under Rs 50",IF(F2782&lt;100,"2) Rs 50-99",IF(F2782&lt;200,"3) Rs 100-199",IF(F2782&lt;500,"4) Rs 200-499","5) Rs 500+"))))</f>
        <v>1) Under Rs 50</v>
      </c>
      <c r="O2782" s="0" t="n">
        <f aca="false">G2782*E2782/1000</f>
        <v>0.08</v>
      </c>
    </row>
    <row r="2783" customFormat="false" ht="15" hidden="false" customHeight="false" outlineLevel="0" collapsed="false">
      <c r="A2783" s="0" t="s">
        <v>123</v>
      </c>
      <c r="B2783" s="0" t="s">
        <v>1282</v>
      </c>
      <c r="C2783" s="0" t="n">
        <v>199</v>
      </c>
      <c r="D2783" s="0" t="n">
        <v>6</v>
      </c>
      <c r="E2783" s="0" t="n">
        <v>5</v>
      </c>
      <c r="F2783" s="0" t="n">
        <v>186</v>
      </c>
      <c r="G2783" s="0" t="n">
        <v>375</v>
      </c>
      <c r="H2783" s="0" t="s">
        <v>145</v>
      </c>
      <c r="I2783" s="0" t="n">
        <v>375</v>
      </c>
      <c r="J2783" s="0" t="n">
        <f aca="false">F2783*E2783</f>
        <v>930</v>
      </c>
      <c r="K2783" s="0" t="str">
        <f aca="false">IF(G2783&lt;1000,"1-Low",IF(G2783&lt;5000,"2-Medium","3-Bulk"))</f>
        <v>1-Low</v>
      </c>
      <c r="L2783" s="0" t="str">
        <f aca="false">IF(H2783="TRUE","Out of stock","In stock")</f>
        <v>In stock</v>
      </c>
      <c r="M2783" s="0" t="str">
        <f aca="false">IF(D2783&lt;5,"1) Under 5%",IF(D2783&lt;10,"2) 5-9%",IF(D2783&lt;15,"3) 10-14%",IF(D2783&lt;25,"4) 15-24%","5) 25%+"))))</f>
        <v>2) 5-9%</v>
      </c>
      <c r="N2783" s="0" t="str">
        <f aca="false">IF(F2783&lt;50,"1) Under Rs 50",IF(F2783&lt;100,"2) Rs 50-99",IF(F2783&lt;200,"3) Rs 100-199",IF(F2783&lt;500,"4) Rs 200-499","5) Rs 500+"))))</f>
        <v>3) Rs 100-199</v>
      </c>
      <c r="O2783" s="0" t="n">
        <f aca="false">G2783*E2783/1000</f>
        <v>1.875</v>
      </c>
    </row>
    <row r="2784" customFormat="false" ht="15" hidden="false" customHeight="false" outlineLevel="0" collapsed="false">
      <c r="A2784" s="0" t="s">
        <v>123</v>
      </c>
      <c r="B2784" s="0" t="s">
        <v>1283</v>
      </c>
      <c r="C2784" s="0" t="n">
        <v>88</v>
      </c>
      <c r="D2784" s="0" t="n">
        <v>6</v>
      </c>
      <c r="E2784" s="0" t="n">
        <v>6</v>
      </c>
      <c r="F2784" s="0" t="n">
        <v>82</v>
      </c>
      <c r="G2784" s="0" t="n">
        <v>290</v>
      </c>
      <c r="H2784" s="0" t="s">
        <v>145</v>
      </c>
      <c r="I2784" s="0" t="n">
        <v>5</v>
      </c>
      <c r="J2784" s="0" t="n">
        <f aca="false">F2784*E2784</f>
        <v>492</v>
      </c>
      <c r="K2784" s="0" t="str">
        <f aca="false">IF(G2784&lt;1000,"1-Low",IF(G2784&lt;5000,"2-Medium","3-Bulk"))</f>
        <v>1-Low</v>
      </c>
      <c r="L2784" s="0" t="str">
        <f aca="false">IF(H2784="TRUE","Out of stock","In stock")</f>
        <v>In stock</v>
      </c>
      <c r="M2784" s="0" t="str">
        <f aca="false">IF(D2784&lt;5,"1) Under 5%",IF(D2784&lt;10,"2) 5-9%",IF(D2784&lt;15,"3) 10-14%",IF(D2784&lt;25,"4) 15-24%","5) 25%+"))))</f>
        <v>2) 5-9%</v>
      </c>
      <c r="N2784" s="0" t="str">
        <f aca="false">IF(F2784&lt;50,"1) Under Rs 50",IF(F2784&lt;100,"2) Rs 50-99",IF(F2784&lt;200,"3) Rs 100-199",IF(F2784&lt;500,"4) Rs 200-499","5) Rs 500+"))))</f>
        <v>2) Rs 50-99</v>
      </c>
      <c r="O2784" s="0" t="n">
        <f aca="false">G2784*E2784/1000</f>
        <v>1.74</v>
      </c>
    </row>
    <row r="2785" customFormat="false" ht="15" hidden="false" customHeight="false" outlineLevel="0" collapsed="false">
      <c r="A2785" s="0" t="s">
        <v>123</v>
      </c>
      <c r="B2785" s="0" t="s">
        <v>1281</v>
      </c>
      <c r="C2785" s="0" t="n">
        <v>160</v>
      </c>
      <c r="D2785" s="0" t="n">
        <v>10</v>
      </c>
      <c r="E2785" s="0" t="n">
        <v>4</v>
      </c>
      <c r="F2785" s="0" t="n">
        <v>144</v>
      </c>
      <c r="G2785" s="0" t="n">
        <v>300</v>
      </c>
      <c r="H2785" s="0" t="s">
        <v>145</v>
      </c>
      <c r="I2785" s="0" t="n">
        <v>300</v>
      </c>
      <c r="J2785" s="0" t="n">
        <f aca="false">F2785*E2785</f>
        <v>576</v>
      </c>
      <c r="K2785" s="0" t="str">
        <f aca="false">IF(G2785&lt;1000,"1-Low",IF(G2785&lt;5000,"2-Medium","3-Bulk"))</f>
        <v>1-Low</v>
      </c>
      <c r="L2785" s="0" t="str">
        <f aca="false">IF(H2785="TRUE","Out of stock","In stock")</f>
        <v>In stock</v>
      </c>
      <c r="M2785" s="0" t="str">
        <f aca="false">IF(D2785&lt;5,"1) Under 5%",IF(D2785&lt;10,"2) 5-9%",IF(D2785&lt;15,"3) 10-14%",IF(D2785&lt;25,"4) 15-24%","5) 25%+"))))</f>
        <v>3) 10-14%</v>
      </c>
      <c r="N2785" s="0" t="str">
        <f aca="false">IF(F2785&lt;50,"1) Under Rs 50",IF(F2785&lt;100,"2) Rs 50-99",IF(F2785&lt;200,"3) Rs 100-199",IF(F2785&lt;500,"4) Rs 200-499","5) Rs 500+"))))</f>
        <v>3) Rs 100-199</v>
      </c>
      <c r="O2785" s="0" t="n">
        <f aca="false">G2785*E2785/1000</f>
        <v>1.2</v>
      </c>
    </row>
    <row r="2786" customFormat="false" ht="15" hidden="false" customHeight="false" outlineLevel="0" collapsed="false">
      <c r="A2786" s="0" t="s">
        <v>123</v>
      </c>
      <c r="B2786" s="0" t="s">
        <v>1284</v>
      </c>
      <c r="C2786" s="0" t="n">
        <v>30</v>
      </c>
      <c r="D2786" s="0" t="n">
        <v>0</v>
      </c>
      <c r="E2786" s="0" t="n">
        <v>4</v>
      </c>
      <c r="F2786" s="0" t="n">
        <v>30</v>
      </c>
      <c r="G2786" s="0" t="n">
        <v>20</v>
      </c>
      <c r="H2786" s="0" t="s">
        <v>145</v>
      </c>
      <c r="I2786" s="0" t="n">
        <v>20</v>
      </c>
      <c r="J2786" s="0" t="n">
        <f aca="false">F2786*E2786</f>
        <v>120</v>
      </c>
      <c r="K2786" s="0" t="str">
        <f aca="false">IF(G2786&lt;1000,"1-Low",IF(G2786&lt;5000,"2-Medium","3-Bulk"))</f>
        <v>1-Low</v>
      </c>
      <c r="L2786" s="0" t="str">
        <f aca="false">IF(H2786="TRUE","Out of stock","In stock")</f>
        <v>In stock</v>
      </c>
      <c r="M2786" s="0" t="str">
        <f aca="false">IF(D2786&lt;5,"1) Under 5%",IF(D2786&lt;10,"2) 5-9%",IF(D2786&lt;15,"3) 10-14%",IF(D2786&lt;25,"4) 15-24%","5) 25%+"))))</f>
        <v>1) Under 5%</v>
      </c>
      <c r="N2786" s="0" t="str">
        <f aca="false">IF(F2786&lt;50,"1) Under Rs 50",IF(F2786&lt;100,"2) Rs 50-99",IF(F2786&lt;200,"3) Rs 100-199",IF(F2786&lt;500,"4) Rs 200-499","5) Rs 500+"))))</f>
        <v>1) Under Rs 50</v>
      </c>
      <c r="O2786" s="0" t="n">
        <f aca="false">G2786*E2786/1000</f>
        <v>0.08</v>
      </c>
    </row>
    <row r="2787" customFormat="false" ht="15" hidden="false" customHeight="false" outlineLevel="0" collapsed="false">
      <c r="A2787" s="0" t="s">
        <v>123</v>
      </c>
      <c r="B2787" s="0" t="s">
        <v>1285</v>
      </c>
      <c r="C2787" s="0" t="n">
        <v>185</v>
      </c>
      <c r="D2787" s="0" t="n">
        <v>15</v>
      </c>
      <c r="E2787" s="0" t="n">
        <v>3</v>
      </c>
      <c r="F2787" s="0" t="n">
        <v>157</v>
      </c>
      <c r="G2787" s="0" t="n">
        <v>100</v>
      </c>
      <c r="H2787" s="0" t="s">
        <v>145</v>
      </c>
      <c r="I2787" s="0" t="n">
        <v>100</v>
      </c>
      <c r="J2787" s="0" t="n">
        <f aca="false">F2787*E2787</f>
        <v>471</v>
      </c>
      <c r="K2787" s="0" t="str">
        <f aca="false">IF(G2787&lt;1000,"1-Low",IF(G2787&lt;5000,"2-Medium","3-Bulk"))</f>
        <v>1-Low</v>
      </c>
      <c r="L2787" s="0" t="str">
        <f aca="false">IF(H2787="TRUE","Out of stock","In stock")</f>
        <v>In stock</v>
      </c>
      <c r="M2787" s="0" t="str">
        <f aca="false">IF(D2787&lt;5,"1) Under 5%",IF(D2787&lt;10,"2) 5-9%",IF(D2787&lt;15,"3) 10-14%",IF(D2787&lt;25,"4) 15-24%","5) 25%+"))))</f>
        <v>4) 15-24%</v>
      </c>
      <c r="N2787" s="0" t="str">
        <f aca="false">IF(F2787&lt;50,"1) Under Rs 50",IF(F2787&lt;100,"2) Rs 50-99",IF(F2787&lt;200,"3) Rs 100-199",IF(F2787&lt;500,"4) Rs 200-499","5) Rs 500+"))))</f>
        <v>3) Rs 100-199</v>
      </c>
      <c r="O2787" s="0" t="n">
        <f aca="false">G2787*E2787/1000</f>
        <v>0.3</v>
      </c>
    </row>
    <row r="2788" customFormat="false" ht="15" hidden="false" customHeight="false" outlineLevel="0" collapsed="false">
      <c r="A2788" s="0" t="s">
        <v>123</v>
      </c>
      <c r="B2788" s="0" t="s">
        <v>1286</v>
      </c>
      <c r="C2788" s="0" t="n">
        <v>290</v>
      </c>
      <c r="D2788" s="0" t="n">
        <v>10</v>
      </c>
      <c r="E2788" s="0" t="n">
        <v>6</v>
      </c>
      <c r="F2788" s="0" t="n">
        <v>261</v>
      </c>
      <c r="G2788" s="0" t="n">
        <v>625</v>
      </c>
      <c r="H2788" s="0" t="s">
        <v>145</v>
      </c>
      <c r="I2788" s="0" t="n">
        <v>625</v>
      </c>
      <c r="J2788" s="0" t="n">
        <f aca="false">F2788*E2788</f>
        <v>1566</v>
      </c>
      <c r="K2788" s="0" t="str">
        <f aca="false">IF(G2788&lt;1000,"1-Low",IF(G2788&lt;5000,"2-Medium","3-Bulk"))</f>
        <v>1-Low</v>
      </c>
      <c r="L2788" s="0" t="str">
        <f aca="false">IF(H2788="TRUE","Out of stock","In stock")</f>
        <v>In stock</v>
      </c>
      <c r="M2788" s="0" t="str">
        <f aca="false">IF(D2788&lt;5,"1) Under 5%",IF(D2788&lt;10,"2) 5-9%",IF(D2788&lt;15,"3) 10-14%",IF(D2788&lt;25,"4) 15-24%","5) 25%+"))))</f>
        <v>3) 10-14%</v>
      </c>
      <c r="N2788" s="0" t="str">
        <f aca="false">IF(F2788&lt;50,"1) Under Rs 50",IF(F2788&lt;100,"2) Rs 50-99",IF(F2788&lt;200,"3) Rs 100-199",IF(F2788&lt;500,"4) Rs 200-499","5) Rs 500+"))))</f>
        <v>4) Rs 200-499</v>
      </c>
      <c r="O2788" s="0" t="n">
        <f aca="false">G2788*E2788/1000</f>
        <v>3.75</v>
      </c>
    </row>
    <row r="2789" customFormat="false" ht="15" hidden="false" customHeight="false" outlineLevel="0" collapsed="false">
      <c r="A2789" s="0" t="s">
        <v>123</v>
      </c>
      <c r="B2789" s="0" t="s">
        <v>1287</v>
      </c>
      <c r="C2789" s="0" t="n">
        <v>225</v>
      </c>
      <c r="D2789" s="0" t="n">
        <v>6</v>
      </c>
      <c r="E2789" s="0" t="n">
        <v>4</v>
      </c>
      <c r="F2789" s="0" t="n">
        <v>210</v>
      </c>
      <c r="G2789" s="0" t="n">
        <v>418</v>
      </c>
      <c r="H2789" s="0" t="s">
        <v>145</v>
      </c>
      <c r="I2789" s="0" t="n">
        <v>418</v>
      </c>
      <c r="J2789" s="0" t="n">
        <f aca="false">F2789*E2789</f>
        <v>840</v>
      </c>
      <c r="K2789" s="0" t="str">
        <f aca="false">IF(G2789&lt;1000,"1-Low",IF(G2789&lt;5000,"2-Medium","3-Bulk"))</f>
        <v>1-Low</v>
      </c>
      <c r="L2789" s="0" t="str">
        <f aca="false">IF(H2789="TRUE","Out of stock","In stock")</f>
        <v>In stock</v>
      </c>
      <c r="M2789" s="0" t="str">
        <f aca="false">IF(D2789&lt;5,"1) Under 5%",IF(D2789&lt;10,"2) 5-9%",IF(D2789&lt;15,"3) 10-14%",IF(D2789&lt;25,"4) 15-24%","5) 25%+"))))</f>
        <v>2) 5-9%</v>
      </c>
      <c r="N2789" s="0" t="str">
        <f aca="false">IF(F2789&lt;50,"1) Under Rs 50",IF(F2789&lt;100,"2) Rs 50-99",IF(F2789&lt;200,"3) Rs 100-199",IF(F2789&lt;500,"4) Rs 200-499","5) Rs 500+"))))</f>
        <v>4) Rs 200-499</v>
      </c>
      <c r="O2789" s="0" t="n">
        <f aca="false">G2789*E2789/1000</f>
        <v>1.672</v>
      </c>
    </row>
    <row r="2790" customFormat="false" ht="15" hidden="false" customHeight="false" outlineLevel="0" collapsed="false">
      <c r="A2790" s="0" t="s">
        <v>123</v>
      </c>
      <c r="B2790" s="0" t="s">
        <v>1288</v>
      </c>
      <c r="C2790" s="0" t="n">
        <v>150</v>
      </c>
      <c r="D2790" s="0" t="n">
        <v>6</v>
      </c>
      <c r="E2790" s="0" t="n">
        <v>5</v>
      </c>
      <c r="F2790" s="0" t="n">
        <v>141</v>
      </c>
      <c r="G2790" s="0" t="n">
        <v>180</v>
      </c>
      <c r="H2790" s="0" t="s">
        <v>145</v>
      </c>
      <c r="I2790" s="0" t="n">
        <v>180</v>
      </c>
      <c r="J2790" s="0" t="n">
        <f aca="false">F2790*E2790</f>
        <v>705</v>
      </c>
      <c r="K2790" s="0" t="str">
        <f aca="false">IF(G2790&lt;1000,"1-Low",IF(G2790&lt;5000,"2-Medium","3-Bulk"))</f>
        <v>1-Low</v>
      </c>
      <c r="L2790" s="0" t="str">
        <f aca="false">IF(H2790="TRUE","Out of stock","In stock")</f>
        <v>In stock</v>
      </c>
      <c r="M2790" s="0" t="str">
        <f aca="false">IF(D2790&lt;5,"1) Under 5%",IF(D2790&lt;10,"2) 5-9%",IF(D2790&lt;15,"3) 10-14%",IF(D2790&lt;25,"4) 15-24%","5) 25%+"))))</f>
        <v>2) 5-9%</v>
      </c>
      <c r="N2790" s="0" t="str">
        <f aca="false">IF(F2790&lt;50,"1) Under Rs 50",IF(F2790&lt;100,"2) Rs 50-99",IF(F2790&lt;200,"3) Rs 100-199",IF(F2790&lt;500,"4) Rs 200-499","5) Rs 500+"))))</f>
        <v>3) Rs 100-199</v>
      </c>
      <c r="O2790" s="0" t="n">
        <f aca="false">G2790*E2790/1000</f>
        <v>0.9</v>
      </c>
    </row>
    <row r="2791" customFormat="false" ht="15" hidden="false" customHeight="false" outlineLevel="0" collapsed="false">
      <c r="A2791" s="0" t="s">
        <v>123</v>
      </c>
      <c r="B2791" s="0" t="s">
        <v>1289</v>
      </c>
      <c r="C2791" s="0" t="n">
        <v>499</v>
      </c>
      <c r="D2791" s="0" t="n">
        <v>7</v>
      </c>
      <c r="E2791" s="0" t="n">
        <v>4</v>
      </c>
      <c r="F2791" s="0" t="n">
        <v>460</v>
      </c>
      <c r="G2791" s="0" t="n">
        <v>232</v>
      </c>
      <c r="H2791" s="0" t="s">
        <v>145</v>
      </c>
      <c r="I2791" s="0" t="n">
        <v>4</v>
      </c>
      <c r="J2791" s="0" t="n">
        <f aca="false">F2791*E2791</f>
        <v>1840</v>
      </c>
      <c r="K2791" s="0" t="str">
        <f aca="false">IF(G2791&lt;1000,"1-Low",IF(G2791&lt;5000,"2-Medium","3-Bulk"))</f>
        <v>1-Low</v>
      </c>
      <c r="L2791" s="0" t="str">
        <f aca="false">IF(H2791="TRUE","Out of stock","In stock")</f>
        <v>In stock</v>
      </c>
      <c r="M2791" s="0" t="str">
        <f aca="false">IF(D2791&lt;5,"1) Under 5%",IF(D2791&lt;10,"2) 5-9%",IF(D2791&lt;15,"3) 10-14%",IF(D2791&lt;25,"4) 15-24%","5) 25%+"))))</f>
        <v>2) 5-9%</v>
      </c>
      <c r="N2791" s="0" t="str">
        <f aca="false">IF(F2791&lt;50,"1) Under Rs 50",IF(F2791&lt;100,"2) Rs 50-99",IF(F2791&lt;200,"3) Rs 100-199",IF(F2791&lt;500,"4) Rs 200-499","5) Rs 500+"))))</f>
        <v>4) Rs 200-499</v>
      </c>
      <c r="O2791" s="0" t="n">
        <f aca="false">G2791*E2791/1000</f>
        <v>0.928</v>
      </c>
    </row>
    <row r="2792" customFormat="false" ht="15" hidden="false" customHeight="false" outlineLevel="0" collapsed="false">
      <c r="A2792" s="0" t="s">
        <v>123</v>
      </c>
      <c r="B2792" s="0" t="s">
        <v>1290</v>
      </c>
      <c r="C2792" s="0" t="n">
        <v>199</v>
      </c>
      <c r="D2792" s="0" t="n">
        <v>20</v>
      </c>
      <c r="E2792" s="0" t="n">
        <v>2</v>
      </c>
      <c r="F2792" s="0" t="n">
        <v>159</v>
      </c>
      <c r="G2792" s="0" t="n">
        <v>250</v>
      </c>
      <c r="H2792" s="0" t="s">
        <v>145</v>
      </c>
      <c r="I2792" s="0" t="n">
        <v>250</v>
      </c>
      <c r="J2792" s="0" t="n">
        <f aca="false">F2792*E2792</f>
        <v>318</v>
      </c>
      <c r="K2792" s="0" t="str">
        <f aca="false">IF(G2792&lt;1000,"1-Low",IF(G2792&lt;5000,"2-Medium","3-Bulk"))</f>
        <v>1-Low</v>
      </c>
      <c r="L2792" s="0" t="str">
        <f aca="false">IF(H2792="TRUE","Out of stock","In stock")</f>
        <v>In stock</v>
      </c>
      <c r="M2792" s="0" t="str">
        <f aca="false">IF(D2792&lt;5,"1) Under 5%",IF(D2792&lt;10,"2) 5-9%",IF(D2792&lt;15,"3) 10-14%",IF(D2792&lt;25,"4) 15-24%","5) 25%+"))))</f>
        <v>4) 15-24%</v>
      </c>
      <c r="N2792" s="0" t="str">
        <f aca="false">IF(F2792&lt;50,"1) Under Rs 50",IF(F2792&lt;100,"2) Rs 50-99",IF(F2792&lt;200,"3) Rs 100-199",IF(F2792&lt;500,"4) Rs 200-499","5) Rs 500+"))))</f>
        <v>3) Rs 100-199</v>
      </c>
      <c r="O2792" s="0" t="n">
        <f aca="false">G2792*E2792/1000</f>
        <v>0.5</v>
      </c>
    </row>
    <row r="2793" customFormat="false" ht="15" hidden="false" customHeight="false" outlineLevel="0" collapsed="false">
      <c r="A2793" s="0" t="s">
        <v>123</v>
      </c>
      <c r="B2793" s="0" t="s">
        <v>1291</v>
      </c>
      <c r="C2793" s="0" t="n">
        <v>99</v>
      </c>
      <c r="D2793" s="0" t="n">
        <v>0</v>
      </c>
      <c r="E2793" s="0" t="n">
        <v>6</v>
      </c>
      <c r="F2793" s="0" t="n">
        <v>99</v>
      </c>
      <c r="G2793" s="0" t="n">
        <v>750</v>
      </c>
      <c r="H2793" s="0" t="s">
        <v>145</v>
      </c>
      <c r="I2793" s="0" t="n">
        <v>750</v>
      </c>
      <c r="J2793" s="0" t="n">
        <f aca="false">F2793*E2793</f>
        <v>594</v>
      </c>
      <c r="K2793" s="0" t="str">
        <f aca="false">IF(G2793&lt;1000,"1-Low",IF(G2793&lt;5000,"2-Medium","3-Bulk"))</f>
        <v>1-Low</v>
      </c>
      <c r="L2793" s="0" t="str">
        <f aca="false">IF(H2793="TRUE","Out of stock","In stock")</f>
        <v>In stock</v>
      </c>
      <c r="M2793" s="0" t="str">
        <f aca="false">IF(D2793&lt;5,"1) Under 5%",IF(D2793&lt;10,"2) 5-9%",IF(D2793&lt;15,"3) 10-14%",IF(D2793&lt;25,"4) 15-24%","5) 25%+"))))</f>
        <v>1) Under 5%</v>
      </c>
      <c r="N2793" s="0" t="str">
        <f aca="false">IF(F2793&lt;50,"1) Under Rs 50",IF(F2793&lt;100,"2) Rs 50-99",IF(F2793&lt;200,"3) Rs 100-199",IF(F2793&lt;500,"4) Rs 200-499","5) Rs 500+"))))</f>
        <v>2) Rs 50-99</v>
      </c>
      <c r="O2793" s="0" t="n">
        <f aca="false">G2793*E2793/1000</f>
        <v>4.5</v>
      </c>
    </row>
    <row r="2794" customFormat="false" ht="15" hidden="false" customHeight="false" outlineLevel="0" collapsed="false">
      <c r="A2794" s="0" t="s">
        <v>123</v>
      </c>
      <c r="B2794" s="0" t="s">
        <v>1292</v>
      </c>
      <c r="C2794" s="0" t="n">
        <v>100</v>
      </c>
      <c r="D2794" s="0" t="n">
        <v>5</v>
      </c>
      <c r="E2794" s="0" t="n">
        <v>6</v>
      </c>
      <c r="F2794" s="0" t="n">
        <v>95</v>
      </c>
      <c r="G2794" s="0" t="n">
        <v>200</v>
      </c>
      <c r="H2794" s="0" t="s">
        <v>145</v>
      </c>
      <c r="I2794" s="0" t="n">
        <v>200</v>
      </c>
      <c r="J2794" s="0" t="n">
        <f aca="false">F2794*E2794</f>
        <v>570</v>
      </c>
      <c r="K2794" s="0" t="str">
        <f aca="false">IF(G2794&lt;1000,"1-Low",IF(G2794&lt;5000,"2-Medium","3-Bulk"))</f>
        <v>1-Low</v>
      </c>
      <c r="L2794" s="0" t="str">
        <f aca="false">IF(H2794="TRUE","Out of stock","In stock")</f>
        <v>In stock</v>
      </c>
      <c r="M2794" s="0" t="str">
        <f aca="false">IF(D2794&lt;5,"1) Under 5%",IF(D2794&lt;10,"2) 5-9%",IF(D2794&lt;15,"3) 10-14%",IF(D2794&lt;25,"4) 15-24%","5) 25%+"))))</f>
        <v>2) 5-9%</v>
      </c>
      <c r="N2794" s="0" t="str">
        <f aca="false">IF(F2794&lt;50,"1) Under Rs 50",IF(F2794&lt;100,"2) Rs 50-99",IF(F2794&lt;200,"3) Rs 100-199",IF(F2794&lt;500,"4) Rs 200-499","5) Rs 500+"))))</f>
        <v>2) Rs 50-99</v>
      </c>
      <c r="O2794" s="0" t="n">
        <f aca="false">G2794*E2794/1000</f>
        <v>1.2</v>
      </c>
    </row>
    <row r="2795" customFormat="false" ht="15" hidden="false" customHeight="false" outlineLevel="0" collapsed="false">
      <c r="A2795" s="0" t="s">
        <v>123</v>
      </c>
      <c r="B2795" s="0" t="s">
        <v>1293</v>
      </c>
      <c r="C2795" s="0" t="n">
        <v>88</v>
      </c>
      <c r="D2795" s="0" t="n">
        <v>0</v>
      </c>
      <c r="E2795" s="0" t="n">
        <v>2</v>
      </c>
      <c r="F2795" s="0" t="n">
        <v>88</v>
      </c>
      <c r="G2795" s="0" t="n">
        <v>180</v>
      </c>
      <c r="H2795" s="0" t="s">
        <v>145</v>
      </c>
      <c r="I2795" s="0" t="n">
        <v>180</v>
      </c>
      <c r="J2795" s="0" t="n">
        <f aca="false">F2795*E2795</f>
        <v>176</v>
      </c>
      <c r="K2795" s="0" t="str">
        <f aca="false">IF(G2795&lt;1000,"1-Low",IF(G2795&lt;5000,"2-Medium","3-Bulk"))</f>
        <v>1-Low</v>
      </c>
      <c r="L2795" s="0" t="str">
        <f aca="false">IF(H2795="TRUE","Out of stock","In stock")</f>
        <v>In stock</v>
      </c>
      <c r="M2795" s="0" t="str">
        <f aca="false">IF(D2795&lt;5,"1) Under 5%",IF(D2795&lt;10,"2) 5-9%",IF(D2795&lt;15,"3) 10-14%",IF(D2795&lt;25,"4) 15-24%","5) 25%+"))))</f>
        <v>1) Under 5%</v>
      </c>
      <c r="N2795" s="0" t="str">
        <f aca="false">IF(F2795&lt;50,"1) Under Rs 50",IF(F2795&lt;100,"2) Rs 50-99",IF(F2795&lt;200,"3) Rs 100-199",IF(F2795&lt;500,"4) Rs 200-499","5) Rs 500+"))))</f>
        <v>2) Rs 50-99</v>
      </c>
      <c r="O2795" s="0" t="n">
        <f aca="false">G2795*E2795/1000</f>
        <v>0.36</v>
      </c>
    </row>
    <row r="2796" customFormat="false" ht="15" hidden="false" customHeight="false" outlineLevel="0" collapsed="false">
      <c r="A2796" s="0" t="s">
        <v>123</v>
      </c>
      <c r="B2796" s="0" t="s">
        <v>1294</v>
      </c>
      <c r="C2796" s="0" t="n">
        <v>89</v>
      </c>
      <c r="D2796" s="0" t="n">
        <v>4</v>
      </c>
      <c r="E2796" s="0" t="n">
        <v>6</v>
      </c>
      <c r="F2796" s="0" t="n">
        <v>85</v>
      </c>
      <c r="G2796" s="0" t="n">
        <v>200</v>
      </c>
      <c r="H2796" s="0" t="s">
        <v>145</v>
      </c>
      <c r="I2796" s="0" t="n">
        <v>200</v>
      </c>
      <c r="J2796" s="0" t="n">
        <f aca="false">F2796*E2796</f>
        <v>510</v>
      </c>
      <c r="K2796" s="0" t="str">
        <f aca="false">IF(G2796&lt;1000,"1-Low",IF(G2796&lt;5000,"2-Medium","3-Bulk"))</f>
        <v>1-Low</v>
      </c>
      <c r="L2796" s="0" t="str">
        <f aca="false">IF(H2796="TRUE","Out of stock","In stock")</f>
        <v>In stock</v>
      </c>
      <c r="M2796" s="0" t="str">
        <f aca="false">IF(D2796&lt;5,"1) Under 5%",IF(D2796&lt;10,"2) 5-9%",IF(D2796&lt;15,"3) 10-14%",IF(D2796&lt;25,"4) 15-24%","5) 25%+"))))</f>
        <v>1) Under 5%</v>
      </c>
      <c r="N2796" s="0" t="str">
        <f aca="false">IF(F2796&lt;50,"1) Under Rs 50",IF(F2796&lt;100,"2) Rs 50-99",IF(F2796&lt;200,"3) Rs 100-199",IF(F2796&lt;500,"4) Rs 200-499","5) Rs 500+"))))</f>
        <v>2) Rs 50-99</v>
      </c>
      <c r="O2796" s="0" t="n">
        <f aca="false">G2796*E2796/1000</f>
        <v>1.2</v>
      </c>
    </row>
    <row r="2797" customFormat="false" ht="15" hidden="false" customHeight="false" outlineLevel="0" collapsed="false">
      <c r="A2797" s="0" t="s">
        <v>123</v>
      </c>
      <c r="B2797" s="0" t="s">
        <v>1295</v>
      </c>
      <c r="C2797" s="0" t="n">
        <v>199</v>
      </c>
      <c r="D2797" s="0" t="n">
        <v>0</v>
      </c>
      <c r="E2797" s="0" t="n">
        <v>6</v>
      </c>
      <c r="F2797" s="0" t="n">
        <v>199</v>
      </c>
      <c r="G2797" s="0" t="n">
        <v>192</v>
      </c>
      <c r="H2797" s="0" t="s">
        <v>145</v>
      </c>
      <c r="I2797" s="0" t="n">
        <v>180</v>
      </c>
      <c r="J2797" s="0" t="n">
        <f aca="false">F2797*E2797</f>
        <v>1194</v>
      </c>
      <c r="K2797" s="0" t="str">
        <f aca="false">IF(G2797&lt;1000,"1-Low",IF(G2797&lt;5000,"2-Medium","3-Bulk"))</f>
        <v>1-Low</v>
      </c>
      <c r="L2797" s="0" t="str">
        <f aca="false">IF(H2797="TRUE","Out of stock","In stock")</f>
        <v>In stock</v>
      </c>
      <c r="M2797" s="0" t="str">
        <f aca="false">IF(D2797&lt;5,"1) Under 5%",IF(D2797&lt;10,"2) 5-9%",IF(D2797&lt;15,"3) 10-14%",IF(D2797&lt;25,"4) 15-24%","5) 25%+"))))</f>
        <v>1) Under 5%</v>
      </c>
      <c r="N2797" s="0" t="str">
        <f aca="false">IF(F2797&lt;50,"1) Under Rs 50",IF(F2797&lt;100,"2) Rs 50-99",IF(F2797&lt;200,"3) Rs 100-199",IF(F2797&lt;500,"4) Rs 200-499","5) Rs 500+"))))</f>
        <v>3) Rs 100-199</v>
      </c>
      <c r="O2797" s="0" t="n">
        <f aca="false">G2797*E2797/1000</f>
        <v>1.152</v>
      </c>
    </row>
    <row r="2798" customFormat="false" ht="15" hidden="false" customHeight="false" outlineLevel="0" collapsed="false">
      <c r="A2798" s="0" t="s">
        <v>123</v>
      </c>
      <c r="B2798" s="0" t="s">
        <v>1296</v>
      </c>
      <c r="C2798" s="0" t="n">
        <v>90</v>
      </c>
      <c r="D2798" s="0" t="n">
        <v>0</v>
      </c>
      <c r="E2798" s="0" t="n">
        <v>5</v>
      </c>
      <c r="F2798" s="0" t="n">
        <v>90</v>
      </c>
      <c r="G2798" s="0" t="n">
        <v>150</v>
      </c>
      <c r="H2798" s="0" t="s">
        <v>145</v>
      </c>
      <c r="I2798" s="0" t="n">
        <v>150</v>
      </c>
      <c r="J2798" s="0" t="n">
        <f aca="false">F2798*E2798</f>
        <v>450</v>
      </c>
      <c r="K2798" s="0" t="str">
        <f aca="false">IF(G2798&lt;1000,"1-Low",IF(G2798&lt;5000,"2-Medium","3-Bulk"))</f>
        <v>1-Low</v>
      </c>
      <c r="L2798" s="0" t="str">
        <f aca="false">IF(H2798="TRUE","Out of stock","In stock")</f>
        <v>In stock</v>
      </c>
      <c r="M2798" s="0" t="str">
        <f aca="false">IF(D2798&lt;5,"1) Under 5%",IF(D2798&lt;10,"2) 5-9%",IF(D2798&lt;15,"3) 10-14%",IF(D2798&lt;25,"4) 15-24%","5) 25%+"))))</f>
        <v>1) Under 5%</v>
      </c>
      <c r="N2798" s="0" t="str">
        <f aca="false">IF(F2798&lt;50,"1) Under Rs 50",IF(F2798&lt;100,"2) Rs 50-99",IF(F2798&lt;200,"3) Rs 100-199",IF(F2798&lt;500,"4) Rs 200-499","5) Rs 500+"))))</f>
        <v>2) Rs 50-99</v>
      </c>
      <c r="O2798" s="0" t="n">
        <f aca="false">G2798*E2798/1000</f>
        <v>0.75</v>
      </c>
    </row>
    <row r="2799" customFormat="false" ht="15" hidden="false" customHeight="false" outlineLevel="0" collapsed="false">
      <c r="A2799" s="0" t="s">
        <v>123</v>
      </c>
      <c r="B2799" s="0" t="s">
        <v>1297</v>
      </c>
      <c r="C2799" s="0" t="n">
        <v>195</v>
      </c>
      <c r="D2799" s="0" t="n">
        <v>10</v>
      </c>
      <c r="E2799" s="0" t="n">
        <v>4</v>
      </c>
      <c r="F2799" s="0" t="n">
        <v>174</v>
      </c>
      <c r="G2799" s="0" t="n">
        <v>180</v>
      </c>
      <c r="H2799" s="0" t="s">
        <v>145</v>
      </c>
      <c r="I2799" s="0" t="n">
        <v>180</v>
      </c>
      <c r="J2799" s="0" t="n">
        <f aca="false">F2799*E2799</f>
        <v>696</v>
      </c>
      <c r="K2799" s="0" t="str">
        <f aca="false">IF(G2799&lt;1000,"1-Low",IF(G2799&lt;5000,"2-Medium","3-Bulk"))</f>
        <v>1-Low</v>
      </c>
      <c r="L2799" s="0" t="str">
        <f aca="false">IF(H2799="TRUE","Out of stock","In stock")</f>
        <v>In stock</v>
      </c>
      <c r="M2799" s="0" t="str">
        <f aca="false">IF(D2799&lt;5,"1) Under 5%",IF(D2799&lt;10,"2) 5-9%",IF(D2799&lt;15,"3) 10-14%",IF(D2799&lt;25,"4) 15-24%","5) 25%+"))))</f>
        <v>3) 10-14%</v>
      </c>
      <c r="N2799" s="0" t="str">
        <f aca="false">IF(F2799&lt;50,"1) Under Rs 50",IF(F2799&lt;100,"2) Rs 50-99",IF(F2799&lt;200,"3) Rs 100-199",IF(F2799&lt;500,"4) Rs 200-499","5) Rs 500+"))))</f>
        <v>3) Rs 100-199</v>
      </c>
      <c r="O2799" s="0" t="n">
        <f aca="false">G2799*E2799/1000</f>
        <v>0.72</v>
      </c>
    </row>
    <row r="2800" customFormat="false" ht="15" hidden="false" customHeight="false" outlineLevel="0" collapsed="false">
      <c r="A2800" s="0" t="s">
        <v>123</v>
      </c>
      <c r="B2800" s="0" t="s">
        <v>1298</v>
      </c>
      <c r="C2800" s="0" t="n">
        <v>130</v>
      </c>
      <c r="D2800" s="0" t="n">
        <v>10</v>
      </c>
      <c r="E2800" s="0" t="n">
        <v>2</v>
      </c>
      <c r="F2800" s="0" t="n">
        <v>117</v>
      </c>
      <c r="G2800" s="0" t="n">
        <v>80</v>
      </c>
      <c r="H2800" s="0" t="s">
        <v>145</v>
      </c>
      <c r="I2800" s="0" t="n">
        <v>80</v>
      </c>
      <c r="J2800" s="0" t="n">
        <f aca="false">F2800*E2800</f>
        <v>234</v>
      </c>
      <c r="K2800" s="0" t="str">
        <f aca="false">IF(G2800&lt;1000,"1-Low",IF(G2800&lt;5000,"2-Medium","3-Bulk"))</f>
        <v>1-Low</v>
      </c>
      <c r="L2800" s="0" t="str">
        <f aca="false">IF(H2800="TRUE","Out of stock","In stock")</f>
        <v>In stock</v>
      </c>
      <c r="M2800" s="0" t="str">
        <f aca="false">IF(D2800&lt;5,"1) Under 5%",IF(D2800&lt;10,"2) 5-9%",IF(D2800&lt;15,"3) 10-14%",IF(D2800&lt;25,"4) 15-24%","5) 25%+"))))</f>
        <v>3) 10-14%</v>
      </c>
      <c r="N2800" s="0" t="str">
        <f aca="false">IF(F2800&lt;50,"1) Under Rs 50",IF(F2800&lt;100,"2) Rs 50-99",IF(F2800&lt;200,"3) Rs 100-199",IF(F2800&lt;500,"4) Rs 200-499","5) Rs 500+"))))</f>
        <v>3) Rs 100-199</v>
      </c>
      <c r="O2800" s="0" t="n">
        <f aca="false">G2800*E2800/1000</f>
        <v>0.16</v>
      </c>
    </row>
    <row r="2801" customFormat="false" ht="15" hidden="false" customHeight="false" outlineLevel="0" collapsed="false">
      <c r="A2801" s="0" t="s">
        <v>123</v>
      </c>
      <c r="B2801" s="0" t="s">
        <v>1299</v>
      </c>
      <c r="C2801" s="0" t="n">
        <v>140</v>
      </c>
      <c r="D2801" s="0" t="n">
        <v>8</v>
      </c>
      <c r="E2801" s="0" t="n">
        <v>2</v>
      </c>
      <c r="F2801" s="0" t="n">
        <v>128</v>
      </c>
      <c r="G2801" s="0" t="n">
        <v>200</v>
      </c>
      <c r="H2801" s="0" t="s">
        <v>145</v>
      </c>
      <c r="I2801" s="0" t="n">
        <v>200</v>
      </c>
      <c r="J2801" s="0" t="n">
        <f aca="false">F2801*E2801</f>
        <v>256</v>
      </c>
      <c r="K2801" s="0" t="str">
        <f aca="false">IF(G2801&lt;1000,"1-Low",IF(G2801&lt;5000,"2-Medium","3-Bulk"))</f>
        <v>1-Low</v>
      </c>
      <c r="L2801" s="0" t="str">
        <f aca="false">IF(H2801="TRUE","Out of stock","In stock")</f>
        <v>In stock</v>
      </c>
      <c r="M2801" s="0" t="str">
        <f aca="false">IF(D2801&lt;5,"1) Under 5%",IF(D2801&lt;10,"2) 5-9%",IF(D2801&lt;15,"3) 10-14%",IF(D2801&lt;25,"4) 15-24%","5) 25%+"))))</f>
        <v>2) 5-9%</v>
      </c>
      <c r="N2801" s="0" t="str">
        <f aca="false">IF(F2801&lt;50,"1) Under Rs 50",IF(F2801&lt;100,"2) Rs 50-99",IF(F2801&lt;200,"3) Rs 100-199",IF(F2801&lt;500,"4) Rs 200-499","5) Rs 500+"))))</f>
        <v>3) Rs 100-199</v>
      </c>
      <c r="O2801" s="0" t="n">
        <f aca="false">G2801*E2801/1000</f>
        <v>0.4</v>
      </c>
    </row>
    <row r="2802" customFormat="false" ht="15" hidden="false" customHeight="false" outlineLevel="0" collapsed="false">
      <c r="A2802" s="0" t="s">
        <v>123</v>
      </c>
      <c r="B2802" s="0" t="s">
        <v>1300</v>
      </c>
      <c r="C2802" s="0" t="n">
        <v>30</v>
      </c>
      <c r="D2802" s="0" t="n">
        <v>3</v>
      </c>
      <c r="E2802" s="0" t="n">
        <v>6</v>
      </c>
      <c r="F2802" s="0" t="n">
        <v>29</v>
      </c>
      <c r="G2802" s="0" t="n">
        <v>406</v>
      </c>
      <c r="H2802" s="0" t="s">
        <v>145</v>
      </c>
      <c r="I2802" s="0" t="n">
        <v>7</v>
      </c>
      <c r="J2802" s="0" t="n">
        <f aca="false">F2802*E2802</f>
        <v>174</v>
      </c>
      <c r="K2802" s="0" t="str">
        <f aca="false">IF(G2802&lt;1000,"1-Low",IF(G2802&lt;5000,"2-Medium","3-Bulk"))</f>
        <v>1-Low</v>
      </c>
      <c r="L2802" s="0" t="str">
        <f aca="false">IF(H2802="TRUE","Out of stock","In stock")</f>
        <v>In stock</v>
      </c>
      <c r="M2802" s="0" t="str">
        <f aca="false">IF(D2802&lt;5,"1) Under 5%",IF(D2802&lt;10,"2) 5-9%",IF(D2802&lt;15,"3) 10-14%",IF(D2802&lt;25,"4) 15-24%","5) 25%+"))))</f>
        <v>1) Under 5%</v>
      </c>
      <c r="N2802" s="0" t="str">
        <f aca="false">IF(F2802&lt;50,"1) Under Rs 50",IF(F2802&lt;100,"2) Rs 50-99",IF(F2802&lt;200,"3) Rs 100-199",IF(F2802&lt;500,"4) Rs 200-499","5) Rs 500+"))))</f>
        <v>1) Under Rs 50</v>
      </c>
      <c r="O2802" s="0" t="n">
        <f aca="false">G2802*E2802/1000</f>
        <v>2.436</v>
      </c>
    </row>
    <row r="2803" customFormat="false" ht="15" hidden="false" customHeight="false" outlineLevel="0" collapsed="false">
      <c r="A2803" s="0" t="s">
        <v>123</v>
      </c>
      <c r="B2803" s="0" t="s">
        <v>1301</v>
      </c>
      <c r="C2803" s="0" t="n">
        <v>99</v>
      </c>
      <c r="D2803" s="0" t="n">
        <v>4</v>
      </c>
      <c r="E2803" s="0" t="n">
        <v>6</v>
      </c>
      <c r="F2803" s="0" t="n">
        <v>95</v>
      </c>
      <c r="G2803" s="0" t="n">
        <v>750</v>
      </c>
      <c r="H2803" s="0" t="s">
        <v>145</v>
      </c>
      <c r="I2803" s="0" t="n">
        <v>750</v>
      </c>
      <c r="J2803" s="0" t="n">
        <f aca="false">F2803*E2803</f>
        <v>570</v>
      </c>
      <c r="K2803" s="0" t="str">
        <f aca="false">IF(G2803&lt;1000,"1-Low",IF(G2803&lt;5000,"2-Medium","3-Bulk"))</f>
        <v>1-Low</v>
      </c>
      <c r="L2803" s="0" t="str">
        <f aca="false">IF(H2803="TRUE","Out of stock","In stock")</f>
        <v>In stock</v>
      </c>
      <c r="M2803" s="0" t="str">
        <f aca="false">IF(D2803&lt;5,"1) Under 5%",IF(D2803&lt;10,"2) 5-9%",IF(D2803&lt;15,"3) 10-14%",IF(D2803&lt;25,"4) 15-24%","5) 25%+"))))</f>
        <v>1) Under 5%</v>
      </c>
      <c r="N2803" s="0" t="str">
        <f aca="false">IF(F2803&lt;50,"1) Under Rs 50",IF(F2803&lt;100,"2) Rs 50-99",IF(F2803&lt;200,"3) Rs 100-199",IF(F2803&lt;500,"4) Rs 200-499","5) Rs 500+"))))</f>
        <v>2) Rs 50-99</v>
      </c>
      <c r="O2803" s="0" t="n">
        <f aca="false">G2803*E2803/1000</f>
        <v>4.5</v>
      </c>
    </row>
    <row r="2804" customFormat="false" ht="15" hidden="false" customHeight="false" outlineLevel="0" collapsed="false">
      <c r="A2804" s="0" t="s">
        <v>123</v>
      </c>
      <c r="B2804" s="0" t="s">
        <v>1302</v>
      </c>
      <c r="C2804" s="0" t="n">
        <v>190</v>
      </c>
      <c r="D2804" s="0" t="n">
        <v>14</v>
      </c>
      <c r="E2804" s="0" t="n">
        <v>6</v>
      </c>
      <c r="F2804" s="0" t="n">
        <v>162</v>
      </c>
      <c r="G2804" s="0" t="n">
        <v>175</v>
      </c>
      <c r="H2804" s="0" t="s">
        <v>145</v>
      </c>
      <c r="I2804" s="0" t="n">
        <v>80</v>
      </c>
      <c r="J2804" s="0" t="n">
        <f aca="false">F2804*E2804</f>
        <v>972</v>
      </c>
      <c r="K2804" s="0" t="str">
        <f aca="false">IF(G2804&lt;1000,"1-Low",IF(G2804&lt;5000,"2-Medium","3-Bulk"))</f>
        <v>1-Low</v>
      </c>
      <c r="L2804" s="0" t="str">
        <f aca="false">IF(H2804="TRUE","Out of stock","In stock")</f>
        <v>In stock</v>
      </c>
      <c r="M2804" s="0" t="str">
        <f aca="false">IF(D2804&lt;5,"1) Under 5%",IF(D2804&lt;10,"2) 5-9%",IF(D2804&lt;15,"3) 10-14%",IF(D2804&lt;25,"4) 15-24%","5) 25%+"))))</f>
        <v>3) 10-14%</v>
      </c>
      <c r="N2804" s="0" t="str">
        <f aca="false">IF(F2804&lt;50,"1) Under Rs 50",IF(F2804&lt;100,"2) Rs 50-99",IF(F2804&lt;200,"3) Rs 100-199",IF(F2804&lt;500,"4) Rs 200-499","5) Rs 500+"))))</f>
        <v>3) Rs 100-199</v>
      </c>
      <c r="O2804" s="0" t="n">
        <f aca="false">G2804*E2804/1000</f>
        <v>1.05</v>
      </c>
    </row>
    <row r="2805" customFormat="false" ht="15" hidden="false" customHeight="false" outlineLevel="0" collapsed="false">
      <c r="A2805" s="0" t="s">
        <v>123</v>
      </c>
      <c r="B2805" s="0" t="s">
        <v>1303</v>
      </c>
      <c r="C2805" s="0" t="n">
        <v>75</v>
      </c>
      <c r="D2805" s="0" t="n">
        <v>5</v>
      </c>
      <c r="E2805" s="0" t="n">
        <v>4</v>
      </c>
      <c r="F2805" s="0" t="n">
        <v>71</v>
      </c>
      <c r="G2805" s="0" t="n">
        <v>100</v>
      </c>
      <c r="H2805" s="0" t="s">
        <v>145</v>
      </c>
      <c r="I2805" s="0" t="n">
        <v>100</v>
      </c>
      <c r="J2805" s="0" t="n">
        <f aca="false">F2805*E2805</f>
        <v>284</v>
      </c>
      <c r="K2805" s="0" t="str">
        <f aca="false">IF(G2805&lt;1000,"1-Low",IF(G2805&lt;5000,"2-Medium","3-Bulk"))</f>
        <v>1-Low</v>
      </c>
      <c r="L2805" s="0" t="str">
        <f aca="false">IF(H2805="TRUE","Out of stock","In stock")</f>
        <v>In stock</v>
      </c>
      <c r="M2805" s="0" t="str">
        <f aca="false">IF(D2805&lt;5,"1) Under 5%",IF(D2805&lt;10,"2) 5-9%",IF(D2805&lt;15,"3) 10-14%",IF(D2805&lt;25,"4) 15-24%","5) 25%+"))))</f>
        <v>2) 5-9%</v>
      </c>
      <c r="N2805" s="0" t="str">
        <f aca="false">IF(F2805&lt;50,"1) Under Rs 50",IF(F2805&lt;100,"2) Rs 50-99",IF(F2805&lt;200,"3) Rs 100-199",IF(F2805&lt;500,"4) Rs 200-499","5) Rs 500+"))))</f>
        <v>2) Rs 50-99</v>
      </c>
      <c r="O2805" s="0" t="n">
        <f aca="false">G2805*E2805/1000</f>
        <v>0.4</v>
      </c>
    </row>
    <row r="2806" customFormat="false" ht="15" hidden="false" customHeight="false" outlineLevel="0" collapsed="false">
      <c r="A2806" s="0" t="s">
        <v>123</v>
      </c>
      <c r="B2806" s="0" t="s">
        <v>1304</v>
      </c>
      <c r="C2806" s="0" t="n">
        <v>82</v>
      </c>
      <c r="D2806" s="0" t="n">
        <v>9</v>
      </c>
      <c r="E2806" s="0" t="n">
        <v>6</v>
      </c>
      <c r="F2806" s="0" t="n">
        <v>74</v>
      </c>
      <c r="G2806" s="0" t="n">
        <v>190</v>
      </c>
      <c r="H2806" s="0" t="s">
        <v>145</v>
      </c>
      <c r="I2806" s="0" t="n">
        <v>190</v>
      </c>
      <c r="J2806" s="0" t="n">
        <f aca="false">F2806*E2806</f>
        <v>444</v>
      </c>
      <c r="K2806" s="0" t="str">
        <f aca="false">IF(G2806&lt;1000,"1-Low",IF(G2806&lt;5000,"2-Medium","3-Bulk"))</f>
        <v>1-Low</v>
      </c>
      <c r="L2806" s="0" t="str">
        <f aca="false">IF(H2806="TRUE","Out of stock","In stock")</f>
        <v>In stock</v>
      </c>
      <c r="M2806" s="0" t="str">
        <f aca="false">IF(D2806&lt;5,"1) Under 5%",IF(D2806&lt;10,"2) 5-9%",IF(D2806&lt;15,"3) 10-14%",IF(D2806&lt;25,"4) 15-24%","5) 25%+"))))</f>
        <v>2) 5-9%</v>
      </c>
      <c r="N2806" s="0" t="str">
        <f aca="false">IF(F2806&lt;50,"1) Under Rs 50",IF(F2806&lt;100,"2) Rs 50-99",IF(F2806&lt;200,"3) Rs 100-199",IF(F2806&lt;500,"4) Rs 200-499","5) Rs 500+"))))</f>
        <v>2) Rs 50-99</v>
      </c>
      <c r="O2806" s="0" t="n">
        <f aca="false">G2806*E2806/1000</f>
        <v>1.14</v>
      </c>
    </row>
    <row r="2807" customFormat="false" ht="15" hidden="false" customHeight="false" outlineLevel="0" collapsed="false">
      <c r="A2807" s="0" t="s">
        <v>123</v>
      </c>
      <c r="B2807" s="0" t="s">
        <v>1305</v>
      </c>
      <c r="C2807" s="0" t="n">
        <v>79</v>
      </c>
      <c r="D2807" s="0" t="n">
        <v>6</v>
      </c>
      <c r="E2807" s="0" t="n">
        <v>6</v>
      </c>
      <c r="F2807" s="0" t="n">
        <v>74</v>
      </c>
      <c r="G2807" s="0" t="n">
        <v>1160</v>
      </c>
      <c r="H2807" s="0" t="s">
        <v>145</v>
      </c>
      <c r="I2807" s="0" t="n">
        <v>20</v>
      </c>
      <c r="J2807" s="0" t="n">
        <f aca="false">F2807*E2807</f>
        <v>444</v>
      </c>
      <c r="K2807" s="0" t="str">
        <f aca="false">IF(G2807&lt;1000,"1-Low",IF(G2807&lt;5000,"2-Medium","3-Bulk"))</f>
        <v>2-Medium</v>
      </c>
      <c r="L2807" s="0" t="str">
        <f aca="false">IF(H2807="TRUE","Out of stock","In stock")</f>
        <v>In stock</v>
      </c>
      <c r="M2807" s="0" t="str">
        <f aca="false">IF(D2807&lt;5,"1) Under 5%",IF(D2807&lt;10,"2) 5-9%",IF(D2807&lt;15,"3) 10-14%",IF(D2807&lt;25,"4) 15-24%","5) 25%+"))))</f>
        <v>2) 5-9%</v>
      </c>
      <c r="N2807" s="0" t="str">
        <f aca="false">IF(F2807&lt;50,"1) Under Rs 50",IF(F2807&lt;100,"2) Rs 50-99",IF(F2807&lt;200,"3) Rs 100-199",IF(F2807&lt;500,"4) Rs 200-499","5) Rs 500+"))))</f>
        <v>2) Rs 50-99</v>
      </c>
      <c r="O2807" s="0" t="n">
        <f aca="false">G2807*E2807/1000</f>
        <v>6.96</v>
      </c>
    </row>
    <row r="2808" customFormat="false" ht="15" hidden="false" customHeight="false" outlineLevel="0" collapsed="false">
      <c r="A2808" s="0" t="s">
        <v>123</v>
      </c>
      <c r="B2808" s="0" t="s">
        <v>1306</v>
      </c>
      <c r="C2808" s="0" t="n">
        <v>79</v>
      </c>
      <c r="D2808" s="0" t="n">
        <v>0</v>
      </c>
      <c r="E2808" s="0" t="n">
        <v>6</v>
      </c>
      <c r="F2808" s="0" t="n">
        <v>79</v>
      </c>
      <c r="G2808" s="0" t="n">
        <v>200</v>
      </c>
      <c r="H2808" s="0" t="s">
        <v>145</v>
      </c>
      <c r="I2808" s="0" t="n">
        <v>200</v>
      </c>
      <c r="J2808" s="0" t="n">
        <f aca="false">F2808*E2808</f>
        <v>474</v>
      </c>
      <c r="K2808" s="0" t="str">
        <f aca="false">IF(G2808&lt;1000,"1-Low",IF(G2808&lt;5000,"2-Medium","3-Bulk"))</f>
        <v>1-Low</v>
      </c>
      <c r="L2808" s="0" t="str">
        <f aca="false">IF(H2808="TRUE","Out of stock","In stock")</f>
        <v>In stock</v>
      </c>
      <c r="M2808" s="0" t="str">
        <f aca="false">IF(D2808&lt;5,"1) Under 5%",IF(D2808&lt;10,"2) 5-9%",IF(D2808&lt;15,"3) 10-14%",IF(D2808&lt;25,"4) 15-24%","5) 25%+"))))</f>
        <v>1) Under 5%</v>
      </c>
      <c r="N2808" s="0" t="str">
        <f aca="false">IF(F2808&lt;50,"1) Under Rs 50",IF(F2808&lt;100,"2) Rs 50-99",IF(F2808&lt;200,"3) Rs 100-199",IF(F2808&lt;500,"4) Rs 200-499","5) Rs 500+"))))</f>
        <v>2) Rs 50-99</v>
      </c>
      <c r="O2808" s="0" t="n">
        <f aca="false">G2808*E2808/1000</f>
        <v>1.2</v>
      </c>
    </row>
    <row r="2809" customFormat="false" ht="15" hidden="false" customHeight="false" outlineLevel="0" collapsed="false">
      <c r="A2809" s="0" t="s">
        <v>123</v>
      </c>
      <c r="B2809" s="0" t="s">
        <v>1307</v>
      </c>
      <c r="C2809" s="0" t="n">
        <v>75</v>
      </c>
      <c r="D2809" s="0" t="n">
        <v>9</v>
      </c>
      <c r="E2809" s="0" t="n">
        <v>6</v>
      </c>
      <c r="F2809" s="0" t="n">
        <v>68</v>
      </c>
      <c r="G2809" s="0" t="n">
        <v>70</v>
      </c>
      <c r="H2809" s="0" t="s">
        <v>145</v>
      </c>
      <c r="I2809" s="0" t="n">
        <v>70</v>
      </c>
      <c r="J2809" s="0" t="n">
        <f aca="false">F2809*E2809</f>
        <v>408</v>
      </c>
      <c r="K2809" s="0" t="str">
        <f aca="false">IF(G2809&lt;1000,"1-Low",IF(G2809&lt;5000,"2-Medium","3-Bulk"))</f>
        <v>1-Low</v>
      </c>
      <c r="L2809" s="0" t="str">
        <f aca="false">IF(H2809="TRUE","Out of stock","In stock")</f>
        <v>In stock</v>
      </c>
      <c r="M2809" s="0" t="str">
        <f aca="false">IF(D2809&lt;5,"1) Under 5%",IF(D2809&lt;10,"2) 5-9%",IF(D2809&lt;15,"3) 10-14%",IF(D2809&lt;25,"4) 15-24%","5) 25%+"))))</f>
        <v>2) 5-9%</v>
      </c>
      <c r="N2809" s="0" t="str">
        <f aca="false">IF(F2809&lt;50,"1) Under Rs 50",IF(F2809&lt;100,"2) Rs 50-99",IF(F2809&lt;200,"3) Rs 100-199",IF(F2809&lt;500,"4) Rs 200-499","5) Rs 500+"))))</f>
        <v>2) Rs 50-99</v>
      </c>
      <c r="O2809" s="0" t="n">
        <f aca="false">G2809*E2809/1000</f>
        <v>0.42</v>
      </c>
    </row>
    <row r="2810" customFormat="false" ht="15" hidden="false" customHeight="false" outlineLevel="0" collapsed="false">
      <c r="A2810" s="0" t="s">
        <v>123</v>
      </c>
      <c r="B2810" s="0" t="s">
        <v>1308</v>
      </c>
      <c r="C2810" s="0" t="n">
        <v>135</v>
      </c>
      <c r="D2810" s="0" t="n">
        <v>5</v>
      </c>
      <c r="E2810" s="0" t="n">
        <v>5</v>
      </c>
      <c r="F2810" s="0" t="n">
        <v>128</v>
      </c>
      <c r="G2810" s="0" t="n">
        <v>50</v>
      </c>
      <c r="H2810" s="0" t="s">
        <v>145</v>
      </c>
      <c r="I2810" s="0" t="n">
        <v>50</v>
      </c>
      <c r="J2810" s="0" t="n">
        <f aca="false">F2810*E2810</f>
        <v>640</v>
      </c>
      <c r="K2810" s="0" t="str">
        <f aca="false">IF(G2810&lt;1000,"1-Low",IF(G2810&lt;5000,"2-Medium","3-Bulk"))</f>
        <v>1-Low</v>
      </c>
      <c r="L2810" s="0" t="str">
        <f aca="false">IF(H2810="TRUE","Out of stock","In stock")</f>
        <v>In stock</v>
      </c>
      <c r="M2810" s="0" t="str">
        <f aca="false">IF(D2810&lt;5,"1) Under 5%",IF(D2810&lt;10,"2) 5-9%",IF(D2810&lt;15,"3) 10-14%",IF(D2810&lt;25,"4) 15-24%","5) 25%+"))))</f>
        <v>2) 5-9%</v>
      </c>
      <c r="N2810" s="0" t="str">
        <f aca="false">IF(F2810&lt;50,"1) Under Rs 50",IF(F2810&lt;100,"2) Rs 50-99",IF(F2810&lt;200,"3) Rs 100-199",IF(F2810&lt;500,"4) Rs 200-499","5) Rs 500+"))))</f>
        <v>3) Rs 100-199</v>
      </c>
      <c r="O2810" s="0" t="n">
        <f aca="false">G2810*E2810/1000</f>
        <v>0.25</v>
      </c>
    </row>
    <row r="2811" customFormat="false" ht="15" hidden="false" customHeight="false" outlineLevel="0" collapsed="false">
      <c r="A2811" s="0" t="s">
        <v>123</v>
      </c>
      <c r="B2811" s="0" t="s">
        <v>1309</v>
      </c>
      <c r="C2811" s="0" t="n">
        <v>265</v>
      </c>
      <c r="D2811" s="0" t="n">
        <v>0</v>
      </c>
      <c r="E2811" s="0" t="n">
        <v>2</v>
      </c>
      <c r="F2811" s="0" t="n">
        <v>265</v>
      </c>
      <c r="G2811" s="0" t="n">
        <v>396</v>
      </c>
      <c r="H2811" s="0" t="s">
        <v>145</v>
      </c>
      <c r="I2811" s="0" t="n">
        <v>360</v>
      </c>
      <c r="J2811" s="0" t="n">
        <f aca="false">F2811*E2811</f>
        <v>530</v>
      </c>
      <c r="K2811" s="0" t="str">
        <f aca="false">IF(G2811&lt;1000,"1-Low",IF(G2811&lt;5000,"2-Medium","3-Bulk"))</f>
        <v>1-Low</v>
      </c>
      <c r="L2811" s="0" t="str">
        <f aca="false">IF(H2811="TRUE","Out of stock","In stock")</f>
        <v>In stock</v>
      </c>
      <c r="M2811" s="0" t="str">
        <f aca="false">IF(D2811&lt;5,"1) Under 5%",IF(D2811&lt;10,"2) 5-9%",IF(D2811&lt;15,"3) 10-14%",IF(D2811&lt;25,"4) 15-24%","5) 25%+"))))</f>
        <v>1) Under 5%</v>
      </c>
      <c r="N2811" s="0" t="str">
        <f aca="false">IF(F2811&lt;50,"1) Under Rs 50",IF(F2811&lt;100,"2) Rs 50-99",IF(F2811&lt;200,"3) Rs 100-199",IF(F2811&lt;500,"4) Rs 200-499","5) Rs 500+"))))</f>
        <v>4) Rs 200-499</v>
      </c>
      <c r="O2811" s="0" t="n">
        <f aca="false">G2811*E2811/1000</f>
        <v>0.792</v>
      </c>
    </row>
    <row r="2812" customFormat="false" ht="15" hidden="false" customHeight="false" outlineLevel="0" collapsed="false">
      <c r="A2812" s="0" t="s">
        <v>123</v>
      </c>
      <c r="B2812" s="0" t="s">
        <v>1310</v>
      </c>
      <c r="C2812" s="0" t="n">
        <v>160</v>
      </c>
      <c r="D2812" s="0" t="n">
        <v>11</v>
      </c>
      <c r="E2812" s="0" t="n">
        <v>6</v>
      </c>
      <c r="F2812" s="0" t="n">
        <v>141</v>
      </c>
      <c r="G2812" s="0" t="n">
        <v>375</v>
      </c>
      <c r="H2812" s="0" t="s">
        <v>145</v>
      </c>
      <c r="I2812" s="0" t="n">
        <v>375</v>
      </c>
      <c r="J2812" s="0" t="n">
        <f aca="false">F2812*E2812</f>
        <v>846</v>
      </c>
      <c r="K2812" s="0" t="str">
        <f aca="false">IF(G2812&lt;1000,"1-Low",IF(G2812&lt;5000,"2-Medium","3-Bulk"))</f>
        <v>1-Low</v>
      </c>
      <c r="L2812" s="0" t="str">
        <f aca="false">IF(H2812="TRUE","Out of stock","In stock")</f>
        <v>In stock</v>
      </c>
      <c r="M2812" s="0" t="str">
        <f aca="false">IF(D2812&lt;5,"1) Under 5%",IF(D2812&lt;10,"2) 5-9%",IF(D2812&lt;15,"3) 10-14%",IF(D2812&lt;25,"4) 15-24%","5) 25%+"))))</f>
        <v>3) 10-14%</v>
      </c>
      <c r="N2812" s="0" t="str">
        <f aca="false">IF(F2812&lt;50,"1) Under Rs 50",IF(F2812&lt;100,"2) Rs 50-99",IF(F2812&lt;200,"3) Rs 100-199",IF(F2812&lt;500,"4) Rs 200-499","5) Rs 500+"))))</f>
        <v>3) Rs 100-199</v>
      </c>
      <c r="O2812" s="0" t="n">
        <f aca="false">G2812*E2812/1000</f>
        <v>2.25</v>
      </c>
    </row>
    <row r="2813" customFormat="false" ht="15" hidden="false" customHeight="false" outlineLevel="0" collapsed="false">
      <c r="A2813" s="0" t="s">
        <v>123</v>
      </c>
      <c r="B2813" s="0" t="s">
        <v>1311</v>
      </c>
      <c r="C2813" s="0" t="n">
        <v>140</v>
      </c>
      <c r="D2813" s="0" t="n">
        <v>15</v>
      </c>
      <c r="E2813" s="0" t="n">
        <v>6</v>
      </c>
      <c r="F2813" s="0" t="n">
        <v>119</v>
      </c>
      <c r="G2813" s="0" t="n">
        <v>5</v>
      </c>
      <c r="H2813" s="0" t="s">
        <v>145</v>
      </c>
      <c r="I2813" s="0" t="n">
        <v>4</v>
      </c>
      <c r="J2813" s="0" t="n">
        <f aca="false">F2813*E2813</f>
        <v>714</v>
      </c>
      <c r="K2813" s="0" t="str">
        <f aca="false">IF(G2813&lt;1000,"1-Low",IF(G2813&lt;5000,"2-Medium","3-Bulk"))</f>
        <v>1-Low</v>
      </c>
      <c r="L2813" s="0" t="str">
        <f aca="false">IF(H2813="TRUE","Out of stock","In stock")</f>
        <v>In stock</v>
      </c>
      <c r="M2813" s="0" t="str">
        <f aca="false">IF(D2813&lt;5,"1) Under 5%",IF(D2813&lt;10,"2) 5-9%",IF(D2813&lt;15,"3) 10-14%",IF(D2813&lt;25,"4) 15-24%","5) 25%+"))))</f>
        <v>4) 15-24%</v>
      </c>
      <c r="N2813" s="0" t="str">
        <f aca="false">IF(F2813&lt;50,"1) Under Rs 50",IF(F2813&lt;100,"2) Rs 50-99",IF(F2813&lt;200,"3) Rs 100-199",IF(F2813&lt;500,"4) Rs 200-499","5) Rs 500+"))))</f>
        <v>3) Rs 100-199</v>
      </c>
      <c r="O2813" s="0" t="n">
        <f aca="false">G2813*E2813/1000</f>
        <v>0.03</v>
      </c>
    </row>
    <row r="2814" customFormat="false" ht="15" hidden="false" customHeight="false" outlineLevel="0" collapsed="false">
      <c r="A2814" s="0" t="s">
        <v>123</v>
      </c>
      <c r="B2814" s="0" t="s">
        <v>1312</v>
      </c>
      <c r="C2814" s="0" t="n">
        <v>99</v>
      </c>
      <c r="D2814" s="0" t="n">
        <v>0</v>
      </c>
      <c r="E2814" s="0" t="n">
        <v>3</v>
      </c>
      <c r="F2814" s="0" t="n">
        <v>99</v>
      </c>
      <c r="G2814" s="0" t="n">
        <v>232</v>
      </c>
      <c r="H2814" s="0" t="s">
        <v>145</v>
      </c>
      <c r="I2814" s="0" t="n">
        <v>4</v>
      </c>
      <c r="J2814" s="0" t="n">
        <f aca="false">F2814*E2814</f>
        <v>297</v>
      </c>
      <c r="K2814" s="0" t="str">
        <f aca="false">IF(G2814&lt;1000,"1-Low",IF(G2814&lt;5000,"2-Medium","3-Bulk"))</f>
        <v>1-Low</v>
      </c>
      <c r="L2814" s="0" t="str">
        <f aca="false">IF(H2814="TRUE","Out of stock","In stock")</f>
        <v>In stock</v>
      </c>
      <c r="M2814" s="0" t="str">
        <f aca="false">IF(D2814&lt;5,"1) Under 5%",IF(D2814&lt;10,"2) 5-9%",IF(D2814&lt;15,"3) 10-14%",IF(D2814&lt;25,"4) 15-24%","5) 25%+"))))</f>
        <v>1) Under 5%</v>
      </c>
      <c r="N2814" s="0" t="str">
        <f aca="false">IF(F2814&lt;50,"1) Under Rs 50",IF(F2814&lt;100,"2) Rs 50-99",IF(F2814&lt;200,"3) Rs 100-199",IF(F2814&lt;500,"4) Rs 200-499","5) Rs 500+"))))</f>
        <v>2) Rs 50-99</v>
      </c>
      <c r="O2814" s="0" t="n">
        <f aca="false">G2814*E2814/1000</f>
        <v>0.696</v>
      </c>
    </row>
    <row r="2815" customFormat="false" ht="15" hidden="false" customHeight="false" outlineLevel="0" collapsed="false">
      <c r="A2815" s="0" t="s">
        <v>123</v>
      </c>
      <c r="B2815" s="0" t="s">
        <v>1313</v>
      </c>
      <c r="C2815" s="0" t="n">
        <v>250</v>
      </c>
      <c r="D2815" s="0" t="n">
        <v>10</v>
      </c>
      <c r="E2815" s="0" t="n">
        <v>3</v>
      </c>
      <c r="F2815" s="0" t="n">
        <v>225</v>
      </c>
      <c r="G2815" s="0" t="n">
        <v>30</v>
      </c>
      <c r="H2815" s="0" t="s">
        <v>145</v>
      </c>
      <c r="I2815" s="0" t="n">
        <v>30</v>
      </c>
      <c r="J2815" s="0" t="n">
        <f aca="false">F2815*E2815</f>
        <v>675</v>
      </c>
      <c r="K2815" s="0" t="str">
        <f aca="false">IF(G2815&lt;1000,"1-Low",IF(G2815&lt;5000,"2-Medium","3-Bulk"))</f>
        <v>1-Low</v>
      </c>
      <c r="L2815" s="0" t="str">
        <f aca="false">IF(H2815="TRUE","Out of stock","In stock")</f>
        <v>In stock</v>
      </c>
      <c r="M2815" s="0" t="str">
        <f aca="false">IF(D2815&lt;5,"1) Under 5%",IF(D2815&lt;10,"2) 5-9%",IF(D2815&lt;15,"3) 10-14%",IF(D2815&lt;25,"4) 15-24%","5) 25%+"))))</f>
        <v>3) 10-14%</v>
      </c>
      <c r="N2815" s="0" t="str">
        <f aca="false">IF(F2815&lt;50,"1) Under Rs 50",IF(F2815&lt;100,"2) Rs 50-99",IF(F2815&lt;200,"3) Rs 100-199",IF(F2815&lt;500,"4) Rs 200-499","5) Rs 500+"))))</f>
        <v>4) Rs 200-499</v>
      </c>
      <c r="O2815" s="0" t="n">
        <f aca="false">G2815*E2815/1000</f>
        <v>0.09</v>
      </c>
    </row>
    <row r="2816" customFormat="false" ht="15" hidden="false" customHeight="false" outlineLevel="0" collapsed="false">
      <c r="A2816" s="0" t="s">
        <v>123</v>
      </c>
      <c r="B2816" s="0" t="s">
        <v>1314</v>
      </c>
      <c r="C2816" s="0" t="n">
        <v>499</v>
      </c>
      <c r="D2816" s="0" t="n">
        <v>10</v>
      </c>
      <c r="E2816" s="0" t="n">
        <v>3</v>
      </c>
      <c r="F2816" s="0" t="n">
        <v>449</v>
      </c>
      <c r="G2816" s="0" t="n">
        <v>650</v>
      </c>
      <c r="H2816" s="0" t="s">
        <v>145</v>
      </c>
      <c r="I2816" s="0" t="n">
        <v>650</v>
      </c>
      <c r="J2816" s="0" t="n">
        <f aca="false">F2816*E2816</f>
        <v>1347</v>
      </c>
      <c r="K2816" s="0" t="str">
        <f aca="false">IF(G2816&lt;1000,"1-Low",IF(G2816&lt;5000,"2-Medium","3-Bulk"))</f>
        <v>1-Low</v>
      </c>
      <c r="L2816" s="0" t="str">
        <f aca="false">IF(H2816="TRUE","Out of stock","In stock")</f>
        <v>In stock</v>
      </c>
      <c r="M2816" s="0" t="str">
        <f aca="false">IF(D2816&lt;5,"1) Under 5%",IF(D2816&lt;10,"2) 5-9%",IF(D2816&lt;15,"3) 10-14%",IF(D2816&lt;25,"4) 15-24%","5) 25%+"))))</f>
        <v>3) 10-14%</v>
      </c>
      <c r="N2816" s="0" t="str">
        <f aca="false">IF(F2816&lt;50,"1) Under Rs 50",IF(F2816&lt;100,"2) Rs 50-99",IF(F2816&lt;200,"3) Rs 100-199",IF(F2816&lt;500,"4) Rs 200-499","5) Rs 500+"))))</f>
        <v>4) Rs 200-499</v>
      </c>
      <c r="O2816" s="0" t="n">
        <f aca="false">G2816*E2816/1000</f>
        <v>1.95</v>
      </c>
    </row>
    <row r="2817" customFormat="false" ht="15" hidden="false" customHeight="false" outlineLevel="0" collapsed="false">
      <c r="A2817" s="0" t="s">
        <v>123</v>
      </c>
      <c r="B2817" s="0" t="s">
        <v>1315</v>
      </c>
      <c r="C2817" s="0" t="n">
        <v>98</v>
      </c>
      <c r="D2817" s="0" t="n">
        <v>0</v>
      </c>
      <c r="E2817" s="0" t="n">
        <v>5</v>
      </c>
      <c r="F2817" s="0" t="n">
        <v>98</v>
      </c>
      <c r="G2817" s="0" t="n">
        <v>100</v>
      </c>
      <c r="H2817" s="0" t="s">
        <v>145</v>
      </c>
      <c r="I2817" s="0" t="n">
        <v>100</v>
      </c>
      <c r="J2817" s="0" t="n">
        <f aca="false">F2817*E2817</f>
        <v>490</v>
      </c>
      <c r="K2817" s="0" t="str">
        <f aca="false">IF(G2817&lt;1000,"1-Low",IF(G2817&lt;5000,"2-Medium","3-Bulk"))</f>
        <v>1-Low</v>
      </c>
      <c r="L2817" s="0" t="str">
        <f aca="false">IF(H2817="TRUE","Out of stock","In stock")</f>
        <v>In stock</v>
      </c>
      <c r="M2817" s="0" t="str">
        <f aca="false">IF(D2817&lt;5,"1) Under 5%",IF(D2817&lt;10,"2) 5-9%",IF(D2817&lt;15,"3) 10-14%",IF(D2817&lt;25,"4) 15-24%","5) 25%+"))))</f>
        <v>1) Under 5%</v>
      </c>
      <c r="N2817" s="0" t="str">
        <f aca="false">IF(F2817&lt;50,"1) Under Rs 50",IF(F2817&lt;100,"2) Rs 50-99",IF(F2817&lt;200,"3) Rs 100-199",IF(F2817&lt;500,"4) Rs 200-499","5) Rs 500+"))))</f>
        <v>2) Rs 50-99</v>
      </c>
      <c r="O2817" s="0" t="n">
        <f aca="false">G2817*E2817/1000</f>
        <v>0.5</v>
      </c>
    </row>
    <row r="2818" customFormat="false" ht="15" hidden="false" customHeight="false" outlineLevel="0" collapsed="false">
      <c r="A2818" s="0" t="s">
        <v>123</v>
      </c>
      <c r="B2818" s="0" t="s">
        <v>1316</v>
      </c>
      <c r="C2818" s="0" t="n">
        <v>120</v>
      </c>
      <c r="D2818" s="0" t="n">
        <v>0</v>
      </c>
      <c r="E2818" s="0" t="n">
        <v>3</v>
      </c>
      <c r="F2818" s="0" t="n">
        <v>120</v>
      </c>
      <c r="G2818" s="0" t="n">
        <v>348</v>
      </c>
      <c r="H2818" s="0" t="s">
        <v>145</v>
      </c>
      <c r="I2818" s="0" t="n">
        <v>6</v>
      </c>
      <c r="J2818" s="0" t="n">
        <f aca="false">F2818*E2818</f>
        <v>360</v>
      </c>
      <c r="K2818" s="0" t="str">
        <f aca="false">IF(G2818&lt;1000,"1-Low",IF(G2818&lt;5000,"2-Medium","3-Bulk"))</f>
        <v>1-Low</v>
      </c>
      <c r="L2818" s="0" t="str">
        <f aca="false">IF(H2818="TRUE","Out of stock","In stock")</f>
        <v>In stock</v>
      </c>
      <c r="M2818" s="0" t="str">
        <f aca="false">IF(D2818&lt;5,"1) Under 5%",IF(D2818&lt;10,"2) 5-9%",IF(D2818&lt;15,"3) 10-14%",IF(D2818&lt;25,"4) 15-24%","5) 25%+"))))</f>
        <v>1) Under 5%</v>
      </c>
      <c r="N2818" s="0" t="str">
        <f aca="false">IF(F2818&lt;50,"1) Under Rs 50",IF(F2818&lt;100,"2) Rs 50-99",IF(F2818&lt;200,"3) Rs 100-199",IF(F2818&lt;500,"4) Rs 200-499","5) Rs 500+"))))</f>
        <v>3) Rs 100-199</v>
      </c>
      <c r="O2818" s="0" t="n">
        <f aca="false">G2818*E2818/1000</f>
        <v>1.044</v>
      </c>
    </row>
    <row r="2819" customFormat="false" ht="15" hidden="false" customHeight="false" outlineLevel="0" collapsed="false">
      <c r="A2819" s="0" t="s">
        <v>123</v>
      </c>
      <c r="B2819" s="0" t="s">
        <v>1317</v>
      </c>
      <c r="C2819" s="0" t="n">
        <v>189</v>
      </c>
      <c r="D2819" s="0" t="n">
        <v>0</v>
      </c>
      <c r="E2819" s="0" t="n">
        <v>6</v>
      </c>
      <c r="F2819" s="0" t="n">
        <v>189</v>
      </c>
      <c r="G2819" s="0" t="n">
        <v>1500</v>
      </c>
      <c r="H2819" s="0" t="s">
        <v>145</v>
      </c>
      <c r="I2819" s="0" t="n">
        <v>1500</v>
      </c>
      <c r="J2819" s="0" t="n">
        <f aca="false">F2819*E2819</f>
        <v>1134</v>
      </c>
      <c r="K2819" s="0" t="str">
        <f aca="false">IF(G2819&lt;1000,"1-Low",IF(G2819&lt;5000,"2-Medium","3-Bulk"))</f>
        <v>2-Medium</v>
      </c>
      <c r="L2819" s="0" t="str">
        <f aca="false">IF(H2819="TRUE","Out of stock","In stock")</f>
        <v>In stock</v>
      </c>
      <c r="M2819" s="0" t="str">
        <f aca="false">IF(D2819&lt;5,"1) Under 5%",IF(D2819&lt;10,"2) 5-9%",IF(D2819&lt;15,"3) 10-14%",IF(D2819&lt;25,"4) 15-24%","5) 25%+"))))</f>
        <v>1) Under 5%</v>
      </c>
      <c r="N2819" s="0" t="str">
        <f aca="false">IF(F2819&lt;50,"1) Under Rs 50",IF(F2819&lt;100,"2) Rs 50-99",IF(F2819&lt;200,"3) Rs 100-199",IF(F2819&lt;500,"4) Rs 200-499","5) Rs 500+"))))</f>
        <v>3) Rs 100-199</v>
      </c>
      <c r="O2819" s="0" t="n">
        <f aca="false">G2819*E2819/1000</f>
        <v>9</v>
      </c>
    </row>
    <row r="2820" customFormat="false" ht="15" hidden="false" customHeight="false" outlineLevel="0" collapsed="false">
      <c r="A2820" s="0" t="s">
        <v>123</v>
      </c>
      <c r="B2820" s="0" t="s">
        <v>1318</v>
      </c>
      <c r="C2820" s="0" t="n">
        <v>75</v>
      </c>
      <c r="D2820" s="0" t="n">
        <v>0</v>
      </c>
      <c r="E2820" s="0" t="n">
        <v>6</v>
      </c>
      <c r="F2820" s="0" t="n">
        <v>75</v>
      </c>
      <c r="G2820" s="0" t="n">
        <v>40</v>
      </c>
      <c r="H2820" s="0" t="s">
        <v>145</v>
      </c>
      <c r="I2820" s="0" t="n">
        <v>40</v>
      </c>
      <c r="J2820" s="0" t="n">
        <f aca="false">F2820*E2820</f>
        <v>450</v>
      </c>
      <c r="K2820" s="0" t="str">
        <f aca="false">IF(G2820&lt;1000,"1-Low",IF(G2820&lt;5000,"2-Medium","3-Bulk"))</f>
        <v>1-Low</v>
      </c>
      <c r="L2820" s="0" t="str">
        <f aca="false">IF(H2820="TRUE","Out of stock","In stock")</f>
        <v>In stock</v>
      </c>
      <c r="M2820" s="0" t="str">
        <f aca="false">IF(D2820&lt;5,"1) Under 5%",IF(D2820&lt;10,"2) 5-9%",IF(D2820&lt;15,"3) 10-14%",IF(D2820&lt;25,"4) 15-24%","5) 25%+"))))</f>
        <v>1) Under 5%</v>
      </c>
      <c r="N2820" s="0" t="str">
        <f aca="false">IF(F2820&lt;50,"1) Under Rs 50",IF(F2820&lt;100,"2) Rs 50-99",IF(F2820&lt;200,"3) Rs 100-199",IF(F2820&lt;500,"4) Rs 200-499","5) Rs 500+"))))</f>
        <v>2) Rs 50-99</v>
      </c>
      <c r="O2820" s="0" t="n">
        <f aca="false">G2820*E2820/1000</f>
        <v>0.24</v>
      </c>
    </row>
    <row r="2821" customFormat="false" ht="15" hidden="false" customHeight="false" outlineLevel="0" collapsed="false">
      <c r="A2821" s="0" t="s">
        <v>123</v>
      </c>
      <c r="B2821" s="0" t="s">
        <v>1319</v>
      </c>
      <c r="C2821" s="0" t="n">
        <v>330</v>
      </c>
      <c r="D2821" s="0" t="n">
        <v>2</v>
      </c>
      <c r="E2821" s="0" t="n">
        <v>6</v>
      </c>
      <c r="F2821" s="0" t="n">
        <v>323</v>
      </c>
      <c r="G2821" s="0" t="n">
        <v>30</v>
      </c>
      <c r="H2821" s="0" t="s">
        <v>145</v>
      </c>
      <c r="I2821" s="0" t="n">
        <v>30</v>
      </c>
      <c r="J2821" s="0" t="n">
        <f aca="false">F2821*E2821</f>
        <v>1938</v>
      </c>
      <c r="K2821" s="0" t="str">
        <f aca="false">IF(G2821&lt;1000,"1-Low",IF(G2821&lt;5000,"2-Medium","3-Bulk"))</f>
        <v>1-Low</v>
      </c>
      <c r="L2821" s="0" t="str">
        <f aca="false">IF(H2821="TRUE","Out of stock","In stock")</f>
        <v>In stock</v>
      </c>
      <c r="M2821" s="0" t="str">
        <f aca="false">IF(D2821&lt;5,"1) Under 5%",IF(D2821&lt;10,"2) 5-9%",IF(D2821&lt;15,"3) 10-14%",IF(D2821&lt;25,"4) 15-24%","5) 25%+"))))</f>
        <v>1) Under 5%</v>
      </c>
      <c r="N2821" s="0" t="str">
        <f aca="false">IF(F2821&lt;50,"1) Under Rs 50",IF(F2821&lt;100,"2) Rs 50-99",IF(F2821&lt;200,"3) Rs 100-199",IF(F2821&lt;500,"4) Rs 200-499","5) Rs 500+"))))</f>
        <v>4) Rs 200-499</v>
      </c>
      <c r="O2821" s="0" t="n">
        <f aca="false">G2821*E2821/1000</f>
        <v>0.18</v>
      </c>
    </row>
    <row r="2822" customFormat="false" ht="15" hidden="false" customHeight="false" outlineLevel="0" collapsed="false">
      <c r="A2822" s="0" t="s">
        <v>123</v>
      </c>
      <c r="B2822" s="0" t="s">
        <v>1320</v>
      </c>
      <c r="C2822" s="0" t="n">
        <v>80</v>
      </c>
      <c r="D2822" s="0" t="n">
        <v>0</v>
      </c>
      <c r="E2822" s="0" t="n">
        <v>1</v>
      </c>
      <c r="F2822" s="0" t="n">
        <v>80</v>
      </c>
      <c r="G2822" s="0" t="n">
        <v>60</v>
      </c>
      <c r="H2822" s="0" t="s">
        <v>145</v>
      </c>
      <c r="I2822" s="0" t="n">
        <v>60</v>
      </c>
      <c r="J2822" s="0" t="n">
        <f aca="false">F2822*E2822</f>
        <v>80</v>
      </c>
      <c r="K2822" s="0" t="str">
        <f aca="false">IF(G2822&lt;1000,"1-Low",IF(G2822&lt;5000,"2-Medium","3-Bulk"))</f>
        <v>1-Low</v>
      </c>
      <c r="L2822" s="0" t="str">
        <f aca="false">IF(H2822="TRUE","Out of stock","In stock")</f>
        <v>In stock</v>
      </c>
      <c r="M2822" s="0" t="str">
        <f aca="false">IF(D2822&lt;5,"1) Under 5%",IF(D2822&lt;10,"2) 5-9%",IF(D2822&lt;15,"3) 10-14%",IF(D2822&lt;25,"4) 15-24%","5) 25%+"))))</f>
        <v>1) Under 5%</v>
      </c>
      <c r="N2822" s="0" t="str">
        <f aca="false">IF(F2822&lt;50,"1) Under Rs 50",IF(F2822&lt;100,"2) Rs 50-99",IF(F2822&lt;200,"3) Rs 100-199",IF(F2822&lt;500,"4) Rs 200-499","5) Rs 500+"))))</f>
        <v>2) Rs 50-99</v>
      </c>
      <c r="O2822" s="0" t="n">
        <f aca="false">G2822*E2822/1000</f>
        <v>0.06</v>
      </c>
    </row>
    <row r="2823" customFormat="false" ht="15" hidden="false" customHeight="false" outlineLevel="0" collapsed="false">
      <c r="A2823" s="0" t="s">
        <v>123</v>
      </c>
      <c r="B2823" s="0" t="s">
        <v>1321</v>
      </c>
      <c r="C2823" s="0" t="n">
        <v>210</v>
      </c>
      <c r="D2823" s="0" t="n">
        <v>0</v>
      </c>
      <c r="E2823" s="0" t="n">
        <v>6</v>
      </c>
      <c r="F2823" s="0" t="n">
        <v>210</v>
      </c>
      <c r="G2823" s="0" t="n">
        <v>150</v>
      </c>
      <c r="H2823" s="0" t="s">
        <v>145</v>
      </c>
      <c r="I2823" s="0" t="n">
        <v>150</v>
      </c>
      <c r="J2823" s="0" t="n">
        <f aca="false">F2823*E2823</f>
        <v>1260</v>
      </c>
      <c r="K2823" s="0" t="str">
        <f aca="false">IF(G2823&lt;1000,"1-Low",IF(G2823&lt;5000,"2-Medium","3-Bulk"))</f>
        <v>1-Low</v>
      </c>
      <c r="L2823" s="0" t="str">
        <f aca="false">IF(H2823="TRUE","Out of stock","In stock")</f>
        <v>In stock</v>
      </c>
      <c r="M2823" s="0" t="str">
        <f aca="false">IF(D2823&lt;5,"1) Under 5%",IF(D2823&lt;10,"2) 5-9%",IF(D2823&lt;15,"3) 10-14%",IF(D2823&lt;25,"4) 15-24%","5) 25%+"))))</f>
        <v>1) Under 5%</v>
      </c>
      <c r="N2823" s="0" t="str">
        <f aca="false">IF(F2823&lt;50,"1) Under Rs 50",IF(F2823&lt;100,"2) Rs 50-99",IF(F2823&lt;200,"3) Rs 100-199",IF(F2823&lt;500,"4) Rs 200-499","5) Rs 500+"))))</f>
        <v>4) Rs 200-499</v>
      </c>
      <c r="O2823" s="0" t="n">
        <f aca="false">G2823*E2823/1000</f>
        <v>0.9</v>
      </c>
    </row>
    <row r="2824" customFormat="false" ht="15" hidden="false" customHeight="false" outlineLevel="0" collapsed="false">
      <c r="A2824" s="0" t="s">
        <v>123</v>
      </c>
      <c r="B2824" s="0" t="s">
        <v>1322</v>
      </c>
      <c r="C2824" s="0" t="n">
        <v>99</v>
      </c>
      <c r="D2824" s="0" t="n">
        <v>0</v>
      </c>
      <c r="E2824" s="0" t="n">
        <v>6</v>
      </c>
      <c r="F2824" s="0" t="n">
        <v>99</v>
      </c>
      <c r="G2824" s="0" t="n">
        <v>232</v>
      </c>
      <c r="H2824" s="0" t="s">
        <v>145</v>
      </c>
      <c r="I2824" s="0" t="n">
        <v>4</v>
      </c>
      <c r="J2824" s="0" t="n">
        <f aca="false">F2824*E2824</f>
        <v>594</v>
      </c>
      <c r="K2824" s="0" t="str">
        <f aca="false">IF(G2824&lt;1000,"1-Low",IF(G2824&lt;5000,"2-Medium","3-Bulk"))</f>
        <v>1-Low</v>
      </c>
      <c r="L2824" s="0" t="str">
        <f aca="false">IF(H2824="TRUE","Out of stock","In stock")</f>
        <v>In stock</v>
      </c>
      <c r="M2824" s="0" t="str">
        <f aca="false">IF(D2824&lt;5,"1) Under 5%",IF(D2824&lt;10,"2) 5-9%",IF(D2824&lt;15,"3) 10-14%",IF(D2824&lt;25,"4) 15-24%","5) 25%+"))))</f>
        <v>1) Under 5%</v>
      </c>
      <c r="N2824" s="0" t="str">
        <f aca="false">IF(F2824&lt;50,"1) Under Rs 50",IF(F2824&lt;100,"2) Rs 50-99",IF(F2824&lt;200,"3) Rs 100-199",IF(F2824&lt;500,"4) Rs 200-499","5) Rs 500+"))))</f>
        <v>2) Rs 50-99</v>
      </c>
      <c r="O2824" s="0" t="n">
        <f aca="false">G2824*E2824/1000</f>
        <v>1.392</v>
      </c>
    </row>
    <row r="2825" customFormat="false" ht="15" hidden="false" customHeight="false" outlineLevel="0" collapsed="false">
      <c r="A2825" s="0" t="s">
        <v>123</v>
      </c>
      <c r="B2825" s="0" t="s">
        <v>1323</v>
      </c>
      <c r="C2825" s="0" t="n">
        <v>449</v>
      </c>
      <c r="D2825" s="0" t="n">
        <v>7</v>
      </c>
      <c r="E2825" s="0" t="n">
        <v>6</v>
      </c>
      <c r="F2825" s="0" t="n">
        <v>415</v>
      </c>
      <c r="G2825" s="0" t="n">
        <v>44</v>
      </c>
      <c r="H2825" s="0" t="s">
        <v>145</v>
      </c>
      <c r="I2825" s="0" t="n">
        <v>44</v>
      </c>
      <c r="J2825" s="0" t="n">
        <f aca="false">F2825*E2825</f>
        <v>2490</v>
      </c>
      <c r="K2825" s="0" t="str">
        <f aca="false">IF(G2825&lt;1000,"1-Low",IF(G2825&lt;5000,"2-Medium","3-Bulk"))</f>
        <v>1-Low</v>
      </c>
      <c r="L2825" s="0" t="str">
        <f aca="false">IF(H2825="TRUE","Out of stock","In stock")</f>
        <v>In stock</v>
      </c>
      <c r="M2825" s="0" t="str">
        <f aca="false">IF(D2825&lt;5,"1) Under 5%",IF(D2825&lt;10,"2) 5-9%",IF(D2825&lt;15,"3) 10-14%",IF(D2825&lt;25,"4) 15-24%","5) 25%+"))))</f>
        <v>2) 5-9%</v>
      </c>
      <c r="N2825" s="0" t="str">
        <f aca="false">IF(F2825&lt;50,"1) Under Rs 50",IF(F2825&lt;100,"2) Rs 50-99",IF(F2825&lt;200,"3) Rs 100-199",IF(F2825&lt;500,"4) Rs 200-499","5) Rs 500+"))))</f>
        <v>4) Rs 200-499</v>
      </c>
      <c r="O2825" s="0" t="n">
        <f aca="false">G2825*E2825/1000</f>
        <v>0.264</v>
      </c>
    </row>
    <row r="2826" customFormat="false" ht="15" hidden="false" customHeight="false" outlineLevel="0" collapsed="false">
      <c r="A2826" s="0" t="s">
        <v>123</v>
      </c>
      <c r="B2826" s="0" t="s">
        <v>1324</v>
      </c>
      <c r="C2826" s="0" t="n">
        <v>90</v>
      </c>
      <c r="D2826" s="0" t="n">
        <v>0</v>
      </c>
      <c r="E2826" s="0" t="n">
        <v>6</v>
      </c>
      <c r="F2826" s="0" t="n">
        <v>90</v>
      </c>
      <c r="G2826" s="0" t="n">
        <v>1160</v>
      </c>
      <c r="H2826" s="0" t="s">
        <v>145</v>
      </c>
      <c r="I2826" s="0" t="n">
        <v>20</v>
      </c>
      <c r="J2826" s="0" t="n">
        <f aca="false">F2826*E2826</f>
        <v>540</v>
      </c>
      <c r="K2826" s="0" t="str">
        <f aca="false">IF(G2826&lt;1000,"1-Low",IF(G2826&lt;5000,"2-Medium","3-Bulk"))</f>
        <v>2-Medium</v>
      </c>
      <c r="L2826" s="0" t="str">
        <f aca="false">IF(H2826="TRUE","Out of stock","In stock")</f>
        <v>In stock</v>
      </c>
      <c r="M2826" s="0" t="str">
        <f aca="false">IF(D2826&lt;5,"1) Under 5%",IF(D2826&lt;10,"2) 5-9%",IF(D2826&lt;15,"3) 10-14%",IF(D2826&lt;25,"4) 15-24%","5) 25%+"))))</f>
        <v>1) Under 5%</v>
      </c>
      <c r="N2826" s="0" t="str">
        <f aca="false">IF(F2826&lt;50,"1) Under Rs 50",IF(F2826&lt;100,"2) Rs 50-99",IF(F2826&lt;200,"3) Rs 100-199",IF(F2826&lt;500,"4) Rs 200-499","5) Rs 500+"))))</f>
        <v>2) Rs 50-99</v>
      </c>
      <c r="O2826" s="0" t="n">
        <f aca="false">G2826*E2826/1000</f>
        <v>6.96</v>
      </c>
    </row>
    <row r="2827" customFormat="false" ht="15" hidden="false" customHeight="false" outlineLevel="0" collapsed="false">
      <c r="A2827" s="0" t="s">
        <v>123</v>
      </c>
      <c r="B2827" s="0" t="s">
        <v>1325</v>
      </c>
      <c r="C2827" s="0" t="n">
        <v>210</v>
      </c>
      <c r="D2827" s="0" t="n">
        <v>7</v>
      </c>
      <c r="E2827" s="0" t="n">
        <v>5</v>
      </c>
      <c r="F2827" s="0" t="n">
        <v>194</v>
      </c>
      <c r="G2827" s="0" t="n">
        <v>150</v>
      </c>
      <c r="H2827" s="0" t="s">
        <v>145</v>
      </c>
      <c r="I2827" s="0" t="n">
        <v>150</v>
      </c>
      <c r="J2827" s="0" t="n">
        <f aca="false">F2827*E2827</f>
        <v>970</v>
      </c>
      <c r="K2827" s="0" t="str">
        <f aca="false">IF(G2827&lt;1000,"1-Low",IF(G2827&lt;5000,"2-Medium","3-Bulk"))</f>
        <v>1-Low</v>
      </c>
      <c r="L2827" s="0" t="str">
        <f aca="false">IF(H2827="TRUE","Out of stock","In stock")</f>
        <v>In stock</v>
      </c>
      <c r="M2827" s="0" t="str">
        <f aca="false">IF(D2827&lt;5,"1) Under 5%",IF(D2827&lt;10,"2) 5-9%",IF(D2827&lt;15,"3) 10-14%",IF(D2827&lt;25,"4) 15-24%","5) 25%+"))))</f>
        <v>2) 5-9%</v>
      </c>
      <c r="N2827" s="0" t="str">
        <f aca="false">IF(F2827&lt;50,"1) Under Rs 50",IF(F2827&lt;100,"2) Rs 50-99",IF(F2827&lt;200,"3) Rs 100-199",IF(F2827&lt;500,"4) Rs 200-499","5) Rs 500+"))))</f>
        <v>3) Rs 100-199</v>
      </c>
      <c r="O2827" s="0" t="n">
        <f aca="false">G2827*E2827/1000</f>
        <v>0.75</v>
      </c>
    </row>
    <row r="2828" customFormat="false" ht="15" hidden="false" customHeight="false" outlineLevel="0" collapsed="false">
      <c r="A2828" s="0" t="s">
        <v>123</v>
      </c>
      <c r="B2828" s="0" t="s">
        <v>1326</v>
      </c>
      <c r="C2828" s="0" t="n">
        <v>150</v>
      </c>
      <c r="D2828" s="0" t="n">
        <v>0</v>
      </c>
      <c r="E2828" s="0" t="n">
        <v>4</v>
      </c>
      <c r="F2828" s="0" t="n">
        <v>150</v>
      </c>
      <c r="G2828" s="0" t="n">
        <v>180</v>
      </c>
      <c r="H2828" s="0" t="s">
        <v>145</v>
      </c>
      <c r="I2828" s="0" t="n">
        <v>180</v>
      </c>
      <c r="J2828" s="0" t="n">
        <f aca="false">F2828*E2828</f>
        <v>600</v>
      </c>
      <c r="K2828" s="0" t="str">
        <f aca="false">IF(G2828&lt;1000,"1-Low",IF(G2828&lt;5000,"2-Medium","3-Bulk"))</f>
        <v>1-Low</v>
      </c>
      <c r="L2828" s="0" t="str">
        <f aca="false">IF(H2828="TRUE","Out of stock","In stock")</f>
        <v>In stock</v>
      </c>
      <c r="M2828" s="0" t="str">
        <f aca="false">IF(D2828&lt;5,"1) Under 5%",IF(D2828&lt;10,"2) 5-9%",IF(D2828&lt;15,"3) 10-14%",IF(D2828&lt;25,"4) 15-24%","5) 25%+"))))</f>
        <v>1) Under 5%</v>
      </c>
      <c r="N2828" s="0" t="str">
        <f aca="false">IF(F2828&lt;50,"1) Under Rs 50",IF(F2828&lt;100,"2) Rs 50-99",IF(F2828&lt;200,"3) Rs 100-199",IF(F2828&lt;500,"4) Rs 200-499","5) Rs 500+"))))</f>
        <v>3) Rs 100-199</v>
      </c>
      <c r="O2828" s="0" t="n">
        <f aca="false">G2828*E2828/1000</f>
        <v>0.72</v>
      </c>
    </row>
    <row r="2829" customFormat="false" ht="15" hidden="false" customHeight="false" outlineLevel="0" collapsed="false">
      <c r="A2829" s="0" t="s">
        <v>123</v>
      </c>
      <c r="B2829" s="0" t="s">
        <v>1327</v>
      </c>
      <c r="C2829" s="0" t="n">
        <v>105</v>
      </c>
      <c r="D2829" s="0" t="n">
        <v>0</v>
      </c>
      <c r="E2829" s="0" t="n">
        <v>2</v>
      </c>
      <c r="F2829" s="0" t="n">
        <v>105</v>
      </c>
      <c r="G2829" s="0" t="n">
        <v>175</v>
      </c>
      <c r="H2829" s="0" t="s">
        <v>145</v>
      </c>
      <c r="I2829" s="0" t="n">
        <v>175</v>
      </c>
      <c r="J2829" s="0" t="n">
        <f aca="false">F2829*E2829</f>
        <v>210</v>
      </c>
      <c r="K2829" s="0" t="str">
        <f aca="false">IF(G2829&lt;1000,"1-Low",IF(G2829&lt;5000,"2-Medium","3-Bulk"))</f>
        <v>1-Low</v>
      </c>
      <c r="L2829" s="0" t="str">
        <f aca="false">IF(H2829="TRUE","Out of stock","In stock")</f>
        <v>In stock</v>
      </c>
      <c r="M2829" s="0" t="str">
        <f aca="false">IF(D2829&lt;5,"1) Under 5%",IF(D2829&lt;10,"2) 5-9%",IF(D2829&lt;15,"3) 10-14%",IF(D2829&lt;25,"4) 15-24%","5) 25%+"))))</f>
        <v>1) Under 5%</v>
      </c>
      <c r="N2829" s="0" t="str">
        <f aca="false">IF(F2829&lt;50,"1) Under Rs 50",IF(F2829&lt;100,"2) Rs 50-99",IF(F2829&lt;200,"3) Rs 100-199",IF(F2829&lt;500,"4) Rs 200-499","5) Rs 500+"))))</f>
        <v>3) Rs 100-199</v>
      </c>
      <c r="O2829" s="0" t="n">
        <f aca="false">G2829*E2829/1000</f>
        <v>0.35</v>
      </c>
    </row>
    <row r="2830" customFormat="false" ht="15" hidden="false" customHeight="false" outlineLevel="0" collapsed="false">
      <c r="A2830" s="0" t="s">
        <v>123</v>
      </c>
      <c r="B2830" s="0" t="s">
        <v>1328</v>
      </c>
      <c r="C2830" s="0" t="n">
        <v>210</v>
      </c>
      <c r="D2830" s="0" t="n">
        <v>7</v>
      </c>
      <c r="E2830" s="0" t="n">
        <v>6</v>
      </c>
      <c r="F2830" s="0" t="n">
        <v>194</v>
      </c>
      <c r="G2830" s="0" t="n">
        <v>120</v>
      </c>
      <c r="H2830" s="0" t="s">
        <v>145</v>
      </c>
      <c r="I2830" s="0" t="n">
        <v>120</v>
      </c>
      <c r="J2830" s="0" t="n">
        <f aca="false">F2830*E2830</f>
        <v>1164</v>
      </c>
      <c r="K2830" s="0" t="str">
        <f aca="false">IF(G2830&lt;1000,"1-Low",IF(G2830&lt;5000,"2-Medium","3-Bulk"))</f>
        <v>1-Low</v>
      </c>
      <c r="L2830" s="0" t="str">
        <f aca="false">IF(H2830="TRUE","Out of stock","In stock")</f>
        <v>In stock</v>
      </c>
      <c r="M2830" s="0" t="str">
        <f aca="false">IF(D2830&lt;5,"1) Under 5%",IF(D2830&lt;10,"2) 5-9%",IF(D2830&lt;15,"3) 10-14%",IF(D2830&lt;25,"4) 15-24%","5) 25%+"))))</f>
        <v>2) 5-9%</v>
      </c>
      <c r="N2830" s="0" t="str">
        <f aca="false">IF(F2830&lt;50,"1) Under Rs 50",IF(F2830&lt;100,"2) Rs 50-99",IF(F2830&lt;200,"3) Rs 100-199",IF(F2830&lt;500,"4) Rs 200-499","5) Rs 500+"))))</f>
        <v>3) Rs 100-199</v>
      </c>
      <c r="O2830" s="0" t="n">
        <f aca="false">G2830*E2830/1000</f>
        <v>0.72</v>
      </c>
    </row>
    <row r="2831" customFormat="false" ht="15" hidden="false" customHeight="false" outlineLevel="0" collapsed="false">
      <c r="A2831" s="0" t="s">
        <v>123</v>
      </c>
      <c r="B2831" s="0" t="s">
        <v>1329</v>
      </c>
      <c r="C2831" s="0" t="n">
        <v>380</v>
      </c>
      <c r="D2831" s="0" t="n">
        <v>0</v>
      </c>
      <c r="E2831" s="0" t="n">
        <v>3</v>
      </c>
      <c r="F2831" s="0" t="n">
        <v>380</v>
      </c>
      <c r="G2831" s="0" t="n">
        <v>340</v>
      </c>
      <c r="H2831" s="0" t="s">
        <v>145</v>
      </c>
      <c r="I2831" s="0" t="n">
        <v>340</v>
      </c>
      <c r="J2831" s="0" t="n">
        <f aca="false">F2831*E2831</f>
        <v>1140</v>
      </c>
      <c r="K2831" s="0" t="str">
        <f aca="false">IF(G2831&lt;1000,"1-Low",IF(G2831&lt;5000,"2-Medium","3-Bulk"))</f>
        <v>1-Low</v>
      </c>
      <c r="L2831" s="0" t="str">
        <f aca="false">IF(H2831="TRUE","Out of stock","In stock")</f>
        <v>In stock</v>
      </c>
      <c r="M2831" s="0" t="str">
        <f aca="false">IF(D2831&lt;5,"1) Under 5%",IF(D2831&lt;10,"2) 5-9%",IF(D2831&lt;15,"3) 10-14%",IF(D2831&lt;25,"4) 15-24%","5) 25%+"))))</f>
        <v>1) Under 5%</v>
      </c>
      <c r="N2831" s="0" t="str">
        <f aca="false">IF(F2831&lt;50,"1) Under Rs 50",IF(F2831&lt;100,"2) Rs 50-99",IF(F2831&lt;200,"3) Rs 100-199",IF(F2831&lt;500,"4) Rs 200-499","5) Rs 500+"))))</f>
        <v>4) Rs 200-499</v>
      </c>
      <c r="O2831" s="0" t="n">
        <f aca="false">G2831*E2831/1000</f>
        <v>1.02</v>
      </c>
    </row>
    <row r="2832" customFormat="false" ht="15" hidden="false" customHeight="false" outlineLevel="0" collapsed="false">
      <c r="A2832" s="0" t="s">
        <v>123</v>
      </c>
      <c r="B2832" s="0" t="s">
        <v>1330</v>
      </c>
      <c r="C2832" s="0" t="n">
        <v>180</v>
      </c>
      <c r="D2832" s="0" t="n">
        <v>0</v>
      </c>
      <c r="E2832" s="0" t="n">
        <v>1</v>
      </c>
      <c r="F2832" s="0" t="n">
        <v>180</v>
      </c>
      <c r="G2832" s="0" t="n">
        <v>100</v>
      </c>
      <c r="H2832" s="0" t="s">
        <v>145</v>
      </c>
      <c r="I2832" s="0" t="n">
        <v>100</v>
      </c>
      <c r="J2832" s="0" t="n">
        <f aca="false">F2832*E2832</f>
        <v>180</v>
      </c>
      <c r="K2832" s="0" t="str">
        <f aca="false">IF(G2832&lt;1000,"1-Low",IF(G2832&lt;5000,"2-Medium","3-Bulk"))</f>
        <v>1-Low</v>
      </c>
      <c r="L2832" s="0" t="str">
        <f aca="false">IF(H2832="TRUE","Out of stock","In stock")</f>
        <v>In stock</v>
      </c>
      <c r="M2832" s="0" t="str">
        <f aca="false">IF(D2832&lt;5,"1) Under 5%",IF(D2832&lt;10,"2) 5-9%",IF(D2832&lt;15,"3) 10-14%",IF(D2832&lt;25,"4) 15-24%","5) 25%+"))))</f>
        <v>1) Under 5%</v>
      </c>
      <c r="N2832" s="0" t="str">
        <f aca="false">IF(F2832&lt;50,"1) Under Rs 50",IF(F2832&lt;100,"2) Rs 50-99",IF(F2832&lt;200,"3) Rs 100-199",IF(F2832&lt;500,"4) Rs 200-499","5) Rs 500+"))))</f>
        <v>3) Rs 100-199</v>
      </c>
      <c r="O2832" s="0" t="n">
        <f aca="false">G2832*E2832/1000</f>
        <v>0.1</v>
      </c>
    </row>
    <row r="2833" customFormat="false" ht="15" hidden="false" customHeight="false" outlineLevel="0" collapsed="false">
      <c r="A2833" s="0" t="s">
        <v>123</v>
      </c>
      <c r="B2833" s="0" t="s">
        <v>1331</v>
      </c>
      <c r="C2833" s="0" t="n">
        <v>75</v>
      </c>
      <c r="D2833" s="0" t="n">
        <v>13</v>
      </c>
      <c r="E2833" s="0" t="n">
        <v>4</v>
      </c>
      <c r="F2833" s="0" t="n">
        <v>65</v>
      </c>
      <c r="G2833" s="0" t="n">
        <v>25</v>
      </c>
      <c r="H2833" s="0" t="s">
        <v>145</v>
      </c>
      <c r="I2833" s="0" t="n">
        <v>25</v>
      </c>
      <c r="J2833" s="0" t="n">
        <f aca="false">F2833*E2833</f>
        <v>260</v>
      </c>
      <c r="K2833" s="0" t="str">
        <f aca="false">IF(G2833&lt;1000,"1-Low",IF(G2833&lt;5000,"2-Medium","3-Bulk"))</f>
        <v>1-Low</v>
      </c>
      <c r="L2833" s="0" t="str">
        <f aca="false">IF(H2833="TRUE","Out of stock","In stock")</f>
        <v>In stock</v>
      </c>
      <c r="M2833" s="0" t="str">
        <f aca="false">IF(D2833&lt;5,"1) Under 5%",IF(D2833&lt;10,"2) 5-9%",IF(D2833&lt;15,"3) 10-14%",IF(D2833&lt;25,"4) 15-24%","5) 25%+"))))</f>
        <v>3) 10-14%</v>
      </c>
      <c r="N2833" s="0" t="str">
        <f aca="false">IF(F2833&lt;50,"1) Under Rs 50",IF(F2833&lt;100,"2) Rs 50-99",IF(F2833&lt;200,"3) Rs 100-199",IF(F2833&lt;500,"4) Rs 200-499","5) Rs 500+"))))</f>
        <v>2) Rs 50-99</v>
      </c>
      <c r="O2833" s="0" t="n">
        <f aca="false">G2833*E2833/1000</f>
        <v>0.1</v>
      </c>
    </row>
    <row r="2834" customFormat="false" ht="15" hidden="false" customHeight="false" outlineLevel="0" collapsed="false">
      <c r="A2834" s="0" t="s">
        <v>123</v>
      </c>
      <c r="B2834" s="0" t="s">
        <v>1332</v>
      </c>
      <c r="C2834" s="0" t="n">
        <v>195</v>
      </c>
      <c r="D2834" s="0" t="n">
        <v>10</v>
      </c>
      <c r="E2834" s="0" t="n">
        <v>6</v>
      </c>
      <c r="F2834" s="0" t="n">
        <v>174</v>
      </c>
      <c r="G2834" s="0" t="n">
        <v>150</v>
      </c>
      <c r="H2834" s="0" t="s">
        <v>145</v>
      </c>
      <c r="I2834" s="0" t="n">
        <v>150</v>
      </c>
      <c r="J2834" s="0" t="n">
        <f aca="false">F2834*E2834</f>
        <v>1044</v>
      </c>
      <c r="K2834" s="0" t="str">
        <f aca="false">IF(G2834&lt;1000,"1-Low",IF(G2834&lt;5000,"2-Medium","3-Bulk"))</f>
        <v>1-Low</v>
      </c>
      <c r="L2834" s="0" t="str">
        <f aca="false">IF(H2834="TRUE","Out of stock","In stock")</f>
        <v>In stock</v>
      </c>
      <c r="M2834" s="0" t="str">
        <f aca="false">IF(D2834&lt;5,"1) Under 5%",IF(D2834&lt;10,"2) 5-9%",IF(D2834&lt;15,"3) 10-14%",IF(D2834&lt;25,"4) 15-24%","5) 25%+"))))</f>
        <v>3) 10-14%</v>
      </c>
      <c r="N2834" s="0" t="str">
        <f aca="false">IF(F2834&lt;50,"1) Under Rs 50",IF(F2834&lt;100,"2) Rs 50-99",IF(F2834&lt;200,"3) Rs 100-199",IF(F2834&lt;500,"4) Rs 200-499","5) Rs 500+"))))</f>
        <v>3) Rs 100-199</v>
      </c>
      <c r="O2834" s="0" t="n">
        <f aca="false">G2834*E2834/1000</f>
        <v>0.9</v>
      </c>
    </row>
    <row r="2835" customFormat="false" ht="15" hidden="false" customHeight="false" outlineLevel="0" collapsed="false">
      <c r="A2835" s="0" t="s">
        <v>123</v>
      </c>
      <c r="B2835" s="0" t="s">
        <v>1333</v>
      </c>
      <c r="C2835" s="0" t="n">
        <v>20</v>
      </c>
      <c r="D2835" s="0" t="n">
        <v>0</v>
      </c>
      <c r="E2835" s="0" t="n">
        <v>1</v>
      </c>
      <c r="F2835" s="0" t="n">
        <v>20</v>
      </c>
      <c r="G2835" s="0" t="n">
        <v>58</v>
      </c>
      <c r="H2835" s="0" t="s">
        <v>145</v>
      </c>
      <c r="I2835" s="0" t="n">
        <v>1</v>
      </c>
      <c r="J2835" s="0" t="n">
        <f aca="false">F2835*E2835</f>
        <v>20</v>
      </c>
      <c r="K2835" s="0" t="str">
        <f aca="false">IF(G2835&lt;1000,"1-Low",IF(G2835&lt;5000,"2-Medium","3-Bulk"))</f>
        <v>1-Low</v>
      </c>
      <c r="L2835" s="0" t="str">
        <f aca="false">IF(H2835="TRUE","Out of stock","In stock")</f>
        <v>In stock</v>
      </c>
      <c r="M2835" s="0" t="str">
        <f aca="false">IF(D2835&lt;5,"1) Under 5%",IF(D2835&lt;10,"2) 5-9%",IF(D2835&lt;15,"3) 10-14%",IF(D2835&lt;25,"4) 15-24%","5) 25%+"))))</f>
        <v>1) Under 5%</v>
      </c>
      <c r="N2835" s="0" t="str">
        <f aca="false">IF(F2835&lt;50,"1) Under Rs 50",IF(F2835&lt;100,"2) Rs 50-99",IF(F2835&lt;200,"3) Rs 100-199",IF(F2835&lt;500,"4) Rs 200-499","5) Rs 500+"))))</f>
        <v>1) Under Rs 50</v>
      </c>
      <c r="O2835" s="0" t="n">
        <f aca="false">G2835*E2835/1000</f>
        <v>0.058</v>
      </c>
    </row>
    <row r="2836" customFormat="false" ht="15" hidden="false" customHeight="false" outlineLevel="0" collapsed="false">
      <c r="A2836" s="0" t="s">
        <v>123</v>
      </c>
      <c r="B2836" s="0" t="s">
        <v>1334</v>
      </c>
      <c r="C2836" s="0" t="n">
        <v>150</v>
      </c>
      <c r="D2836" s="0" t="n">
        <v>20</v>
      </c>
      <c r="E2836" s="0" t="n">
        <v>5</v>
      </c>
      <c r="F2836" s="0" t="n">
        <v>120</v>
      </c>
      <c r="G2836" s="0" t="n">
        <v>250</v>
      </c>
      <c r="H2836" s="0" t="s">
        <v>145</v>
      </c>
      <c r="I2836" s="0" t="n">
        <v>250</v>
      </c>
      <c r="J2836" s="0" t="n">
        <f aca="false">F2836*E2836</f>
        <v>600</v>
      </c>
      <c r="K2836" s="0" t="str">
        <f aca="false">IF(G2836&lt;1000,"1-Low",IF(G2836&lt;5000,"2-Medium","3-Bulk"))</f>
        <v>1-Low</v>
      </c>
      <c r="L2836" s="0" t="str">
        <f aca="false">IF(H2836="TRUE","Out of stock","In stock")</f>
        <v>In stock</v>
      </c>
      <c r="M2836" s="0" t="str">
        <f aca="false">IF(D2836&lt;5,"1) Under 5%",IF(D2836&lt;10,"2) 5-9%",IF(D2836&lt;15,"3) 10-14%",IF(D2836&lt;25,"4) 15-24%","5) 25%+"))))</f>
        <v>4) 15-24%</v>
      </c>
      <c r="N2836" s="0" t="str">
        <f aca="false">IF(F2836&lt;50,"1) Under Rs 50",IF(F2836&lt;100,"2) Rs 50-99",IF(F2836&lt;200,"3) Rs 100-199",IF(F2836&lt;500,"4) Rs 200-499","5) Rs 500+"))))</f>
        <v>3) Rs 100-199</v>
      </c>
      <c r="O2836" s="0" t="n">
        <f aca="false">G2836*E2836/1000</f>
        <v>1.25</v>
      </c>
    </row>
    <row r="2837" customFormat="false" ht="15" hidden="false" customHeight="false" outlineLevel="0" collapsed="false">
      <c r="A2837" s="0" t="s">
        <v>123</v>
      </c>
      <c r="B2837" s="0" t="s">
        <v>1335</v>
      </c>
      <c r="C2837" s="0" t="n">
        <v>99</v>
      </c>
      <c r="D2837" s="0" t="n">
        <v>0</v>
      </c>
      <c r="E2837" s="0" t="n">
        <v>6</v>
      </c>
      <c r="F2837" s="0" t="n">
        <v>99</v>
      </c>
      <c r="G2837" s="0" t="n">
        <v>232</v>
      </c>
      <c r="H2837" s="0" t="s">
        <v>145</v>
      </c>
      <c r="I2837" s="0" t="n">
        <v>4</v>
      </c>
      <c r="J2837" s="0" t="n">
        <f aca="false">F2837*E2837</f>
        <v>594</v>
      </c>
      <c r="K2837" s="0" t="str">
        <f aca="false">IF(G2837&lt;1000,"1-Low",IF(G2837&lt;5000,"2-Medium","3-Bulk"))</f>
        <v>1-Low</v>
      </c>
      <c r="L2837" s="0" t="str">
        <f aca="false">IF(H2837="TRUE","Out of stock","In stock")</f>
        <v>In stock</v>
      </c>
      <c r="M2837" s="0" t="str">
        <f aca="false">IF(D2837&lt;5,"1) Under 5%",IF(D2837&lt;10,"2) 5-9%",IF(D2837&lt;15,"3) 10-14%",IF(D2837&lt;25,"4) 15-24%","5) 25%+"))))</f>
        <v>1) Under 5%</v>
      </c>
      <c r="N2837" s="0" t="str">
        <f aca="false">IF(F2837&lt;50,"1) Under Rs 50",IF(F2837&lt;100,"2) Rs 50-99",IF(F2837&lt;200,"3) Rs 100-199",IF(F2837&lt;500,"4) Rs 200-499","5) Rs 500+"))))</f>
        <v>2) Rs 50-99</v>
      </c>
      <c r="O2837" s="0" t="n">
        <f aca="false">G2837*E2837/1000</f>
        <v>1.392</v>
      </c>
    </row>
    <row r="2838" customFormat="false" ht="15" hidden="false" customHeight="false" outlineLevel="0" collapsed="false">
      <c r="A2838" s="0" t="s">
        <v>123</v>
      </c>
      <c r="B2838" s="0" t="s">
        <v>1336</v>
      </c>
      <c r="C2838" s="0" t="n">
        <v>99</v>
      </c>
      <c r="D2838" s="0" t="n">
        <v>0</v>
      </c>
      <c r="E2838" s="0" t="n">
        <v>3</v>
      </c>
      <c r="F2838" s="0" t="n">
        <v>99</v>
      </c>
      <c r="G2838" s="0" t="n">
        <v>750</v>
      </c>
      <c r="H2838" s="0" t="s">
        <v>145</v>
      </c>
      <c r="I2838" s="0" t="n">
        <v>750</v>
      </c>
      <c r="J2838" s="0" t="n">
        <f aca="false">F2838*E2838</f>
        <v>297</v>
      </c>
      <c r="K2838" s="0" t="str">
        <f aca="false">IF(G2838&lt;1000,"1-Low",IF(G2838&lt;5000,"2-Medium","3-Bulk"))</f>
        <v>1-Low</v>
      </c>
      <c r="L2838" s="0" t="str">
        <f aca="false">IF(H2838="TRUE","Out of stock","In stock")</f>
        <v>In stock</v>
      </c>
      <c r="M2838" s="0" t="str">
        <f aca="false">IF(D2838&lt;5,"1) Under 5%",IF(D2838&lt;10,"2) 5-9%",IF(D2838&lt;15,"3) 10-14%",IF(D2838&lt;25,"4) 15-24%","5) 25%+"))))</f>
        <v>1) Under 5%</v>
      </c>
      <c r="N2838" s="0" t="str">
        <f aca="false">IF(F2838&lt;50,"1) Under Rs 50",IF(F2838&lt;100,"2) Rs 50-99",IF(F2838&lt;200,"3) Rs 100-199",IF(F2838&lt;500,"4) Rs 200-499","5) Rs 500+"))))</f>
        <v>2) Rs 50-99</v>
      </c>
      <c r="O2838" s="0" t="n">
        <f aca="false">G2838*E2838/1000</f>
        <v>2.25</v>
      </c>
    </row>
    <row r="2839" customFormat="false" ht="15" hidden="false" customHeight="false" outlineLevel="0" collapsed="false">
      <c r="A2839" s="0" t="s">
        <v>123</v>
      </c>
      <c r="B2839" s="0" t="s">
        <v>1337</v>
      </c>
      <c r="C2839" s="0" t="n">
        <v>110</v>
      </c>
      <c r="D2839" s="0" t="n">
        <v>10</v>
      </c>
      <c r="E2839" s="0" t="n">
        <v>3</v>
      </c>
      <c r="F2839" s="0" t="n">
        <v>99</v>
      </c>
      <c r="G2839" s="0" t="n">
        <v>120</v>
      </c>
      <c r="H2839" s="0" t="s">
        <v>145</v>
      </c>
      <c r="I2839" s="0" t="n">
        <v>120</v>
      </c>
      <c r="J2839" s="0" t="n">
        <f aca="false">F2839*E2839</f>
        <v>297</v>
      </c>
      <c r="K2839" s="0" t="str">
        <f aca="false">IF(G2839&lt;1000,"1-Low",IF(G2839&lt;5000,"2-Medium","3-Bulk"))</f>
        <v>1-Low</v>
      </c>
      <c r="L2839" s="0" t="str">
        <f aca="false">IF(H2839="TRUE","Out of stock","In stock")</f>
        <v>In stock</v>
      </c>
      <c r="M2839" s="0" t="str">
        <f aca="false">IF(D2839&lt;5,"1) Under 5%",IF(D2839&lt;10,"2) 5-9%",IF(D2839&lt;15,"3) 10-14%",IF(D2839&lt;25,"4) 15-24%","5) 25%+"))))</f>
        <v>3) 10-14%</v>
      </c>
      <c r="N2839" s="0" t="str">
        <f aca="false">IF(F2839&lt;50,"1) Under Rs 50",IF(F2839&lt;100,"2) Rs 50-99",IF(F2839&lt;200,"3) Rs 100-199",IF(F2839&lt;500,"4) Rs 200-499","5) Rs 500+"))))</f>
        <v>2) Rs 50-99</v>
      </c>
      <c r="O2839" s="0" t="n">
        <f aca="false">G2839*E2839/1000</f>
        <v>0.36</v>
      </c>
    </row>
    <row r="2840" customFormat="false" ht="15" hidden="false" customHeight="false" outlineLevel="0" collapsed="false">
      <c r="A2840" s="0" t="s">
        <v>123</v>
      </c>
      <c r="B2840" s="0" t="s">
        <v>1338</v>
      </c>
      <c r="C2840" s="0" t="n">
        <v>30</v>
      </c>
      <c r="D2840" s="0" t="n">
        <v>16</v>
      </c>
      <c r="E2840" s="0" t="n">
        <v>6</v>
      </c>
      <c r="F2840" s="0" t="n">
        <v>25</v>
      </c>
      <c r="G2840" s="0" t="n">
        <v>58</v>
      </c>
      <c r="H2840" s="0" t="s">
        <v>145</v>
      </c>
      <c r="I2840" s="0" t="n">
        <v>1</v>
      </c>
      <c r="J2840" s="0" t="n">
        <f aca="false">F2840*E2840</f>
        <v>150</v>
      </c>
      <c r="K2840" s="0" t="str">
        <f aca="false">IF(G2840&lt;1000,"1-Low",IF(G2840&lt;5000,"2-Medium","3-Bulk"))</f>
        <v>1-Low</v>
      </c>
      <c r="L2840" s="0" t="str">
        <f aca="false">IF(H2840="TRUE","Out of stock","In stock")</f>
        <v>In stock</v>
      </c>
      <c r="M2840" s="0" t="str">
        <f aca="false">IF(D2840&lt;5,"1) Under 5%",IF(D2840&lt;10,"2) 5-9%",IF(D2840&lt;15,"3) 10-14%",IF(D2840&lt;25,"4) 15-24%","5) 25%+"))))</f>
        <v>4) 15-24%</v>
      </c>
      <c r="N2840" s="0" t="str">
        <f aca="false">IF(F2840&lt;50,"1) Under Rs 50",IF(F2840&lt;100,"2) Rs 50-99",IF(F2840&lt;200,"3) Rs 100-199",IF(F2840&lt;500,"4) Rs 200-499","5) Rs 500+"))))</f>
        <v>1) Under Rs 50</v>
      </c>
      <c r="O2840" s="0" t="n">
        <f aca="false">G2840*E2840/1000</f>
        <v>0.348</v>
      </c>
    </row>
    <row r="2841" customFormat="false" ht="15" hidden="false" customHeight="false" outlineLevel="0" collapsed="false">
      <c r="A2841" s="0" t="s">
        <v>123</v>
      </c>
      <c r="B2841" s="0" t="s">
        <v>1339</v>
      </c>
      <c r="C2841" s="0" t="n">
        <v>260</v>
      </c>
      <c r="D2841" s="0" t="n">
        <v>10</v>
      </c>
      <c r="E2841" s="0" t="n">
        <v>6</v>
      </c>
      <c r="F2841" s="0" t="n">
        <v>234</v>
      </c>
      <c r="G2841" s="0" t="n">
        <v>116</v>
      </c>
      <c r="H2841" s="0" t="s">
        <v>145</v>
      </c>
      <c r="I2841" s="0" t="n">
        <v>2</v>
      </c>
      <c r="J2841" s="0" t="n">
        <f aca="false">F2841*E2841</f>
        <v>1404</v>
      </c>
      <c r="K2841" s="0" t="str">
        <f aca="false">IF(G2841&lt;1000,"1-Low",IF(G2841&lt;5000,"2-Medium","3-Bulk"))</f>
        <v>1-Low</v>
      </c>
      <c r="L2841" s="0" t="str">
        <f aca="false">IF(H2841="TRUE","Out of stock","In stock")</f>
        <v>In stock</v>
      </c>
      <c r="M2841" s="0" t="str">
        <f aca="false">IF(D2841&lt;5,"1) Under 5%",IF(D2841&lt;10,"2) 5-9%",IF(D2841&lt;15,"3) 10-14%",IF(D2841&lt;25,"4) 15-24%","5) 25%+"))))</f>
        <v>3) 10-14%</v>
      </c>
      <c r="N2841" s="0" t="str">
        <f aca="false">IF(F2841&lt;50,"1) Under Rs 50",IF(F2841&lt;100,"2) Rs 50-99",IF(F2841&lt;200,"3) Rs 100-199",IF(F2841&lt;500,"4) Rs 200-499","5) Rs 500+"))))</f>
        <v>4) Rs 200-499</v>
      </c>
      <c r="O2841" s="0" t="n">
        <f aca="false">G2841*E2841/1000</f>
        <v>0.696</v>
      </c>
    </row>
    <row r="2842" customFormat="false" ht="15" hidden="false" customHeight="false" outlineLevel="0" collapsed="false">
      <c r="A2842" s="0" t="s">
        <v>123</v>
      </c>
      <c r="B2842" s="0" t="s">
        <v>1340</v>
      </c>
      <c r="C2842" s="0" t="n">
        <v>149</v>
      </c>
      <c r="D2842" s="0" t="n">
        <v>0</v>
      </c>
      <c r="E2842" s="0" t="n">
        <v>2</v>
      </c>
      <c r="F2842" s="0" t="n">
        <v>149</v>
      </c>
      <c r="G2842" s="0" t="n">
        <v>0</v>
      </c>
      <c r="H2842" s="0" t="s">
        <v>145</v>
      </c>
      <c r="I2842" s="0" t="n">
        <v>0</v>
      </c>
      <c r="J2842" s="0" t="n">
        <f aca="false">F2842*E2842</f>
        <v>298</v>
      </c>
      <c r="K2842" s="0" t="str">
        <f aca="false">IF(G2842&lt;1000,"1-Low",IF(G2842&lt;5000,"2-Medium","3-Bulk"))</f>
        <v>1-Low</v>
      </c>
      <c r="L2842" s="0" t="str">
        <f aca="false">IF(H2842="TRUE","Out of stock","In stock")</f>
        <v>In stock</v>
      </c>
      <c r="M2842" s="0" t="str">
        <f aca="false">IF(D2842&lt;5,"1) Under 5%",IF(D2842&lt;10,"2) 5-9%",IF(D2842&lt;15,"3) 10-14%",IF(D2842&lt;25,"4) 15-24%","5) 25%+"))))</f>
        <v>1) Under 5%</v>
      </c>
      <c r="N2842" s="0" t="str">
        <f aca="false">IF(F2842&lt;50,"1) Under Rs 50",IF(F2842&lt;100,"2) Rs 50-99",IF(F2842&lt;200,"3) Rs 100-199",IF(F2842&lt;500,"4) Rs 200-499","5) Rs 500+"))))</f>
        <v>3) Rs 100-199</v>
      </c>
      <c r="O2842" s="0" t="n">
        <f aca="false">G2842*E2842/1000</f>
        <v>0</v>
      </c>
    </row>
    <row r="2843" customFormat="false" ht="15" hidden="false" customHeight="false" outlineLevel="0" collapsed="false">
      <c r="A2843" s="0" t="s">
        <v>123</v>
      </c>
      <c r="B2843" s="0" t="s">
        <v>1341</v>
      </c>
      <c r="C2843" s="0" t="n">
        <v>55</v>
      </c>
      <c r="D2843" s="0" t="n">
        <v>0</v>
      </c>
      <c r="E2843" s="0" t="n">
        <v>3</v>
      </c>
      <c r="F2843" s="0" t="n">
        <v>55</v>
      </c>
      <c r="G2843" s="0" t="n">
        <v>100</v>
      </c>
      <c r="H2843" s="0" t="s">
        <v>145</v>
      </c>
      <c r="I2843" s="0" t="n">
        <v>100</v>
      </c>
      <c r="J2843" s="0" t="n">
        <f aca="false">F2843*E2843</f>
        <v>165</v>
      </c>
      <c r="K2843" s="0" t="str">
        <f aca="false">IF(G2843&lt;1000,"1-Low",IF(G2843&lt;5000,"2-Medium","3-Bulk"))</f>
        <v>1-Low</v>
      </c>
      <c r="L2843" s="0" t="str">
        <f aca="false">IF(H2843="TRUE","Out of stock","In stock")</f>
        <v>In stock</v>
      </c>
      <c r="M2843" s="0" t="str">
        <f aca="false">IF(D2843&lt;5,"1) Under 5%",IF(D2843&lt;10,"2) 5-9%",IF(D2843&lt;15,"3) 10-14%",IF(D2843&lt;25,"4) 15-24%","5) 25%+"))))</f>
        <v>1) Under 5%</v>
      </c>
      <c r="N2843" s="0" t="str">
        <f aca="false">IF(F2843&lt;50,"1) Under Rs 50",IF(F2843&lt;100,"2) Rs 50-99",IF(F2843&lt;200,"3) Rs 100-199",IF(F2843&lt;500,"4) Rs 200-499","5) Rs 500+"))))</f>
        <v>2) Rs 50-99</v>
      </c>
      <c r="O2843" s="0" t="n">
        <f aca="false">G2843*E2843/1000</f>
        <v>0.3</v>
      </c>
    </row>
    <row r="2844" customFormat="false" ht="15" hidden="false" customHeight="false" outlineLevel="0" collapsed="false">
      <c r="A2844" s="0" t="s">
        <v>123</v>
      </c>
      <c r="B2844" s="0" t="s">
        <v>1342</v>
      </c>
      <c r="C2844" s="0" t="n">
        <v>58</v>
      </c>
      <c r="D2844" s="0" t="n">
        <v>0</v>
      </c>
      <c r="E2844" s="0" t="n">
        <v>6</v>
      </c>
      <c r="F2844" s="0" t="n">
        <v>58</v>
      </c>
      <c r="G2844" s="0" t="n">
        <v>150</v>
      </c>
      <c r="H2844" s="0" t="s">
        <v>145</v>
      </c>
      <c r="I2844" s="0" t="n">
        <v>150</v>
      </c>
      <c r="J2844" s="0" t="n">
        <f aca="false">F2844*E2844</f>
        <v>348</v>
      </c>
      <c r="K2844" s="0" t="str">
        <f aca="false">IF(G2844&lt;1000,"1-Low",IF(G2844&lt;5000,"2-Medium","3-Bulk"))</f>
        <v>1-Low</v>
      </c>
      <c r="L2844" s="0" t="str">
        <f aca="false">IF(H2844="TRUE","Out of stock","In stock")</f>
        <v>In stock</v>
      </c>
      <c r="M2844" s="0" t="str">
        <f aca="false">IF(D2844&lt;5,"1) Under 5%",IF(D2844&lt;10,"2) 5-9%",IF(D2844&lt;15,"3) 10-14%",IF(D2844&lt;25,"4) 15-24%","5) 25%+"))))</f>
        <v>1) Under 5%</v>
      </c>
      <c r="N2844" s="0" t="str">
        <f aca="false">IF(F2844&lt;50,"1) Under Rs 50",IF(F2844&lt;100,"2) Rs 50-99",IF(F2844&lt;200,"3) Rs 100-199",IF(F2844&lt;500,"4) Rs 200-499","5) Rs 500+"))))</f>
        <v>2) Rs 50-99</v>
      </c>
      <c r="O2844" s="0" t="n">
        <f aca="false">G2844*E2844/1000</f>
        <v>0.9</v>
      </c>
    </row>
    <row r="2845" customFormat="false" ht="15" hidden="false" customHeight="false" outlineLevel="0" collapsed="false">
      <c r="A2845" s="0" t="s">
        <v>123</v>
      </c>
      <c r="B2845" s="0" t="s">
        <v>1343</v>
      </c>
      <c r="C2845" s="0" t="n">
        <v>33</v>
      </c>
      <c r="D2845" s="0" t="n">
        <v>0</v>
      </c>
      <c r="E2845" s="0" t="n">
        <v>6</v>
      </c>
      <c r="F2845" s="0" t="n">
        <v>33</v>
      </c>
      <c r="G2845" s="0" t="n">
        <v>20</v>
      </c>
      <c r="H2845" s="0" t="s">
        <v>145</v>
      </c>
      <c r="I2845" s="0" t="n">
        <v>20</v>
      </c>
      <c r="J2845" s="0" t="n">
        <f aca="false">F2845*E2845</f>
        <v>198</v>
      </c>
      <c r="K2845" s="0" t="str">
        <f aca="false">IF(G2845&lt;1000,"1-Low",IF(G2845&lt;5000,"2-Medium","3-Bulk"))</f>
        <v>1-Low</v>
      </c>
      <c r="L2845" s="0" t="str">
        <f aca="false">IF(H2845="TRUE","Out of stock","In stock")</f>
        <v>In stock</v>
      </c>
      <c r="M2845" s="0" t="str">
        <f aca="false">IF(D2845&lt;5,"1) Under 5%",IF(D2845&lt;10,"2) 5-9%",IF(D2845&lt;15,"3) 10-14%",IF(D2845&lt;25,"4) 15-24%","5) 25%+"))))</f>
        <v>1) Under 5%</v>
      </c>
      <c r="N2845" s="0" t="str">
        <f aca="false">IF(F2845&lt;50,"1) Under Rs 50",IF(F2845&lt;100,"2) Rs 50-99",IF(F2845&lt;200,"3) Rs 100-199",IF(F2845&lt;500,"4) Rs 200-499","5) Rs 500+"))))</f>
        <v>1) Under Rs 50</v>
      </c>
      <c r="O2845" s="0" t="n">
        <f aca="false">G2845*E2845/1000</f>
        <v>0.12</v>
      </c>
    </row>
    <row r="2846" customFormat="false" ht="15" hidden="false" customHeight="false" outlineLevel="0" collapsed="false">
      <c r="A2846" s="0" t="s">
        <v>123</v>
      </c>
      <c r="B2846" s="0" t="s">
        <v>1344</v>
      </c>
      <c r="C2846" s="0" t="n">
        <v>120</v>
      </c>
      <c r="D2846" s="0" t="n">
        <v>10</v>
      </c>
      <c r="E2846" s="0" t="n">
        <v>4</v>
      </c>
      <c r="F2846" s="0" t="n">
        <v>108</v>
      </c>
      <c r="G2846" s="0" t="n">
        <v>232</v>
      </c>
      <c r="H2846" s="0" t="s">
        <v>145</v>
      </c>
      <c r="I2846" s="0" t="n">
        <v>4</v>
      </c>
      <c r="J2846" s="0" t="n">
        <f aca="false">F2846*E2846</f>
        <v>432</v>
      </c>
      <c r="K2846" s="0" t="str">
        <f aca="false">IF(G2846&lt;1000,"1-Low",IF(G2846&lt;5000,"2-Medium","3-Bulk"))</f>
        <v>1-Low</v>
      </c>
      <c r="L2846" s="0" t="str">
        <f aca="false">IF(H2846="TRUE","Out of stock","In stock")</f>
        <v>In stock</v>
      </c>
      <c r="M2846" s="0" t="str">
        <f aca="false">IF(D2846&lt;5,"1) Under 5%",IF(D2846&lt;10,"2) 5-9%",IF(D2846&lt;15,"3) 10-14%",IF(D2846&lt;25,"4) 15-24%","5) 25%+"))))</f>
        <v>3) 10-14%</v>
      </c>
      <c r="N2846" s="0" t="str">
        <f aca="false">IF(F2846&lt;50,"1) Under Rs 50",IF(F2846&lt;100,"2) Rs 50-99",IF(F2846&lt;200,"3) Rs 100-199",IF(F2846&lt;500,"4) Rs 200-499","5) Rs 500+"))))</f>
        <v>3) Rs 100-199</v>
      </c>
      <c r="O2846" s="0" t="n">
        <f aca="false">G2846*E2846/1000</f>
        <v>0.928</v>
      </c>
    </row>
    <row r="2847" customFormat="false" ht="15" hidden="false" customHeight="false" outlineLevel="0" collapsed="false">
      <c r="A2847" s="0" t="s">
        <v>123</v>
      </c>
      <c r="B2847" s="0" t="s">
        <v>1345</v>
      </c>
      <c r="C2847" s="0" t="n">
        <v>175</v>
      </c>
      <c r="D2847" s="0" t="n">
        <v>10</v>
      </c>
      <c r="E2847" s="0" t="n">
        <v>4</v>
      </c>
      <c r="F2847" s="0" t="n">
        <v>157</v>
      </c>
      <c r="G2847" s="0" t="n">
        <v>100</v>
      </c>
      <c r="H2847" s="0" t="s">
        <v>145</v>
      </c>
      <c r="I2847" s="0" t="n">
        <v>100</v>
      </c>
      <c r="J2847" s="0" t="n">
        <f aca="false">F2847*E2847</f>
        <v>628</v>
      </c>
      <c r="K2847" s="0" t="str">
        <f aca="false">IF(G2847&lt;1000,"1-Low",IF(G2847&lt;5000,"2-Medium","3-Bulk"))</f>
        <v>1-Low</v>
      </c>
      <c r="L2847" s="0" t="str">
        <f aca="false">IF(H2847="TRUE","Out of stock","In stock")</f>
        <v>In stock</v>
      </c>
      <c r="M2847" s="0" t="str">
        <f aca="false">IF(D2847&lt;5,"1) Under 5%",IF(D2847&lt;10,"2) 5-9%",IF(D2847&lt;15,"3) 10-14%",IF(D2847&lt;25,"4) 15-24%","5) 25%+"))))</f>
        <v>3) 10-14%</v>
      </c>
      <c r="N2847" s="0" t="str">
        <f aca="false">IF(F2847&lt;50,"1) Under Rs 50",IF(F2847&lt;100,"2) Rs 50-99",IF(F2847&lt;200,"3) Rs 100-199",IF(F2847&lt;500,"4) Rs 200-499","5) Rs 500+"))))</f>
        <v>3) Rs 100-199</v>
      </c>
      <c r="O2847" s="0" t="n">
        <f aca="false">G2847*E2847/1000</f>
        <v>0.4</v>
      </c>
    </row>
    <row r="2848" customFormat="false" ht="15" hidden="false" customHeight="false" outlineLevel="0" collapsed="false">
      <c r="A2848" s="0" t="s">
        <v>123</v>
      </c>
      <c r="B2848" s="0" t="s">
        <v>1346</v>
      </c>
      <c r="C2848" s="0" t="n">
        <v>99</v>
      </c>
      <c r="D2848" s="0" t="n">
        <v>0</v>
      </c>
      <c r="E2848" s="0" t="n">
        <v>1</v>
      </c>
      <c r="F2848" s="0" t="n">
        <v>99</v>
      </c>
      <c r="G2848" s="0" t="n">
        <v>232</v>
      </c>
      <c r="H2848" s="0" t="s">
        <v>145</v>
      </c>
      <c r="I2848" s="0" t="n">
        <v>4</v>
      </c>
      <c r="J2848" s="0" t="n">
        <f aca="false">F2848*E2848</f>
        <v>99</v>
      </c>
      <c r="K2848" s="0" t="str">
        <f aca="false">IF(G2848&lt;1000,"1-Low",IF(G2848&lt;5000,"2-Medium","3-Bulk"))</f>
        <v>1-Low</v>
      </c>
      <c r="L2848" s="0" t="str">
        <f aca="false">IF(H2848="TRUE","Out of stock","In stock")</f>
        <v>In stock</v>
      </c>
      <c r="M2848" s="0" t="str">
        <f aca="false">IF(D2848&lt;5,"1) Under 5%",IF(D2848&lt;10,"2) 5-9%",IF(D2848&lt;15,"3) 10-14%",IF(D2848&lt;25,"4) 15-24%","5) 25%+"))))</f>
        <v>1) Under 5%</v>
      </c>
      <c r="N2848" s="0" t="str">
        <f aca="false">IF(F2848&lt;50,"1) Under Rs 50",IF(F2848&lt;100,"2) Rs 50-99",IF(F2848&lt;200,"3) Rs 100-199",IF(F2848&lt;500,"4) Rs 200-499","5) Rs 500+"))))</f>
        <v>2) Rs 50-99</v>
      </c>
      <c r="O2848" s="0" t="n">
        <f aca="false">G2848*E2848/1000</f>
        <v>0.232</v>
      </c>
    </row>
    <row r="2849" customFormat="false" ht="15" hidden="false" customHeight="false" outlineLevel="0" collapsed="false">
      <c r="A2849" s="0" t="s">
        <v>123</v>
      </c>
      <c r="B2849" s="0" t="s">
        <v>1347</v>
      </c>
      <c r="C2849" s="0" t="n">
        <v>149</v>
      </c>
      <c r="D2849" s="0" t="n">
        <v>10</v>
      </c>
      <c r="E2849" s="0" t="n">
        <v>4</v>
      </c>
      <c r="F2849" s="0" t="n">
        <v>134</v>
      </c>
      <c r="G2849" s="0" t="n">
        <v>50</v>
      </c>
      <c r="H2849" s="0" t="s">
        <v>145</v>
      </c>
      <c r="I2849" s="0" t="n">
        <v>50</v>
      </c>
      <c r="J2849" s="0" t="n">
        <f aca="false">F2849*E2849</f>
        <v>536</v>
      </c>
      <c r="K2849" s="0" t="str">
        <f aca="false">IF(G2849&lt;1000,"1-Low",IF(G2849&lt;5000,"2-Medium","3-Bulk"))</f>
        <v>1-Low</v>
      </c>
      <c r="L2849" s="0" t="str">
        <f aca="false">IF(H2849="TRUE","Out of stock","In stock")</f>
        <v>In stock</v>
      </c>
      <c r="M2849" s="0" t="str">
        <f aca="false">IF(D2849&lt;5,"1) Under 5%",IF(D2849&lt;10,"2) 5-9%",IF(D2849&lt;15,"3) 10-14%",IF(D2849&lt;25,"4) 15-24%","5) 25%+"))))</f>
        <v>3) 10-14%</v>
      </c>
      <c r="N2849" s="0" t="str">
        <f aca="false">IF(F2849&lt;50,"1) Under Rs 50",IF(F2849&lt;100,"2) Rs 50-99",IF(F2849&lt;200,"3) Rs 100-199",IF(F2849&lt;500,"4) Rs 200-499","5) Rs 500+"))))</f>
        <v>3) Rs 100-199</v>
      </c>
      <c r="O2849" s="0" t="n">
        <f aca="false">G2849*E2849/1000</f>
        <v>0.2</v>
      </c>
    </row>
    <row r="2850" customFormat="false" ht="15" hidden="false" customHeight="false" outlineLevel="0" collapsed="false">
      <c r="A2850" s="0" t="s">
        <v>123</v>
      </c>
      <c r="B2850" s="0" t="s">
        <v>1348</v>
      </c>
      <c r="C2850" s="0" t="n">
        <v>200</v>
      </c>
      <c r="D2850" s="0" t="n">
        <v>10</v>
      </c>
      <c r="E2850" s="0" t="n">
        <v>3</v>
      </c>
      <c r="F2850" s="0" t="n">
        <v>180</v>
      </c>
      <c r="G2850" s="0" t="n">
        <v>72</v>
      </c>
      <c r="H2850" s="0" t="s">
        <v>145</v>
      </c>
      <c r="I2850" s="0" t="n">
        <v>72</v>
      </c>
      <c r="J2850" s="0" t="n">
        <f aca="false">F2850*E2850</f>
        <v>540</v>
      </c>
      <c r="K2850" s="0" t="str">
        <f aca="false">IF(G2850&lt;1000,"1-Low",IF(G2850&lt;5000,"2-Medium","3-Bulk"))</f>
        <v>1-Low</v>
      </c>
      <c r="L2850" s="0" t="str">
        <f aca="false">IF(H2850="TRUE","Out of stock","In stock")</f>
        <v>In stock</v>
      </c>
      <c r="M2850" s="0" t="str">
        <f aca="false">IF(D2850&lt;5,"1) Under 5%",IF(D2850&lt;10,"2) 5-9%",IF(D2850&lt;15,"3) 10-14%",IF(D2850&lt;25,"4) 15-24%","5) 25%+"))))</f>
        <v>3) 10-14%</v>
      </c>
      <c r="N2850" s="0" t="str">
        <f aca="false">IF(F2850&lt;50,"1) Under Rs 50",IF(F2850&lt;100,"2) Rs 50-99",IF(F2850&lt;200,"3) Rs 100-199",IF(F2850&lt;500,"4) Rs 200-499","5) Rs 500+"))))</f>
        <v>3) Rs 100-199</v>
      </c>
      <c r="O2850" s="0" t="n">
        <f aca="false">G2850*E2850/1000</f>
        <v>0.216</v>
      </c>
    </row>
    <row r="2851" customFormat="false" ht="15" hidden="false" customHeight="false" outlineLevel="0" collapsed="false">
      <c r="A2851" s="0" t="s">
        <v>123</v>
      </c>
      <c r="B2851" s="0" t="s">
        <v>1349</v>
      </c>
      <c r="C2851" s="0" t="n">
        <v>340</v>
      </c>
      <c r="D2851" s="0" t="n">
        <v>12</v>
      </c>
      <c r="E2851" s="0" t="n">
        <v>6</v>
      </c>
      <c r="F2851" s="0" t="n">
        <v>298</v>
      </c>
      <c r="G2851" s="0" t="n">
        <v>28</v>
      </c>
      <c r="H2851" s="0" t="s">
        <v>145</v>
      </c>
      <c r="I2851" s="0" t="n">
        <v>28</v>
      </c>
      <c r="J2851" s="0" t="n">
        <f aca="false">F2851*E2851</f>
        <v>1788</v>
      </c>
      <c r="K2851" s="0" t="str">
        <f aca="false">IF(G2851&lt;1000,"1-Low",IF(G2851&lt;5000,"2-Medium","3-Bulk"))</f>
        <v>1-Low</v>
      </c>
      <c r="L2851" s="0" t="str">
        <f aca="false">IF(H2851="TRUE","Out of stock","In stock")</f>
        <v>In stock</v>
      </c>
      <c r="M2851" s="0" t="str">
        <f aca="false">IF(D2851&lt;5,"1) Under 5%",IF(D2851&lt;10,"2) 5-9%",IF(D2851&lt;15,"3) 10-14%",IF(D2851&lt;25,"4) 15-24%","5) 25%+"))))</f>
        <v>3) 10-14%</v>
      </c>
      <c r="N2851" s="0" t="str">
        <f aca="false">IF(F2851&lt;50,"1) Under Rs 50",IF(F2851&lt;100,"2) Rs 50-99",IF(F2851&lt;200,"3) Rs 100-199",IF(F2851&lt;500,"4) Rs 200-499","5) Rs 500+"))))</f>
        <v>4) Rs 200-499</v>
      </c>
      <c r="O2851" s="0" t="n">
        <f aca="false">G2851*E2851/1000</f>
        <v>0.168</v>
      </c>
    </row>
    <row r="2852" customFormat="false" ht="15" hidden="false" customHeight="false" outlineLevel="0" collapsed="false">
      <c r="A2852" s="0" t="s">
        <v>123</v>
      </c>
      <c r="B2852" s="0" t="s">
        <v>1350</v>
      </c>
      <c r="C2852" s="0" t="n">
        <v>620</v>
      </c>
      <c r="D2852" s="0" t="n">
        <v>0</v>
      </c>
      <c r="E2852" s="0" t="n">
        <v>1</v>
      </c>
      <c r="F2852" s="0" t="n">
        <v>620</v>
      </c>
      <c r="G2852" s="0" t="n">
        <v>172</v>
      </c>
      <c r="H2852" s="0" t="s">
        <v>145</v>
      </c>
      <c r="I2852" s="0" t="n">
        <v>172</v>
      </c>
      <c r="J2852" s="0" t="n">
        <f aca="false">F2852*E2852</f>
        <v>620</v>
      </c>
      <c r="K2852" s="0" t="str">
        <f aca="false">IF(G2852&lt;1000,"1-Low",IF(G2852&lt;5000,"2-Medium","3-Bulk"))</f>
        <v>1-Low</v>
      </c>
      <c r="L2852" s="0" t="str">
        <f aca="false">IF(H2852="TRUE","Out of stock","In stock")</f>
        <v>In stock</v>
      </c>
      <c r="M2852" s="0" t="str">
        <f aca="false">IF(D2852&lt;5,"1) Under 5%",IF(D2852&lt;10,"2) 5-9%",IF(D2852&lt;15,"3) 10-14%",IF(D2852&lt;25,"4) 15-24%","5) 25%+"))))</f>
        <v>1) Under 5%</v>
      </c>
      <c r="N2852" s="0" t="str">
        <f aca="false">IF(F2852&lt;50,"1) Under Rs 50",IF(F2852&lt;100,"2) Rs 50-99",IF(F2852&lt;200,"3) Rs 100-199",IF(F2852&lt;500,"4) Rs 200-499","5) Rs 500+"))))</f>
        <v>5) Rs 500+</v>
      </c>
      <c r="O2852" s="0" t="n">
        <f aca="false">G2852*E2852/1000</f>
        <v>0.172</v>
      </c>
    </row>
    <row r="2853" customFormat="false" ht="15" hidden="false" customHeight="false" outlineLevel="0" collapsed="false">
      <c r="A2853" s="0" t="s">
        <v>123</v>
      </c>
      <c r="B2853" s="0" t="s">
        <v>1351</v>
      </c>
      <c r="C2853" s="0" t="n">
        <v>85</v>
      </c>
      <c r="D2853" s="0" t="n">
        <v>15</v>
      </c>
      <c r="E2853" s="0" t="n">
        <v>4</v>
      </c>
      <c r="F2853" s="0" t="n">
        <v>72</v>
      </c>
      <c r="G2853" s="0" t="n">
        <v>64</v>
      </c>
      <c r="H2853" s="0" t="s">
        <v>145</v>
      </c>
      <c r="I2853" s="0" t="n">
        <v>64</v>
      </c>
      <c r="J2853" s="0" t="n">
        <f aca="false">F2853*E2853</f>
        <v>288</v>
      </c>
      <c r="K2853" s="0" t="str">
        <f aca="false">IF(G2853&lt;1000,"1-Low",IF(G2853&lt;5000,"2-Medium","3-Bulk"))</f>
        <v>1-Low</v>
      </c>
      <c r="L2853" s="0" t="str">
        <f aca="false">IF(H2853="TRUE","Out of stock","In stock")</f>
        <v>In stock</v>
      </c>
      <c r="M2853" s="0" t="str">
        <f aca="false">IF(D2853&lt;5,"1) Under 5%",IF(D2853&lt;10,"2) 5-9%",IF(D2853&lt;15,"3) 10-14%",IF(D2853&lt;25,"4) 15-24%","5) 25%+"))))</f>
        <v>4) 15-24%</v>
      </c>
      <c r="N2853" s="0" t="str">
        <f aca="false">IF(F2853&lt;50,"1) Under Rs 50",IF(F2853&lt;100,"2) Rs 50-99",IF(F2853&lt;200,"3) Rs 100-199",IF(F2853&lt;500,"4) Rs 200-499","5) Rs 500+"))))</f>
        <v>2) Rs 50-99</v>
      </c>
      <c r="O2853" s="0" t="n">
        <f aca="false">G2853*E2853/1000</f>
        <v>0.256</v>
      </c>
    </row>
    <row r="2854" customFormat="false" ht="15" hidden="false" customHeight="false" outlineLevel="0" collapsed="false">
      <c r="A2854" s="0" t="s">
        <v>123</v>
      </c>
      <c r="B2854" s="0" t="s">
        <v>1352</v>
      </c>
      <c r="C2854" s="0" t="n">
        <v>195</v>
      </c>
      <c r="D2854" s="0" t="n">
        <v>10</v>
      </c>
      <c r="E2854" s="0" t="n">
        <v>5</v>
      </c>
      <c r="F2854" s="0" t="n">
        <v>174</v>
      </c>
      <c r="G2854" s="0" t="n">
        <v>150</v>
      </c>
      <c r="H2854" s="0" t="s">
        <v>145</v>
      </c>
      <c r="I2854" s="0" t="n">
        <v>150</v>
      </c>
      <c r="J2854" s="0" t="n">
        <f aca="false">F2854*E2854</f>
        <v>870</v>
      </c>
      <c r="K2854" s="0" t="str">
        <f aca="false">IF(G2854&lt;1000,"1-Low",IF(G2854&lt;5000,"2-Medium","3-Bulk"))</f>
        <v>1-Low</v>
      </c>
      <c r="L2854" s="0" t="str">
        <f aca="false">IF(H2854="TRUE","Out of stock","In stock")</f>
        <v>In stock</v>
      </c>
      <c r="M2854" s="0" t="str">
        <f aca="false">IF(D2854&lt;5,"1) Under 5%",IF(D2854&lt;10,"2) 5-9%",IF(D2854&lt;15,"3) 10-14%",IF(D2854&lt;25,"4) 15-24%","5) 25%+"))))</f>
        <v>3) 10-14%</v>
      </c>
      <c r="N2854" s="0" t="str">
        <f aca="false">IF(F2854&lt;50,"1) Under Rs 50",IF(F2854&lt;100,"2) Rs 50-99",IF(F2854&lt;200,"3) Rs 100-199",IF(F2854&lt;500,"4) Rs 200-499","5) Rs 500+"))))</f>
        <v>3) Rs 100-199</v>
      </c>
      <c r="O2854" s="0" t="n">
        <f aca="false">G2854*E2854/1000</f>
        <v>0.75</v>
      </c>
    </row>
    <row r="2855" customFormat="false" ht="15" hidden="false" customHeight="false" outlineLevel="0" collapsed="false">
      <c r="A2855" s="0" t="s">
        <v>123</v>
      </c>
      <c r="B2855" s="0" t="s">
        <v>1353</v>
      </c>
      <c r="C2855" s="0" t="n">
        <v>60</v>
      </c>
      <c r="D2855" s="0" t="n">
        <v>0</v>
      </c>
      <c r="E2855" s="0" t="n">
        <v>6</v>
      </c>
      <c r="F2855" s="0" t="n">
        <v>60</v>
      </c>
      <c r="G2855" s="0" t="n">
        <v>100</v>
      </c>
      <c r="H2855" s="0" t="s">
        <v>145</v>
      </c>
      <c r="I2855" s="0" t="n">
        <v>100</v>
      </c>
      <c r="J2855" s="0" t="n">
        <f aca="false">F2855*E2855</f>
        <v>360</v>
      </c>
      <c r="K2855" s="0" t="str">
        <f aca="false">IF(G2855&lt;1000,"1-Low",IF(G2855&lt;5000,"2-Medium","3-Bulk"))</f>
        <v>1-Low</v>
      </c>
      <c r="L2855" s="0" t="str">
        <f aca="false">IF(H2855="TRUE","Out of stock","In stock")</f>
        <v>In stock</v>
      </c>
      <c r="M2855" s="0" t="str">
        <f aca="false">IF(D2855&lt;5,"1) Under 5%",IF(D2855&lt;10,"2) 5-9%",IF(D2855&lt;15,"3) 10-14%",IF(D2855&lt;25,"4) 15-24%","5) 25%+"))))</f>
        <v>1) Under 5%</v>
      </c>
      <c r="N2855" s="0" t="str">
        <f aca="false">IF(F2855&lt;50,"1) Under Rs 50",IF(F2855&lt;100,"2) Rs 50-99",IF(F2855&lt;200,"3) Rs 100-199",IF(F2855&lt;500,"4) Rs 200-499","5) Rs 500+"))))</f>
        <v>2) Rs 50-99</v>
      </c>
      <c r="O2855" s="0" t="n">
        <f aca="false">G2855*E2855/1000</f>
        <v>0.6</v>
      </c>
    </row>
    <row r="2856" customFormat="false" ht="15" hidden="false" customHeight="false" outlineLevel="0" collapsed="false">
      <c r="A2856" s="0" t="s">
        <v>123</v>
      </c>
      <c r="B2856" s="0" t="s">
        <v>1354</v>
      </c>
      <c r="C2856" s="0" t="n">
        <v>99</v>
      </c>
      <c r="D2856" s="0" t="n">
        <v>10</v>
      </c>
      <c r="E2856" s="0" t="n">
        <v>4</v>
      </c>
      <c r="F2856" s="0" t="n">
        <v>89</v>
      </c>
      <c r="G2856" s="0" t="n">
        <v>100</v>
      </c>
      <c r="H2856" s="0" t="s">
        <v>145</v>
      </c>
      <c r="I2856" s="0" t="n">
        <v>100</v>
      </c>
      <c r="J2856" s="0" t="n">
        <f aca="false">F2856*E2856</f>
        <v>356</v>
      </c>
      <c r="K2856" s="0" t="str">
        <f aca="false">IF(G2856&lt;1000,"1-Low",IF(G2856&lt;5000,"2-Medium","3-Bulk"))</f>
        <v>1-Low</v>
      </c>
      <c r="L2856" s="0" t="str">
        <f aca="false">IF(H2856="TRUE","Out of stock","In stock")</f>
        <v>In stock</v>
      </c>
      <c r="M2856" s="0" t="str">
        <f aca="false">IF(D2856&lt;5,"1) Under 5%",IF(D2856&lt;10,"2) 5-9%",IF(D2856&lt;15,"3) 10-14%",IF(D2856&lt;25,"4) 15-24%","5) 25%+"))))</f>
        <v>3) 10-14%</v>
      </c>
      <c r="N2856" s="0" t="str">
        <f aca="false">IF(F2856&lt;50,"1) Under Rs 50",IF(F2856&lt;100,"2) Rs 50-99",IF(F2856&lt;200,"3) Rs 100-199",IF(F2856&lt;500,"4) Rs 200-499","5) Rs 500+"))))</f>
        <v>2) Rs 50-99</v>
      </c>
      <c r="O2856" s="0" t="n">
        <f aca="false">G2856*E2856/1000</f>
        <v>0.4</v>
      </c>
    </row>
    <row r="2857" customFormat="false" ht="15" hidden="false" customHeight="false" outlineLevel="0" collapsed="false">
      <c r="A2857" s="0" t="s">
        <v>123</v>
      </c>
      <c r="B2857" s="0" t="s">
        <v>1355</v>
      </c>
      <c r="C2857" s="0" t="n">
        <v>1099</v>
      </c>
      <c r="D2857" s="0" t="n">
        <v>18</v>
      </c>
      <c r="E2857" s="0" t="n">
        <v>2</v>
      </c>
      <c r="F2857" s="0" t="n">
        <v>899</v>
      </c>
      <c r="G2857" s="0" t="n">
        <v>44</v>
      </c>
      <c r="H2857" s="0" t="s">
        <v>145</v>
      </c>
      <c r="I2857" s="0" t="n">
        <v>44</v>
      </c>
      <c r="J2857" s="0" t="n">
        <f aca="false">F2857*E2857</f>
        <v>1798</v>
      </c>
      <c r="K2857" s="0" t="str">
        <f aca="false">IF(G2857&lt;1000,"1-Low",IF(G2857&lt;5000,"2-Medium","3-Bulk"))</f>
        <v>1-Low</v>
      </c>
      <c r="L2857" s="0" t="str">
        <f aca="false">IF(H2857="TRUE","Out of stock","In stock")</f>
        <v>In stock</v>
      </c>
      <c r="M2857" s="0" t="str">
        <f aca="false">IF(D2857&lt;5,"1) Under 5%",IF(D2857&lt;10,"2) 5-9%",IF(D2857&lt;15,"3) 10-14%",IF(D2857&lt;25,"4) 15-24%","5) 25%+"))))</f>
        <v>4) 15-24%</v>
      </c>
      <c r="N2857" s="0" t="str">
        <f aca="false">IF(F2857&lt;50,"1) Under Rs 50",IF(F2857&lt;100,"2) Rs 50-99",IF(F2857&lt;200,"3) Rs 100-199",IF(F2857&lt;500,"4) Rs 200-499","5) Rs 500+"))))</f>
        <v>5) Rs 500+</v>
      </c>
      <c r="O2857" s="0" t="n">
        <f aca="false">G2857*E2857/1000</f>
        <v>0.088</v>
      </c>
    </row>
    <row r="2858" customFormat="false" ht="15" hidden="false" customHeight="false" outlineLevel="0" collapsed="false">
      <c r="A2858" s="0" t="s">
        <v>123</v>
      </c>
      <c r="B2858" s="0" t="s">
        <v>1356</v>
      </c>
      <c r="C2858" s="0" t="n">
        <v>199</v>
      </c>
      <c r="D2858" s="0" t="n">
        <v>20</v>
      </c>
      <c r="E2858" s="0" t="n">
        <v>2</v>
      </c>
      <c r="F2858" s="0" t="n">
        <v>159</v>
      </c>
      <c r="G2858" s="0" t="n">
        <v>150</v>
      </c>
      <c r="H2858" s="0" t="s">
        <v>145</v>
      </c>
      <c r="I2858" s="0" t="n">
        <v>150</v>
      </c>
      <c r="J2858" s="0" t="n">
        <f aca="false">F2858*E2858</f>
        <v>318</v>
      </c>
      <c r="K2858" s="0" t="str">
        <f aca="false">IF(G2858&lt;1000,"1-Low",IF(G2858&lt;5000,"2-Medium","3-Bulk"))</f>
        <v>1-Low</v>
      </c>
      <c r="L2858" s="0" t="str">
        <f aca="false">IF(H2858="TRUE","Out of stock","In stock")</f>
        <v>In stock</v>
      </c>
      <c r="M2858" s="0" t="str">
        <f aca="false">IF(D2858&lt;5,"1) Under 5%",IF(D2858&lt;10,"2) 5-9%",IF(D2858&lt;15,"3) 10-14%",IF(D2858&lt;25,"4) 15-24%","5) 25%+"))))</f>
        <v>4) 15-24%</v>
      </c>
      <c r="N2858" s="0" t="str">
        <f aca="false">IF(F2858&lt;50,"1) Under Rs 50",IF(F2858&lt;100,"2) Rs 50-99",IF(F2858&lt;200,"3) Rs 100-199",IF(F2858&lt;500,"4) Rs 200-499","5) Rs 500+"))))</f>
        <v>3) Rs 100-199</v>
      </c>
      <c r="O2858" s="0" t="n">
        <f aca="false">G2858*E2858/1000</f>
        <v>0.3</v>
      </c>
    </row>
    <row r="2859" customFormat="false" ht="15" hidden="false" customHeight="false" outlineLevel="0" collapsed="false">
      <c r="A2859" s="0" t="s">
        <v>123</v>
      </c>
      <c r="B2859" s="0" t="s">
        <v>1357</v>
      </c>
      <c r="C2859" s="0" t="n">
        <v>620</v>
      </c>
      <c r="D2859" s="0" t="n">
        <v>0</v>
      </c>
      <c r="E2859" s="0" t="n">
        <v>6</v>
      </c>
      <c r="F2859" s="0" t="n">
        <v>620</v>
      </c>
      <c r="G2859" s="0" t="n">
        <v>172</v>
      </c>
      <c r="H2859" s="0" t="s">
        <v>145</v>
      </c>
      <c r="I2859" s="0" t="n">
        <v>172</v>
      </c>
      <c r="J2859" s="0" t="n">
        <f aca="false">F2859*E2859</f>
        <v>3720</v>
      </c>
      <c r="K2859" s="0" t="str">
        <f aca="false">IF(G2859&lt;1000,"1-Low",IF(G2859&lt;5000,"2-Medium","3-Bulk"))</f>
        <v>1-Low</v>
      </c>
      <c r="L2859" s="0" t="str">
        <f aca="false">IF(H2859="TRUE","Out of stock","In stock")</f>
        <v>In stock</v>
      </c>
      <c r="M2859" s="0" t="str">
        <f aca="false">IF(D2859&lt;5,"1) Under 5%",IF(D2859&lt;10,"2) 5-9%",IF(D2859&lt;15,"3) 10-14%",IF(D2859&lt;25,"4) 15-24%","5) 25%+"))))</f>
        <v>1) Under 5%</v>
      </c>
      <c r="N2859" s="0" t="str">
        <f aca="false">IF(F2859&lt;50,"1) Under Rs 50",IF(F2859&lt;100,"2) Rs 50-99",IF(F2859&lt;200,"3) Rs 100-199",IF(F2859&lt;500,"4) Rs 200-499","5) Rs 500+"))))</f>
        <v>5) Rs 500+</v>
      </c>
      <c r="O2859" s="0" t="n">
        <f aca="false">G2859*E2859/1000</f>
        <v>1.032</v>
      </c>
    </row>
    <row r="2860" customFormat="false" ht="15" hidden="false" customHeight="false" outlineLevel="0" collapsed="false">
      <c r="A2860" s="0" t="s">
        <v>123</v>
      </c>
      <c r="B2860" s="0" t="s">
        <v>1358</v>
      </c>
      <c r="C2860" s="0" t="n">
        <v>75</v>
      </c>
      <c r="D2860" s="0" t="n">
        <v>9</v>
      </c>
      <c r="E2860" s="0" t="n">
        <v>4</v>
      </c>
      <c r="F2860" s="0" t="n">
        <v>68</v>
      </c>
      <c r="G2860" s="0" t="n">
        <v>200</v>
      </c>
      <c r="H2860" s="0" t="s">
        <v>145</v>
      </c>
      <c r="I2860" s="0" t="n">
        <v>200</v>
      </c>
      <c r="J2860" s="0" t="n">
        <f aca="false">F2860*E2860</f>
        <v>272</v>
      </c>
      <c r="K2860" s="0" t="str">
        <f aca="false">IF(G2860&lt;1000,"1-Low",IF(G2860&lt;5000,"2-Medium","3-Bulk"))</f>
        <v>1-Low</v>
      </c>
      <c r="L2860" s="0" t="str">
        <f aca="false">IF(H2860="TRUE","Out of stock","In stock")</f>
        <v>In stock</v>
      </c>
      <c r="M2860" s="0" t="str">
        <f aca="false">IF(D2860&lt;5,"1) Under 5%",IF(D2860&lt;10,"2) 5-9%",IF(D2860&lt;15,"3) 10-14%",IF(D2860&lt;25,"4) 15-24%","5) 25%+"))))</f>
        <v>2) 5-9%</v>
      </c>
      <c r="N2860" s="0" t="str">
        <f aca="false">IF(F2860&lt;50,"1) Under Rs 50",IF(F2860&lt;100,"2) Rs 50-99",IF(F2860&lt;200,"3) Rs 100-199",IF(F2860&lt;500,"4) Rs 200-499","5) Rs 500+"))))</f>
        <v>2) Rs 50-99</v>
      </c>
      <c r="O2860" s="0" t="n">
        <f aca="false">G2860*E2860/1000</f>
        <v>0.8</v>
      </c>
    </row>
    <row r="2861" customFormat="false" ht="15" hidden="false" customHeight="false" outlineLevel="0" collapsed="false">
      <c r="A2861" s="0" t="s">
        <v>123</v>
      </c>
      <c r="B2861" s="0" t="s">
        <v>1359</v>
      </c>
      <c r="C2861" s="0" t="n">
        <v>149</v>
      </c>
      <c r="D2861" s="0" t="n">
        <v>0</v>
      </c>
      <c r="E2861" s="0" t="n">
        <v>6</v>
      </c>
      <c r="F2861" s="0" t="n">
        <v>149</v>
      </c>
      <c r="G2861" s="0" t="n">
        <v>600</v>
      </c>
      <c r="H2861" s="0" t="s">
        <v>145</v>
      </c>
      <c r="I2861" s="0" t="n">
        <v>600</v>
      </c>
      <c r="J2861" s="0" t="n">
        <f aca="false">F2861*E2861</f>
        <v>894</v>
      </c>
      <c r="K2861" s="0" t="str">
        <f aca="false">IF(G2861&lt;1000,"1-Low",IF(G2861&lt;5000,"2-Medium","3-Bulk"))</f>
        <v>1-Low</v>
      </c>
      <c r="L2861" s="0" t="str">
        <f aca="false">IF(H2861="TRUE","Out of stock","In stock")</f>
        <v>In stock</v>
      </c>
      <c r="M2861" s="0" t="str">
        <f aca="false">IF(D2861&lt;5,"1) Under 5%",IF(D2861&lt;10,"2) 5-9%",IF(D2861&lt;15,"3) 10-14%",IF(D2861&lt;25,"4) 15-24%","5) 25%+"))))</f>
        <v>1) Under 5%</v>
      </c>
      <c r="N2861" s="0" t="str">
        <f aca="false">IF(F2861&lt;50,"1) Under Rs 50",IF(F2861&lt;100,"2) Rs 50-99",IF(F2861&lt;200,"3) Rs 100-199",IF(F2861&lt;500,"4) Rs 200-499","5) Rs 500+"))))</f>
        <v>3) Rs 100-199</v>
      </c>
      <c r="O2861" s="0" t="n">
        <f aca="false">G2861*E2861/1000</f>
        <v>3.6</v>
      </c>
    </row>
    <row r="2862" customFormat="false" ht="15" hidden="false" customHeight="false" outlineLevel="0" collapsed="false">
      <c r="A2862" s="0" t="s">
        <v>123</v>
      </c>
      <c r="B2862" s="0" t="s">
        <v>1360</v>
      </c>
      <c r="C2862" s="0" t="n">
        <v>120</v>
      </c>
      <c r="D2862" s="0" t="n">
        <v>6</v>
      </c>
      <c r="E2862" s="0" t="n">
        <v>5</v>
      </c>
      <c r="F2862" s="0" t="n">
        <v>112</v>
      </c>
      <c r="G2862" s="0" t="n">
        <v>180</v>
      </c>
      <c r="H2862" s="0" t="s">
        <v>145</v>
      </c>
      <c r="I2862" s="0" t="n">
        <v>180</v>
      </c>
      <c r="J2862" s="0" t="n">
        <f aca="false">F2862*E2862</f>
        <v>560</v>
      </c>
      <c r="K2862" s="0" t="str">
        <f aca="false">IF(G2862&lt;1000,"1-Low",IF(G2862&lt;5000,"2-Medium","3-Bulk"))</f>
        <v>1-Low</v>
      </c>
      <c r="L2862" s="0" t="str">
        <f aca="false">IF(H2862="TRUE","Out of stock","In stock")</f>
        <v>In stock</v>
      </c>
      <c r="M2862" s="0" t="str">
        <f aca="false">IF(D2862&lt;5,"1) Under 5%",IF(D2862&lt;10,"2) 5-9%",IF(D2862&lt;15,"3) 10-14%",IF(D2862&lt;25,"4) 15-24%","5) 25%+"))))</f>
        <v>2) 5-9%</v>
      </c>
      <c r="N2862" s="0" t="str">
        <f aca="false">IF(F2862&lt;50,"1) Under Rs 50",IF(F2862&lt;100,"2) Rs 50-99",IF(F2862&lt;200,"3) Rs 100-199",IF(F2862&lt;500,"4) Rs 200-499","5) Rs 500+"))))</f>
        <v>3) Rs 100-199</v>
      </c>
      <c r="O2862" s="0" t="n">
        <f aca="false">G2862*E2862/1000</f>
        <v>0.9</v>
      </c>
    </row>
    <row r="2863" customFormat="false" ht="15" hidden="false" customHeight="false" outlineLevel="0" collapsed="false">
      <c r="A2863" s="0" t="s">
        <v>123</v>
      </c>
      <c r="B2863" s="0" t="s">
        <v>1361</v>
      </c>
      <c r="C2863" s="0" t="n">
        <v>235</v>
      </c>
      <c r="D2863" s="0" t="n">
        <v>7</v>
      </c>
      <c r="E2863" s="0" t="n">
        <v>6</v>
      </c>
      <c r="F2863" s="0" t="n">
        <v>218</v>
      </c>
      <c r="G2863" s="0" t="n">
        <v>1160</v>
      </c>
      <c r="H2863" s="0" t="s">
        <v>145</v>
      </c>
      <c r="I2863" s="0" t="n">
        <v>20</v>
      </c>
      <c r="J2863" s="0" t="n">
        <f aca="false">F2863*E2863</f>
        <v>1308</v>
      </c>
      <c r="K2863" s="0" t="str">
        <f aca="false">IF(G2863&lt;1000,"1-Low",IF(G2863&lt;5000,"2-Medium","3-Bulk"))</f>
        <v>2-Medium</v>
      </c>
      <c r="L2863" s="0" t="str">
        <f aca="false">IF(H2863="TRUE","Out of stock","In stock")</f>
        <v>In stock</v>
      </c>
      <c r="M2863" s="0" t="str">
        <f aca="false">IF(D2863&lt;5,"1) Under 5%",IF(D2863&lt;10,"2) 5-9%",IF(D2863&lt;15,"3) 10-14%",IF(D2863&lt;25,"4) 15-24%","5) 25%+"))))</f>
        <v>2) 5-9%</v>
      </c>
      <c r="N2863" s="0" t="str">
        <f aca="false">IF(F2863&lt;50,"1) Under Rs 50",IF(F2863&lt;100,"2) Rs 50-99",IF(F2863&lt;200,"3) Rs 100-199",IF(F2863&lt;500,"4) Rs 200-499","5) Rs 500+"))))</f>
        <v>4) Rs 200-499</v>
      </c>
      <c r="O2863" s="0" t="n">
        <f aca="false">G2863*E2863/1000</f>
        <v>6.96</v>
      </c>
    </row>
    <row r="2864" customFormat="false" ht="15" hidden="false" customHeight="false" outlineLevel="0" collapsed="false">
      <c r="A2864" s="0" t="s">
        <v>123</v>
      </c>
      <c r="B2864" s="0" t="s">
        <v>1305</v>
      </c>
      <c r="C2864" s="0" t="n">
        <v>245</v>
      </c>
      <c r="D2864" s="0" t="n">
        <v>9</v>
      </c>
      <c r="E2864" s="0" t="n">
        <v>6</v>
      </c>
      <c r="F2864" s="0" t="n">
        <v>221</v>
      </c>
      <c r="G2864" s="0" t="n">
        <v>72</v>
      </c>
      <c r="H2864" s="0" t="s">
        <v>145</v>
      </c>
      <c r="I2864" s="0" t="n">
        <v>72</v>
      </c>
      <c r="J2864" s="0" t="n">
        <f aca="false">F2864*E2864</f>
        <v>1326</v>
      </c>
      <c r="K2864" s="0" t="str">
        <f aca="false">IF(G2864&lt;1000,"1-Low",IF(G2864&lt;5000,"2-Medium","3-Bulk"))</f>
        <v>1-Low</v>
      </c>
      <c r="L2864" s="0" t="str">
        <f aca="false">IF(H2864="TRUE","Out of stock","In stock")</f>
        <v>In stock</v>
      </c>
      <c r="M2864" s="0" t="str">
        <f aca="false">IF(D2864&lt;5,"1) Under 5%",IF(D2864&lt;10,"2) 5-9%",IF(D2864&lt;15,"3) 10-14%",IF(D2864&lt;25,"4) 15-24%","5) 25%+"))))</f>
        <v>2) 5-9%</v>
      </c>
      <c r="N2864" s="0" t="str">
        <f aca="false">IF(F2864&lt;50,"1) Under Rs 50",IF(F2864&lt;100,"2) Rs 50-99",IF(F2864&lt;200,"3) Rs 100-199",IF(F2864&lt;500,"4) Rs 200-499","5) Rs 500+"))))</f>
        <v>4) Rs 200-499</v>
      </c>
      <c r="O2864" s="0" t="n">
        <f aca="false">G2864*E2864/1000</f>
        <v>0.432</v>
      </c>
    </row>
    <row r="2865" customFormat="false" ht="15" hidden="false" customHeight="false" outlineLevel="0" collapsed="false">
      <c r="A2865" s="0" t="s">
        <v>123</v>
      </c>
      <c r="B2865" s="0" t="s">
        <v>1362</v>
      </c>
      <c r="C2865" s="0" t="n">
        <v>199</v>
      </c>
      <c r="D2865" s="0" t="n">
        <v>11</v>
      </c>
      <c r="E2865" s="0" t="n">
        <v>4</v>
      </c>
      <c r="F2865" s="0" t="n">
        <v>177</v>
      </c>
      <c r="G2865" s="0" t="n">
        <v>196</v>
      </c>
      <c r="H2865" s="0" t="s">
        <v>145</v>
      </c>
      <c r="I2865" s="0" t="n">
        <v>196</v>
      </c>
      <c r="J2865" s="0" t="n">
        <f aca="false">F2865*E2865</f>
        <v>708</v>
      </c>
      <c r="K2865" s="0" t="str">
        <f aca="false">IF(G2865&lt;1000,"1-Low",IF(G2865&lt;5000,"2-Medium","3-Bulk"))</f>
        <v>1-Low</v>
      </c>
      <c r="L2865" s="0" t="str">
        <f aca="false">IF(H2865="TRUE","Out of stock","In stock")</f>
        <v>In stock</v>
      </c>
      <c r="M2865" s="0" t="str">
        <f aca="false">IF(D2865&lt;5,"1) Under 5%",IF(D2865&lt;10,"2) 5-9%",IF(D2865&lt;15,"3) 10-14%",IF(D2865&lt;25,"4) 15-24%","5) 25%+"))))</f>
        <v>3) 10-14%</v>
      </c>
      <c r="N2865" s="0" t="str">
        <f aca="false">IF(F2865&lt;50,"1) Under Rs 50",IF(F2865&lt;100,"2) Rs 50-99",IF(F2865&lt;200,"3) Rs 100-199",IF(F2865&lt;500,"4) Rs 200-499","5) Rs 500+"))))</f>
        <v>3) Rs 100-199</v>
      </c>
      <c r="O2865" s="0" t="n">
        <f aca="false">G2865*E2865/1000</f>
        <v>0.784</v>
      </c>
    </row>
    <row r="2866" customFormat="false" ht="15" hidden="false" customHeight="false" outlineLevel="0" collapsed="false">
      <c r="A2866" s="0" t="s">
        <v>123</v>
      </c>
      <c r="B2866" s="0" t="s">
        <v>1363</v>
      </c>
      <c r="C2866" s="0" t="n">
        <v>215</v>
      </c>
      <c r="D2866" s="0" t="n">
        <v>6</v>
      </c>
      <c r="E2866" s="0" t="n">
        <v>3</v>
      </c>
      <c r="F2866" s="0" t="n">
        <v>200</v>
      </c>
      <c r="G2866" s="0" t="n">
        <v>100</v>
      </c>
      <c r="H2866" s="0" t="s">
        <v>145</v>
      </c>
      <c r="I2866" s="0" t="n">
        <v>100</v>
      </c>
      <c r="J2866" s="0" t="n">
        <f aca="false">F2866*E2866</f>
        <v>600</v>
      </c>
      <c r="K2866" s="0" t="str">
        <f aca="false">IF(G2866&lt;1000,"1-Low",IF(G2866&lt;5000,"2-Medium","3-Bulk"))</f>
        <v>1-Low</v>
      </c>
      <c r="L2866" s="0" t="str">
        <f aca="false">IF(H2866="TRUE","Out of stock","In stock")</f>
        <v>In stock</v>
      </c>
      <c r="M2866" s="0" t="str">
        <f aca="false">IF(D2866&lt;5,"1) Under 5%",IF(D2866&lt;10,"2) 5-9%",IF(D2866&lt;15,"3) 10-14%",IF(D2866&lt;25,"4) 15-24%","5) 25%+"))))</f>
        <v>2) 5-9%</v>
      </c>
      <c r="N2866" s="0" t="str">
        <f aca="false">IF(F2866&lt;50,"1) Under Rs 50",IF(F2866&lt;100,"2) Rs 50-99",IF(F2866&lt;200,"3) Rs 100-199",IF(F2866&lt;500,"4) Rs 200-499","5) Rs 500+"))))</f>
        <v>4) Rs 200-499</v>
      </c>
      <c r="O2866" s="0" t="n">
        <f aca="false">G2866*E2866/1000</f>
        <v>0.3</v>
      </c>
    </row>
    <row r="2867" customFormat="false" ht="15" hidden="false" customHeight="false" outlineLevel="0" collapsed="false">
      <c r="A2867" s="0" t="s">
        <v>123</v>
      </c>
      <c r="B2867" s="0" t="s">
        <v>1364</v>
      </c>
      <c r="C2867" s="0" t="n">
        <v>315</v>
      </c>
      <c r="D2867" s="0" t="n">
        <v>0</v>
      </c>
      <c r="E2867" s="0" t="n">
        <v>4</v>
      </c>
      <c r="F2867" s="0" t="n">
        <v>315</v>
      </c>
      <c r="G2867" s="0" t="n">
        <v>30</v>
      </c>
      <c r="H2867" s="0" t="s">
        <v>145</v>
      </c>
      <c r="I2867" s="0" t="n">
        <v>30</v>
      </c>
      <c r="J2867" s="0" t="n">
        <f aca="false">F2867*E2867</f>
        <v>1260</v>
      </c>
      <c r="K2867" s="0" t="str">
        <f aca="false">IF(G2867&lt;1000,"1-Low",IF(G2867&lt;5000,"2-Medium","3-Bulk"))</f>
        <v>1-Low</v>
      </c>
      <c r="L2867" s="0" t="str">
        <f aca="false">IF(H2867="TRUE","Out of stock","In stock")</f>
        <v>In stock</v>
      </c>
      <c r="M2867" s="0" t="str">
        <f aca="false">IF(D2867&lt;5,"1) Under 5%",IF(D2867&lt;10,"2) 5-9%",IF(D2867&lt;15,"3) 10-14%",IF(D2867&lt;25,"4) 15-24%","5) 25%+"))))</f>
        <v>1) Under 5%</v>
      </c>
      <c r="N2867" s="0" t="str">
        <f aca="false">IF(F2867&lt;50,"1) Under Rs 50",IF(F2867&lt;100,"2) Rs 50-99",IF(F2867&lt;200,"3) Rs 100-199",IF(F2867&lt;500,"4) Rs 200-499","5) Rs 500+"))))</f>
        <v>4) Rs 200-499</v>
      </c>
      <c r="O2867" s="0" t="n">
        <f aca="false">G2867*E2867/1000</f>
        <v>0.12</v>
      </c>
    </row>
    <row r="2868" customFormat="false" ht="15" hidden="false" customHeight="false" outlineLevel="0" collapsed="false">
      <c r="A2868" s="0" t="s">
        <v>123</v>
      </c>
      <c r="B2868" s="0" t="s">
        <v>1365</v>
      </c>
      <c r="C2868" s="0" t="n">
        <v>80</v>
      </c>
      <c r="D2868" s="0" t="n">
        <v>8</v>
      </c>
      <c r="E2868" s="0" t="n">
        <v>4</v>
      </c>
      <c r="F2868" s="0" t="n">
        <v>73</v>
      </c>
      <c r="G2868" s="0" t="n">
        <v>100</v>
      </c>
      <c r="H2868" s="0" t="s">
        <v>145</v>
      </c>
      <c r="I2868" s="0" t="n">
        <v>100</v>
      </c>
      <c r="J2868" s="0" t="n">
        <f aca="false">F2868*E2868</f>
        <v>292</v>
      </c>
      <c r="K2868" s="0" t="str">
        <f aca="false">IF(G2868&lt;1000,"1-Low",IF(G2868&lt;5000,"2-Medium","3-Bulk"))</f>
        <v>1-Low</v>
      </c>
      <c r="L2868" s="0" t="str">
        <f aca="false">IF(H2868="TRUE","Out of stock","In stock")</f>
        <v>In stock</v>
      </c>
      <c r="M2868" s="0" t="str">
        <f aca="false">IF(D2868&lt;5,"1) Under 5%",IF(D2868&lt;10,"2) 5-9%",IF(D2868&lt;15,"3) 10-14%",IF(D2868&lt;25,"4) 15-24%","5) 25%+"))))</f>
        <v>2) 5-9%</v>
      </c>
      <c r="N2868" s="0" t="str">
        <f aca="false">IF(F2868&lt;50,"1) Under Rs 50",IF(F2868&lt;100,"2) Rs 50-99",IF(F2868&lt;200,"3) Rs 100-199",IF(F2868&lt;500,"4) Rs 200-499","5) Rs 500+"))))</f>
        <v>2) Rs 50-99</v>
      </c>
      <c r="O2868" s="0" t="n">
        <f aca="false">G2868*E2868/1000</f>
        <v>0.4</v>
      </c>
    </row>
    <row r="2869" customFormat="false" ht="15" hidden="false" customHeight="false" outlineLevel="0" collapsed="false">
      <c r="A2869" s="0" t="s">
        <v>123</v>
      </c>
      <c r="B2869" s="0" t="s">
        <v>1366</v>
      </c>
      <c r="C2869" s="0" t="n">
        <v>225</v>
      </c>
      <c r="D2869" s="0" t="n">
        <v>20</v>
      </c>
      <c r="E2869" s="0" t="n">
        <v>4</v>
      </c>
      <c r="F2869" s="0" t="n">
        <v>180</v>
      </c>
      <c r="G2869" s="0" t="n">
        <v>250</v>
      </c>
      <c r="H2869" s="0" t="s">
        <v>145</v>
      </c>
      <c r="I2869" s="0" t="n">
        <v>250</v>
      </c>
      <c r="J2869" s="0" t="n">
        <f aca="false">F2869*E2869</f>
        <v>720</v>
      </c>
      <c r="K2869" s="0" t="str">
        <f aca="false">IF(G2869&lt;1000,"1-Low",IF(G2869&lt;5000,"2-Medium","3-Bulk"))</f>
        <v>1-Low</v>
      </c>
      <c r="L2869" s="0" t="str">
        <f aca="false">IF(H2869="TRUE","Out of stock","In stock")</f>
        <v>In stock</v>
      </c>
      <c r="M2869" s="0" t="str">
        <f aca="false">IF(D2869&lt;5,"1) Under 5%",IF(D2869&lt;10,"2) 5-9%",IF(D2869&lt;15,"3) 10-14%",IF(D2869&lt;25,"4) 15-24%","5) 25%+"))))</f>
        <v>4) 15-24%</v>
      </c>
      <c r="N2869" s="0" t="str">
        <f aca="false">IF(F2869&lt;50,"1) Under Rs 50",IF(F2869&lt;100,"2) Rs 50-99",IF(F2869&lt;200,"3) Rs 100-199",IF(F2869&lt;500,"4) Rs 200-499","5) Rs 500+"))))</f>
        <v>3) Rs 100-199</v>
      </c>
      <c r="O2869" s="0" t="n">
        <f aca="false">G2869*E2869/1000</f>
        <v>1</v>
      </c>
    </row>
    <row r="2870" customFormat="false" ht="15" hidden="false" customHeight="false" outlineLevel="0" collapsed="false">
      <c r="A2870" s="0" t="s">
        <v>123</v>
      </c>
      <c r="B2870" s="0" t="s">
        <v>1367</v>
      </c>
      <c r="C2870" s="0" t="n">
        <v>175</v>
      </c>
      <c r="D2870" s="0" t="n">
        <v>0</v>
      </c>
      <c r="E2870" s="0" t="n">
        <v>5</v>
      </c>
      <c r="F2870" s="0" t="n">
        <v>175</v>
      </c>
      <c r="G2870" s="0" t="n">
        <v>870</v>
      </c>
      <c r="H2870" s="0" t="s">
        <v>145</v>
      </c>
      <c r="I2870" s="0" t="n">
        <v>15</v>
      </c>
      <c r="J2870" s="0" t="n">
        <f aca="false">F2870*E2870</f>
        <v>875</v>
      </c>
      <c r="K2870" s="0" t="str">
        <f aca="false">IF(G2870&lt;1000,"1-Low",IF(G2870&lt;5000,"2-Medium","3-Bulk"))</f>
        <v>1-Low</v>
      </c>
      <c r="L2870" s="0" t="str">
        <f aca="false">IF(H2870="TRUE","Out of stock","In stock")</f>
        <v>In stock</v>
      </c>
      <c r="M2870" s="0" t="str">
        <f aca="false">IF(D2870&lt;5,"1) Under 5%",IF(D2870&lt;10,"2) 5-9%",IF(D2870&lt;15,"3) 10-14%",IF(D2870&lt;25,"4) 15-24%","5) 25%+"))))</f>
        <v>1) Under 5%</v>
      </c>
      <c r="N2870" s="0" t="str">
        <f aca="false">IF(F2870&lt;50,"1) Under Rs 50",IF(F2870&lt;100,"2) Rs 50-99",IF(F2870&lt;200,"3) Rs 100-199",IF(F2870&lt;500,"4) Rs 200-499","5) Rs 500+"))))</f>
        <v>3) Rs 100-199</v>
      </c>
      <c r="O2870" s="0" t="n">
        <f aca="false">G2870*E2870/1000</f>
        <v>4.35</v>
      </c>
    </row>
    <row r="2871" customFormat="false" ht="15" hidden="false" customHeight="false" outlineLevel="0" collapsed="false">
      <c r="A2871" s="0" t="s">
        <v>123</v>
      </c>
      <c r="B2871" s="0" t="s">
        <v>1368</v>
      </c>
      <c r="C2871" s="0" t="n">
        <v>143</v>
      </c>
      <c r="D2871" s="0" t="n">
        <v>0</v>
      </c>
      <c r="E2871" s="0" t="n">
        <v>6</v>
      </c>
      <c r="F2871" s="0" t="n">
        <v>143</v>
      </c>
      <c r="G2871" s="0" t="n">
        <v>200</v>
      </c>
      <c r="H2871" s="0" t="s">
        <v>145</v>
      </c>
      <c r="I2871" s="0" t="n">
        <v>200</v>
      </c>
      <c r="J2871" s="0" t="n">
        <f aca="false">F2871*E2871</f>
        <v>858</v>
      </c>
      <c r="K2871" s="0" t="str">
        <f aca="false">IF(G2871&lt;1000,"1-Low",IF(G2871&lt;5000,"2-Medium","3-Bulk"))</f>
        <v>1-Low</v>
      </c>
      <c r="L2871" s="0" t="str">
        <f aca="false">IF(H2871="TRUE","Out of stock","In stock")</f>
        <v>In stock</v>
      </c>
      <c r="M2871" s="0" t="str">
        <f aca="false">IF(D2871&lt;5,"1) Under 5%",IF(D2871&lt;10,"2) 5-9%",IF(D2871&lt;15,"3) 10-14%",IF(D2871&lt;25,"4) 15-24%","5) 25%+"))))</f>
        <v>1) Under 5%</v>
      </c>
      <c r="N2871" s="0" t="str">
        <f aca="false">IF(F2871&lt;50,"1) Under Rs 50",IF(F2871&lt;100,"2) Rs 50-99",IF(F2871&lt;200,"3) Rs 100-199",IF(F2871&lt;500,"4) Rs 200-499","5) Rs 500+"))))</f>
        <v>3) Rs 100-199</v>
      </c>
      <c r="O2871" s="0" t="n">
        <f aca="false">G2871*E2871/1000</f>
        <v>1.2</v>
      </c>
    </row>
    <row r="2872" customFormat="false" ht="15" hidden="false" customHeight="false" outlineLevel="0" collapsed="false">
      <c r="A2872" s="0" t="s">
        <v>123</v>
      </c>
      <c r="B2872" s="0" t="s">
        <v>1369</v>
      </c>
      <c r="C2872" s="0" t="n">
        <v>235</v>
      </c>
      <c r="D2872" s="0" t="n">
        <v>9</v>
      </c>
      <c r="E2872" s="0" t="n">
        <v>6</v>
      </c>
      <c r="F2872" s="0" t="n">
        <v>212</v>
      </c>
      <c r="G2872" s="0" t="n">
        <v>125</v>
      </c>
      <c r="H2872" s="0" t="s">
        <v>145</v>
      </c>
      <c r="I2872" s="0" t="n">
        <v>125</v>
      </c>
      <c r="J2872" s="0" t="n">
        <f aca="false">F2872*E2872</f>
        <v>1272</v>
      </c>
      <c r="K2872" s="0" t="str">
        <f aca="false">IF(G2872&lt;1000,"1-Low",IF(G2872&lt;5000,"2-Medium","3-Bulk"))</f>
        <v>1-Low</v>
      </c>
      <c r="L2872" s="0" t="str">
        <f aca="false">IF(H2872="TRUE","Out of stock","In stock")</f>
        <v>In stock</v>
      </c>
      <c r="M2872" s="0" t="str">
        <f aca="false">IF(D2872&lt;5,"1) Under 5%",IF(D2872&lt;10,"2) 5-9%",IF(D2872&lt;15,"3) 10-14%",IF(D2872&lt;25,"4) 15-24%","5) 25%+"))))</f>
        <v>2) 5-9%</v>
      </c>
      <c r="N2872" s="0" t="str">
        <f aca="false">IF(F2872&lt;50,"1) Under Rs 50",IF(F2872&lt;100,"2) Rs 50-99",IF(F2872&lt;200,"3) Rs 100-199",IF(F2872&lt;500,"4) Rs 200-499","5) Rs 500+"))))</f>
        <v>4) Rs 200-499</v>
      </c>
      <c r="O2872" s="0" t="n">
        <f aca="false">G2872*E2872/1000</f>
        <v>0.75</v>
      </c>
    </row>
    <row r="2873" customFormat="false" ht="15" hidden="false" customHeight="false" outlineLevel="0" collapsed="false">
      <c r="A2873" s="0" t="s">
        <v>123</v>
      </c>
      <c r="B2873" s="0" t="s">
        <v>1370</v>
      </c>
      <c r="C2873" s="0" t="n">
        <v>95</v>
      </c>
      <c r="D2873" s="0" t="n">
        <v>0</v>
      </c>
      <c r="E2873" s="0" t="n">
        <v>4</v>
      </c>
      <c r="F2873" s="0" t="n">
        <v>95</v>
      </c>
      <c r="G2873" s="0" t="n">
        <v>200</v>
      </c>
      <c r="H2873" s="0" t="s">
        <v>145</v>
      </c>
      <c r="I2873" s="0" t="n">
        <v>200</v>
      </c>
      <c r="J2873" s="0" t="n">
        <f aca="false">F2873*E2873</f>
        <v>380</v>
      </c>
      <c r="K2873" s="0" t="str">
        <f aca="false">IF(G2873&lt;1000,"1-Low",IF(G2873&lt;5000,"2-Medium","3-Bulk"))</f>
        <v>1-Low</v>
      </c>
      <c r="L2873" s="0" t="str">
        <f aca="false">IF(H2873="TRUE","Out of stock","In stock")</f>
        <v>In stock</v>
      </c>
      <c r="M2873" s="0" t="str">
        <f aca="false">IF(D2873&lt;5,"1) Under 5%",IF(D2873&lt;10,"2) 5-9%",IF(D2873&lt;15,"3) 10-14%",IF(D2873&lt;25,"4) 15-24%","5) 25%+"))))</f>
        <v>1) Under 5%</v>
      </c>
      <c r="N2873" s="0" t="str">
        <f aca="false">IF(F2873&lt;50,"1) Under Rs 50",IF(F2873&lt;100,"2) Rs 50-99",IF(F2873&lt;200,"3) Rs 100-199",IF(F2873&lt;500,"4) Rs 200-499","5) Rs 500+"))))</f>
        <v>2) Rs 50-99</v>
      </c>
      <c r="O2873" s="0" t="n">
        <f aca="false">G2873*E2873/1000</f>
        <v>0.8</v>
      </c>
    </row>
    <row r="2874" customFormat="false" ht="15" hidden="false" customHeight="false" outlineLevel="0" collapsed="false">
      <c r="A2874" s="0" t="s">
        <v>123</v>
      </c>
      <c r="B2874" s="0" t="s">
        <v>1371</v>
      </c>
      <c r="C2874" s="0" t="n">
        <v>199</v>
      </c>
      <c r="D2874" s="0" t="n">
        <v>0</v>
      </c>
      <c r="E2874" s="0" t="n">
        <v>3</v>
      </c>
      <c r="F2874" s="0" t="n">
        <v>199</v>
      </c>
      <c r="G2874" s="0" t="n">
        <v>192</v>
      </c>
      <c r="H2874" s="0" t="s">
        <v>145</v>
      </c>
      <c r="I2874" s="0" t="n">
        <v>192</v>
      </c>
      <c r="J2874" s="0" t="n">
        <f aca="false">F2874*E2874</f>
        <v>597</v>
      </c>
      <c r="K2874" s="0" t="str">
        <f aca="false">IF(G2874&lt;1000,"1-Low",IF(G2874&lt;5000,"2-Medium","3-Bulk"))</f>
        <v>1-Low</v>
      </c>
      <c r="L2874" s="0" t="str">
        <f aca="false">IF(H2874="TRUE","Out of stock","In stock")</f>
        <v>In stock</v>
      </c>
      <c r="M2874" s="0" t="str">
        <f aca="false">IF(D2874&lt;5,"1) Under 5%",IF(D2874&lt;10,"2) 5-9%",IF(D2874&lt;15,"3) 10-14%",IF(D2874&lt;25,"4) 15-24%","5) 25%+"))))</f>
        <v>1) Under 5%</v>
      </c>
      <c r="N2874" s="0" t="str">
        <f aca="false">IF(F2874&lt;50,"1) Under Rs 50",IF(F2874&lt;100,"2) Rs 50-99",IF(F2874&lt;200,"3) Rs 100-199",IF(F2874&lt;500,"4) Rs 200-499","5) Rs 500+"))))</f>
        <v>3) Rs 100-199</v>
      </c>
      <c r="O2874" s="0" t="n">
        <f aca="false">G2874*E2874/1000</f>
        <v>0.576</v>
      </c>
    </row>
    <row r="2875" customFormat="false" ht="15" hidden="false" customHeight="false" outlineLevel="0" collapsed="false">
      <c r="A2875" s="0" t="s">
        <v>123</v>
      </c>
      <c r="B2875" s="0" t="s">
        <v>1372</v>
      </c>
      <c r="C2875" s="0" t="n">
        <v>199</v>
      </c>
      <c r="D2875" s="0" t="n">
        <v>4</v>
      </c>
      <c r="E2875" s="0" t="n">
        <v>5</v>
      </c>
      <c r="F2875" s="0" t="n">
        <v>191</v>
      </c>
      <c r="G2875" s="0" t="n">
        <v>250</v>
      </c>
      <c r="H2875" s="0" t="s">
        <v>145</v>
      </c>
      <c r="I2875" s="0" t="n">
        <v>250</v>
      </c>
      <c r="J2875" s="0" t="n">
        <f aca="false">F2875*E2875</f>
        <v>955</v>
      </c>
      <c r="K2875" s="0" t="str">
        <f aca="false">IF(G2875&lt;1000,"1-Low",IF(G2875&lt;5000,"2-Medium","3-Bulk"))</f>
        <v>1-Low</v>
      </c>
      <c r="L2875" s="0" t="str">
        <f aca="false">IF(H2875="TRUE","Out of stock","In stock")</f>
        <v>In stock</v>
      </c>
      <c r="M2875" s="0" t="str">
        <f aca="false">IF(D2875&lt;5,"1) Under 5%",IF(D2875&lt;10,"2) 5-9%",IF(D2875&lt;15,"3) 10-14%",IF(D2875&lt;25,"4) 15-24%","5) 25%+"))))</f>
        <v>1) Under 5%</v>
      </c>
      <c r="N2875" s="0" t="str">
        <f aca="false">IF(F2875&lt;50,"1) Under Rs 50",IF(F2875&lt;100,"2) Rs 50-99",IF(F2875&lt;200,"3) Rs 100-199",IF(F2875&lt;500,"4) Rs 200-499","5) Rs 500+"))))</f>
        <v>3) Rs 100-199</v>
      </c>
      <c r="O2875" s="0" t="n">
        <f aca="false">G2875*E2875/1000</f>
        <v>1.25</v>
      </c>
    </row>
    <row r="2876" customFormat="false" ht="15" hidden="false" customHeight="false" outlineLevel="0" collapsed="false">
      <c r="A2876" s="0" t="s">
        <v>123</v>
      </c>
      <c r="B2876" s="0" t="s">
        <v>1373</v>
      </c>
      <c r="C2876" s="0" t="n">
        <v>135</v>
      </c>
      <c r="D2876" s="0" t="n">
        <v>0</v>
      </c>
      <c r="E2876" s="0" t="n">
        <v>1</v>
      </c>
      <c r="F2876" s="0" t="n">
        <v>135</v>
      </c>
      <c r="G2876" s="0" t="n">
        <v>192</v>
      </c>
      <c r="H2876" s="0" t="s">
        <v>145</v>
      </c>
      <c r="I2876" s="0" t="n">
        <v>192</v>
      </c>
      <c r="J2876" s="0" t="n">
        <f aca="false">F2876*E2876</f>
        <v>135</v>
      </c>
      <c r="K2876" s="0" t="str">
        <f aca="false">IF(G2876&lt;1000,"1-Low",IF(G2876&lt;5000,"2-Medium","3-Bulk"))</f>
        <v>1-Low</v>
      </c>
      <c r="L2876" s="0" t="str">
        <f aca="false">IF(H2876="TRUE","Out of stock","In stock")</f>
        <v>In stock</v>
      </c>
      <c r="M2876" s="0" t="str">
        <f aca="false">IF(D2876&lt;5,"1) Under 5%",IF(D2876&lt;10,"2) 5-9%",IF(D2876&lt;15,"3) 10-14%",IF(D2876&lt;25,"4) 15-24%","5) 25%+"))))</f>
        <v>1) Under 5%</v>
      </c>
      <c r="N2876" s="0" t="str">
        <f aca="false">IF(F2876&lt;50,"1) Under Rs 50",IF(F2876&lt;100,"2) Rs 50-99",IF(F2876&lt;200,"3) Rs 100-199",IF(F2876&lt;500,"4) Rs 200-499","5) Rs 500+"))))</f>
        <v>3) Rs 100-199</v>
      </c>
      <c r="O2876" s="0" t="n">
        <f aca="false">G2876*E2876/1000</f>
        <v>0.192</v>
      </c>
    </row>
    <row r="2877" customFormat="false" ht="15" hidden="false" customHeight="false" outlineLevel="0" collapsed="false">
      <c r="A2877" s="0" t="s">
        <v>123</v>
      </c>
      <c r="B2877" s="0" t="s">
        <v>1374</v>
      </c>
      <c r="C2877" s="0" t="n">
        <v>25</v>
      </c>
      <c r="D2877" s="0" t="n">
        <v>0</v>
      </c>
      <c r="E2877" s="0" t="n">
        <v>5</v>
      </c>
      <c r="F2877" s="0" t="n">
        <v>25</v>
      </c>
      <c r="G2877" s="0" t="n">
        <v>20</v>
      </c>
      <c r="H2877" s="0" t="s">
        <v>145</v>
      </c>
      <c r="I2877" s="0" t="n">
        <v>20</v>
      </c>
      <c r="J2877" s="0" t="n">
        <f aca="false">F2877*E2877</f>
        <v>125</v>
      </c>
      <c r="K2877" s="0" t="str">
        <f aca="false">IF(G2877&lt;1000,"1-Low",IF(G2877&lt;5000,"2-Medium","3-Bulk"))</f>
        <v>1-Low</v>
      </c>
      <c r="L2877" s="0" t="str">
        <f aca="false">IF(H2877="TRUE","Out of stock","In stock")</f>
        <v>In stock</v>
      </c>
      <c r="M2877" s="0" t="str">
        <f aca="false">IF(D2877&lt;5,"1) Under 5%",IF(D2877&lt;10,"2) 5-9%",IF(D2877&lt;15,"3) 10-14%",IF(D2877&lt;25,"4) 15-24%","5) 25%+"))))</f>
        <v>1) Under 5%</v>
      </c>
      <c r="N2877" s="0" t="str">
        <f aca="false">IF(F2877&lt;50,"1) Under Rs 50",IF(F2877&lt;100,"2) Rs 50-99",IF(F2877&lt;200,"3) Rs 100-199",IF(F2877&lt;500,"4) Rs 200-499","5) Rs 500+"))))</f>
        <v>1) Under Rs 50</v>
      </c>
      <c r="O2877" s="0" t="n">
        <f aca="false">G2877*E2877/1000</f>
        <v>0.1</v>
      </c>
    </row>
    <row r="2878" customFormat="false" ht="15" hidden="false" customHeight="false" outlineLevel="0" collapsed="false">
      <c r="A2878" s="0" t="s">
        <v>123</v>
      </c>
      <c r="B2878" s="0" t="s">
        <v>1375</v>
      </c>
      <c r="C2878" s="0" t="n">
        <v>80</v>
      </c>
      <c r="D2878" s="0" t="n">
        <v>6</v>
      </c>
      <c r="E2878" s="0" t="n">
        <v>2</v>
      </c>
      <c r="F2878" s="0" t="n">
        <v>75</v>
      </c>
      <c r="G2878" s="0" t="n">
        <v>250</v>
      </c>
      <c r="H2878" s="0" t="s">
        <v>145</v>
      </c>
      <c r="I2878" s="0" t="n">
        <v>250</v>
      </c>
      <c r="J2878" s="0" t="n">
        <f aca="false">F2878*E2878</f>
        <v>150</v>
      </c>
      <c r="K2878" s="0" t="str">
        <f aca="false">IF(G2878&lt;1000,"1-Low",IF(G2878&lt;5000,"2-Medium","3-Bulk"))</f>
        <v>1-Low</v>
      </c>
      <c r="L2878" s="0" t="str">
        <f aca="false">IF(H2878="TRUE","Out of stock","In stock")</f>
        <v>In stock</v>
      </c>
      <c r="M2878" s="0" t="str">
        <f aca="false">IF(D2878&lt;5,"1) Under 5%",IF(D2878&lt;10,"2) 5-9%",IF(D2878&lt;15,"3) 10-14%",IF(D2878&lt;25,"4) 15-24%","5) 25%+"))))</f>
        <v>2) 5-9%</v>
      </c>
      <c r="N2878" s="0" t="str">
        <f aca="false">IF(F2878&lt;50,"1) Under Rs 50",IF(F2878&lt;100,"2) Rs 50-99",IF(F2878&lt;200,"3) Rs 100-199",IF(F2878&lt;500,"4) Rs 200-499","5) Rs 500+"))))</f>
        <v>2) Rs 50-99</v>
      </c>
      <c r="O2878" s="0" t="n">
        <f aca="false">G2878*E2878/1000</f>
        <v>0.5</v>
      </c>
    </row>
    <row r="2879" customFormat="false" ht="15" hidden="false" customHeight="false" outlineLevel="0" collapsed="false">
      <c r="A2879" s="0" t="s">
        <v>123</v>
      </c>
      <c r="B2879" s="0" t="s">
        <v>1376</v>
      </c>
      <c r="C2879" s="0" t="n">
        <v>170</v>
      </c>
      <c r="D2879" s="0" t="n">
        <v>10</v>
      </c>
      <c r="E2879" s="0" t="n">
        <v>6</v>
      </c>
      <c r="F2879" s="0" t="n">
        <v>153</v>
      </c>
      <c r="G2879" s="0" t="n">
        <v>150</v>
      </c>
      <c r="H2879" s="0" t="s">
        <v>145</v>
      </c>
      <c r="I2879" s="0" t="n">
        <v>150</v>
      </c>
      <c r="J2879" s="0" t="n">
        <f aca="false">F2879*E2879</f>
        <v>918</v>
      </c>
      <c r="K2879" s="0" t="str">
        <f aca="false">IF(G2879&lt;1000,"1-Low",IF(G2879&lt;5000,"2-Medium","3-Bulk"))</f>
        <v>1-Low</v>
      </c>
      <c r="L2879" s="0" t="str">
        <f aca="false">IF(H2879="TRUE","Out of stock","In stock")</f>
        <v>In stock</v>
      </c>
      <c r="M2879" s="0" t="str">
        <f aca="false">IF(D2879&lt;5,"1) Under 5%",IF(D2879&lt;10,"2) 5-9%",IF(D2879&lt;15,"3) 10-14%",IF(D2879&lt;25,"4) 15-24%","5) 25%+"))))</f>
        <v>3) 10-14%</v>
      </c>
      <c r="N2879" s="0" t="str">
        <f aca="false">IF(F2879&lt;50,"1) Under Rs 50",IF(F2879&lt;100,"2) Rs 50-99",IF(F2879&lt;200,"3) Rs 100-199",IF(F2879&lt;500,"4) Rs 200-499","5) Rs 500+"))))</f>
        <v>3) Rs 100-199</v>
      </c>
      <c r="O2879" s="0" t="n">
        <f aca="false">G2879*E2879/1000</f>
        <v>0.9</v>
      </c>
    </row>
    <row r="2880" customFormat="false" ht="15" hidden="false" customHeight="false" outlineLevel="0" collapsed="false">
      <c r="A2880" s="0" t="s">
        <v>123</v>
      </c>
      <c r="B2880" s="0" t="s">
        <v>1377</v>
      </c>
      <c r="C2880" s="0" t="n">
        <v>65</v>
      </c>
      <c r="D2880" s="0" t="n">
        <v>9</v>
      </c>
      <c r="E2880" s="0" t="n">
        <v>3</v>
      </c>
      <c r="F2880" s="0" t="n">
        <v>59</v>
      </c>
      <c r="G2880" s="0" t="n">
        <v>24</v>
      </c>
      <c r="H2880" s="0" t="s">
        <v>145</v>
      </c>
      <c r="I2880" s="0" t="n">
        <v>24</v>
      </c>
      <c r="J2880" s="0" t="n">
        <f aca="false">F2880*E2880</f>
        <v>177</v>
      </c>
      <c r="K2880" s="0" t="str">
        <f aca="false">IF(G2880&lt;1000,"1-Low",IF(G2880&lt;5000,"2-Medium","3-Bulk"))</f>
        <v>1-Low</v>
      </c>
      <c r="L2880" s="0" t="str">
        <f aca="false">IF(H2880="TRUE","Out of stock","In stock")</f>
        <v>In stock</v>
      </c>
      <c r="M2880" s="0" t="str">
        <f aca="false">IF(D2880&lt;5,"1) Under 5%",IF(D2880&lt;10,"2) 5-9%",IF(D2880&lt;15,"3) 10-14%",IF(D2880&lt;25,"4) 15-24%","5) 25%+"))))</f>
        <v>2) 5-9%</v>
      </c>
      <c r="N2880" s="0" t="str">
        <f aca="false">IF(F2880&lt;50,"1) Under Rs 50",IF(F2880&lt;100,"2) Rs 50-99",IF(F2880&lt;200,"3) Rs 100-199",IF(F2880&lt;500,"4) Rs 200-499","5) Rs 500+"))))</f>
        <v>2) Rs 50-99</v>
      </c>
      <c r="O2880" s="0" t="n">
        <f aca="false">G2880*E2880/1000</f>
        <v>0.072</v>
      </c>
    </row>
    <row r="2881" customFormat="false" ht="15" hidden="false" customHeight="false" outlineLevel="0" collapsed="false">
      <c r="A2881" s="0" t="s">
        <v>123</v>
      </c>
      <c r="B2881" s="0" t="s">
        <v>1378</v>
      </c>
      <c r="C2881" s="0" t="n">
        <v>133</v>
      </c>
      <c r="D2881" s="0" t="n">
        <v>2</v>
      </c>
      <c r="E2881" s="0" t="n">
        <v>5</v>
      </c>
      <c r="F2881" s="0" t="n">
        <v>130</v>
      </c>
      <c r="G2881" s="0" t="n">
        <v>1160</v>
      </c>
      <c r="H2881" s="0" t="s">
        <v>145</v>
      </c>
      <c r="I2881" s="0" t="n">
        <v>20</v>
      </c>
      <c r="J2881" s="0" t="n">
        <f aca="false">F2881*E2881</f>
        <v>650</v>
      </c>
      <c r="K2881" s="0" t="str">
        <f aca="false">IF(G2881&lt;1000,"1-Low",IF(G2881&lt;5000,"2-Medium","3-Bulk"))</f>
        <v>2-Medium</v>
      </c>
      <c r="L2881" s="0" t="str">
        <f aca="false">IF(H2881="TRUE","Out of stock","In stock")</f>
        <v>In stock</v>
      </c>
      <c r="M2881" s="0" t="str">
        <f aca="false">IF(D2881&lt;5,"1) Under 5%",IF(D2881&lt;10,"2) 5-9%",IF(D2881&lt;15,"3) 10-14%",IF(D2881&lt;25,"4) 15-24%","5) 25%+"))))</f>
        <v>1) Under 5%</v>
      </c>
      <c r="N2881" s="0" t="str">
        <f aca="false">IF(F2881&lt;50,"1) Under Rs 50",IF(F2881&lt;100,"2) Rs 50-99",IF(F2881&lt;200,"3) Rs 100-199",IF(F2881&lt;500,"4) Rs 200-499","5) Rs 500+"))))</f>
        <v>3) Rs 100-199</v>
      </c>
      <c r="O2881" s="0" t="n">
        <f aca="false">G2881*E2881/1000</f>
        <v>5.8</v>
      </c>
    </row>
    <row r="2882" customFormat="false" ht="15" hidden="false" customHeight="false" outlineLevel="0" collapsed="false">
      <c r="A2882" s="0" t="s">
        <v>123</v>
      </c>
      <c r="B2882" s="0" t="s">
        <v>1379</v>
      </c>
      <c r="C2882" s="0" t="n">
        <v>158</v>
      </c>
      <c r="D2882" s="0" t="n">
        <v>6</v>
      </c>
      <c r="E2882" s="0" t="n">
        <v>5</v>
      </c>
      <c r="F2882" s="0" t="n">
        <v>147</v>
      </c>
      <c r="G2882" s="0" t="n">
        <v>180</v>
      </c>
      <c r="H2882" s="0" t="s">
        <v>145</v>
      </c>
      <c r="I2882" s="0" t="n">
        <v>180</v>
      </c>
      <c r="J2882" s="0" t="n">
        <f aca="false">F2882*E2882</f>
        <v>735</v>
      </c>
      <c r="K2882" s="0" t="str">
        <f aca="false">IF(G2882&lt;1000,"1-Low",IF(G2882&lt;5000,"2-Medium","3-Bulk"))</f>
        <v>1-Low</v>
      </c>
      <c r="L2882" s="0" t="str">
        <f aca="false">IF(H2882="TRUE","Out of stock","In stock")</f>
        <v>In stock</v>
      </c>
      <c r="M2882" s="0" t="str">
        <f aca="false">IF(D2882&lt;5,"1) Under 5%",IF(D2882&lt;10,"2) 5-9%",IF(D2882&lt;15,"3) 10-14%",IF(D2882&lt;25,"4) 15-24%","5) 25%+"))))</f>
        <v>2) 5-9%</v>
      </c>
      <c r="N2882" s="0" t="str">
        <f aca="false">IF(F2882&lt;50,"1) Under Rs 50",IF(F2882&lt;100,"2) Rs 50-99",IF(F2882&lt;200,"3) Rs 100-199",IF(F2882&lt;500,"4) Rs 200-499","5) Rs 500+"))))</f>
        <v>3) Rs 100-199</v>
      </c>
      <c r="O2882" s="0" t="n">
        <f aca="false">G2882*E2882/1000</f>
        <v>0.9</v>
      </c>
    </row>
    <row r="2883" customFormat="false" ht="15" hidden="false" customHeight="false" outlineLevel="0" collapsed="false">
      <c r="A2883" s="0" t="s">
        <v>123</v>
      </c>
      <c r="B2883" s="0" t="s">
        <v>1380</v>
      </c>
      <c r="C2883" s="0" t="n">
        <v>285</v>
      </c>
      <c r="D2883" s="0" t="n">
        <v>0</v>
      </c>
      <c r="E2883" s="0" t="n">
        <v>5</v>
      </c>
      <c r="F2883" s="0" t="n">
        <v>285</v>
      </c>
      <c r="G2883" s="0" t="n">
        <v>340</v>
      </c>
      <c r="H2883" s="0" t="s">
        <v>145</v>
      </c>
      <c r="I2883" s="0" t="n">
        <v>240</v>
      </c>
      <c r="J2883" s="0" t="n">
        <f aca="false">F2883*E2883</f>
        <v>1425</v>
      </c>
      <c r="K2883" s="0" t="str">
        <f aca="false">IF(G2883&lt;1000,"1-Low",IF(G2883&lt;5000,"2-Medium","3-Bulk"))</f>
        <v>1-Low</v>
      </c>
      <c r="L2883" s="0" t="str">
        <f aca="false">IF(H2883="TRUE","Out of stock","In stock")</f>
        <v>In stock</v>
      </c>
      <c r="M2883" s="0" t="str">
        <f aca="false">IF(D2883&lt;5,"1) Under 5%",IF(D2883&lt;10,"2) 5-9%",IF(D2883&lt;15,"3) 10-14%",IF(D2883&lt;25,"4) 15-24%","5) 25%+"))))</f>
        <v>1) Under 5%</v>
      </c>
      <c r="N2883" s="0" t="str">
        <f aca="false">IF(F2883&lt;50,"1) Under Rs 50",IF(F2883&lt;100,"2) Rs 50-99",IF(F2883&lt;200,"3) Rs 100-199",IF(F2883&lt;500,"4) Rs 200-499","5) Rs 500+"))))</f>
        <v>4) Rs 200-499</v>
      </c>
      <c r="O2883" s="0" t="n">
        <f aca="false">G2883*E2883/1000</f>
        <v>1.7</v>
      </c>
    </row>
    <row r="2884" customFormat="false" ht="15" hidden="false" customHeight="false" outlineLevel="0" collapsed="false">
      <c r="A2884" s="0" t="s">
        <v>123</v>
      </c>
      <c r="B2884" s="0" t="s">
        <v>1381</v>
      </c>
      <c r="C2884" s="0" t="n">
        <v>550</v>
      </c>
      <c r="D2884" s="0" t="n">
        <v>0</v>
      </c>
      <c r="E2884" s="0" t="n">
        <v>6</v>
      </c>
      <c r="F2884" s="0" t="n">
        <v>550</v>
      </c>
      <c r="G2884" s="0" t="n">
        <v>159</v>
      </c>
      <c r="H2884" s="0" t="s">
        <v>145</v>
      </c>
      <c r="I2884" s="0" t="n">
        <v>87</v>
      </c>
      <c r="J2884" s="0" t="n">
        <f aca="false">F2884*E2884</f>
        <v>3300</v>
      </c>
      <c r="K2884" s="0" t="str">
        <f aca="false">IF(G2884&lt;1000,"1-Low",IF(G2884&lt;5000,"2-Medium","3-Bulk"))</f>
        <v>1-Low</v>
      </c>
      <c r="L2884" s="0" t="str">
        <f aca="false">IF(H2884="TRUE","Out of stock","In stock")</f>
        <v>In stock</v>
      </c>
      <c r="M2884" s="0" t="str">
        <f aca="false">IF(D2884&lt;5,"1) Under 5%",IF(D2884&lt;10,"2) 5-9%",IF(D2884&lt;15,"3) 10-14%",IF(D2884&lt;25,"4) 15-24%","5) 25%+"))))</f>
        <v>1) Under 5%</v>
      </c>
      <c r="N2884" s="0" t="str">
        <f aca="false">IF(F2884&lt;50,"1) Under Rs 50",IF(F2884&lt;100,"2) Rs 50-99",IF(F2884&lt;200,"3) Rs 100-199",IF(F2884&lt;500,"4) Rs 200-499","5) Rs 500+"))))</f>
        <v>5) Rs 500+</v>
      </c>
      <c r="O2884" s="0" t="n">
        <f aca="false">G2884*E2884/1000</f>
        <v>0.954</v>
      </c>
    </row>
    <row r="2885" customFormat="false" ht="15" hidden="false" customHeight="false" outlineLevel="0" collapsed="false">
      <c r="A2885" s="0" t="s">
        <v>123</v>
      </c>
      <c r="B2885" s="0" t="s">
        <v>1382</v>
      </c>
      <c r="C2885" s="0" t="n">
        <v>399</v>
      </c>
      <c r="D2885" s="0" t="n">
        <v>10</v>
      </c>
      <c r="E2885" s="0" t="n">
        <v>6</v>
      </c>
      <c r="F2885" s="0" t="n">
        <v>359</v>
      </c>
      <c r="G2885" s="0" t="n">
        <v>150</v>
      </c>
      <c r="H2885" s="0" t="s">
        <v>145</v>
      </c>
      <c r="I2885" s="0" t="n">
        <v>150</v>
      </c>
      <c r="J2885" s="0" t="n">
        <f aca="false">F2885*E2885</f>
        <v>2154</v>
      </c>
      <c r="K2885" s="0" t="str">
        <f aca="false">IF(G2885&lt;1000,"1-Low",IF(G2885&lt;5000,"2-Medium","3-Bulk"))</f>
        <v>1-Low</v>
      </c>
      <c r="L2885" s="0" t="str">
        <f aca="false">IF(H2885="TRUE","Out of stock","In stock")</f>
        <v>In stock</v>
      </c>
      <c r="M2885" s="0" t="str">
        <f aca="false">IF(D2885&lt;5,"1) Under 5%",IF(D2885&lt;10,"2) 5-9%",IF(D2885&lt;15,"3) 10-14%",IF(D2885&lt;25,"4) 15-24%","5) 25%+"))))</f>
        <v>3) 10-14%</v>
      </c>
      <c r="N2885" s="0" t="str">
        <f aca="false">IF(F2885&lt;50,"1) Under Rs 50",IF(F2885&lt;100,"2) Rs 50-99",IF(F2885&lt;200,"3) Rs 100-199",IF(F2885&lt;500,"4) Rs 200-499","5) Rs 500+"))))</f>
        <v>4) Rs 200-499</v>
      </c>
      <c r="O2885" s="0" t="n">
        <f aca="false">G2885*E2885/1000</f>
        <v>0.9</v>
      </c>
    </row>
    <row r="2886" customFormat="false" ht="15" hidden="false" customHeight="false" outlineLevel="0" collapsed="false">
      <c r="A2886" s="0" t="s">
        <v>123</v>
      </c>
      <c r="B2886" s="0" t="s">
        <v>1383</v>
      </c>
      <c r="C2886" s="0" t="n">
        <v>550</v>
      </c>
      <c r="D2886" s="0" t="n">
        <v>0</v>
      </c>
      <c r="E2886" s="0" t="n">
        <v>4</v>
      </c>
      <c r="F2886" s="0" t="n">
        <v>550</v>
      </c>
      <c r="G2886" s="0" t="n">
        <v>159</v>
      </c>
      <c r="H2886" s="0" t="s">
        <v>145</v>
      </c>
      <c r="I2886" s="0" t="n">
        <v>159</v>
      </c>
      <c r="J2886" s="0" t="n">
        <f aca="false">F2886*E2886</f>
        <v>2200</v>
      </c>
      <c r="K2886" s="0" t="str">
        <f aca="false">IF(G2886&lt;1000,"1-Low",IF(G2886&lt;5000,"2-Medium","3-Bulk"))</f>
        <v>1-Low</v>
      </c>
      <c r="L2886" s="0" t="str">
        <f aca="false">IF(H2886="TRUE","Out of stock","In stock")</f>
        <v>In stock</v>
      </c>
      <c r="M2886" s="0" t="str">
        <f aca="false">IF(D2886&lt;5,"1) Under 5%",IF(D2886&lt;10,"2) 5-9%",IF(D2886&lt;15,"3) 10-14%",IF(D2886&lt;25,"4) 15-24%","5) 25%+"))))</f>
        <v>1) Under 5%</v>
      </c>
      <c r="N2886" s="0" t="str">
        <f aca="false">IF(F2886&lt;50,"1) Under Rs 50",IF(F2886&lt;100,"2) Rs 50-99",IF(F2886&lt;200,"3) Rs 100-199",IF(F2886&lt;500,"4) Rs 200-499","5) Rs 500+"))))</f>
        <v>5) Rs 500+</v>
      </c>
      <c r="O2886" s="0" t="n">
        <f aca="false">G2886*E2886/1000</f>
        <v>0.636</v>
      </c>
    </row>
    <row r="2887" customFormat="false" ht="15" hidden="false" customHeight="false" outlineLevel="0" collapsed="false">
      <c r="A2887" s="0" t="s">
        <v>123</v>
      </c>
      <c r="B2887" s="0" t="s">
        <v>1384</v>
      </c>
      <c r="C2887" s="0" t="n">
        <v>99</v>
      </c>
      <c r="D2887" s="0" t="n">
        <v>10</v>
      </c>
      <c r="E2887" s="0" t="n">
        <v>6</v>
      </c>
      <c r="F2887" s="0" t="n">
        <v>89</v>
      </c>
      <c r="G2887" s="0" t="n">
        <v>250</v>
      </c>
      <c r="H2887" s="0" t="s">
        <v>145</v>
      </c>
      <c r="I2887" s="0" t="n">
        <v>250</v>
      </c>
      <c r="J2887" s="0" t="n">
        <f aca="false">F2887*E2887</f>
        <v>534</v>
      </c>
      <c r="K2887" s="0" t="str">
        <f aca="false">IF(G2887&lt;1000,"1-Low",IF(G2887&lt;5000,"2-Medium","3-Bulk"))</f>
        <v>1-Low</v>
      </c>
      <c r="L2887" s="0" t="str">
        <f aca="false">IF(H2887="TRUE","Out of stock","In stock")</f>
        <v>In stock</v>
      </c>
      <c r="M2887" s="0" t="str">
        <f aca="false">IF(D2887&lt;5,"1) Under 5%",IF(D2887&lt;10,"2) 5-9%",IF(D2887&lt;15,"3) 10-14%",IF(D2887&lt;25,"4) 15-24%","5) 25%+"))))</f>
        <v>3) 10-14%</v>
      </c>
      <c r="N2887" s="0" t="str">
        <f aca="false">IF(F2887&lt;50,"1) Under Rs 50",IF(F2887&lt;100,"2) Rs 50-99",IF(F2887&lt;200,"3) Rs 100-199",IF(F2887&lt;500,"4) Rs 200-499","5) Rs 500+"))))</f>
        <v>2) Rs 50-99</v>
      </c>
      <c r="O2887" s="0" t="n">
        <f aca="false">G2887*E2887/1000</f>
        <v>1.5</v>
      </c>
    </row>
    <row r="2888" customFormat="false" ht="15" hidden="false" customHeight="false" outlineLevel="0" collapsed="false">
      <c r="A2888" s="0" t="s">
        <v>123</v>
      </c>
      <c r="B2888" s="0" t="s">
        <v>1385</v>
      </c>
      <c r="C2888" s="0" t="n">
        <v>98</v>
      </c>
      <c r="D2888" s="0" t="n">
        <v>0</v>
      </c>
      <c r="E2888" s="0" t="n">
        <v>4</v>
      </c>
      <c r="F2888" s="0" t="n">
        <v>98</v>
      </c>
      <c r="G2888" s="0" t="n">
        <v>232</v>
      </c>
      <c r="H2888" s="0" t="s">
        <v>145</v>
      </c>
      <c r="I2888" s="0" t="n">
        <v>4</v>
      </c>
      <c r="J2888" s="0" t="n">
        <f aca="false">F2888*E2888</f>
        <v>392</v>
      </c>
      <c r="K2888" s="0" t="str">
        <f aca="false">IF(G2888&lt;1000,"1-Low",IF(G2888&lt;5000,"2-Medium","3-Bulk"))</f>
        <v>1-Low</v>
      </c>
      <c r="L2888" s="0" t="str">
        <f aca="false">IF(H2888="TRUE","Out of stock","In stock")</f>
        <v>In stock</v>
      </c>
      <c r="M2888" s="0" t="str">
        <f aca="false">IF(D2888&lt;5,"1) Under 5%",IF(D2888&lt;10,"2) 5-9%",IF(D2888&lt;15,"3) 10-14%",IF(D2888&lt;25,"4) 15-24%","5) 25%+"))))</f>
        <v>1) Under 5%</v>
      </c>
      <c r="N2888" s="0" t="str">
        <f aca="false">IF(F2888&lt;50,"1) Under Rs 50",IF(F2888&lt;100,"2) Rs 50-99",IF(F2888&lt;200,"3) Rs 100-199",IF(F2888&lt;500,"4) Rs 200-499","5) Rs 500+"))))</f>
        <v>2) Rs 50-99</v>
      </c>
      <c r="O2888" s="0" t="n">
        <f aca="false">G2888*E2888/1000</f>
        <v>0.928</v>
      </c>
    </row>
    <row r="2889" customFormat="false" ht="15" hidden="false" customHeight="false" outlineLevel="0" collapsed="false">
      <c r="A2889" s="0" t="s">
        <v>123</v>
      </c>
      <c r="B2889" s="0" t="s">
        <v>1386</v>
      </c>
      <c r="C2889" s="0" t="n">
        <v>200</v>
      </c>
      <c r="D2889" s="0" t="n">
        <v>10</v>
      </c>
      <c r="E2889" s="0" t="n">
        <v>3</v>
      </c>
      <c r="F2889" s="0" t="n">
        <v>180</v>
      </c>
      <c r="G2889" s="0" t="n">
        <v>120</v>
      </c>
      <c r="H2889" s="0" t="s">
        <v>145</v>
      </c>
      <c r="I2889" s="0" t="n">
        <v>120</v>
      </c>
      <c r="J2889" s="0" t="n">
        <f aca="false">F2889*E2889</f>
        <v>540</v>
      </c>
      <c r="K2889" s="0" t="str">
        <f aca="false">IF(G2889&lt;1000,"1-Low",IF(G2889&lt;5000,"2-Medium","3-Bulk"))</f>
        <v>1-Low</v>
      </c>
      <c r="L2889" s="0" t="str">
        <f aca="false">IF(H2889="TRUE","Out of stock","In stock")</f>
        <v>In stock</v>
      </c>
      <c r="M2889" s="0" t="str">
        <f aca="false">IF(D2889&lt;5,"1) Under 5%",IF(D2889&lt;10,"2) 5-9%",IF(D2889&lt;15,"3) 10-14%",IF(D2889&lt;25,"4) 15-24%","5) 25%+"))))</f>
        <v>3) 10-14%</v>
      </c>
      <c r="N2889" s="0" t="str">
        <f aca="false">IF(F2889&lt;50,"1) Under Rs 50",IF(F2889&lt;100,"2) Rs 50-99",IF(F2889&lt;200,"3) Rs 100-199",IF(F2889&lt;500,"4) Rs 200-499","5) Rs 500+"))))</f>
        <v>3) Rs 100-199</v>
      </c>
      <c r="O2889" s="0" t="n">
        <f aca="false">G2889*E2889/1000</f>
        <v>0.36</v>
      </c>
    </row>
    <row r="2890" customFormat="false" ht="15" hidden="false" customHeight="false" outlineLevel="0" collapsed="false">
      <c r="A2890" s="0" t="s">
        <v>123</v>
      </c>
      <c r="B2890" s="0" t="s">
        <v>1387</v>
      </c>
      <c r="C2890" s="0" t="n">
        <v>199</v>
      </c>
      <c r="D2890" s="0" t="n">
        <v>0</v>
      </c>
      <c r="E2890" s="0" t="n">
        <v>4</v>
      </c>
      <c r="F2890" s="0" t="n">
        <v>199</v>
      </c>
      <c r="G2890" s="0" t="n">
        <v>200</v>
      </c>
      <c r="H2890" s="0" t="s">
        <v>145</v>
      </c>
      <c r="I2890" s="0" t="n">
        <v>200</v>
      </c>
      <c r="J2890" s="0" t="n">
        <f aca="false">F2890*E2890</f>
        <v>796</v>
      </c>
      <c r="K2890" s="0" t="str">
        <f aca="false">IF(G2890&lt;1000,"1-Low",IF(G2890&lt;5000,"2-Medium","3-Bulk"))</f>
        <v>1-Low</v>
      </c>
      <c r="L2890" s="0" t="str">
        <f aca="false">IF(H2890="TRUE","Out of stock","In stock")</f>
        <v>In stock</v>
      </c>
      <c r="M2890" s="0" t="str">
        <f aca="false">IF(D2890&lt;5,"1) Under 5%",IF(D2890&lt;10,"2) 5-9%",IF(D2890&lt;15,"3) 10-14%",IF(D2890&lt;25,"4) 15-24%","5) 25%+"))))</f>
        <v>1) Under 5%</v>
      </c>
      <c r="N2890" s="0" t="str">
        <f aca="false">IF(F2890&lt;50,"1) Under Rs 50",IF(F2890&lt;100,"2) Rs 50-99",IF(F2890&lt;200,"3) Rs 100-199",IF(F2890&lt;500,"4) Rs 200-499","5) Rs 500+"))))</f>
        <v>3) Rs 100-199</v>
      </c>
      <c r="O2890" s="0" t="n">
        <f aca="false">G2890*E2890/1000</f>
        <v>0.8</v>
      </c>
    </row>
    <row r="2891" customFormat="false" ht="15" hidden="false" customHeight="false" outlineLevel="0" collapsed="false">
      <c r="A2891" s="0" t="s">
        <v>123</v>
      </c>
      <c r="B2891" s="0" t="s">
        <v>1388</v>
      </c>
      <c r="C2891" s="0" t="n">
        <v>260</v>
      </c>
      <c r="D2891" s="0" t="n">
        <v>5</v>
      </c>
      <c r="E2891" s="0" t="n">
        <v>6</v>
      </c>
      <c r="F2891" s="0" t="n">
        <v>247</v>
      </c>
      <c r="G2891" s="0" t="n">
        <v>625</v>
      </c>
      <c r="H2891" s="0" t="s">
        <v>145</v>
      </c>
      <c r="I2891" s="0" t="n">
        <v>625</v>
      </c>
      <c r="J2891" s="0" t="n">
        <f aca="false">F2891*E2891</f>
        <v>1482</v>
      </c>
      <c r="K2891" s="0" t="str">
        <f aca="false">IF(G2891&lt;1000,"1-Low",IF(G2891&lt;5000,"2-Medium","3-Bulk"))</f>
        <v>1-Low</v>
      </c>
      <c r="L2891" s="0" t="str">
        <f aca="false">IF(H2891="TRUE","Out of stock","In stock")</f>
        <v>In stock</v>
      </c>
      <c r="M2891" s="0" t="str">
        <f aca="false">IF(D2891&lt;5,"1) Under 5%",IF(D2891&lt;10,"2) 5-9%",IF(D2891&lt;15,"3) 10-14%",IF(D2891&lt;25,"4) 15-24%","5) 25%+"))))</f>
        <v>2) 5-9%</v>
      </c>
      <c r="N2891" s="0" t="str">
        <f aca="false">IF(F2891&lt;50,"1) Under Rs 50",IF(F2891&lt;100,"2) Rs 50-99",IF(F2891&lt;200,"3) Rs 100-199",IF(F2891&lt;500,"4) Rs 200-499","5) Rs 500+"))))</f>
        <v>4) Rs 200-499</v>
      </c>
      <c r="O2891" s="0" t="n">
        <f aca="false">G2891*E2891/1000</f>
        <v>3.75</v>
      </c>
    </row>
    <row r="2892" customFormat="false" ht="15" hidden="false" customHeight="false" outlineLevel="0" collapsed="false">
      <c r="A2892" s="0" t="s">
        <v>123</v>
      </c>
      <c r="B2892" s="0" t="s">
        <v>1389</v>
      </c>
      <c r="C2892" s="0" t="n">
        <v>75</v>
      </c>
      <c r="D2892" s="0" t="n">
        <v>0</v>
      </c>
      <c r="E2892" s="0" t="n">
        <v>6</v>
      </c>
      <c r="F2892" s="0" t="n">
        <v>75</v>
      </c>
      <c r="G2892" s="0" t="n">
        <v>200</v>
      </c>
      <c r="H2892" s="0" t="s">
        <v>145</v>
      </c>
      <c r="I2892" s="0" t="n">
        <v>200</v>
      </c>
      <c r="J2892" s="0" t="n">
        <f aca="false">F2892*E2892</f>
        <v>450</v>
      </c>
      <c r="K2892" s="0" t="str">
        <f aca="false">IF(G2892&lt;1000,"1-Low",IF(G2892&lt;5000,"2-Medium","3-Bulk"))</f>
        <v>1-Low</v>
      </c>
      <c r="L2892" s="0" t="str">
        <f aca="false">IF(H2892="TRUE","Out of stock","In stock")</f>
        <v>In stock</v>
      </c>
      <c r="M2892" s="0" t="str">
        <f aca="false">IF(D2892&lt;5,"1) Under 5%",IF(D2892&lt;10,"2) 5-9%",IF(D2892&lt;15,"3) 10-14%",IF(D2892&lt;25,"4) 15-24%","5) 25%+"))))</f>
        <v>1) Under 5%</v>
      </c>
      <c r="N2892" s="0" t="str">
        <f aca="false">IF(F2892&lt;50,"1) Under Rs 50",IF(F2892&lt;100,"2) Rs 50-99",IF(F2892&lt;200,"3) Rs 100-199",IF(F2892&lt;500,"4) Rs 200-499","5) Rs 500+"))))</f>
        <v>2) Rs 50-99</v>
      </c>
      <c r="O2892" s="0" t="n">
        <f aca="false">G2892*E2892/1000</f>
        <v>1.2</v>
      </c>
    </row>
    <row r="2893" customFormat="false" ht="15" hidden="false" customHeight="false" outlineLevel="0" collapsed="false">
      <c r="A2893" s="0" t="s">
        <v>123</v>
      </c>
      <c r="B2893" s="0" t="s">
        <v>1390</v>
      </c>
      <c r="C2893" s="0" t="n">
        <v>299</v>
      </c>
      <c r="D2893" s="0" t="n">
        <v>6</v>
      </c>
      <c r="E2893" s="0" t="n">
        <v>5</v>
      </c>
      <c r="F2893" s="0" t="n">
        <v>279</v>
      </c>
      <c r="G2893" s="0" t="n">
        <v>28</v>
      </c>
      <c r="H2893" s="0" t="s">
        <v>145</v>
      </c>
      <c r="I2893" s="0" t="n">
        <v>28</v>
      </c>
      <c r="J2893" s="0" t="n">
        <f aca="false">F2893*E2893</f>
        <v>1395</v>
      </c>
      <c r="K2893" s="0" t="str">
        <f aca="false">IF(G2893&lt;1000,"1-Low",IF(G2893&lt;5000,"2-Medium","3-Bulk"))</f>
        <v>1-Low</v>
      </c>
      <c r="L2893" s="0" t="str">
        <f aca="false">IF(H2893="TRUE","Out of stock","In stock")</f>
        <v>In stock</v>
      </c>
      <c r="M2893" s="0" t="str">
        <f aca="false">IF(D2893&lt;5,"1) Under 5%",IF(D2893&lt;10,"2) 5-9%",IF(D2893&lt;15,"3) 10-14%",IF(D2893&lt;25,"4) 15-24%","5) 25%+"))))</f>
        <v>2) 5-9%</v>
      </c>
      <c r="N2893" s="0" t="str">
        <f aca="false">IF(F2893&lt;50,"1) Under Rs 50",IF(F2893&lt;100,"2) Rs 50-99",IF(F2893&lt;200,"3) Rs 100-199",IF(F2893&lt;500,"4) Rs 200-499","5) Rs 500+"))))</f>
        <v>4) Rs 200-499</v>
      </c>
      <c r="O2893" s="0" t="n">
        <f aca="false">G2893*E2893/1000</f>
        <v>0.14</v>
      </c>
    </row>
    <row r="2894" customFormat="false" ht="15" hidden="false" customHeight="false" outlineLevel="0" collapsed="false">
      <c r="A2894" s="0" t="s">
        <v>123</v>
      </c>
      <c r="B2894" s="0" t="s">
        <v>1391</v>
      </c>
      <c r="C2894" s="0" t="n">
        <v>70</v>
      </c>
      <c r="D2894" s="0" t="n">
        <v>0</v>
      </c>
      <c r="E2894" s="0" t="n">
        <v>6</v>
      </c>
      <c r="F2894" s="0" t="n">
        <v>70</v>
      </c>
      <c r="G2894" s="0" t="n">
        <v>100</v>
      </c>
      <c r="H2894" s="0" t="s">
        <v>145</v>
      </c>
      <c r="I2894" s="0" t="n">
        <v>100</v>
      </c>
      <c r="J2894" s="0" t="n">
        <f aca="false">F2894*E2894</f>
        <v>420</v>
      </c>
      <c r="K2894" s="0" t="str">
        <f aca="false">IF(G2894&lt;1000,"1-Low",IF(G2894&lt;5000,"2-Medium","3-Bulk"))</f>
        <v>1-Low</v>
      </c>
      <c r="L2894" s="0" t="str">
        <f aca="false">IF(H2894="TRUE","Out of stock","In stock")</f>
        <v>In stock</v>
      </c>
      <c r="M2894" s="0" t="str">
        <f aca="false">IF(D2894&lt;5,"1) Under 5%",IF(D2894&lt;10,"2) 5-9%",IF(D2894&lt;15,"3) 10-14%",IF(D2894&lt;25,"4) 15-24%","5) 25%+"))))</f>
        <v>1) Under 5%</v>
      </c>
      <c r="N2894" s="0" t="str">
        <f aca="false">IF(F2894&lt;50,"1) Under Rs 50",IF(F2894&lt;100,"2) Rs 50-99",IF(F2894&lt;200,"3) Rs 100-199",IF(F2894&lt;500,"4) Rs 200-499","5) Rs 500+"))))</f>
        <v>2) Rs 50-99</v>
      </c>
      <c r="O2894" s="0" t="n">
        <f aca="false">G2894*E2894/1000</f>
        <v>0.6</v>
      </c>
    </row>
    <row r="2895" customFormat="false" ht="15" hidden="false" customHeight="false" outlineLevel="0" collapsed="false">
      <c r="A2895" s="0" t="s">
        <v>123</v>
      </c>
      <c r="B2895" s="0" t="s">
        <v>1392</v>
      </c>
      <c r="C2895" s="0" t="n">
        <v>200</v>
      </c>
      <c r="D2895" s="0" t="n">
        <v>10</v>
      </c>
      <c r="E2895" s="0" t="n">
        <v>6</v>
      </c>
      <c r="F2895" s="0" t="n">
        <v>180</v>
      </c>
      <c r="G2895" s="0" t="n">
        <v>120</v>
      </c>
      <c r="H2895" s="0" t="s">
        <v>145</v>
      </c>
      <c r="I2895" s="0" t="n">
        <v>120</v>
      </c>
      <c r="J2895" s="0" t="n">
        <f aca="false">F2895*E2895</f>
        <v>1080</v>
      </c>
      <c r="K2895" s="0" t="str">
        <f aca="false">IF(G2895&lt;1000,"1-Low",IF(G2895&lt;5000,"2-Medium","3-Bulk"))</f>
        <v>1-Low</v>
      </c>
      <c r="L2895" s="0" t="str">
        <f aca="false">IF(H2895="TRUE","Out of stock","In stock")</f>
        <v>In stock</v>
      </c>
      <c r="M2895" s="0" t="str">
        <f aca="false">IF(D2895&lt;5,"1) Under 5%",IF(D2895&lt;10,"2) 5-9%",IF(D2895&lt;15,"3) 10-14%",IF(D2895&lt;25,"4) 15-24%","5) 25%+"))))</f>
        <v>3) 10-14%</v>
      </c>
      <c r="N2895" s="0" t="str">
        <f aca="false">IF(F2895&lt;50,"1) Under Rs 50",IF(F2895&lt;100,"2) Rs 50-99",IF(F2895&lt;200,"3) Rs 100-199",IF(F2895&lt;500,"4) Rs 200-499","5) Rs 500+"))))</f>
        <v>3) Rs 100-199</v>
      </c>
      <c r="O2895" s="0" t="n">
        <f aca="false">G2895*E2895/1000</f>
        <v>0.72</v>
      </c>
    </row>
    <row r="2896" customFormat="false" ht="15" hidden="false" customHeight="false" outlineLevel="0" collapsed="false">
      <c r="A2896" s="0" t="s">
        <v>123</v>
      </c>
      <c r="B2896" s="0" t="s">
        <v>1393</v>
      </c>
      <c r="C2896" s="0" t="n">
        <v>65</v>
      </c>
      <c r="D2896" s="0" t="n">
        <v>10</v>
      </c>
      <c r="E2896" s="0" t="n">
        <v>4</v>
      </c>
      <c r="F2896" s="0" t="n">
        <v>58</v>
      </c>
      <c r="G2896" s="0" t="n">
        <v>40</v>
      </c>
      <c r="H2896" s="0" t="s">
        <v>145</v>
      </c>
      <c r="I2896" s="0" t="n">
        <v>40</v>
      </c>
      <c r="J2896" s="0" t="n">
        <f aca="false">F2896*E2896</f>
        <v>232</v>
      </c>
      <c r="K2896" s="0" t="str">
        <f aca="false">IF(G2896&lt;1000,"1-Low",IF(G2896&lt;5000,"2-Medium","3-Bulk"))</f>
        <v>1-Low</v>
      </c>
      <c r="L2896" s="0" t="str">
        <f aca="false">IF(H2896="TRUE","Out of stock","In stock")</f>
        <v>In stock</v>
      </c>
      <c r="M2896" s="0" t="str">
        <f aca="false">IF(D2896&lt;5,"1) Under 5%",IF(D2896&lt;10,"2) 5-9%",IF(D2896&lt;15,"3) 10-14%",IF(D2896&lt;25,"4) 15-24%","5) 25%+"))))</f>
        <v>3) 10-14%</v>
      </c>
      <c r="N2896" s="0" t="str">
        <f aca="false">IF(F2896&lt;50,"1) Under Rs 50",IF(F2896&lt;100,"2) Rs 50-99",IF(F2896&lt;200,"3) Rs 100-199",IF(F2896&lt;500,"4) Rs 200-499","5) Rs 500+"))))</f>
        <v>2) Rs 50-99</v>
      </c>
      <c r="O2896" s="0" t="n">
        <f aca="false">G2896*E2896/1000</f>
        <v>0.16</v>
      </c>
    </row>
    <row r="2897" customFormat="false" ht="15" hidden="false" customHeight="false" outlineLevel="0" collapsed="false">
      <c r="A2897" s="0" t="s">
        <v>123</v>
      </c>
      <c r="B2897" s="0" t="s">
        <v>1394</v>
      </c>
      <c r="C2897" s="0" t="n">
        <v>190</v>
      </c>
      <c r="D2897" s="0" t="n">
        <v>0</v>
      </c>
      <c r="E2897" s="0" t="n">
        <v>4</v>
      </c>
      <c r="F2897" s="0" t="n">
        <v>190</v>
      </c>
      <c r="G2897" s="0" t="n">
        <v>175</v>
      </c>
      <c r="H2897" s="0" t="s">
        <v>145</v>
      </c>
      <c r="I2897" s="0" t="n">
        <v>175</v>
      </c>
      <c r="J2897" s="0" t="n">
        <f aca="false">F2897*E2897</f>
        <v>760</v>
      </c>
      <c r="K2897" s="0" t="str">
        <f aca="false">IF(G2897&lt;1000,"1-Low",IF(G2897&lt;5000,"2-Medium","3-Bulk"))</f>
        <v>1-Low</v>
      </c>
      <c r="L2897" s="0" t="str">
        <f aca="false">IF(H2897="TRUE","Out of stock","In stock")</f>
        <v>In stock</v>
      </c>
      <c r="M2897" s="0" t="str">
        <f aca="false">IF(D2897&lt;5,"1) Under 5%",IF(D2897&lt;10,"2) 5-9%",IF(D2897&lt;15,"3) 10-14%",IF(D2897&lt;25,"4) 15-24%","5) 25%+"))))</f>
        <v>1) Under 5%</v>
      </c>
      <c r="N2897" s="0" t="str">
        <f aca="false">IF(F2897&lt;50,"1) Under Rs 50",IF(F2897&lt;100,"2) Rs 50-99",IF(F2897&lt;200,"3) Rs 100-199",IF(F2897&lt;500,"4) Rs 200-499","5) Rs 500+"))))</f>
        <v>3) Rs 100-199</v>
      </c>
      <c r="O2897" s="0" t="n">
        <f aca="false">G2897*E2897/1000</f>
        <v>0.7</v>
      </c>
    </row>
    <row r="2898" customFormat="false" ht="15" hidden="false" customHeight="false" outlineLevel="0" collapsed="false">
      <c r="A2898" s="0" t="s">
        <v>123</v>
      </c>
      <c r="B2898" s="0" t="s">
        <v>1395</v>
      </c>
      <c r="C2898" s="0" t="n">
        <v>130</v>
      </c>
      <c r="D2898" s="0" t="n">
        <v>12</v>
      </c>
      <c r="E2898" s="0" t="n">
        <v>2</v>
      </c>
      <c r="F2898" s="0" t="n">
        <v>114</v>
      </c>
      <c r="G2898" s="0" t="n">
        <v>200</v>
      </c>
      <c r="H2898" s="0" t="s">
        <v>145</v>
      </c>
      <c r="I2898" s="0" t="n">
        <v>200</v>
      </c>
      <c r="J2898" s="0" t="n">
        <f aca="false">F2898*E2898</f>
        <v>228</v>
      </c>
      <c r="K2898" s="0" t="str">
        <f aca="false">IF(G2898&lt;1000,"1-Low",IF(G2898&lt;5000,"2-Medium","3-Bulk"))</f>
        <v>1-Low</v>
      </c>
      <c r="L2898" s="0" t="str">
        <f aca="false">IF(H2898="TRUE","Out of stock","In stock")</f>
        <v>In stock</v>
      </c>
      <c r="M2898" s="0" t="str">
        <f aca="false">IF(D2898&lt;5,"1) Under 5%",IF(D2898&lt;10,"2) 5-9%",IF(D2898&lt;15,"3) 10-14%",IF(D2898&lt;25,"4) 15-24%","5) 25%+"))))</f>
        <v>3) 10-14%</v>
      </c>
      <c r="N2898" s="0" t="str">
        <f aca="false">IF(F2898&lt;50,"1) Under Rs 50",IF(F2898&lt;100,"2) Rs 50-99",IF(F2898&lt;200,"3) Rs 100-199",IF(F2898&lt;500,"4) Rs 200-499","5) Rs 500+"))))</f>
        <v>3) Rs 100-199</v>
      </c>
      <c r="O2898" s="0" t="n">
        <f aca="false">G2898*E2898/1000</f>
        <v>0.4</v>
      </c>
    </row>
    <row r="2899" customFormat="false" ht="15" hidden="false" customHeight="false" outlineLevel="0" collapsed="false">
      <c r="A2899" s="0" t="s">
        <v>123</v>
      </c>
      <c r="B2899" s="0" t="s">
        <v>1396</v>
      </c>
      <c r="C2899" s="0" t="n">
        <v>176</v>
      </c>
      <c r="D2899" s="0" t="n">
        <v>10</v>
      </c>
      <c r="E2899" s="0" t="n">
        <v>3</v>
      </c>
      <c r="F2899" s="0" t="n">
        <v>158</v>
      </c>
      <c r="G2899" s="0" t="n">
        <v>375</v>
      </c>
      <c r="H2899" s="0" t="s">
        <v>145</v>
      </c>
      <c r="I2899" s="0" t="n">
        <v>375</v>
      </c>
      <c r="J2899" s="0" t="n">
        <f aca="false">F2899*E2899</f>
        <v>474</v>
      </c>
      <c r="K2899" s="0" t="str">
        <f aca="false">IF(G2899&lt;1000,"1-Low",IF(G2899&lt;5000,"2-Medium","3-Bulk"))</f>
        <v>1-Low</v>
      </c>
      <c r="L2899" s="0" t="str">
        <f aca="false">IF(H2899="TRUE","Out of stock","In stock")</f>
        <v>In stock</v>
      </c>
      <c r="M2899" s="0" t="str">
        <f aca="false">IF(D2899&lt;5,"1) Under 5%",IF(D2899&lt;10,"2) 5-9%",IF(D2899&lt;15,"3) 10-14%",IF(D2899&lt;25,"4) 15-24%","5) 25%+"))))</f>
        <v>3) 10-14%</v>
      </c>
      <c r="N2899" s="0" t="str">
        <f aca="false">IF(F2899&lt;50,"1) Under Rs 50",IF(F2899&lt;100,"2) Rs 50-99",IF(F2899&lt;200,"3) Rs 100-199",IF(F2899&lt;500,"4) Rs 200-499","5) Rs 500+"))))</f>
        <v>3) Rs 100-199</v>
      </c>
      <c r="O2899" s="0" t="n">
        <f aca="false">G2899*E2899/1000</f>
        <v>1.125</v>
      </c>
    </row>
    <row r="2900" customFormat="false" ht="15" hidden="false" customHeight="false" outlineLevel="0" collapsed="false">
      <c r="A2900" s="0" t="s">
        <v>123</v>
      </c>
      <c r="B2900" s="0" t="s">
        <v>1397</v>
      </c>
      <c r="C2900" s="0" t="n">
        <v>125</v>
      </c>
      <c r="D2900" s="0" t="n">
        <v>0</v>
      </c>
      <c r="E2900" s="0" t="n">
        <v>6</v>
      </c>
      <c r="F2900" s="0" t="n">
        <v>125</v>
      </c>
      <c r="G2900" s="0" t="n">
        <v>75</v>
      </c>
      <c r="H2900" s="0" t="s">
        <v>145</v>
      </c>
      <c r="I2900" s="0" t="n">
        <v>75</v>
      </c>
      <c r="J2900" s="0" t="n">
        <f aca="false">F2900*E2900</f>
        <v>750</v>
      </c>
      <c r="K2900" s="0" t="str">
        <f aca="false">IF(G2900&lt;1000,"1-Low",IF(G2900&lt;5000,"2-Medium","3-Bulk"))</f>
        <v>1-Low</v>
      </c>
      <c r="L2900" s="0" t="str">
        <f aca="false">IF(H2900="TRUE","Out of stock","In stock")</f>
        <v>In stock</v>
      </c>
      <c r="M2900" s="0" t="str">
        <f aca="false">IF(D2900&lt;5,"1) Under 5%",IF(D2900&lt;10,"2) 5-9%",IF(D2900&lt;15,"3) 10-14%",IF(D2900&lt;25,"4) 15-24%","5) 25%+"))))</f>
        <v>1) Under 5%</v>
      </c>
      <c r="N2900" s="0" t="str">
        <f aca="false">IF(F2900&lt;50,"1) Under Rs 50",IF(F2900&lt;100,"2) Rs 50-99",IF(F2900&lt;200,"3) Rs 100-199",IF(F2900&lt;500,"4) Rs 200-499","5) Rs 500+"))))</f>
        <v>3) Rs 100-199</v>
      </c>
      <c r="O2900" s="0" t="n">
        <f aca="false">G2900*E2900/1000</f>
        <v>0.45</v>
      </c>
    </row>
    <row r="2901" customFormat="false" ht="15" hidden="false" customHeight="false" outlineLevel="0" collapsed="false">
      <c r="A2901" s="0" t="s">
        <v>123</v>
      </c>
      <c r="B2901" s="0" t="s">
        <v>1398</v>
      </c>
      <c r="C2901" s="0" t="n">
        <v>150</v>
      </c>
      <c r="D2901" s="0" t="n">
        <v>6</v>
      </c>
      <c r="E2901" s="0" t="n">
        <v>3</v>
      </c>
      <c r="F2901" s="0" t="n">
        <v>140</v>
      </c>
      <c r="G2901" s="0" t="n">
        <v>400</v>
      </c>
      <c r="H2901" s="0" t="s">
        <v>145</v>
      </c>
      <c r="I2901" s="0" t="n">
        <v>400</v>
      </c>
      <c r="J2901" s="0" t="n">
        <f aca="false">F2901*E2901</f>
        <v>420</v>
      </c>
      <c r="K2901" s="0" t="str">
        <f aca="false">IF(G2901&lt;1000,"1-Low",IF(G2901&lt;5000,"2-Medium","3-Bulk"))</f>
        <v>1-Low</v>
      </c>
      <c r="L2901" s="0" t="str">
        <f aca="false">IF(H2901="TRUE","Out of stock","In stock")</f>
        <v>In stock</v>
      </c>
      <c r="M2901" s="0" t="str">
        <f aca="false">IF(D2901&lt;5,"1) Under 5%",IF(D2901&lt;10,"2) 5-9%",IF(D2901&lt;15,"3) 10-14%",IF(D2901&lt;25,"4) 15-24%","5) 25%+"))))</f>
        <v>2) 5-9%</v>
      </c>
      <c r="N2901" s="0" t="str">
        <f aca="false">IF(F2901&lt;50,"1) Under Rs 50",IF(F2901&lt;100,"2) Rs 50-99",IF(F2901&lt;200,"3) Rs 100-199",IF(F2901&lt;500,"4) Rs 200-499","5) Rs 500+"))))</f>
        <v>3) Rs 100-199</v>
      </c>
      <c r="O2901" s="0" t="n">
        <f aca="false">G2901*E2901/1000</f>
        <v>1.2</v>
      </c>
    </row>
    <row r="2902" customFormat="false" ht="15" hidden="false" customHeight="false" outlineLevel="0" collapsed="false">
      <c r="A2902" s="0" t="s">
        <v>123</v>
      </c>
      <c r="B2902" s="0" t="s">
        <v>1399</v>
      </c>
      <c r="C2902" s="0" t="n">
        <v>99</v>
      </c>
      <c r="D2902" s="0" t="n">
        <v>10</v>
      </c>
      <c r="E2902" s="0" t="n">
        <v>6</v>
      </c>
      <c r="F2902" s="0" t="n">
        <v>89</v>
      </c>
      <c r="G2902" s="0" t="n">
        <v>250</v>
      </c>
      <c r="H2902" s="0" t="s">
        <v>145</v>
      </c>
      <c r="I2902" s="0" t="n">
        <v>250</v>
      </c>
      <c r="J2902" s="0" t="n">
        <f aca="false">F2902*E2902</f>
        <v>534</v>
      </c>
      <c r="K2902" s="0" t="str">
        <f aca="false">IF(G2902&lt;1000,"1-Low",IF(G2902&lt;5000,"2-Medium","3-Bulk"))</f>
        <v>1-Low</v>
      </c>
      <c r="L2902" s="0" t="str">
        <f aca="false">IF(H2902="TRUE","Out of stock","In stock")</f>
        <v>In stock</v>
      </c>
      <c r="M2902" s="0" t="str">
        <f aca="false">IF(D2902&lt;5,"1) Under 5%",IF(D2902&lt;10,"2) 5-9%",IF(D2902&lt;15,"3) 10-14%",IF(D2902&lt;25,"4) 15-24%","5) 25%+"))))</f>
        <v>3) 10-14%</v>
      </c>
      <c r="N2902" s="0" t="str">
        <f aca="false">IF(F2902&lt;50,"1) Under Rs 50",IF(F2902&lt;100,"2) Rs 50-99",IF(F2902&lt;200,"3) Rs 100-199",IF(F2902&lt;500,"4) Rs 200-499","5) Rs 500+"))))</f>
        <v>2) Rs 50-99</v>
      </c>
      <c r="O2902" s="0" t="n">
        <f aca="false">G2902*E2902/1000</f>
        <v>1.5</v>
      </c>
    </row>
    <row r="2903" customFormat="false" ht="15" hidden="false" customHeight="false" outlineLevel="0" collapsed="false">
      <c r="A2903" s="0" t="s">
        <v>123</v>
      </c>
      <c r="B2903" s="0" t="s">
        <v>1400</v>
      </c>
      <c r="C2903" s="0" t="n">
        <v>160</v>
      </c>
      <c r="D2903" s="0" t="n">
        <v>0</v>
      </c>
      <c r="E2903" s="0" t="n">
        <v>5</v>
      </c>
      <c r="F2903" s="0" t="n">
        <v>160</v>
      </c>
      <c r="G2903" s="0" t="n">
        <v>232</v>
      </c>
      <c r="H2903" s="0" t="s">
        <v>145</v>
      </c>
      <c r="I2903" s="0" t="n">
        <v>4</v>
      </c>
      <c r="J2903" s="0" t="n">
        <f aca="false">F2903*E2903</f>
        <v>800</v>
      </c>
      <c r="K2903" s="0" t="str">
        <f aca="false">IF(G2903&lt;1000,"1-Low",IF(G2903&lt;5000,"2-Medium","3-Bulk"))</f>
        <v>1-Low</v>
      </c>
      <c r="L2903" s="0" t="str">
        <f aca="false">IF(H2903="TRUE","Out of stock","In stock")</f>
        <v>In stock</v>
      </c>
      <c r="M2903" s="0" t="str">
        <f aca="false">IF(D2903&lt;5,"1) Under 5%",IF(D2903&lt;10,"2) 5-9%",IF(D2903&lt;15,"3) 10-14%",IF(D2903&lt;25,"4) 15-24%","5) 25%+"))))</f>
        <v>1) Under 5%</v>
      </c>
      <c r="N2903" s="0" t="str">
        <f aca="false">IF(F2903&lt;50,"1) Under Rs 50",IF(F2903&lt;100,"2) Rs 50-99",IF(F2903&lt;200,"3) Rs 100-199",IF(F2903&lt;500,"4) Rs 200-499","5) Rs 500+"))))</f>
        <v>3) Rs 100-199</v>
      </c>
      <c r="O2903" s="0" t="n">
        <f aca="false">G2903*E2903/1000</f>
        <v>1.16</v>
      </c>
    </row>
    <row r="2904" customFormat="false" ht="15" hidden="false" customHeight="false" outlineLevel="0" collapsed="false">
      <c r="A2904" s="0" t="s">
        <v>123</v>
      </c>
      <c r="B2904" s="0" t="s">
        <v>1401</v>
      </c>
      <c r="C2904" s="0" t="n">
        <v>349</v>
      </c>
      <c r="D2904" s="0" t="n">
        <v>6</v>
      </c>
      <c r="E2904" s="0" t="n">
        <v>5</v>
      </c>
      <c r="F2904" s="0" t="n">
        <v>325</v>
      </c>
      <c r="G2904" s="0" t="n">
        <v>58</v>
      </c>
      <c r="H2904" s="0" t="s">
        <v>145</v>
      </c>
      <c r="I2904" s="0" t="n">
        <v>1</v>
      </c>
      <c r="J2904" s="0" t="n">
        <f aca="false">F2904*E2904</f>
        <v>1625</v>
      </c>
      <c r="K2904" s="0" t="str">
        <f aca="false">IF(G2904&lt;1000,"1-Low",IF(G2904&lt;5000,"2-Medium","3-Bulk"))</f>
        <v>1-Low</v>
      </c>
      <c r="L2904" s="0" t="str">
        <f aca="false">IF(H2904="TRUE","Out of stock","In stock")</f>
        <v>In stock</v>
      </c>
      <c r="M2904" s="0" t="str">
        <f aca="false">IF(D2904&lt;5,"1) Under 5%",IF(D2904&lt;10,"2) 5-9%",IF(D2904&lt;15,"3) 10-14%",IF(D2904&lt;25,"4) 15-24%","5) 25%+"))))</f>
        <v>2) 5-9%</v>
      </c>
      <c r="N2904" s="0" t="str">
        <f aca="false">IF(F2904&lt;50,"1) Under Rs 50",IF(F2904&lt;100,"2) Rs 50-99",IF(F2904&lt;200,"3) Rs 100-199",IF(F2904&lt;500,"4) Rs 200-499","5) Rs 500+"))))</f>
        <v>4) Rs 200-499</v>
      </c>
      <c r="O2904" s="0" t="n">
        <f aca="false">G2904*E2904/1000</f>
        <v>0.29</v>
      </c>
    </row>
    <row r="2905" customFormat="false" ht="15" hidden="false" customHeight="false" outlineLevel="0" collapsed="false">
      <c r="A2905" s="0" t="s">
        <v>123</v>
      </c>
      <c r="B2905" s="0" t="s">
        <v>1402</v>
      </c>
      <c r="C2905" s="0" t="n">
        <v>165</v>
      </c>
      <c r="D2905" s="0" t="n">
        <v>12</v>
      </c>
      <c r="E2905" s="0" t="n">
        <v>3</v>
      </c>
      <c r="F2905" s="0" t="n">
        <v>145</v>
      </c>
      <c r="G2905" s="0" t="n">
        <v>200</v>
      </c>
      <c r="H2905" s="0" t="s">
        <v>145</v>
      </c>
      <c r="I2905" s="0" t="n">
        <v>200</v>
      </c>
      <c r="J2905" s="0" t="n">
        <f aca="false">F2905*E2905</f>
        <v>435</v>
      </c>
      <c r="K2905" s="0" t="str">
        <f aca="false">IF(G2905&lt;1000,"1-Low",IF(G2905&lt;5000,"2-Medium","3-Bulk"))</f>
        <v>1-Low</v>
      </c>
      <c r="L2905" s="0" t="str">
        <f aca="false">IF(H2905="TRUE","Out of stock","In stock")</f>
        <v>In stock</v>
      </c>
      <c r="M2905" s="0" t="str">
        <f aca="false">IF(D2905&lt;5,"1) Under 5%",IF(D2905&lt;10,"2) 5-9%",IF(D2905&lt;15,"3) 10-14%",IF(D2905&lt;25,"4) 15-24%","5) 25%+"))))</f>
        <v>3) 10-14%</v>
      </c>
      <c r="N2905" s="0" t="str">
        <f aca="false">IF(F2905&lt;50,"1) Under Rs 50",IF(F2905&lt;100,"2) Rs 50-99",IF(F2905&lt;200,"3) Rs 100-199",IF(F2905&lt;500,"4) Rs 200-499","5) Rs 500+"))))</f>
        <v>3) Rs 100-199</v>
      </c>
      <c r="O2905" s="0" t="n">
        <f aca="false">G2905*E2905/1000</f>
        <v>0.6</v>
      </c>
    </row>
    <row r="2906" customFormat="false" ht="15" hidden="false" customHeight="false" outlineLevel="0" collapsed="false">
      <c r="A2906" s="0" t="s">
        <v>123</v>
      </c>
      <c r="B2906" s="0" t="s">
        <v>1403</v>
      </c>
      <c r="C2906" s="0" t="n">
        <v>375</v>
      </c>
      <c r="D2906" s="0" t="n">
        <v>0</v>
      </c>
      <c r="E2906" s="0" t="n">
        <v>1</v>
      </c>
      <c r="F2906" s="0" t="n">
        <v>375</v>
      </c>
      <c r="G2906" s="0" t="n">
        <v>340</v>
      </c>
      <c r="H2906" s="0" t="s">
        <v>145</v>
      </c>
      <c r="I2906" s="0" t="n">
        <v>180</v>
      </c>
      <c r="J2906" s="0" t="n">
        <f aca="false">F2906*E2906</f>
        <v>375</v>
      </c>
      <c r="K2906" s="0" t="str">
        <f aca="false">IF(G2906&lt;1000,"1-Low",IF(G2906&lt;5000,"2-Medium","3-Bulk"))</f>
        <v>1-Low</v>
      </c>
      <c r="L2906" s="0" t="str">
        <f aca="false">IF(H2906="TRUE","Out of stock","In stock")</f>
        <v>In stock</v>
      </c>
      <c r="M2906" s="0" t="str">
        <f aca="false">IF(D2906&lt;5,"1) Under 5%",IF(D2906&lt;10,"2) 5-9%",IF(D2906&lt;15,"3) 10-14%",IF(D2906&lt;25,"4) 15-24%","5) 25%+"))))</f>
        <v>1) Under 5%</v>
      </c>
      <c r="N2906" s="0" t="str">
        <f aca="false">IF(F2906&lt;50,"1) Under Rs 50",IF(F2906&lt;100,"2) Rs 50-99",IF(F2906&lt;200,"3) Rs 100-199",IF(F2906&lt;500,"4) Rs 200-499","5) Rs 500+"))))</f>
        <v>4) Rs 200-499</v>
      </c>
      <c r="O2906" s="0" t="n">
        <f aca="false">G2906*E2906/1000</f>
        <v>0.34</v>
      </c>
    </row>
    <row r="2907" customFormat="false" ht="15" hidden="false" customHeight="false" outlineLevel="0" collapsed="false">
      <c r="A2907" s="0" t="s">
        <v>123</v>
      </c>
      <c r="B2907" s="0" t="s">
        <v>124</v>
      </c>
      <c r="C2907" s="0" t="n">
        <v>249</v>
      </c>
      <c r="D2907" s="0" t="n">
        <v>6</v>
      </c>
      <c r="E2907" s="0" t="n">
        <v>6</v>
      </c>
      <c r="F2907" s="0" t="n">
        <v>234</v>
      </c>
      <c r="G2907" s="0" t="n">
        <v>340</v>
      </c>
      <c r="H2907" s="0" t="s">
        <v>145</v>
      </c>
      <c r="I2907" s="0" t="n">
        <v>340</v>
      </c>
      <c r="J2907" s="0" t="n">
        <f aca="false">F2907*E2907</f>
        <v>1404</v>
      </c>
      <c r="K2907" s="0" t="str">
        <f aca="false">IF(G2907&lt;1000,"1-Low",IF(G2907&lt;5000,"2-Medium","3-Bulk"))</f>
        <v>1-Low</v>
      </c>
      <c r="L2907" s="0" t="str">
        <f aca="false">IF(H2907="TRUE","Out of stock","In stock")</f>
        <v>In stock</v>
      </c>
      <c r="M2907" s="0" t="str">
        <f aca="false">IF(D2907&lt;5,"1) Under 5%",IF(D2907&lt;10,"2) 5-9%",IF(D2907&lt;15,"3) 10-14%",IF(D2907&lt;25,"4) 15-24%","5) 25%+"))))</f>
        <v>2) 5-9%</v>
      </c>
      <c r="N2907" s="0" t="str">
        <f aca="false">IF(F2907&lt;50,"1) Under Rs 50",IF(F2907&lt;100,"2) Rs 50-99",IF(F2907&lt;200,"3) Rs 100-199",IF(F2907&lt;500,"4) Rs 200-499","5) Rs 500+"))))</f>
        <v>4) Rs 200-499</v>
      </c>
      <c r="O2907" s="0" t="n">
        <f aca="false">G2907*E2907/1000</f>
        <v>2.04</v>
      </c>
    </row>
    <row r="2908" customFormat="false" ht="15" hidden="false" customHeight="false" outlineLevel="0" collapsed="false">
      <c r="A2908" s="0" t="s">
        <v>123</v>
      </c>
      <c r="B2908" s="0" t="s">
        <v>1404</v>
      </c>
      <c r="C2908" s="0" t="n">
        <v>225</v>
      </c>
      <c r="D2908" s="0" t="n">
        <v>4</v>
      </c>
      <c r="E2908" s="0" t="n">
        <v>3</v>
      </c>
      <c r="F2908" s="0" t="n">
        <v>214</v>
      </c>
      <c r="G2908" s="0" t="n">
        <v>250</v>
      </c>
      <c r="H2908" s="0" t="s">
        <v>145</v>
      </c>
      <c r="I2908" s="0" t="n">
        <v>250</v>
      </c>
      <c r="J2908" s="0" t="n">
        <f aca="false">F2908*E2908</f>
        <v>642</v>
      </c>
      <c r="K2908" s="0" t="str">
        <f aca="false">IF(G2908&lt;1000,"1-Low",IF(G2908&lt;5000,"2-Medium","3-Bulk"))</f>
        <v>1-Low</v>
      </c>
      <c r="L2908" s="0" t="str">
        <f aca="false">IF(H2908="TRUE","Out of stock","In stock")</f>
        <v>In stock</v>
      </c>
      <c r="M2908" s="0" t="str">
        <f aca="false">IF(D2908&lt;5,"1) Under 5%",IF(D2908&lt;10,"2) 5-9%",IF(D2908&lt;15,"3) 10-14%",IF(D2908&lt;25,"4) 15-24%","5) 25%+"))))</f>
        <v>1) Under 5%</v>
      </c>
      <c r="N2908" s="0" t="str">
        <f aca="false">IF(F2908&lt;50,"1) Under Rs 50",IF(F2908&lt;100,"2) Rs 50-99",IF(F2908&lt;200,"3) Rs 100-199",IF(F2908&lt;500,"4) Rs 200-499","5) Rs 500+"))))</f>
        <v>4) Rs 200-499</v>
      </c>
      <c r="O2908" s="0" t="n">
        <f aca="false">G2908*E2908/1000</f>
        <v>0.75</v>
      </c>
    </row>
    <row r="2909" customFormat="false" ht="15" hidden="false" customHeight="false" outlineLevel="0" collapsed="false">
      <c r="A2909" s="0" t="s">
        <v>123</v>
      </c>
      <c r="B2909" s="0" t="s">
        <v>1405</v>
      </c>
      <c r="C2909" s="0" t="n">
        <v>600</v>
      </c>
      <c r="D2909" s="0" t="n">
        <v>10</v>
      </c>
      <c r="E2909" s="0" t="n">
        <v>2</v>
      </c>
      <c r="F2909" s="0" t="n">
        <v>540</v>
      </c>
      <c r="G2909" s="0" t="n">
        <v>200</v>
      </c>
      <c r="H2909" s="0" t="s">
        <v>145</v>
      </c>
      <c r="I2909" s="0" t="n">
        <v>200</v>
      </c>
      <c r="J2909" s="0" t="n">
        <f aca="false">F2909*E2909</f>
        <v>1080</v>
      </c>
      <c r="K2909" s="0" t="str">
        <f aca="false">IF(G2909&lt;1000,"1-Low",IF(G2909&lt;5000,"2-Medium","3-Bulk"))</f>
        <v>1-Low</v>
      </c>
      <c r="L2909" s="0" t="str">
        <f aca="false">IF(H2909="TRUE","Out of stock","In stock")</f>
        <v>In stock</v>
      </c>
      <c r="M2909" s="0" t="str">
        <f aca="false">IF(D2909&lt;5,"1) Under 5%",IF(D2909&lt;10,"2) 5-9%",IF(D2909&lt;15,"3) 10-14%",IF(D2909&lt;25,"4) 15-24%","5) 25%+"))))</f>
        <v>3) 10-14%</v>
      </c>
      <c r="N2909" s="0" t="str">
        <f aca="false">IF(F2909&lt;50,"1) Under Rs 50",IF(F2909&lt;100,"2) Rs 50-99",IF(F2909&lt;200,"3) Rs 100-199",IF(F2909&lt;500,"4) Rs 200-499","5) Rs 500+"))))</f>
        <v>5) Rs 500+</v>
      </c>
      <c r="O2909" s="0" t="n">
        <f aca="false">G2909*E2909/1000</f>
        <v>0.4</v>
      </c>
    </row>
    <row r="2910" customFormat="false" ht="15" hidden="false" customHeight="false" outlineLevel="0" collapsed="false">
      <c r="A2910" s="0" t="s">
        <v>123</v>
      </c>
      <c r="B2910" s="0" t="s">
        <v>1406</v>
      </c>
      <c r="C2910" s="0" t="n">
        <v>150</v>
      </c>
      <c r="D2910" s="0" t="n">
        <v>10</v>
      </c>
      <c r="E2910" s="0" t="n">
        <v>6</v>
      </c>
      <c r="F2910" s="0" t="n">
        <v>135</v>
      </c>
      <c r="G2910" s="0" t="n">
        <v>250</v>
      </c>
      <c r="H2910" s="0" t="s">
        <v>145</v>
      </c>
      <c r="I2910" s="0" t="n">
        <v>250</v>
      </c>
      <c r="J2910" s="0" t="n">
        <f aca="false">F2910*E2910</f>
        <v>810</v>
      </c>
      <c r="K2910" s="0" t="str">
        <f aca="false">IF(G2910&lt;1000,"1-Low",IF(G2910&lt;5000,"2-Medium","3-Bulk"))</f>
        <v>1-Low</v>
      </c>
      <c r="L2910" s="0" t="str">
        <f aca="false">IF(H2910="TRUE","Out of stock","In stock")</f>
        <v>In stock</v>
      </c>
      <c r="M2910" s="0" t="str">
        <f aca="false">IF(D2910&lt;5,"1) Under 5%",IF(D2910&lt;10,"2) 5-9%",IF(D2910&lt;15,"3) 10-14%",IF(D2910&lt;25,"4) 15-24%","5) 25%+"))))</f>
        <v>3) 10-14%</v>
      </c>
      <c r="N2910" s="0" t="str">
        <f aca="false">IF(F2910&lt;50,"1) Under Rs 50",IF(F2910&lt;100,"2) Rs 50-99",IF(F2910&lt;200,"3) Rs 100-199",IF(F2910&lt;500,"4) Rs 200-499","5) Rs 500+"))))</f>
        <v>3) Rs 100-199</v>
      </c>
      <c r="O2910" s="0" t="n">
        <f aca="false">G2910*E2910/1000</f>
        <v>1.5</v>
      </c>
    </row>
    <row r="2911" customFormat="false" ht="15" hidden="false" customHeight="false" outlineLevel="0" collapsed="false">
      <c r="A2911" s="0" t="s">
        <v>123</v>
      </c>
      <c r="B2911" s="0" t="s">
        <v>1407</v>
      </c>
      <c r="C2911" s="0" t="n">
        <v>620</v>
      </c>
      <c r="D2911" s="0" t="n">
        <v>0</v>
      </c>
      <c r="E2911" s="0" t="n">
        <v>6</v>
      </c>
      <c r="F2911" s="0" t="n">
        <v>620</v>
      </c>
      <c r="G2911" s="0" t="n">
        <v>172</v>
      </c>
      <c r="H2911" s="0" t="s">
        <v>145</v>
      </c>
      <c r="I2911" s="0" t="n">
        <v>172</v>
      </c>
      <c r="J2911" s="0" t="n">
        <f aca="false">F2911*E2911</f>
        <v>3720</v>
      </c>
      <c r="K2911" s="0" t="str">
        <f aca="false">IF(G2911&lt;1000,"1-Low",IF(G2911&lt;5000,"2-Medium","3-Bulk"))</f>
        <v>1-Low</v>
      </c>
      <c r="L2911" s="0" t="str">
        <f aca="false">IF(H2911="TRUE","Out of stock","In stock")</f>
        <v>In stock</v>
      </c>
      <c r="M2911" s="0" t="str">
        <f aca="false">IF(D2911&lt;5,"1) Under 5%",IF(D2911&lt;10,"2) 5-9%",IF(D2911&lt;15,"3) 10-14%",IF(D2911&lt;25,"4) 15-24%","5) 25%+"))))</f>
        <v>1) Under 5%</v>
      </c>
      <c r="N2911" s="0" t="str">
        <f aca="false">IF(F2911&lt;50,"1) Under Rs 50",IF(F2911&lt;100,"2) Rs 50-99",IF(F2911&lt;200,"3) Rs 100-199",IF(F2911&lt;500,"4) Rs 200-499","5) Rs 500+"))))</f>
        <v>5) Rs 500+</v>
      </c>
      <c r="O2911" s="0" t="n">
        <f aca="false">G2911*E2911/1000</f>
        <v>1.032</v>
      </c>
    </row>
    <row r="2912" customFormat="false" ht="15" hidden="false" customHeight="false" outlineLevel="0" collapsed="false">
      <c r="A2912" s="0" t="s">
        <v>123</v>
      </c>
      <c r="B2912" s="0" t="s">
        <v>1408</v>
      </c>
      <c r="C2912" s="0" t="n">
        <v>165</v>
      </c>
      <c r="D2912" s="0" t="n">
        <v>9</v>
      </c>
      <c r="E2912" s="0" t="n">
        <v>6</v>
      </c>
      <c r="F2912" s="0" t="n">
        <v>150</v>
      </c>
      <c r="G2912" s="0" t="n">
        <v>200</v>
      </c>
      <c r="H2912" s="0" t="s">
        <v>145</v>
      </c>
      <c r="I2912" s="0" t="n">
        <v>200</v>
      </c>
      <c r="J2912" s="0" t="n">
        <f aca="false">F2912*E2912</f>
        <v>900</v>
      </c>
      <c r="K2912" s="0" t="str">
        <f aca="false">IF(G2912&lt;1000,"1-Low",IF(G2912&lt;5000,"2-Medium","3-Bulk"))</f>
        <v>1-Low</v>
      </c>
      <c r="L2912" s="0" t="str">
        <f aca="false">IF(H2912="TRUE","Out of stock","In stock")</f>
        <v>In stock</v>
      </c>
      <c r="M2912" s="0" t="str">
        <f aca="false">IF(D2912&lt;5,"1) Under 5%",IF(D2912&lt;10,"2) 5-9%",IF(D2912&lt;15,"3) 10-14%",IF(D2912&lt;25,"4) 15-24%","5) 25%+"))))</f>
        <v>2) 5-9%</v>
      </c>
      <c r="N2912" s="0" t="str">
        <f aca="false">IF(F2912&lt;50,"1) Under Rs 50",IF(F2912&lt;100,"2) Rs 50-99",IF(F2912&lt;200,"3) Rs 100-199",IF(F2912&lt;500,"4) Rs 200-499","5) Rs 500+"))))</f>
        <v>3) Rs 100-199</v>
      </c>
      <c r="O2912" s="0" t="n">
        <f aca="false">G2912*E2912/1000</f>
        <v>1.2</v>
      </c>
    </row>
    <row r="2913" customFormat="false" ht="15" hidden="false" customHeight="false" outlineLevel="0" collapsed="false">
      <c r="A2913" s="0" t="s">
        <v>123</v>
      </c>
      <c r="B2913" s="0" t="s">
        <v>1409</v>
      </c>
      <c r="C2913" s="0" t="n">
        <v>550</v>
      </c>
      <c r="D2913" s="0" t="n">
        <v>0</v>
      </c>
      <c r="E2913" s="0" t="n">
        <v>4</v>
      </c>
      <c r="F2913" s="0" t="n">
        <v>550</v>
      </c>
      <c r="G2913" s="0" t="n">
        <v>160</v>
      </c>
      <c r="H2913" s="0" t="s">
        <v>145</v>
      </c>
      <c r="I2913" s="0" t="n">
        <v>159</v>
      </c>
      <c r="J2913" s="0" t="n">
        <f aca="false">F2913*E2913</f>
        <v>2200</v>
      </c>
      <c r="K2913" s="0" t="str">
        <f aca="false">IF(G2913&lt;1000,"1-Low",IF(G2913&lt;5000,"2-Medium","3-Bulk"))</f>
        <v>1-Low</v>
      </c>
      <c r="L2913" s="0" t="str">
        <f aca="false">IF(H2913="TRUE","Out of stock","In stock")</f>
        <v>In stock</v>
      </c>
      <c r="M2913" s="0" t="str">
        <f aca="false">IF(D2913&lt;5,"1) Under 5%",IF(D2913&lt;10,"2) 5-9%",IF(D2913&lt;15,"3) 10-14%",IF(D2913&lt;25,"4) 15-24%","5) 25%+"))))</f>
        <v>1) Under 5%</v>
      </c>
      <c r="N2913" s="0" t="str">
        <f aca="false">IF(F2913&lt;50,"1) Under Rs 50",IF(F2913&lt;100,"2) Rs 50-99",IF(F2913&lt;200,"3) Rs 100-199",IF(F2913&lt;500,"4) Rs 200-499","5) Rs 500+"))))</f>
        <v>5) Rs 500+</v>
      </c>
      <c r="O2913" s="0" t="n">
        <f aca="false">G2913*E2913/1000</f>
        <v>0.64</v>
      </c>
    </row>
    <row r="2914" customFormat="false" ht="15" hidden="false" customHeight="false" outlineLevel="0" collapsed="false">
      <c r="A2914" s="0" t="s">
        <v>123</v>
      </c>
      <c r="B2914" s="0" t="s">
        <v>1410</v>
      </c>
      <c r="C2914" s="0" t="n">
        <v>282</v>
      </c>
      <c r="D2914" s="0" t="n">
        <v>0</v>
      </c>
      <c r="E2914" s="0" t="n">
        <v>3</v>
      </c>
      <c r="F2914" s="0" t="n">
        <v>282</v>
      </c>
      <c r="G2914" s="0" t="n">
        <v>360</v>
      </c>
      <c r="H2914" s="0" t="s">
        <v>145</v>
      </c>
      <c r="I2914" s="0" t="n">
        <v>360</v>
      </c>
      <c r="J2914" s="0" t="n">
        <f aca="false">F2914*E2914</f>
        <v>846</v>
      </c>
      <c r="K2914" s="0" t="str">
        <f aca="false">IF(G2914&lt;1000,"1-Low",IF(G2914&lt;5000,"2-Medium","3-Bulk"))</f>
        <v>1-Low</v>
      </c>
      <c r="L2914" s="0" t="str">
        <f aca="false">IF(H2914="TRUE","Out of stock","In stock")</f>
        <v>In stock</v>
      </c>
      <c r="M2914" s="0" t="str">
        <f aca="false">IF(D2914&lt;5,"1) Under 5%",IF(D2914&lt;10,"2) 5-9%",IF(D2914&lt;15,"3) 10-14%",IF(D2914&lt;25,"4) 15-24%","5) 25%+"))))</f>
        <v>1) Under 5%</v>
      </c>
      <c r="N2914" s="0" t="str">
        <f aca="false">IF(F2914&lt;50,"1) Under Rs 50",IF(F2914&lt;100,"2) Rs 50-99",IF(F2914&lt;200,"3) Rs 100-199",IF(F2914&lt;500,"4) Rs 200-499","5) Rs 500+"))))</f>
        <v>4) Rs 200-499</v>
      </c>
      <c r="O2914" s="0" t="n">
        <f aca="false">G2914*E2914/1000</f>
        <v>1.08</v>
      </c>
    </row>
    <row r="2915" customFormat="false" ht="15" hidden="false" customHeight="false" outlineLevel="0" collapsed="false">
      <c r="A2915" s="0" t="s">
        <v>123</v>
      </c>
      <c r="B2915" s="0" t="s">
        <v>1411</v>
      </c>
      <c r="C2915" s="0" t="n">
        <v>176</v>
      </c>
      <c r="D2915" s="0" t="n">
        <v>10</v>
      </c>
      <c r="E2915" s="0" t="n">
        <v>6</v>
      </c>
      <c r="F2915" s="0" t="n">
        <v>158</v>
      </c>
      <c r="G2915" s="0" t="n">
        <v>375</v>
      </c>
      <c r="H2915" s="0" t="s">
        <v>145</v>
      </c>
      <c r="I2915" s="0" t="n">
        <v>375</v>
      </c>
      <c r="J2915" s="0" t="n">
        <f aca="false">F2915*E2915</f>
        <v>948</v>
      </c>
      <c r="K2915" s="0" t="str">
        <f aca="false">IF(G2915&lt;1000,"1-Low",IF(G2915&lt;5000,"2-Medium","3-Bulk"))</f>
        <v>1-Low</v>
      </c>
      <c r="L2915" s="0" t="str">
        <f aca="false">IF(H2915="TRUE","Out of stock","In stock")</f>
        <v>In stock</v>
      </c>
      <c r="M2915" s="0" t="str">
        <f aca="false">IF(D2915&lt;5,"1) Under 5%",IF(D2915&lt;10,"2) 5-9%",IF(D2915&lt;15,"3) 10-14%",IF(D2915&lt;25,"4) 15-24%","5) 25%+"))))</f>
        <v>3) 10-14%</v>
      </c>
      <c r="N2915" s="0" t="str">
        <f aca="false">IF(F2915&lt;50,"1) Under Rs 50",IF(F2915&lt;100,"2) Rs 50-99",IF(F2915&lt;200,"3) Rs 100-199",IF(F2915&lt;500,"4) Rs 200-499","5) Rs 500+"))))</f>
        <v>3) Rs 100-199</v>
      </c>
      <c r="O2915" s="0" t="n">
        <f aca="false">G2915*E2915/1000</f>
        <v>2.25</v>
      </c>
    </row>
    <row r="2916" customFormat="false" ht="15" hidden="false" customHeight="false" outlineLevel="0" collapsed="false">
      <c r="A2916" s="0" t="s">
        <v>123</v>
      </c>
      <c r="B2916" s="0" t="s">
        <v>1412</v>
      </c>
      <c r="C2916" s="0" t="n">
        <v>150</v>
      </c>
      <c r="D2916" s="0" t="n">
        <v>20</v>
      </c>
      <c r="E2916" s="0" t="n">
        <v>5</v>
      </c>
      <c r="F2916" s="0" t="n">
        <v>120</v>
      </c>
      <c r="G2916" s="0" t="n">
        <v>250</v>
      </c>
      <c r="H2916" s="0" t="s">
        <v>145</v>
      </c>
      <c r="I2916" s="0" t="n">
        <v>250</v>
      </c>
      <c r="J2916" s="0" t="n">
        <f aca="false">F2916*E2916</f>
        <v>600</v>
      </c>
      <c r="K2916" s="0" t="str">
        <f aca="false">IF(G2916&lt;1000,"1-Low",IF(G2916&lt;5000,"2-Medium","3-Bulk"))</f>
        <v>1-Low</v>
      </c>
      <c r="L2916" s="0" t="str">
        <f aca="false">IF(H2916="TRUE","Out of stock","In stock")</f>
        <v>In stock</v>
      </c>
      <c r="M2916" s="0" t="str">
        <f aca="false">IF(D2916&lt;5,"1) Under 5%",IF(D2916&lt;10,"2) 5-9%",IF(D2916&lt;15,"3) 10-14%",IF(D2916&lt;25,"4) 15-24%","5) 25%+"))))</f>
        <v>4) 15-24%</v>
      </c>
      <c r="N2916" s="0" t="str">
        <f aca="false">IF(F2916&lt;50,"1) Under Rs 50",IF(F2916&lt;100,"2) Rs 50-99",IF(F2916&lt;200,"3) Rs 100-199",IF(F2916&lt;500,"4) Rs 200-499","5) Rs 500+"))))</f>
        <v>3) Rs 100-199</v>
      </c>
      <c r="O2916" s="0" t="n">
        <f aca="false">G2916*E2916/1000</f>
        <v>1.25</v>
      </c>
    </row>
    <row r="2917" customFormat="false" ht="15" hidden="false" customHeight="false" outlineLevel="0" collapsed="false">
      <c r="A2917" s="0" t="s">
        <v>123</v>
      </c>
      <c r="B2917" s="0" t="s">
        <v>1413</v>
      </c>
      <c r="C2917" s="0" t="n">
        <v>90</v>
      </c>
      <c r="D2917" s="0" t="n">
        <v>10</v>
      </c>
      <c r="E2917" s="0" t="n">
        <v>1</v>
      </c>
      <c r="F2917" s="0" t="n">
        <v>81</v>
      </c>
      <c r="G2917" s="0" t="n">
        <v>80</v>
      </c>
      <c r="H2917" s="0" t="s">
        <v>145</v>
      </c>
      <c r="I2917" s="0" t="n">
        <v>80</v>
      </c>
      <c r="J2917" s="0" t="n">
        <f aca="false">F2917*E2917</f>
        <v>81</v>
      </c>
      <c r="K2917" s="0" t="str">
        <f aca="false">IF(G2917&lt;1000,"1-Low",IF(G2917&lt;5000,"2-Medium","3-Bulk"))</f>
        <v>1-Low</v>
      </c>
      <c r="L2917" s="0" t="str">
        <f aca="false">IF(H2917="TRUE","Out of stock","In stock")</f>
        <v>In stock</v>
      </c>
      <c r="M2917" s="0" t="str">
        <f aca="false">IF(D2917&lt;5,"1) Under 5%",IF(D2917&lt;10,"2) 5-9%",IF(D2917&lt;15,"3) 10-14%",IF(D2917&lt;25,"4) 15-24%","5) 25%+"))))</f>
        <v>3) 10-14%</v>
      </c>
      <c r="N2917" s="0" t="str">
        <f aca="false">IF(F2917&lt;50,"1) Under Rs 50",IF(F2917&lt;100,"2) Rs 50-99",IF(F2917&lt;200,"3) Rs 100-199",IF(F2917&lt;500,"4) Rs 200-499","5) Rs 500+"))))</f>
        <v>2) Rs 50-99</v>
      </c>
      <c r="O2917" s="0" t="n">
        <f aca="false">G2917*E2917/1000</f>
        <v>0.08</v>
      </c>
    </row>
    <row r="2918" customFormat="false" ht="15" hidden="false" customHeight="false" outlineLevel="0" collapsed="false">
      <c r="A2918" s="0" t="s">
        <v>123</v>
      </c>
      <c r="B2918" s="0" t="s">
        <v>1414</v>
      </c>
      <c r="C2918" s="0" t="n">
        <v>110</v>
      </c>
      <c r="D2918" s="0" t="n">
        <v>0</v>
      </c>
      <c r="E2918" s="0" t="n">
        <v>6</v>
      </c>
      <c r="F2918" s="0" t="n">
        <v>110</v>
      </c>
      <c r="G2918" s="0" t="n">
        <v>200</v>
      </c>
      <c r="H2918" s="0" t="s">
        <v>145</v>
      </c>
      <c r="I2918" s="0" t="n">
        <v>200</v>
      </c>
      <c r="J2918" s="0" t="n">
        <f aca="false">F2918*E2918</f>
        <v>660</v>
      </c>
      <c r="K2918" s="0" t="str">
        <f aca="false">IF(G2918&lt;1000,"1-Low",IF(G2918&lt;5000,"2-Medium","3-Bulk"))</f>
        <v>1-Low</v>
      </c>
      <c r="L2918" s="0" t="str">
        <f aca="false">IF(H2918="TRUE","Out of stock","In stock")</f>
        <v>In stock</v>
      </c>
      <c r="M2918" s="0" t="str">
        <f aca="false">IF(D2918&lt;5,"1) Under 5%",IF(D2918&lt;10,"2) 5-9%",IF(D2918&lt;15,"3) 10-14%",IF(D2918&lt;25,"4) 15-24%","5) 25%+"))))</f>
        <v>1) Under 5%</v>
      </c>
      <c r="N2918" s="0" t="str">
        <f aca="false">IF(F2918&lt;50,"1) Under Rs 50",IF(F2918&lt;100,"2) Rs 50-99",IF(F2918&lt;200,"3) Rs 100-199",IF(F2918&lt;500,"4) Rs 200-499","5) Rs 500+"))))</f>
        <v>3) Rs 100-199</v>
      </c>
      <c r="O2918" s="0" t="n">
        <f aca="false">G2918*E2918/1000</f>
        <v>1.2</v>
      </c>
    </row>
    <row r="2919" customFormat="false" ht="15" hidden="false" customHeight="false" outlineLevel="0" collapsed="false">
      <c r="A2919" s="0" t="s">
        <v>123</v>
      </c>
      <c r="B2919" s="0" t="s">
        <v>1415</v>
      </c>
      <c r="C2919" s="0" t="n">
        <v>250</v>
      </c>
      <c r="D2919" s="0" t="n">
        <v>0</v>
      </c>
      <c r="E2919" s="0" t="n">
        <v>1</v>
      </c>
      <c r="F2919" s="0" t="n">
        <v>250</v>
      </c>
      <c r="G2919" s="0" t="n">
        <v>150</v>
      </c>
      <c r="H2919" s="0" t="s">
        <v>145</v>
      </c>
      <c r="I2919" s="0" t="n">
        <v>150</v>
      </c>
      <c r="J2919" s="0" t="n">
        <f aca="false">F2919*E2919</f>
        <v>250</v>
      </c>
      <c r="K2919" s="0" t="str">
        <f aca="false">IF(G2919&lt;1000,"1-Low",IF(G2919&lt;5000,"2-Medium","3-Bulk"))</f>
        <v>1-Low</v>
      </c>
      <c r="L2919" s="0" t="str">
        <f aca="false">IF(H2919="TRUE","Out of stock","In stock")</f>
        <v>In stock</v>
      </c>
      <c r="M2919" s="0" t="str">
        <f aca="false">IF(D2919&lt;5,"1) Under 5%",IF(D2919&lt;10,"2) 5-9%",IF(D2919&lt;15,"3) 10-14%",IF(D2919&lt;25,"4) 15-24%","5) 25%+"))))</f>
        <v>1) Under 5%</v>
      </c>
      <c r="N2919" s="0" t="str">
        <f aca="false">IF(F2919&lt;50,"1) Under Rs 50",IF(F2919&lt;100,"2) Rs 50-99",IF(F2919&lt;200,"3) Rs 100-199",IF(F2919&lt;500,"4) Rs 200-499","5) Rs 500+"))))</f>
        <v>4) Rs 200-499</v>
      </c>
      <c r="O2919" s="0" t="n">
        <f aca="false">G2919*E2919/1000</f>
        <v>0.15</v>
      </c>
    </row>
    <row r="2920" customFormat="false" ht="15" hidden="false" customHeight="false" outlineLevel="0" collapsed="false">
      <c r="A2920" s="0" t="s">
        <v>123</v>
      </c>
      <c r="B2920" s="0" t="s">
        <v>1288</v>
      </c>
      <c r="C2920" s="0" t="n">
        <v>137</v>
      </c>
      <c r="D2920" s="0" t="n">
        <v>10</v>
      </c>
      <c r="E2920" s="0" t="n">
        <v>4</v>
      </c>
      <c r="F2920" s="0" t="n">
        <v>123</v>
      </c>
      <c r="G2920" s="0" t="n">
        <v>180</v>
      </c>
      <c r="H2920" s="0" t="s">
        <v>145</v>
      </c>
      <c r="I2920" s="0" t="n">
        <v>180</v>
      </c>
      <c r="J2920" s="0" t="n">
        <f aca="false">F2920*E2920</f>
        <v>492</v>
      </c>
      <c r="K2920" s="0" t="str">
        <f aca="false">IF(G2920&lt;1000,"1-Low",IF(G2920&lt;5000,"2-Medium","3-Bulk"))</f>
        <v>1-Low</v>
      </c>
      <c r="L2920" s="0" t="str">
        <f aca="false">IF(H2920="TRUE","Out of stock","In stock")</f>
        <v>In stock</v>
      </c>
      <c r="M2920" s="0" t="str">
        <f aca="false">IF(D2920&lt;5,"1) Under 5%",IF(D2920&lt;10,"2) 5-9%",IF(D2920&lt;15,"3) 10-14%",IF(D2920&lt;25,"4) 15-24%","5) 25%+"))))</f>
        <v>3) 10-14%</v>
      </c>
      <c r="N2920" s="0" t="str">
        <f aca="false">IF(F2920&lt;50,"1) Under Rs 50",IF(F2920&lt;100,"2) Rs 50-99",IF(F2920&lt;200,"3) Rs 100-199",IF(F2920&lt;500,"4) Rs 200-499","5) Rs 500+"))))</f>
        <v>3) Rs 100-199</v>
      </c>
      <c r="O2920" s="0" t="n">
        <f aca="false">G2920*E2920/1000</f>
        <v>0.72</v>
      </c>
    </row>
    <row r="2921" customFormat="false" ht="15" hidden="false" customHeight="false" outlineLevel="0" collapsed="false">
      <c r="A2921" s="0" t="s">
        <v>123</v>
      </c>
      <c r="B2921" s="0" t="s">
        <v>1416</v>
      </c>
      <c r="C2921" s="0" t="n">
        <v>250</v>
      </c>
      <c r="D2921" s="0" t="n">
        <v>10</v>
      </c>
      <c r="E2921" s="0" t="n">
        <v>6</v>
      </c>
      <c r="F2921" s="0" t="n">
        <v>225</v>
      </c>
      <c r="G2921" s="0" t="n">
        <v>500</v>
      </c>
      <c r="H2921" s="0" t="s">
        <v>145</v>
      </c>
      <c r="I2921" s="0" t="n">
        <v>500</v>
      </c>
      <c r="J2921" s="0" t="n">
        <f aca="false">F2921*E2921</f>
        <v>1350</v>
      </c>
      <c r="K2921" s="0" t="str">
        <f aca="false">IF(G2921&lt;1000,"1-Low",IF(G2921&lt;5000,"2-Medium","3-Bulk"))</f>
        <v>1-Low</v>
      </c>
      <c r="L2921" s="0" t="str">
        <f aca="false">IF(H2921="TRUE","Out of stock","In stock")</f>
        <v>In stock</v>
      </c>
      <c r="M2921" s="0" t="str">
        <f aca="false">IF(D2921&lt;5,"1) Under 5%",IF(D2921&lt;10,"2) 5-9%",IF(D2921&lt;15,"3) 10-14%",IF(D2921&lt;25,"4) 15-24%","5) 25%+"))))</f>
        <v>3) 10-14%</v>
      </c>
      <c r="N2921" s="0" t="str">
        <f aca="false">IF(F2921&lt;50,"1) Under Rs 50",IF(F2921&lt;100,"2) Rs 50-99",IF(F2921&lt;200,"3) Rs 100-199",IF(F2921&lt;500,"4) Rs 200-499","5) Rs 500+"))))</f>
        <v>4) Rs 200-499</v>
      </c>
      <c r="O2921" s="0" t="n">
        <f aca="false">G2921*E2921/1000</f>
        <v>3</v>
      </c>
    </row>
    <row r="2922" customFormat="false" ht="15" hidden="false" customHeight="false" outlineLevel="0" collapsed="false">
      <c r="A2922" s="0" t="s">
        <v>123</v>
      </c>
      <c r="B2922" s="0" t="s">
        <v>1417</v>
      </c>
      <c r="C2922" s="0" t="n">
        <v>399</v>
      </c>
      <c r="D2922" s="0" t="n">
        <v>20</v>
      </c>
      <c r="E2922" s="0" t="n">
        <v>3</v>
      </c>
      <c r="F2922" s="0" t="n">
        <v>319</v>
      </c>
      <c r="G2922" s="0" t="n">
        <v>300</v>
      </c>
      <c r="H2922" s="0" t="s">
        <v>145</v>
      </c>
      <c r="I2922" s="0" t="n">
        <v>300</v>
      </c>
      <c r="J2922" s="0" t="n">
        <f aca="false">F2922*E2922</f>
        <v>957</v>
      </c>
      <c r="K2922" s="0" t="str">
        <f aca="false">IF(G2922&lt;1000,"1-Low",IF(G2922&lt;5000,"2-Medium","3-Bulk"))</f>
        <v>1-Low</v>
      </c>
      <c r="L2922" s="0" t="str">
        <f aca="false">IF(H2922="TRUE","Out of stock","In stock")</f>
        <v>In stock</v>
      </c>
      <c r="M2922" s="0" t="str">
        <f aca="false">IF(D2922&lt;5,"1) Under 5%",IF(D2922&lt;10,"2) 5-9%",IF(D2922&lt;15,"3) 10-14%",IF(D2922&lt;25,"4) 15-24%","5) 25%+"))))</f>
        <v>4) 15-24%</v>
      </c>
      <c r="N2922" s="0" t="str">
        <f aca="false">IF(F2922&lt;50,"1) Under Rs 50",IF(F2922&lt;100,"2) Rs 50-99",IF(F2922&lt;200,"3) Rs 100-199",IF(F2922&lt;500,"4) Rs 200-499","5) Rs 500+"))))</f>
        <v>4) Rs 200-499</v>
      </c>
      <c r="O2922" s="0" t="n">
        <f aca="false">G2922*E2922/1000</f>
        <v>0.9</v>
      </c>
    </row>
    <row r="2923" customFormat="false" ht="15" hidden="false" customHeight="false" outlineLevel="0" collapsed="false">
      <c r="A2923" s="0" t="s">
        <v>123</v>
      </c>
      <c r="B2923" s="0" t="s">
        <v>1418</v>
      </c>
      <c r="C2923" s="0" t="n">
        <v>429</v>
      </c>
      <c r="D2923" s="0" t="n">
        <v>15</v>
      </c>
      <c r="E2923" s="0" t="n">
        <v>1</v>
      </c>
      <c r="F2923" s="0" t="n">
        <v>364</v>
      </c>
      <c r="G2923" s="0" t="n">
        <v>24</v>
      </c>
      <c r="H2923" s="0" t="s">
        <v>145</v>
      </c>
      <c r="I2923" s="0" t="n">
        <v>24</v>
      </c>
      <c r="J2923" s="0" t="n">
        <f aca="false">F2923*E2923</f>
        <v>364</v>
      </c>
      <c r="K2923" s="0" t="str">
        <f aca="false">IF(G2923&lt;1000,"1-Low",IF(G2923&lt;5000,"2-Medium","3-Bulk"))</f>
        <v>1-Low</v>
      </c>
      <c r="L2923" s="0" t="str">
        <f aca="false">IF(H2923="TRUE","Out of stock","In stock")</f>
        <v>In stock</v>
      </c>
      <c r="M2923" s="0" t="str">
        <f aca="false">IF(D2923&lt;5,"1) Under 5%",IF(D2923&lt;10,"2) 5-9%",IF(D2923&lt;15,"3) 10-14%",IF(D2923&lt;25,"4) 15-24%","5) 25%+"))))</f>
        <v>4) 15-24%</v>
      </c>
      <c r="N2923" s="0" t="str">
        <f aca="false">IF(F2923&lt;50,"1) Under Rs 50",IF(F2923&lt;100,"2) Rs 50-99",IF(F2923&lt;200,"3) Rs 100-199",IF(F2923&lt;500,"4) Rs 200-499","5) Rs 500+"))))</f>
        <v>4) Rs 200-499</v>
      </c>
      <c r="O2923" s="0" t="n">
        <f aca="false">G2923*E2923/1000</f>
        <v>0.024</v>
      </c>
    </row>
    <row r="2924" customFormat="false" ht="15" hidden="false" customHeight="false" outlineLevel="0" collapsed="false">
      <c r="A2924" s="0" t="s">
        <v>123</v>
      </c>
      <c r="B2924" s="0" t="s">
        <v>1419</v>
      </c>
      <c r="C2924" s="0" t="n">
        <v>99</v>
      </c>
      <c r="D2924" s="0" t="n">
        <v>0</v>
      </c>
      <c r="E2924" s="0" t="n">
        <v>6</v>
      </c>
      <c r="F2924" s="0" t="n">
        <v>99</v>
      </c>
      <c r="G2924" s="0" t="n">
        <v>200</v>
      </c>
      <c r="H2924" s="0" t="s">
        <v>145</v>
      </c>
      <c r="I2924" s="0" t="n">
        <v>200</v>
      </c>
      <c r="J2924" s="0" t="n">
        <f aca="false">F2924*E2924</f>
        <v>594</v>
      </c>
      <c r="K2924" s="0" t="str">
        <f aca="false">IF(G2924&lt;1000,"1-Low",IF(G2924&lt;5000,"2-Medium","3-Bulk"))</f>
        <v>1-Low</v>
      </c>
      <c r="L2924" s="0" t="str">
        <f aca="false">IF(H2924="TRUE","Out of stock","In stock")</f>
        <v>In stock</v>
      </c>
      <c r="M2924" s="0" t="str">
        <f aca="false">IF(D2924&lt;5,"1) Under 5%",IF(D2924&lt;10,"2) 5-9%",IF(D2924&lt;15,"3) 10-14%",IF(D2924&lt;25,"4) 15-24%","5) 25%+"))))</f>
        <v>1) Under 5%</v>
      </c>
      <c r="N2924" s="0" t="str">
        <f aca="false">IF(F2924&lt;50,"1) Under Rs 50",IF(F2924&lt;100,"2) Rs 50-99",IF(F2924&lt;200,"3) Rs 100-199",IF(F2924&lt;500,"4) Rs 200-499","5) Rs 500+"))))</f>
        <v>2) Rs 50-99</v>
      </c>
      <c r="O2924" s="0" t="n">
        <f aca="false">G2924*E2924/1000</f>
        <v>1.2</v>
      </c>
    </row>
    <row r="2925" customFormat="false" ht="15" hidden="false" customHeight="false" outlineLevel="0" collapsed="false">
      <c r="A2925" s="0" t="s">
        <v>123</v>
      </c>
      <c r="B2925" s="0" t="s">
        <v>1420</v>
      </c>
      <c r="C2925" s="0" t="n">
        <v>399</v>
      </c>
      <c r="D2925" s="0" t="n">
        <v>20</v>
      </c>
      <c r="E2925" s="0" t="n">
        <v>6</v>
      </c>
      <c r="F2925" s="0" t="n">
        <v>319</v>
      </c>
      <c r="G2925" s="0" t="n">
        <v>400</v>
      </c>
      <c r="H2925" s="0" t="s">
        <v>145</v>
      </c>
      <c r="I2925" s="0" t="n">
        <v>400</v>
      </c>
      <c r="J2925" s="0" t="n">
        <f aca="false">F2925*E2925</f>
        <v>1914</v>
      </c>
      <c r="K2925" s="0" t="str">
        <f aca="false">IF(G2925&lt;1000,"1-Low",IF(G2925&lt;5000,"2-Medium","3-Bulk"))</f>
        <v>1-Low</v>
      </c>
      <c r="L2925" s="0" t="str">
        <f aca="false">IF(H2925="TRUE","Out of stock","In stock")</f>
        <v>In stock</v>
      </c>
      <c r="M2925" s="0" t="str">
        <f aca="false">IF(D2925&lt;5,"1) Under 5%",IF(D2925&lt;10,"2) 5-9%",IF(D2925&lt;15,"3) 10-14%",IF(D2925&lt;25,"4) 15-24%","5) 25%+"))))</f>
        <v>4) 15-24%</v>
      </c>
      <c r="N2925" s="0" t="str">
        <f aca="false">IF(F2925&lt;50,"1) Under Rs 50",IF(F2925&lt;100,"2) Rs 50-99",IF(F2925&lt;200,"3) Rs 100-199",IF(F2925&lt;500,"4) Rs 200-499","5) Rs 500+"))))</f>
        <v>4) Rs 200-499</v>
      </c>
      <c r="O2925" s="0" t="n">
        <f aca="false">G2925*E2925/1000</f>
        <v>2.4</v>
      </c>
    </row>
    <row r="2926" customFormat="false" ht="15" hidden="false" customHeight="false" outlineLevel="0" collapsed="false">
      <c r="A2926" s="0" t="s">
        <v>123</v>
      </c>
      <c r="B2926" s="0" t="s">
        <v>1421</v>
      </c>
      <c r="C2926" s="0" t="n">
        <v>225</v>
      </c>
      <c r="D2926" s="0" t="n">
        <v>0</v>
      </c>
      <c r="E2926" s="0" t="n">
        <v>6</v>
      </c>
      <c r="F2926" s="0" t="n">
        <v>225</v>
      </c>
      <c r="G2926" s="0" t="n">
        <v>60</v>
      </c>
      <c r="H2926" s="0" t="s">
        <v>145</v>
      </c>
      <c r="I2926" s="0" t="n">
        <v>60</v>
      </c>
      <c r="J2926" s="0" t="n">
        <f aca="false">F2926*E2926</f>
        <v>1350</v>
      </c>
      <c r="K2926" s="0" t="str">
        <f aca="false">IF(G2926&lt;1000,"1-Low",IF(G2926&lt;5000,"2-Medium","3-Bulk"))</f>
        <v>1-Low</v>
      </c>
      <c r="L2926" s="0" t="str">
        <f aca="false">IF(H2926="TRUE","Out of stock","In stock")</f>
        <v>In stock</v>
      </c>
      <c r="M2926" s="0" t="str">
        <f aca="false">IF(D2926&lt;5,"1) Under 5%",IF(D2926&lt;10,"2) 5-9%",IF(D2926&lt;15,"3) 10-14%",IF(D2926&lt;25,"4) 15-24%","5) 25%+"))))</f>
        <v>1) Under 5%</v>
      </c>
      <c r="N2926" s="0" t="str">
        <f aca="false">IF(F2926&lt;50,"1) Under Rs 50",IF(F2926&lt;100,"2) Rs 50-99",IF(F2926&lt;200,"3) Rs 100-199",IF(F2926&lt;500,"4) Rs 200-499","5) Rs 500+"))))</f>
        <v>4) Rs 200-499</v>
      </c>
      <c r="O2926" s="0" t="n">
        <f aca="false">G2926*E2926/1000</f>
        <v>0.36</v>
      </c>
    </row>
    <row r="2927" customFormat="false" ht="15" hidden="false" customHeight="false" outlineLevel="0" collapsed="false">
      <c r="A2927" s="0" t="s">
        <v>123</v>
      </c>
      <c r="B2927" s="0" t="s">
        <v>1422</v>
      </c>
      <c r="C2927" s="0" t="n">
        <v>170</v>
      </c>
      <c r="D2927" s="0" t="n">
        <v>0</v>
      </c>
      <c r="E2927" s="0" t="n">
        <v>6</v>
      </c>
      <c r="F2927" s="0" t="n">
        <v>170</v>
      </c>
      <c r="G2927" s="0" t="n">
        <v>180</v>
      </c>
      <c r="H2927" s="0" t="s">
        <v>145</v>
      </c>
      <c r="I2927" s="0" t="n">
        <v>180</v>
      </c>
      <c r="J2927" s="0" t="n">
        <f aca="false">F2927*E2927</f>
        <v>1020</v>
      </c>
      <c r="K2927" s="0" t="str">
        <f aca="false">IF(G2927&lt;1000,"1-Low",IF(G2927&lt;5000,"2-Medium","3-Bulk"))</f>
        <v>1-Low</v>
      </c>
      <c r="L2927" s="0" t="str">
        <f aca="false">IF(H2927="TRUE","Out of stock","In stock")</f>
        <v>In stock</v>
      </c>
      <c r="M2927" s="0" t="str">
        <f aca="false">IF(D2927&lt;5,"1) Under 5%",IF(D2927&lt;10,"2) 5-9%",IF(D2927&lt;15,"3) 10-14%",IF(D2927&lt;25,"4) 15-24%","5) 25%+"))))</f>
        <v>1) Under 5%</v>
      </c>
      <c r="N2927" s="0" t="str">
        <f aca="false">IF(F2927&lt;50,"1) Under Rs 50",IF(F2927&lt;100,"2) Rs 50-99",IF(F2927&lt;200,"3) Rs 100-199",IF(F2927&lt;500,"4) Rs 200-499","5) Rs 500+"))))</f>
        <v>3) Rs 100-199</v>
      </c>
      <c r="O2927" s="0" t="n">
        <f aca="false">G2927*E2927/1000</f>
        <v>1.08</v>
      </c>
    </row>
    <row r="2928" customFormat="false" ht="15" hidden="false" customHeight="false" outlineLevel="0" collapsed="false">
      <c r="A2928" s="0" t="s">
        <v>123</v>
      </c>
      <c r="B2928" s="0" t="s">
        <v>1423</v>
      </c>
      <c r="C2928" s="0" t="n">
        <v>75</v>
      </c>
      <c r="D2928" s="0" t="n">
        <v>0</v>
      </c>
      <c r="E2928" s="0" t="n">
        <v>5</v>
      </c>
      <c r="F2928" s="0" t="n">
        <v>75</v>
      </c>
      <c r="G2928" s="0" t="n">
        <v>150</v>
      </c>
      <c r="H2928" s="0" t="s">
        <v>145</v>
      </c>
      <c r="I2928" s="0" t="n">
        <v>120</v>
      </c>
      <c r="J2928" s="0" t="n">
        <f aca="false">F2928*E2928</f>
        <v>375</v>
      </c>
      <c r="K2928" s="0" t="str">
        <f aca="false">IF(G2928&lt;1000,"1-Low",IF(G2928&lt;5000,"2-Medium","3-Bulk"))</f>
        <v>1-Low</v>
      </c>
      <c r="L2928" s="0" t="str">
        <f aca="false">IF(H2928="TRUE","Out of stock","In stock")</f>
        <v>In stock</v>
      </c>
      <c r="M2928" s="0" t="str">
        <f aca="false">IF(D2928&lt;5,"1) Under 5%",IF(D2928&lt;10,"2) 5-9%",IF(D2928&lt;15,"3) 10-14%",IF(D2928&lt;25,"4) 15-24%","5) 25%+"))))</f>
        <v>1) Under 5%</v>
      </c>
      <c r="N2928" s="0" t="str">
        <f aca="false">IF(F2928&lt;50,"1) Under Rs 50",IF(F2928&lt;100,"2) Rs 50-99",IF(F2928&lt;200,"3) Rs 100-199",IF(F2928&lt;500,"4) Rs 200-499","5) Rs 500+"))))</f>
        <v>2) Rs 50-99</v>
      </c>
      <c r="O2928" s="0" t="n">
        <f aca="false">G2928*E2928/1000</f>
        <v>0.75</v>
      </c>
    </row>
    <row r="2929" customFormat="false" ht="15" hidden="false" customHeight="false" outlineLevel="0" collapsed="false">
      <c r="A2929" s="0" t="s">
        <v>123</v>
      </c>
      <c r="B2929" s="0" t="s">
        <v>1424</v>
      </c>
      <c r="C2929" s="0" t="n">
        <v>100</v>
      </c>
      <c r="D2929" s="0" t="n">
        <v>0</v>
      </c>
      <c r="E2929" s="0" t="n">
        <v>4</v>
      </c>
      <c r="F2929" s="0" t="n">
        <v>100</v>
      </c>
      <c r="G2929" s="0" t="n">
        <v>100</v>
      </c>
      <c r="H2929" s="0" t="s">
        <v>145</v>
      </c>
      <c r="I2929" s="0" t="n">
        <v>100</v>
      </c>
      <c r="J2929" s="0" t="n">
        <f aca="false">F2929*E2929</f>
        <v>400</v>
      </c>
      <c r="K2929" s="0" t="str">
        <f aca="false">IF(G2929&lt;1000,"1-Low",IF(G2929&lt;5000,"2-Medium","3-Bulk"))</f>
        <v>1-Low</v>
      </c>
      <c r="L2929" s="0" t="str">
        <f aca="false">IF(H2929="TRUE","Out of stock","In stock")</f>
        <v>In stock</v>
      </c>
      <c r="M2929" s="0" t="str">
        <f aca="false">IF(D2929&lt;5,"1) Under 5%",IF(D2929&lt;10,"2) 5-9%",IF(D2929&lt;15,"3) 10-14%",IF(D2929&lt;25,"4) 15-24%","5) 25%+"))))</f>
        <v>1) Under 5%</v>
      </c>
      <c r="N2929" s="0" t="str">
        <f aca="false">IF(F2929&lt;50,"1) Under Rs 50",IF(F2929&lt;100,"2) Rs 50-99",IF(F2929&lt;200,"3) Rs 100-199",IF(F2929&lt;500,"4) Rs 200-499","5) Rs 500+"))))</f>
        <v>3) Rs 100-199</v>
      </c>
      <c r="O2929" s="0" t="n">
        <f aca="false">G2929*E2929/1000</f>
        <v>0.4</v>
      </c>
    </row>
    <row r="2930" customFormat="false" ht="15" hidden="false" customHeight="false" outlineLevel="0" collapsed="false">
      <c r="A2930" s="0" t="s">
        <v>123</v>
      </c>
      <c r="B2930" s="0" t="s">
        <v>1299</v>
      </c>
      <c r="C2930" s="0" t="n">
        <v>140</v>
      </c>
      <c r="D2930" s="0" t="n">
        <v>10</v>
      </c>
      <c r="E2930" s="0" t="n">
        <v>1</v>
      </c>
      <c r="F2930" s="0" t="n">
        <v>126</v>
      </c>
      <c r="G2930" s="0" t="n">
        <v>200</v>
      </c>
      <c r="H2930" s="0" t="s">
        <v>145</v>
      </c>
      <c r="I2930" s="0" t="n">
        <v>200</v>
      </c>
      <c r="J2930" s="0" t="n">
        <f aca="false">F2930*E2930</f>
        <v>126</v>
      </c>
      <c r="K2930" s="0" t="str">
        <f aca="false">IF(G2930&lt;1000,"1-Low",IF(G2930&lt;5000,"2-Medium","3-Bulk"))</f>
        <v>1-Low</v>
      </c>
      <c r="L2930" s="0" t="str">
        <f aca="false">IF(H2930="TRUE","Out of stock","In stock")</f>
        <v>In stock</v>
      </c>
      <c r="M2930" s="0" t="str">
        <f aca="false">IF(D2930&lt;5,"1) Under 5%",IF(D2930&lt;10,"2) 5-9%",IF(D2930&lt;15,"3) 10-14%",IF(D2930&lt;25,"4) 15-24%","5) 25%+"))))</f>
        <v>3) 10-14%</v>
      </c>
      <c r="N2930" s="0" t="str">
        <f aca="false">IF(F2930&lt;50,"1) Under Rs 50",IF(F2930&lt;100,"2) Rs 50-99",IF(F2930&lt;200,"3) Rs 100-199",IF(F2930&lt;500,"4) Rs 200-499","5) Rs 500+"))))</f>
        <v>3) Rs 100-199</v>
      </c>
      <c r="O2930" s="0" t="n">
        <f aca="false">G2930*E2930/1000</f>
        <v>0.2</v>
      </c>
    </row>
    <row r="2931" customFormat="false" ht="15" hidden="false" customHeight="false" outlineLevel="0" collapsed="false">
      <c r="A2931" s="0" t="s">
        <v>123</v>
      </c>
      <c r="B2931" s="0" t="s">
        <v>1425</v>
      </c>
      <c r="C2931" s="0" t="n">
        <v>300</v>
      </c>
      <c r="D2931" s="0" t="n">
        <v>8</v>
      </c>
      <c r="E2931" s="0" t="n">
        <v>3</v>
      </c>
      <c r="F2931" s="0" t="n">
        <v>275</v>
      </c>
      <c r="G2931" s="0" t="n">
        <v>0</v>
      </c>
      <c r="H2931" s="0" t="s">
        <v>145</v>
      </c>
      <c r="I2931" s="0" t="n">
        <v>0</v>
      </c>
      <c r="J2931" s="0" t="n">
        <f aca="false">F2931*E2931</f>
        <v>825</v>
      </c>
      <c r="K2931" s="0" t="str">
        <f aca="false">IF(G2931&lt;1000,"1-Low",IF(G2931&lt;5000,"2-Medium","3-Bulk"))</f>
        <v>1-Low</v>
      </c>
      <c r="L2931" s="0" t="str">
        <f aca="false">IF(H2931="TRUE","Out of stock","In stock")</f>
        <v>In stock</v>
      </c>
      <c r="M2931" s="0" t="str">
        <f aca="false">IF(D2931&lt;5,"1) Under 5%",IF(D2931&lt;10,"2) 5-9%",IF(D2931&lt;15,"3) 10-14%",IF(D2931&lt;25,"4) 15-24%","5) 25%+"))))</f>
        <v>2) 5-9%</v>
      </c>
      <c r="N2931" s="0" t="str">
        <f aca="false">IF(F2931&lt;50,"1) Under Rs 50",IF(F2931&lt;100,"2) Rs 50-99",IF(F2931&lt;200,"3) Rs 100-199",IF(F2931&lt;500,"4) Rs 200-499","5) Rs 500+"))))</f>
        <v>4) Rs 200-499</v>
      </c>
      <c r="O2931" s="0" t="n">
        <f aca="false">G2931*E2931/1000</f>
        <v>0</v>
      </c>
    </row>
    <row r="2932" customFormat="false" ht="15" hidden="false" customHeight="false" outlineLevel="0" collapsed="false">
      <c r="A2932" s="0" t="s">
        <v>123</v>
      </c>
      <c r="B2932" s="0" t="s">
        <v>1426</v>
      </c>
      <c r="C2932" s="0" t="n">
        <v>90</v>
      </c>
      <c r="D2932" s="0" t="n">
        <v>10</v>
      </c>
      <c r="E2932" s="0" t="n">
        <v>6</v>
      </c>
      <c r="F2932" s="0" t="n">
        <v>81</v>
      </c>
      <c r="G2932" s="0" t="n">
        <v>406</v>
      </c>
      <c r="H2932" s="0" t="s">
        <v>145</v>
      </c>
      <c r="I2932" s="0" t="n">
        <v>7</v>
      </c>
      <c r="J2932" s="0" t="n">
        <f aca="false">F2932*E2932</f>
        <v>486</v>
      </c>
      <c r="K2932" s="0" t="str">
        <f aca="false">IF(G2932&lt;1000,"1-Low",IF(G2932&lt;5000,"2-Medium","3-Bulk"))</f>
        <v>1-Low</v>
      </c>
      <c r="L2932" s="0" t="str">
        <f aca="false">IF(H2932="TRUE","Out of stock","In stock")</f>
        <v>In stock</v>
      </c>
      <c r="M2932" s="0" t="str">
        <f aca="false">IF(D2932&lt;5,"1) Under 5%",IF(D2932&lt;10,"2) 5-9%",IF(D2932&lt;15,"3) 10-14%",IF(D2932&lt;25,"4) 15-24%","5) 25%+"))))</f>
        <v>3) 10-14%</v>
      </c>
      <c r="N2932" s="0" t="str">
        <f aca="false">IF(F2932&lt;50,"1) Under Rs 50",IF(F2932&lt;100,"2) Rs 50-99",IF(F2932&lt;200,"3) Rs 100-199",IF(F2932&lt;500,"4) Rs 200-499","5) Rs 500+"))))</f>
        <v>2) Rs 50-99</v>
      </c>
      <c r="O2932" s="0" t="n">
        <f aca="false">G2932*E2932/1000</f>
        <v>2.436</v>
      </c>
    </row>
    <row r="2933" customFormat="false" ht="15" hidden="false" customHeight="false" outlineLevel="0" collapsed="false">
      <c r="A2933" s="0" t="s">
        <v>123</v>
      </c>
      <c r="B2933" s="0" t="s">
        <v>1427</v>
      </c>
      <c r="C2933" s="0" t="n">
        <v>645</v>
      </c>
      <c r="D2933" s="0" t="n">
        <v>5</v>
      </c>
      <c r="E2933" s="0" t="n">
        <v>3</v>
      </c>
      <c r="F2933" s="0" t="n">
        <v>612</v>
      </c>
      <c r="G2933" s="0" t="n">
        <v>650</v>
      </c>
      <c r="H2933" s="0" t="s">
        <v>145</v>
      </c>
      <c r="I2933" s="0" t="n">
        <v>650</v>
      </c>
      <c r="J2933" s="0" t="n">
        <f aca="false">F2933*E2933</f>
        <v>1836</v>
      </c>
      <c r="K2933" s="0" t="str">
        <f aca="false">IF(G2933&lt;1000,"1-Low",IF(G2933&lt;5000,"2-Medium","3-Bulk"))</f>
        <v>1-Low</v>
      </c>
      <c r="L2933" s="0" t="str">
        <f aca="false">IF(H2933="TRUE","Out of stock","In stock")</f>
        <v>In stock</v>
      </c>
      <c r="M2933" s="0" t="str">
        <f aca="false">IF(D2933&lt;5,"1) Under 5%",IF(D2933&lt;10,"2) 5-9%",IF(D2933&lt;15,"3) 10-14%",IF(D2933&lt;25,"4) 15-24%","5) 25%+"))))</f>
        <v>2) 5-9%</v>
      </c>
      <c r="N2933" s="0" t="str">
        <f aca="false">IF(F2933&lt;50,"1) Under Rs 50",IF(F2933&lt;100,"2) Rs 50-99",IF(F2933&lt;200,"3) Rs 100-199",IF(F2933&lt;500,"4) Rs 200-499","5) Rs 500+"))))</f>
        <v>5) Rs 500+</v>
      </c>
      <c r="O2933" s="0" t="n">
        <f aca="false">G2933*E2933/1000</f>
        <v>1.95</v>
      </c>
    </row>
    <row r="2934" customFormat="false" ht="15" hidden="false" customHeight="false" outlineLevel="0" collapsed="false">
      <c r="A2934" s="0" t="s">
        <v>123</v>
      </c>
      <c r="B2934" s="0" t="s">
        <v>1428</v>
      </c>
      <c r="C2934" s="0" t="n">
        <v>29</v>
      </c>
      <c r="D2934" s="0" t="n">
        <v>0</v>
      </c>
      <c r="E2934" s="0" t="n">
        <v>5</v>
      </c>
      <c r="F2934" s="0" t="n">
        <v>29</v>
      </c>
      <c r="G2934" s="0" t="n">
        <v>20</v>
      </c>
      <c r="H2934" s="0" t="s">
        <v>145</v>
      </c>
      <c r="I2934" s="0" t="n">
        <v>20</v>
      </c>
      <c r="J2934" s="0" t="n">
        <f aca="false">F2934*E2934</f>
        <v>145</v>
      </c>
      <c r="K2934" s="0" t="str">
        <f aca="false">IF(G2934&lt;1000,"1-Low",IF(G2934&lt;5000,"2-Medium","3-Bulk"))</f>
        <v>1-Low</v>
      </c>
      <c r="L2934" s="0" t="str">
        <f aca="false">IF(H2934="TRUE","Out of stock","In stock")</f>
        <v>In stock</v>
      </c>
      <c r="M2934" s="0" t="str">
        <f aca="false">IF(D2934&lt;5,"1) Under 5%",IF(D2934&lt;10,"2) 5-9%",IF(D2934&lt;15,"3) 10-14%",IF(D2934&lt;25,"4) 15-24%","5) 25%+"))))</f>
        <v>1) Under 5%</v>
      </c>
      <c r="N2934" s="0" t="str">
        <f aca="false">IF(F2934&lt;50,"1) Under Rs 50",IF(F2934&lt;100,"2) Rs 50-99",IF(F2934&lt;200,"3) Rs 100-199",IF(F2934&lt;500,"4) Rs 200-499","5) Rs 500+"))))</f>
        <v>1) Under Rs 50</v>
      </c>
      <c r="O2934" s="0" t="n">
        <f aca="false">G2934*E2934/1000</f>
        <v>0.1</v>
      </c>
    </row>
    <row r="2935" customFormat="false" ht="15" hidden="false" customHeight="false" outlineLevel="0" collapsed="false">
      <c r="A2935" s="0" t="s">
        <v>123</v>
      </c>
      <c r="B2935" s="0" t="s">
        <v>1429</v>
      </c>
      <c r="C2935" s="0" t="n">
        <v>140</v>
      </c>
      <c r="D2935" s="0" t="n">
        <v>0</v>
      </c>
      <c r="E2935" s="0" t="n">
        <v>6</v>
      </c>
      <c r="F2935" s="0" t="n">
        <v>140</v>
      </c>
      <c r="G2935" s="0" t="n">
        <v>160</v>
      </c>
      <c r="H2935" s="0" t="s">
        <v>145</v>
      </c>
      <c r="I2935" s="0" t="n">
        <v>160</v>
      </c>
      <c r="J2935" s="0" t="n">
        <f aca="false">F2935*E2935</f>
        <v>840</v>
      </c>
      <c r="K2935" s="0" t="str">
        <f aca="false">IF(G2935&lt;1000,"1-Low",IF(G2935&lt;5000,"2-Medium","3-Bulk"))</f>
        <v>1-Low</v>
      </c>
      <c r="L2935" s="0" t="str">
        <f aca="false">IF(H2935="TRUE","Out of stock","In stock")</f>
        <v>In stock</v>
      </c>
      <c r="M2935" s="0" t="str">
        <f aca="false">IF(D2935&lt;5,"1) Under 5%",IF(D2935&lt;10,"2) 5-9%",IF(D2935&lt;15,"3) 10-14%",IF(D2935&lt;25,"4) 15-24%","5) 25%+"))))</f>
        <v>1) Under 5%</v>
      </c>
      <c r="N2935" s="0" t="str">
        <f aca="false">IF(F2935&lt;50,"1) Under Rs 50",IF(F2935&lt;100,"2) Rs 50-99",IF(F2935&lt;200,"3) Rs 100-199",IF(F2935&lt;500,"4) Rs 200-499","5) Rs 500+"))))</f>
        <v>3) Rs 100-199</v>
      </c>
      <c r="O2935" s="0" t="n">
        <f aca="false">G2935*E2935/1000</f>
        <v>0.96</v>
      </c>
    </row>
    <row r="2936" customFormat="false" ht="15" hidden="false" customHeight="false" outlineLevel="0" collapsed="false">
      <c r="A2936" s="0" t="s">
        <v>123</v>
      </c>
      <c r="B2936" s="0" t="s">
        <v>1430</v>
      </c>
      <c r="C2936" s="0" t="n">
        <v>182</v>
      </c>
      <c r="D2936" s="0" t="n">
        <v>15</v>
      </c>
      <c r="E2936" s="0" t="n">
        <v>6</v>
      </c>
      <c r="F2936" s="0" t="n">
        <v>154</v>
      </c>
      <c r="G2936" s="0" t="n">
        <v>300</v>
      </c>
      <c r="H2936" s="0" t="s">
        <v>145</v>
      </c>
      <c r="I2936" s="0" t="n">
        <v>300</v>
      </c>
      <c r="J2936" s="0" t="n">
        <f aca="false">F2936*E2936</f>
        <v>924</v>
      </c>
      <c r="K2936" s="0" t="str">
        <f aca="false">IF(G2936&lt;1000,"1-Low",IF(G2936&lt;5000,"2-Medium","3-Bulk"))</f>
        <v>1-Low</v>
      </c>
      <c r="L2936" s="0" t="str">
        <f aca="false">IF(H2936="TRUE","Out of stock","In stock")</f>
        <v>In stock</v>
      </c>
      <c r="M2936" s="0" t="str">
        <f aca="false">IF(D2936&lt;5,"1) Under 5%",IF(D2936&lt;10,"2) 5-9%",IF(D2936&lt;15,"3) 10-14%",IF(D2936&lt;25,"4) 15-24%","5) 25%+"))))</f>
        <v>4) 15-24%</v>
      </c>
      <c r="N2936" s="0" t="str">
        <f aca="false">IF(F2936&lt;50,"1) Under Rs 50",IF(F2936&lt;100,"2) Rs 50-99",IF(F2936&lt;200,"3) Rs 100-199",IF(F2936&lt;500,"4) Rs 200-499","5) Rs 500+"))))</f>
        <v>3) Rs 100-199</v>
      </c>
      <c r="O2936" s="0" t="n">
        <f aca="false">G2936*E2936/1000</f>
        <v>1.8</v>
      </c>
    </row>
    <row r="2937" customFormat="false" ht="15" hidden="false" customHeight="false" outlineLevel="0" collapsed="false">
      <c r="A2937" s="0" t="s">
        <v>123</v>
      </c>
      <c r="B2937" s="0" t="s">
        <v>1431</v>
      </c>
      <c r="C2937" s="0" t="n">
        <v>309</v>
      </c>
      <c r="D2937" s="0" t="n">
        <v>10</v>
      </c>
      <c r="E2937" s="0" t="n">
        <v>6</v>
      </c>
      <c r="F2937" s="0" t="n">
        <v>278</v>
      </c>
      <c r="G2937" s="0" t="n">
        <v>250</v>
      </c>
      <c r="H2937" s="0" t="s">
        <v>145</v>
      </c>
      <c r="I2937" s="0" t="n">
        <v>250</v>
      </c>
      <c r="J2937" s="0" t="n">
        <f aca="false">F2937*E2937</f>
        <v>1668</v>
      </c>
      <c r="K2937" s="0" t="str">
        <f aca="false">IF(G2937&lt;1000,"1-Low",IF(G2937&lt;5000,"2-Medium","3-Bulk"))</f>
        <v>1-Low</v>
      </c>
      <c r="L2937" s="0" t="str">
        <f aca="false">IF(H2937="TRUE","Out of stock","In stock")</f>
        <v>In stock</v>
      </c>
      <c r="M2937" s="0" t="str">
        <f aca="false">IF(D2937&lt;5,"1) Under 5%",IF(D2937&lt;10,"2) 5-9%",IF(D2937&lt;15,"3) 10-14%",IF(D2937&lt;25,"4) 15-24%","5) 25%+"))))</f>
        <v>3) 10-14%</v>
      </c>
      <c r="N2937" s="0" t="str">
        <f aca="false">IF(F2937&lt;50,"1) Under Rs 50",IF(F2937&lt;100,"2) Rs 50-99",IF(F2937&lt;200,"3) Rs 100-199",IF(F2937&lt;500,"4) Rs 200-499","5) Rs 500+"))))</f>
        <v>4) Rs 200-499</v>
      </c>
      <c r="O2937" s="0" t="n">
        <f aca="false">G2937*E2937/1000</f>
        <v>1.5</v>
      </c>
    </row>
    <row r="2938" customFormat="false" ht="15" hidden="false" customHeight="false" outlineLevel="0" collapsed="false">
      <c r="A2938" s="0" t="s">
        <v>123</v>
      </c>
      <c r="B2938" s="0" t="s">
        <v>1432</v>
      </c>
      <c r="C2938" s="0" t="n">
        <v>195</v>
      </c>
      <c r="D2938" s="0" t="n">
        <v>10</v>
      </c>
      <c r="E2938" s="0" t="n">
        <v>5</v>
      </c>
      <c r="F2938" s="0" t="n">
        <v>174</v>
      </c>
      <c r="G2938" s="0" t="n">
        <v>150</v>
      </c>
      <c r="H2938" s="0" t="s">
        <v>145</v>
      </c>
      <c r="I2938" s="0" t="n">
        <v>150</v>
      </c>
      <c r="J2938" s="0" t="n">
        <f aca="false">F2938*E2938</f>
        <v>870</v>
      </c>
      <c r="K2938" s="0" t="str">
        <f aca="false">IF(G2938&lt;1000,"1-Low",IF(G2938&lt;5000,"2-Medium","3-Bulk"))</f>
        <v>1-Low</v>
      </c>
      <c r="L2938" s="0" t="str">
        <f aca="false">IF(H2938="TRUE","Out of stock","In stock")</f>
        <v>In stock</v>
      </c>
      <c r="M2938" s="0" t="str">
        <f aca="false">IF(D2938&lt;5,"1) Under 5%",IF(D2938&lt;10,"2) 5-9%",IF(D2938&lt;15,"3) 10-14%",IF(D2938&lt;25,"4) 15-24%","5) 25%+"))))</f>
        <v>3) 10-14%</v>
      </c>
      <c r="N2938" s="0" t="str">
        <f aca="false">IF(F2938&lt;50,"1) Under Rs 50",IF(F2938&lt;100,"2) Rs 50-99",IF(F2938&lt;200,"3) Rs 100-199",IF(F2938&lt;500,"4) Rs 200-499","5) Rs 500+"))))</f>
        <v>3) Rs 100-199</v>
      </c>
      <c r="O2938" s="0" t="n">
        <f aca="false">G2938*E2938/1000</f>
        <v>0.75</v>
      </c>
    </row>
    <row r="2939" customFormat="false" ht="15" hidden="false" customHeight="false" outlineLevel="0" collapsed="false">
      <c r="A2939" s="0" t="s">
        <v>123</v>
      </c>
      <c r="B2939" s="0" t="s">
        <v>1433</v>
      </c>
      <c r="C2939" s="0" t="n">
        <v>120</v>
      </c>
      <c r="D2939" s="0" t="n">
        <v>0</v>
      </c>
      <c r="E2939" s="0" t="n">
        <v>5</v>
      </c>
      <c r="F2939" s="0" t="n">
        <v>120</v>
      </c>
      <c r="G2939" s="0" t="n">
        <v>180</v>
      </c>
      <c r="H2939" s="0" t="s">
        <v>145</v>
      </c>
      <c r="I2939" s="0" t="n">
        <v>180</v>
      </c>
      <c r="J2939" s="0" t="n">
        <f aca="false">F2939*E2939</f>
        <v>600</v>
      </c>
      <c r="K2939" s="0" t="str">
        <f aca="false">IF(G2939&lt;1000,"1-Low",IF(G2939&lt;5000,"2-Medium","3-Bulk"))</f>
        <v>1-Low</v>
      </c>
      <c r="L2939" s="0" t="str">
        <f aca="false">IF(H2939="TRUE","Out of stock","In stock")</f>
        <v>In stock</v>
      </c>
      <c r="M2939" s="0" t="str">
        <f aca="false">IF(D2939&lt;5,"1) Under 5%",IF(D2939&lt;10,"2) 5-9%",IF(D2939&lt;15,"3) 10-14%",IF(D2939&lt;25,"4) 15-24%","5) 25%+"))))</f>
        <v>1) Under 5%</v>
      </c>
      <c r="N2939" s="0" t="str">
        <f aca="false">IF(F2939&lt;50,"1) Under Rs 50",IF(F2939&lt;100,"2) Rs 50-99",IF(F2939&lt;200,"3) Rs 100-199",IF(F2939&lt;500,"4) Rs 200-499","5) Rs 500+"))))</f>
        <v>3) Rs 100-199</v>
      </c>
      <c r="O2939" s="0" t="n">
        <f aca="false">G2939*E2939/1000</f>
        <v>0.9</v>
      </c>
    </row>
    <row r="2940" customFormat="false" ht="15" hidden="false" customHeight="false" outlineLevel="0" collapsed="false">
      <c r="A2940" s="0" t="s">
        <v>123</v>
      </c>
      <c r="B2940" s="0" t="s">
        <v>1434</v>
      </c>
      <c r="C2940" s="0" t="n">
        <v>30</v>
      </c>
      <c r="D2940" s="0" t="n">
        <v>0</v>
      </c>
      <c r="E2940" s="0" t="n">
        <v>2</v>
      </c>
      <c r="F2940" s="0" t="n">
        <v>30</v>
      </c>
      <c r="G2940" s="0" t="n">
        <v>406</v>
      </c>
      <c r="H2940" s="0" t="s">
        <v>145</v>
      </c>
      <c r="I2940" s="0" t="n">
        <v>7</v>
      </c>
      <c r="J2940" s="0" t="n">
        <f aca="false">F2940*E2940</f>
        <v>60</v>
      </c>
      <c r="K2940" s="0" t="str">
        <f aca="false">IF(G2940&lt;1000,"1-Low",IF(G2940&lt;5000,"2-Medium","3-Bulk"))</f>
        <v>1-Low</v>
      </c>
      <c r="L2940" s="0" t="str">
        <f aca="false">IF(H2940="TRUE","Out of stock","In stock")</f>
        <v>In stock</v>
      </c>
      <c r="M2940" s="0" t="str">
        <f aca="false">IF(D2940&lt;5,"1) Under 5%",IF(D2940&lt;10,"2) 5-9%",IF(D2940&lt;15,"3) 10-14%",IF(D2940&lt;25,"4) 15-24%","5) 25%+"))))</f>
        <v>1) Under 5%</v>
      </c>
      <c r="N2940" s="0" t="str">
        <f aca="false">IF(F2940&lt;50,"1) Under Rs 50",IF(F2940&lt;100,"2) Rs 50-99",IF(F2940&lt;200,"3) Rs 100-199",IF(F2940&lt;500,"4) Rs 200-499","5) Rs 500+"))))</f>
        <v>1) Under Rs 50</v>
      </c>
      <c r="O2940" s="0" t="n">
        <f aca="false">G2940*E2940/1000</f>
        <v>0.812</v>
      </c>
    </row>
    <row r="2941" customFormat="false" ht="15" hidden="false" customHeight="false" outlineLevel="0" collapsed="false">
      <c r="A2941" s="0" t="s">
        <v>123</v>
      </c>
      <c r="B2941" s="0" t="s">
        <v>1435</v>
      </c>
      <c r="C2941" s="0" t="n">
        <v>150</v>
      </c>
      <c r="D2941" s="0" t="n">
        <v>18</v>
      </c>
      <c r="E2941" s="0" t="n">
        <v>4</v>
      </c>
      <c r="F2941" s="0" t="n">
        <v>123</v>
      </c>
      <c r="G2941" s="0" t="n">
        <v>232</v>
      </c>
      <c r="H2941" s="0" t="s">
        <v>145</v>
      </c>
      <c r="I2941" s="0" t="n">
        <v>4</v>
      </c>
      <c r="J2941" s="0" t="n">
        <f aca="false">F2941*E2941</f>
        <v>492</v>
      </c>
      <c r="K2941" s="0" t="str">
        <f aca="false">IF(G2941&lt;1000,"1-Low",IF(G2941&lt;5000,"2-Medium","3-Bulk"))</f>
        <v>1-Low</v>
      </c>
      <c r="L2941" s="0" t="str">
        <f aca="false">IF(H2941="TRUE","Out of stock","In stock")</f>
        <v>In stock</v>
      </c>
      <c r="M2941" s="0" t="str">
        <f aca="false">IF(D2941&lt;5,"1) Under 5%",IF(D2941&lt;10,"2) 5-9%",IF(D2941&lt;15,"3) 10-14%",IF(D2941&lt;25,"4) 15-24%","5) 25%+"))))</f>
        <v>4) 15-24%</v>
      </c>
      <c r="N2941" s="0" t="str">
        <f aca="false">IF(F2941&lt;50,"1) Under Rs 50",IF(F2941&lt;100,"2) Rs 50-99",IF(F2941&lt;200,"3) Rs 100-199",IF(F2941&lt;500,"4) Rs 200-499","5) Rs 500+"))))</f>
        <v>3) Rs 100-199</v>
      </c>
      <c r="O2941" s="0" t="n">
        <f aca="false">G2941*E2941/1000</f>
        <v>0.928</v>
      </c>
    </row>
    <row r="2942" customFormat="false" ht="15" hidden="false" customHeight="false" outlineLevel="0" collapsed="false">
      <c r="A2942" s="0" t="s">
        <v>123</v>
      </c>
      <c r="B2942" s="0" t="s">
        <v>1436</v>
      </c>
      <c r="C2942" s="0" t="n">
        <v>199</v>
      </c>
      <c r="D2942" s="0" t="n">
        <v>6</v>
      </c>
      <c r="E2942" s="0" t="n">
        <v>5</v>
      </c>
      <c r="F2942" s="0" t="n">
        <v>186</v>
      </c>
      <c r="G2942" s="0" t="n">
        <v>250</v>
      </c>
      <c r="H2942" s="0" t="s">
        <v>145</v>
      </c>
      <c r="I2942" s="0" t="n">
        <v>250</v>
      </c>
      <c r="J2942" s="0" t="n">
        <f aca="false">F2942*E2942</f>
        <v>930</v>
      </c>
      <c r="K2942" s="0" t="str">
        <f aca="false">IF(G2942&lt;1000,"1-Low",IF(G2942&lt;5000,"2-Medium","3-Bulk"))</f>
        <v>1-Low</v>
      </c>
      <c r="L2942" s="0" t="str">
        <f aca="false">IF(H2942="TRUE","Out of stock","In stock")</f>
        <v>In stock</v>
      </c>
      <c r="M2942" s="0" t="str">
        <f aca="false">IF(D2942&lt;5,"1) Under 5%",IF(D2942&lt;10,"2) 5-9%",IF(D2942&lt;15,"3) 10-14%",IF(D2942&lt;25,"4) 15-24%","5) 25%+"))))</f>
        <v>2) 5-9%</v>
      </c>
      <c r="N2942" s="0" t="str">
        <f aca="false">IF(F2942&lt;50,"1) Under Rs 50",IF(F2942&lt;100,"2) Rs 50-99",IF(F2942&lt;200,"3) Rs 100-199",IF(F2942&lt;500,"4) Rs 200-499","5) Rs 500+"))))</f>
        <v>3) Rs 100-199</v>
      </c>
      <c r="O2942" s="0" t="n">
        <f aca="false">G2942*E2942/1000</f>
        <v>1.25</v>
      </c>
    </row>
    <row r="2943" customFormat="false" ht="15" hidden="false" customHeight="false" outlineLevel="0" collapsed="false">
      <c r="A2943" s="0" t="s">
        <v>123</v>
      </c>
      <c r="B2943" s="0" t="s">
        <v>1437</v>
      </c>
      <c r="C2943" s="0" t="n">
        <v>399</v>
      </c>
      <c r="D2943" s="0" t="n">
        <v>15</v>
      </c>
      <c r="E2943" s="0" t="n">
        <v>4</v>
      </c>
      <c r="F2943" s="0" t="n">
        <v>339</v>
      </c>
      <c r="G2943" s="0" t="n">
        <v>400</v>
      </c>
      <c r="H2943" s="0" t="s">
        <v>145</v>
      </c>
      <c r="I2943" s="0" t="n">
        <v>400</v>
      </c>
      <c r="J2943" s="0" t="n">
        <f aca="false">F2943*E2943</f>
        <v>1356</v>
      </c>
      <c r="K2943" s="0" t="str">
        <f aca="false">IF(G2943&lt;1000,"1-Low",IF(G2943&lt;5000,"2-Medium","3-Bulk"))</f>
        <v>1-Low</v>
      </c>
      <c r="L2943" s="0" t="str">
        <f aca="false">IF(H2943="TRUE","Out of stock","In stock")</f>
        <v>In stock</v>
      </c>
      <c r="M2943" s="0" t="str">
        <f aca="false">IF(D2943&lt;5,"1) Under 5%",IF(D2943&lt;10,"2) 5-9%",IF(D2943&lt;15,"3) 10-14%",IF(D2943&lt;25,"4) 15-24%","5) 25%+"))))</f>
        <v>4) 15-24%</v>
      </c>
      <c r="N2943" s="0" t="str">
        <f aca="false">IF(F2943&lt;50,"1) Under Rs 50",IF(F2943&lt;100,"2) Rs 50-99",IF(F2943&lt;200,"3) Rs 100-199",IF(F2943&lt;500,"4) Rs 200-499","5) Rs 500+"))))</f>
        <v>4) Rs 200-499</v>
      </c>
      <c r="O2943" s="0" t="n">
        <f aca="false">G2943*E2943/1000</f>
        <v>1.6</v>
      </c>
    </row>
    <row r="2944" customFormat="false" ht="15" hidden="false" customHeight="false" outlineLevel="0" collapsed="false">
      <c r="A2944" s="0" t="s">
        <v>123</v>
      </c>
      <c r="B2944" s="0" t="s">
        <v>1438</v>
      </c>
      <c r="C2944" s="0" t="n">
        <v>55</v>
      </c>
      <c r="D2944" s="0" t="n">
        <v>0</v>
      </c>
      <c r="E2944" s="0" t="n">
        <v>6</v>
      </c>
      <c r="F2944" s="0" t="n">
        <v>55</v>
      </c>
      <c r="G2944" s="0" t="n">
        <v>10</v>
      </c>
      <c r="H2944" s="0" t="s">
        <v>145</v>
      </c>
      <c r="I2944" s="0" t="n">
        <v>10</v>
      </c>
      <c r="J2944" s="0" t="n">
        <f aca="false">F2944*E2944</f>
        <v>330</v>
      </c>
      <c r="K2944" s="0" t="str">
        <f aca="false">IF(G2944&lt;1000,"1-Low",IF(G2944&lt;5000,"2-Medium","3-Bulk"))</f>
        <v>1-Low</v>
      </c>
      <c r="L2944" s="0" t="str">
        <f aca="false">IF(H2944="TRUE","Out of stock","In stock")</f>
        <v>In stock</v>
      </c>
      <c r="M2944" s="0" t="str">
        <f aca="false">IF(D2944&lt;5,"1) Under 5%",IF(D2944&lt;10,"2) 5-9%",IF(D2944&lt;15,"3) 10-14%",IF(D2944&lt;25,"4) 15-24%","5) 25%+"))))</f>
        <v>1) Under 5%</v>
      </c>
      <c r="N2944" s="0" t="str">
        <f aca="false">IF(F2944&lt;50,"1) Under Rs 50",IF(F2944&lt;100,"2) Rs 50-99",IF(F2944&lt;200,"3) Rs 100-199",IF(F2944&lt;500,"4) Rs 200-499","5) Rs 500+"))))</f>
        <v>2) Rs 50-99</v>
      </c>
      <c r="O2944" s="0" t="n">
        <f aca="false">G2944*E2944/1000</f>
        <v>0.06</v>
      </c>
    </row>
    <row r="2945" customFormat="false" ht="15" hidden="false" customHeight="false" outlineLevel="0" collapsed="false">
      <c r="A2945" s="0" t="s">
        <v>123</v>
      </c>
      <c r="B2945" s="0" t="s">
        <v>1439</v>
      </c>
      <c r="C2945" s="0" t="n">
        <v>230</v>
      </c>
      <c r="D2945" s="0" t="n">
        <v>18</v>
      </c>
      <c r="E2945" s="0" t="n">
        <v>1</v>
      </c>
      <c r="F2945" s="0" t="n">
        <v>188</v>
      </c>
      <c r="G2945" s="0" t="n">
        <v>400</v>
      </c>
      <c r="H2945" s="0" t="s">
        <v>145</v>
      </c>
      <c r="I2945" s="0" t="n">
        <v>400</v>
      </c>
      <c r="J2945" s="0" t="n">
        <f aca="false">F2945*E2945</f>
        <v>188</v>
      </c>
      <c r="K2945" s="0" t="str">
        <f aca="false">IF(G2945&lt;1000,"1-Low",IF(G2945&lt;5000,"2-Medium","3-Bulk"))</f>
        <v>1-Low</v>
      </c>
      <c r="L2945" s="0" t="str">
        <f aca="false">IF(H2945="TRUE","Out of stock","In stock")</f>
        <v>In stock</v>
      </c>
      <c r="M2945" s="0" t="str">
        <f aca="false">IF(D2945&lt;5,"1) Under 5%",IF(D2945&lt;10,"2) 5-9%",IF(D2945&lt;15,"3) 10-14%",IF(D2945&lt;25,"4) 15-24%","5) 25%+"))))</f>
        <v>4) 15-24%</v>
      </c>
      <c r="N2945" s="0" t="str">
        <f aca="false">IF(F2945&lt;50,"1) Under Rs 50",IF(F2945&lt;100,"2) Rs 50-99",IF(F2945&lt;200,"3) Rs 100-199",IF(F2945&lt;500,"4) Rs 200-499","5) Rs 500+"))))</f>
        <v>3) Rs 100-199</v>
      </c>
      <c r="O2945" s="0" t="n">
        <f aca="false">G2945*E2945/1000</f>
        <v>0.4</v>
      </c>
    </row>
    <row r="2946" customFormat="false" ht="15" hidden="false" customHeight="false" outlineLevel="0" collapsed="false">
      <c r="A2946" s="0" t="s">
        <v>123</v>
      </c>
      <c r="B2946" s="0" t="s">
        <v>1417</v>
      </c>
      <c r="C2946" s="0" t="n">
        <v>310</v>
      </c>
      <c r="D2946" s="0" t="n">
        <v>15</v>
      </c>
      <c r="E2946" s="0" t="n">
        <v>6</v>
      </c>
      <c r="F2946" s="0" t="n">
        <v>263</v>
      </c>
      <c r="G2946" s="0" t="n">
        <v>200</v>
      </c>
      <c r="H2946" s="0" t="s">
        <v>145</v>
      </c>
      <c r="I2946" s="0" t="n">
        <v>200</v>
      </c>
      <c r="J2946" s="0" t="n">
        <f aca="false">F2946*E2946</f>
        <v>1578</v>
      </c>
      <c r="K2946" s="0" t="str">
        <f aca="false">IF(G2946&lt;1000,"1-Low",IF(G2946&lt;5000,"2-Medium","3-Bulk"))</f>
        <v>1-Low</v>
      </c>
      <c r="L2946" s="0" t="str">
        <f aca="false">IF(H2946="TRUE","Out of stock","In stock")</f>
        <v>In stock</v>
      </c>
      <c r="M2946" s="0" t="str">
        <f aca="false">IF(D2946&lt;5,"1) Under 5%",IF(D2946&lt;10,"2) 5-9%",IF(D2946&lt;15,"3) 10-14%",IF(D2946&lt;25,"4) 15-24%","5) 25%+"))))</f>
        <v>4) 15-24%</v>
      </c>
      <c r="N2946" s="0" t="str">
        <f aca="false">IF(F2946&lt;50,"1) Under Rs 50",IF(F2946&lt;100,"2) Rs 50-99",IF(F2946&lt;200,"3) Rs 100-199",IF(F2946&lt;500,"4) Rs 200-499","5) Rs 500+"))))</f>
        <v>4) Rs 200-499</v>
      </c>
      <c r="O2946" s="0" t="n">
        <f aca="false">G2946*E2946/1000</f>
        <v>1.2</v>
      </c>
    </row>
    <row r="2947" customFormat="false" ht="15" hidden="false" customHeight="false" outlineLevel="0" collapsed="false">
      <c r="A2947" s="0" t="s">
        <v>123</v>
      </c>
      <c r="B2947" s="0" t="s">
        <v>1440</v>
      </c>
      <c r="C2947" s="0" t="n">
        <v>200</v>
      </c>
      <c r="D2947" s="0" t="n">
        <v>10</v>
      </c>
      <c r="E2947" s="0" t="n">
        <v>6</v>
      </c>
      <c r="F2947" s="0" t="n">
        <v>180</v>
      </c>
      <c r="G2947" s="0" t="n">
        <v>120</v>
      </c>
      <c r="H2947" s="0" t="s">
        <v>145</v>
      </c>
      <c r="I2947" s="0" t="n">
        <v>120</v>
      </c>
      <c r="J2947" s="0" t="n">
        <f aca="false">F2947*E2947</f>
        <v>1080</v>
      </c>
      <c r="K2947" s="0" t="str">
        <f aca="false">IF(G2947&lt;1000,"1-Low",IF(G2947&lt;5000,"2-Medium","3-Bulk"))</f>
        <v>1-Low</v>
      </c>
      <c r="L2947" s="0" t="str">
        <f aca="false">IF(H2947="TRUE","Out of stock","In stock")</f>
        <v>In stock</v>
      </c>
      <c r="M2947" s="0" t="str">
        <f aca="false">IF(D2947&lt;5,"1) Under 5%",IF(D2947&lt;10,"2) 5-9%",IF(D2947&lt;15,"3) 10-14%",IF(D2947&lt;25,"4) 15-24%","5) 25%+"))))</f>
        <v>3) 10-14%</v>
      </c>
      <c r="N2947" s="0" t="str">
        <f aca="false">IF(F2947&lt;50,"1) Under Rs 50",IF(F2947&lt;100,"2) Rs 50-99",IF(F2947&lt;200,"3) Rs 100-199",IF(F2947&lt;500,"4) Rs 200-499","5) Rs 500+"))))</f>
        <v>3) Rs 100-199</v>
      </c>
      <c r="O2947" s="0" t="n">
        <f aca="false">G2947*E2947/1000</f>
        <v>0.72</v>
      </c>
    </row>
    <row r="2948" customFormat="false" ht="15" hidden="false" customHeight="false" outlineLevel="0" collapsed="false">
      <c r="A2948" s="0" t="s">
        <v>123</v>
      </c>
      <c r="B2948" s="0" t="s">
        <v>1406</v>
      </c>
      <c r="C2948" s="0" t="n">
        <v>150</v>
      </c>
      <c r="D2948" s="0" t="n">
        <v>10</v>
      </c>
      <c r="E2948" s="0" t="n">
        <v>6</v>
      </c>
      <c r="F2948" s="0" t="n">
        <v>135</v>
      </c>
      <c r="G2948" s="0" t="n">
        <v>250</v>
      </c>
      <c r="H2948" s="0" t="s">
        <v>145</v>
      </c>
      <c r="I2948" s="0" t="n">
        <v>250</v>
      </c>
      <c r="J2948" s="0" t="n">
        <f aca="false">F2948*E2948</f>
        <v>810</v>
      </c>
      <c r="K2948" s="0" t="str">
        <f aca="false">IF(G2948&lt;1000,"1-Low",IF(G2948&lt;5000,"2-Medium","3-Bulk"))</f>
        <v>1-Low</v>
      </c>
      <c r="L2948" s="0" t="str">
        <f aca="false">IF(H2948="TRUE","Out of stock","In stock")</f>
        <v>In stock</v>
      </c>
      <c r="M2948" s="0" t="str">
        <f aca="false">IF(D2948&lt;5,"1) Under 5%",IF(D2948&lt;10,"2) 5-9%",IF(D2948&lt;15,"3) 10-14%",IF(D2948&lt;25,"4) 15-24%","5) 25%+"))))</f>
        <v>3) 10-14%</v>
      </c>
      <c r="N2948" s="0" t="str">
        <f aca="false">IF(F2948&lt;50,"1) Under Rs 50",IF(F2948&lt;100,"2) Rs 50-99",IF(F2948&lt;200,"3) Rs 100-199",IF(F2948&lt;500,"4) Rs 200-499","5) Rs 500+"))))</f>
        <v>3) Rs 100-199</v>
      </c>
      <c r="O2948" s="0" t="n">
        <f aca="false">G2948*E2948/1000</f>
        <v>1.5</v>
      </c>
    </row>
    <row r="2949" customFormat="false" ht="15" hidden="false" customHeight="false" outlineLevel="0" collapsed="false">
      <c r="A2949" s="0" t="s">
        <v>123</v>
      </c>
      <c r="B2949" s="0" t="s">
        <v>1441</v>
      </c>
      <c r="C2949" s="0" t="n">
        <v>349</v>
      </c>
      <c r="D2949" s="0" t="n">
        <v>10</v>
      </c>
      <c r="E2949" s="0" t="n">
        <v>1</v>
      </c>
      <c r="F2949" s="0" t="n">
        <v>314</v>
      </c>
      <c r="G2949" s="0" t="n">
        <v>100</v>
      </c>
      <c r="H2949" s="0" t="s">
        <v>145</v>
      </c>
      <c r="I2949" s="0" t="n">
        <v>100</v>
      </c>
      <c r="J2949" s="0" t="n">
        <f aca="false">F2949*E2949</f>
        <v>314</v>
      </c>
      <c r="K2949" s="0" t="str">
        <f aca="false">IF(G2949&lt;1000,"1-Low",IF(G2949&lt;5000,"2-Medium","3-Bulk"))</f>
        <v>1-Low</v>
      </c>
      <c r="L2949" s="0" t="str">
        <f aca="false">IF(H2949="TRUE","Out of stock","In stock")</f>
        <v>In stock</v>
      </c>
      <c r="M2949" s="0" t="str">
        <f aca="false">IF(D2949&lt;5,"1) Under 5%",IF(D2949&lt;10,"2) 5-9%",IF(D2949&lt;15,"3) 10-14%",IF(D2949&lt;25,"4) 15-24%","5) 25%+"))))</f>
        <v>3) 10-14%</v>
      </c>
      <c r="N2949" s="0" t="str">
        <f aca="false">IF(F2949&lt;50,"1) Under Rs 50",IF(F2949&lt;100,"2) Rs 50-99",IF(F2949&lt;200,"3) Rs 100-199",IF(F2949&lt;500,"4) Rs 200-499","5) Rs 500+"))))</f>
        <v>4) Rs 200-499</v>
      </c>
      <c r="O2949" s="0" t="n">
        <f aca="false">G2949*E2949/1000</f>
        <v>0.1</v>
      </c>
    </row>
    <row r="2950" customFormat="false" ht="15" hidden="false" customHeight="false" outlineLevel="0" collapsed="false">
      <c r="A2950" s="0" t="s">
        <v>123</v>
      </c>
      <c r="B2950" s="0" t="s">
        <v>1442</v>
      </c>
      <c r="C2950" s="0" t="n">
        <v>270</v>
      </c>
      <c r="D2950" s="0" t="n">
        <v>15</v>
      </c>
      <c r="E2950" s="0" t="n">
        <v>6</v>
      </c>
      <c r="F2950" s="0" t="n">
        <v>229</v>
      </c>
      <c r="G2950" s="0" t="n">
        <v>300</v>
      </c>
      <c r="H2950" s="0" t="s">
        <v>145</v>
      </c>
      <c r="I2950" s="0" t="n">
        <v>300</v>
      </c>
      <c r="J2950" s="0" t="n">
        <f aca="false">F2950*E2950</f>
        <v>1374</v>
      </c>
      <c r="K2950" s="0" t="str">
        <f aca="false">IF(G2950&lt;1000,"1-Low",IF(G2950&lt;5000,"2-Medium","3-Bulk"))</f>
        <v>1-Low</v>
      </c>
      <c r="L2950" s="0" t="str">
        <f aca="false">IF(H2950="TRUE","Out of stock","In stock")</f>
        <v>In stock</v>
      </c>
      <c r="M2950" s="0" t="str">
        <f aca="false">IF(D2950&lt;5,"1) Under 5%",IF(D2950&lt;10,"2) 5-9%",IF(D2950&lt;15,"3) 10-14%",IF(D2950&lt;25,"4) 15-24%","5) 25%+"))))</f>
        <v>4) 15-24%</v>
      </c>
      <c r="N2950" s="0" t="str">
        <f aca="false">IF(F2950&lt;50,"1) Under Rs 50",IF(F2950&lt;100,"2) Rs 50-99",IF(F2950&lt;200,"3) Rs 100-199",IF(F2950&lt;500,"4) Rs 200-499","5) Rs 500+"))))</f>
        <v>4) Rs 200-499</v>
      </c>
      <c r="O2950" s="0" t="n">
        <f aca="false">G2950*E2950/1000</f>
        <v>1.8</v>
      </c>
    </row>
    <row r="2951" customFormat="false" ht="15" hidden="false" customHeight="false" outlineLevel="0" collapsed="false">
      <c r="A2951" s="0" t="s">
        <v>123</v>
      </c>
      <c r="B2951" s="0" t="s">
        <v>1443</v>
      </c>
      <c r="C2951" s="0" t="n">
        <v>165</v>
      </c>
      <c r="D2951" s="0" t="n">
        <v>0</v>
      </c>
      <c r="E2951" s="0" t="n">
        <v>4</v>
      </c>
      <c r="F2951" s="0" t="n">
        <v>165</v>
      </c>
      <c r="G2951" s="0" t="n">
        <v>210</v>
      </c>
      <c r="H2951" s="0" t="s">
        <v>145</v>
      </c>
      <c r="I2951" s="0" t="n">
        <v>210</v>
      </c>
      <c r="J2951" s="0" t="n">
        <f aca="false">F2951*E2951</f>
        <v>660</v>
      </c>
      <c r="K2951" s="0" t="str">
        <f aca="false">IF(G2951&lt;1000,"1-Low",IF(G2951&lt;5000,"2-Medium","3-Bulk"))</f>
        <v>1-Low</v>
      </c>
      <c r="L2951" s="0" t="str">
        <f aca="false">IF(H2951="TRUE","Out of stock","In stock")</f>
        <v>In stock</v>
      </c>
      <c r="M2951" s="0" t="str">
        <f aca="false">IF(D2951&lt;5,"1) Under 5%",IF(D2951&lt;10,"2) 5-9%",IF(D2951&lt;15,"3) 10-14%",IF(D2951&lt;25,"4) 15-24%","5) 25%+"))))</f>
        <v>1) Under 5%</v>
      </c>
      <c r="N2951" s="0" t="str">
        <f aca="false">IF(F2951&lt;50,"1) Under Rs 50",IF(F2951&lt;100,"2) Rs 50-99",IF(F2951&lt;200,"3) Rs 100-199",IF(F2951&lt;500,"4) Rs 200-499","5) Rs 500+"))))</f>
        <v>3) Rs 100-199</v>
      </c>
      <c r="O2951" s="0" t="n">
        <f aca="false">G2951*E2951/1000</f>
        <v>0.84</v>
      </c>
    </row>
    <row r="2952" customFormat="false" ht="15" hidden="false" customHeight="false" outlineLevel="0" collapsed="false">
      <c r="A2952" s="0" t="s">
        <v>123</v>
      </c>
      <c r="B2952" s="0" t="s">
        <v>1444</v>
      </c>
      <c r="C2952" s="0" t="n">
        <v>249</v>
      </c>
      <c r="D2952" s="0" t="n">
        <v>0</v>
      </c>
      <c r="E2952" s="0" t="n">
        <v>6</v>
      </c>
      <c r="F2952" s="0" t="n">
        <v>249</v>
      </c>
      <c r="G2952" s="0" t="n">
        <v>116</v>
      </c>
      <c r="H2952" s="0" t="s">
        <v>145</v>
      </c>
      <c r="I2952" s="0" t="n">
        <v>2</v>
      </c>
      <c r="J2952" s="0" t="n">
        <f aca="false">F2952*E2952</f>
        <v>1494</v>
      </c>
      <c r="K2952" s="0" t="str">
        <f aca="false">IF(G2952&lt;1000,"1-Low",IF(G2952&lt;5000,"2-Medium","3-Bulk"))</f>
        <v>1-Low</v>
      </c>
      <c r="L2952" s="0" t="str">
        <f aca="false">IF(H2952="TRUE","Out of stock","In stock")</f>
        <v>In stock</v>
      </c>
      <c r="M2952" s="0" t="str">
        <f aca="false">IF(D2952&lt;5,"1) Under 5%",IF(D2952&lt;10,"2) 5-9%",IF(D2952&lt;15,"3) 10-14%",IF(D2952&lt;25,"4) 15-24%","5) 25%+"))))</f>
        <v>1) Under 5%</v>
      </c>
      <c r="N2952" s="0" t="str">
        <f aca="false">IF(F2952&lt;50,"1) Under Rs 50",IF(F2952&lt;100,"2) Rs 50-99",IF(F2952&lt;200,"3) Rs 100-199",IF(F2952&lt;500,"4) Rs 200-499","5) Rs 500+"))))</f>
        <v>4) Rs 200-499</v>
      </c>
      <c r="O2952" s="0" t="n">
        <f aca="false">G2952*E2952/1000</f>
        <v>0.696</v>
      </c>
    </row>
    <row r="2953" customFormat="false" ht="15" hidden="false" customHeight="false" outlineLevel="0" collapsed="false">
      <c r="A2953" s="0" t="s">
        <v>123</v>
      </c>
      <c r="B2953" s="0" t="s">
        <v>1445</v>
      </c>
      <c r="C2953" s="0" t="n">
        <v>185</v>
      </c>
      <c r="D2953" s="0" t="n">
        <v>0</v>
      </c>
      <c r="E2953" s="0" t="n">
        <v>2</v>
      </c>
      <c r="F2953" s="0" t="n">
        <v>185</v>
      </c>
      <c r="G2953" s="0" t="n">
        <v>100</v>
      </c>
      <c r="H2953" s="0" t="s">
        <v>145</v>
      </c>
      <c r="I2953" s="0" t="n">
        <v>100</v>
      </c>
      <c r="J2953" s="0" t="n">
        <f aca="false">F2953*E2953</f>
        <v>370</v>
      </c>
      <c r="K2953" s="0" t="str">
        <f aca="false">IF(G2953&lt;1000,"1-Low",IF(G2953&lt;5000,"2-Medium","3-Bulk"))</f>
        <v>1-Low</v>
      </c>
      <c r="L2953" s="0" t="str">
        <f aca="false">IF(H2953="TRUE","Out of stock","In stock")</f>
        <v>In stock</v>
      </c>
      <c r="M2953" s="0" t="str">
        <f aca="false">IF(D2953&lt;5,"1) Under 5%",IF(D2953&lt;10,"2) 5-9%",IF(D2953&lt;15,"3) 10-14%",IF(D2953&lt;25,"4) 15-24%","5) 25%+"))))</f>
        <v>1) Under 5%</v>
      </c>
      <c r="N2953" s="0" t="str">
        <f aca="false">IF(F2953&lt;50,"1) Under Rs 50",IF(F2953&lt;100,"2) Rs 50-99",IF(F2953&lt;200,"3) Rs 100-199",IF(F2953&lt;500,"4) Rs 200-499","5) Rs 500+"))))</f>
        <v>3) Rs 100-199</v>
      </c>
      <c r="O2953" s="0" t="n">
        <f aca="false">G2953*E2953/1000</f>
        <v>0.2</v>
      </c>
    </row>
    <row r="2954" customFormat="false" ht="15" hidden="false" customHeight="false" outlineLevel="0" collapsed="false">
      <c r="A2954" s="0" t="s">
        <v>123</v>
      </c>
      <c r="B2954" s="0" t="s">
        <v>1446</v>
      </c>
      <c r="C2954" s="0" t="n">
        <v>150</v>
      </c>
      <c r="D2954" s="0" t="n">
        <v>0</v>
      </c>
      <c r="E2954" s="0" t="n">
        <v>6</v>
      </c>
      <c r="F2954" s="0" t="n">
        <v>150</v>
      </c>
      <c r="G2954" s="0" t="n">
        <v>100</v>
      </c>
      <c r="H2954" s="0" t="s">
        <v>145</v>
      </c>
      <c r="I2954" s="0" t="n">
        <v>100</v>
      </c>
      <c r="J2954" s="0" t="n">
        <f aca="false">F2954*E2954</f>
        <v>900</v>
      </c>
      <c r="K2954" s="0" t="str">
        <f aca="false">IF(G2954&lt;1000,"1-Low",IF(G2954&lt;5000,"2-Medium","3-Bulk"))</f>
        <v>1-Low</v>
      </c>
      <c r="L2954" s="0" t="str">
        <f aca="false">IF(H2954="TRUE","Out of stock","In stock")</f>
        <v>In stock</v>
      </c>
      <c r="M2954" s="0" t="str">
        <f aca="false">IF(D2954&lt;5,"1) Under 5%",IF(D2954&lt;10,"2) 5-9%",IF(D2954&lt;15,"3) 10-14%",IF(D2954&lt;25,"4) 15-24%","5) 25%+"))))</f>
        <v>1) Under 5%</v>
      </c>
      <c r="N2954" s="0" t="str">
        <f aca="false">IF(F2954&lt;50,"1) Under Rs 50",IF(F2954&lt;100,"2) Rs 50-99",IF(F2954&lt;200,"3) Rs 100-199",IF(F2954&lt;500,"4) Rs 200-499","5) Rs 500+"))))</f>
        <v>3) Rs 100-199</v>
      </c>
      <c r="O2954" s="0" t="n">
        <f aca="false">G2954*E2954/1000</f>
        <v>0.6</v>
      </c>
    </row>
    <row r="2955" customFormat="false" ht="15" hidden="false" customHeight="false" outlineLevel="0" collapsed="false">
      <c r="A2955" s="0" t="s">
        <v>123</v>
      </c>
      <c r="B2955" s="0" t="s">
        <v>1391</v>
      </c>
      <c r="C2955" s="0" t="n">
        <v>105</v>
      </c>
      <c r="D2955" s="0" t="n">
        <v>0</v>
      </c>
      <c r="E2955" s="0" t="n">
        <v>6</v>
      </c>
      <c r="F2955" s="0" t="n">
        <v>105</v>
      </c>
      <c r="G2955" s="0" t="n">
        <v>150</v>
      </c>
      <c r="H2955" s="0" t="s">
        <v>145</v>
      </c>
      <c r="I2955" s="0" t="n">
        <v>150</v>
      </c>
      <c r="J2955" s="0" t="n">
        <f aca="false">F2955*E2955</f>
        <v>630</v>
      </c>
      <c r="K2955" s="0" t="str">
        <f aca="false">IF(G2955&lt;1000,"1-Low",IF(G2955&lt;5000,"2-Medium","3-Bulk"))</f>
        <v>1-Low</v>
      </c>
      <c r="L2955" s="0" t="str">
        <f aca="false">IF(H2955="TRUE","Out of stock","In stock")</f>
        <v>In stock</v>
      </c>
      <c r="M2955" s="0" t="str">
        <f aca="false">IF(D2955&lt;5,"1) Under 5%",IF(D2955&lt;10,"2) 5-9%",IF(D2955&lt;15,"3) 10-14%",IF(D2955&lt;25,"4) 15-24%","5) 25%+"))))</f>
        <v>1) Under 5%</v>
      </c>
      <c r="N2955" s="0" t="str">
        <f aca="false">IF(F2955&lt;50,"1) Under Rs 50",IF(F2955&lt;100,"2) Rs 50-99",IF(F2955&lt;200,"3) Rs 100-199",IF(F2955&lt;500,"4) Rs 200-499","5) Rs 500+"))))</f>
        <v>3) Rs 100-199</v>
      </c>
      <c r="O2955" s="0" t="n">
        <f aca="false">G2955*E2955/1000</f>
        <v>0.9</v>
      </c>
    </row>
    <row r="2956" customFormat="false" ht="15" hidden="false" customHeight="false" outlineLevel="0" collapsed="false">
      <c r="A2956" s="0" t="s">
        <v>123</v>
      </c>
      <c r="B2956" s="0" t="s">
        <v>1447</v>
      </c>
      <c r="C2956" s="0" t="n">
        <v>320</v>
      </c>
      <c r="D2956" s="0" t="n">
        <v>17</v>
      </c>
      <c r="E2956" s="0" t="n">
        <v>6</v>
      </c>
      <c r="F2956" s="0" t="n">
        <v>265</v>
      </c>
      <c r="G2956" s="0" t="n">
        <v>400</v>
      </c>
      <c r="H2956" s="0" t="s">
        <v>145</v>
      </c>
      <c r="I2956" s="0" t="n">
        <v>400</v>
      </c>
      <c r="J2956" s="0" t="n">
        <f aca="false">F2956*E2956</f>
        <v>1590</v>
      </c>
      <c r="K2956" s="0" t="str">
        <f aca="false">IF(G2956&lt;1000,"1-Low",IF(G2956&lt;5000,"2-Medium","3-Bulk"))</f>
        <v>1-Low</v>
      </c>
      <c r="L2956" s="0" t="str">
        <f aca="false">IF(H2956="TRUE","Out of stock","In stock")</f>
        <v>In stock</v>
      </c>
      <c r="M2956" s="0" t="str">
        <f aca="false">IF(D2956&lt;5,"1) Under 5%",IF(D2956&lt;10,"2) 5-9%",IF(D2956&lt;15,"3) 10-14%",IF(D2956&lt;25,"4) 15-24%","5) 25%+"))))</f>
        <v>4) 15-24%</v>
      </c>
      <c r="N2956" s="0" t="str">
        <f aca="false">IF(F2956&lt;50,"1) Under Rs 50",IF(F2956&lt;100,"2) Rs 50-99",IF(F2956&lt;200,"3) Rs 100-199",IF(F2956&lt;500,"4) Rs 200-499","5) Rs 500+"))))</f>
        <v>4) Rs 200-499</v>
      </c>
      <c r="O2956" s="0" t="n">
        <f aca="false">G2956*E2956/1000</f>
        <v>2.4</v>
      </c>
    </row>
    <row r="2957" customFormat="false" ht="15" hidden="false" customHeight="false" outlineLevel="0" collapsed="false">
      <c r="A2957" s="0" t="s">
        <v>123</v>
      </c>
      <c r="B2957" s="0" t="s">
        <v>1448</v>
      </c>
      <c r="C2957" s="0" t="n">
        <v>550</v>
      </c>
      <c r="D2957" s="0" t="n">
        <v>0</v>
      </c>
      <c r="E2957" s="0" t="n">
        <v>3</v>
      </c>
      <c r="F2957" s="0" t="n">
        <v>550</v>
      </c>
      <c r="G2957" s="0" t="n">
        <v>88</v>
      </c>
      <c r="H2957" s="0" t="s">
        <v>145</v>
      </c>
      <c r="I2957" s="0" t="n">
        <v>87</v>
      </c>
      <c r="J2957" s="0" t="n">
        <f aca="false">F2957*E2957</f>
        <v>1650</v>
      </c>
      <c r="K2957" s="0" t="str">
        <f aca="false">IF(G2957&lt;1000,"1-Low",IF(G2957&lt;5000,"2-Medium","3-Bulk"))</f>
        <v>1-Low</v>
      </c>
      <c r="L2957" s="0" t="str">
        <f aca="false">IF(H2957="TRUE","Out of stock","In stock")</f>
        <v>In stock</v>
      </c>
      <c r="M2957" s="0" t="str">
        <f aca="false">IF(D2957&lt;5,"1) Under 5%",IF(D2957&lt;10,"2) 5-9%",IF(D2957&lt;15,"3) 10-14%",IF(D2957&lt;25,"4) 15-24%","5) 25%+"))))</f>
        <v>1) Under 5%</v>
      </c>
      <c r="N2957" s="0" t="str">
        <f aca="false">IF(F2957&lt;50,"1) Under Rs 50",IF(F2957&lt;100,"2) Rs 50-99",IF(F2957&lt;200,"3) Rs 100-199",IF(F2957&lt;500,"4) Rs 200-499","5) Rs 500+"))))</f>
        <v>5) Rs 500+</v>
      </c>
      <c r="O2957" s="0" t="n">
        <f aca="false">G2957*E2957/1000</f>
        <v>0.264</v>
      </c>
    </row>
    <row r="2958" customFormat="false" ht="15" hidden="false" customHeight="false" outlineLevel="0" collapsed="false">
      <c r="A2958" s="0" t="s">
        <v>123</v>
      </c>
      <c r="B2958" s="0" t="s">
        <v>1449</v>
      </c>
      <c r="C2958" s="0" t="n">
        <v>190</v>
      </c>
      <c r="D2958" s="0" t="n">
        <v>11</v>
      </c>
      <c r="E2958" s="0" t="n">
        <v>6</v>
      </c>
      <c r="F2958" s="0" t="n">
        <v>169</v>
      </c>
      <c r="G2958" s="0" t="n">
        <v>150</v>
      </c>
      <c r="H2958" s="0" t="s">
        <v>145</v>
      </c>
      <c r="I2958" s="0" t="n">
        <v>150</v>
      </c>
      <c r="J2958" s="0" t="n">
        <f aca="false">F2958*E2958</f>
        <v>1014</v>
      </c>
      <c r="K2958" s="0" t="str">
        <f aca="false">IF(G2958&lt;1000,"1-Low",IF(G2958&lt;5000,"2-Medium","3-Bulk"))</f>
        <v>1-Low</v>
      </c>
      <c r="L2958" s="0" t="str">
        <f aca="false">IF(H2958="TRUE","Out of stock","In stock")</f>
        <v>In stock</v>
      </c>
      <c r="M2958" s="0" t="str">
        <f aca="false">IF(D2958&lt;5,"1) Under 5%",IF(D2958&lt;10,"2) 5-9%",IF(D2958&lt;15,"3) 10-14%",IF(D2958&lt;25,"4) 15-24%","5) 25%+"))))</f>
        <v>3) 10-14%</v>
      </c>
      <c r="N2958" s="0" t="str">
        <f aca="false">IF(F2958&lt;50,"1) Under Rs 50",IF(F2958&lt;100,"2) Rs 50-99",IF(F2958&lt;200,"3) Rs 100-199",IF(F2958&lt;500,"4) Rs 200-499","5) Rs 500+"))))</f>
        <v>3) Rs 100-199</v>
      </c>
      <c r="O2958" s="0" t="n">
        <f aca="false">G2958*E2958/1000</f>
        <v>0.9</v>
      </c>
    </row>
    <row r="2959" customFormat="false" ht="15" hidden="false" customHeight="false" outlineLevel="0" collapsed="false">
      <c r="A2959" s="0" t="s">
        <v>123</v>
      </c>
      <c r="B2959" s="0" t="s">
        <v>1450</v>
      </c>
      <c r="C2959" s="0" t="n">
        <v>140</v>
      </c>
      <c r="D2959" s="0" t="n">
        <v>10</v>
      </c>
      <c r="E2959" s="0" t="n">
        <v>4</v>
      </c>
      <c r="F2959" s="0" t="n">
        <v>126</v>
      </c>
      <c r="G2959" s="0" t="n">
        <v>100</v>
      </c>
      <c r="H2959" s="0" t="s">
        <v>145</v>
      </c>
      <c r="I2959" s="0" t="n">
        <v>100</v>
      </c>
      <c r="J2959" s="0" t="n">
        <f aca="false">F2959*E2959</f>
        <v>504</v>
      </c>
      <c r="K2959" s="0" t="str">
        <f aca="false">IF(G2959&lt;1000,"1-Low",IF(G2959&lt;5000,"2-Medium","3-Bulk"))</f>
        <v>1-Low</v>
      </c>
      <c r="L2959" s="0" t="str">
        <f aca="false">IF(H2959="TRUE","Out of stock","In stock")</f>
        <v>In stock</v>
      </c>
      <c r="M2959" s="0" t="str">
        <f aca="false">IF(D2959&lt;5,"1) Under 5%",IF(D2959&lt;10,"2) 5-9%",IF(D2959&lt;15,"3) 10-14%",IF(D2959&lt;25,"4) 15-24%","5) 25%+"))))</f>
        <v>3) 10-14%</v>
      </c>
      <c r="N2959" s="0" t="str">
        <f aca="false">IF(F2959&lt;50,"1) Under Rs 50",IF(F2959&lt;100,"2) Rs 50-99",IF(F2959&lt;200,"3) Rs 100-199",IF(F2959&lt;500,"4) Rs 200-499","5) Rs 500+"))))</f>
        <v>3) Rs 100-199</v>
      </c>
      <c r="O2959" s="0" t="n">
        <f aca="false">G2959*E2959/1000</f>
        <v>0.4</v>
      </c>
    </row>
    <row r="2960" customFormat="false" ht="15" hidden="false" customHeight="false" outlineLevel="0" collapsed="false">
      <c r="A2960" s="0" t="s">
        <v>123</v>
      </c>
      <c r="B2960" s="0" t="s">
        <v>1451</v>
      </c>
      <c r="C2960" s="0" t="n">
        <v>75</v>
      </c>
      <c r="D2960" s="0" t="n">
        <v>5</v>
      </c>
      <c r="E2960" s="0" t="n">
        <v>6</v>
      </c>
      <c r="F2960" s="0" t="n">
        <v>71</v>
      </c>
      <c r="G2960" s="0" t="n">
        <v>78</v>
      </c>
      <c r="H2960" s="0" t="s">
        <v>145</v>
      </c>
      <c r="I2960" s="0" t="n">
        <v>78</v>
      </c>
      <c r="J2960" s="0" t="n">
        <f aca="false">F2960*E2960</f>
        <v>426</v>
      </c>
      <c r="K2960" s="0" t="str">
        <f aca="false">IF(G2960&lt;1000,"1-Low",IF(G2960&lt;5000,"2-Medium","3-Bulk"))</f>
        <v>1-Low</v>
      </c>
      <c r="L2960" s="0" t="str">
        <f aca="false">IF(H2960="TRUE","Out of stock","In stock")</f>
        <v>In stock</v>
      </c>
      <c r="M2960" s="0" t="str">
        <f aca="false">IF(D2960&lt;5,"1) Under 5%",IF(D2960&lt;10,"2) 5-9%",IF(D2960&lt;15,"3) 10-14%",IF(D2960&lt;25,"4) 15-24%","5) 25%+"))))</f>
        <v>2) 5-9%</v>
      </c>
      <c r="N2960" s="0" t="str">
        <f aca="false">IF(F2960&lt;50,"1) Under Rs 50",IF(F2960&lt;100,"2) Rs 50-99",IF(F2960&lt;200,"3) Rs 100-199",IF(F2960&lt;500,"4) Rs 200-499","5) Rs 500+"))))</f>
        <v>2) Rs 50-99</v>
      </c>
      <c r="O2960" s="0" t="n">
        <f aca="false">G2960*E2960/1000</f>
        <v>0.468</v>
      </c>
    </row>
    <row r="2961" customFormat="false" ht="15" hidden="false" customHeight="false" outlineLevel="0" collapsed="false">
      <c r="A2961" s="0" t="s">
        <v>123</v>
      </c>
      <c r="B2961" s="0" t="s">
        <v>1452</v>
      </c>
      <c r="C2961" s="0" t="n">
        <v>199</v>
      </c>
      <c r="D2961" s="0" t="n">
        <v>0</v>
      </c>
      <c r="E2961" s="0" t="n">
        <v>4</v>
      </c>
      <c r="F2961" s="0" t="n">
        <v>199</v>
      </c>
      <c r="G2961" s="0" t="n">
        <v>196</v>
      </c>
      <c r="H2961" s="0" t="s">
        <v>145</v>
      </c>
      <c r="I2961" s="0" t="n">
        <v>196</v>
      </c>
      <c r="J2961" s="0" t="n">
        <f aca="false">F2961*E2961</f>
        <v>796</v>
      </c>
      <c r="K2961" s="0" t="str">
        <f aca="false">IF(G2961&lt;1000,"1-Low",IF(G2961&lt;5000,"2-Medium","3-Bulk"))</f>
        <v>1-Low</v>
      </c>
      <c r="L2961" s="0" t="str">
        <f aca="false">IF(H2961="TRUE","Out of stock","In stock")</f>
        <v>In stock</v>
      </c>
      <c r="M2961" s="0" t="str">
        <f aca="false">IF(D2961&lt;5,"1) Under 5%",IF(D2961&lt;10,"2) 5-9%",IF(D2961&lt;15,"3) 10-14%",IF(D2961&lt;25,"4) 15-24%","5) 25%+"))))</f>
        <v>1) Under 5%</v>
      </c>
      <c r="N2961" s="0" t="str">
        <f aca="false">IF(F2961&lt;50,"1) Under Rs 50",IF(F2961&lt;100,"2) Rs 50-99",IF(F2961&lt;200,"3) Rs 100-199",IF(F2961&lt;500,"4) Rs 200-499","5) Rs 500+"))))</f>
        <v>3) Rs 100-199</v>
      </c>
      <c r="O2961" s="0" t="n">
        <f aca="false">G2961*E2961/1000</f>
        <v>0.784</v>
      </c>
    </row>
    <row r="2962" customFormat="false" ht="15" hidden="false" customHeight="false" outlineLevel="0" collapsed="false">
      <c r="A2962" s="0" t="s">
        <v>123</v>
      </c>
      <c r="B2962" s="0" t="s">
        <v>1413</v>
      </c>
      <c r="C2962" s="0" t="n">
        <v>190</v>
      </c>
      <c r="D2962" s="0" t="n">
        <v>0</v>
      </c>
      <c r="E2962" s="0" t="n">
        <v>6</v>
      </c>
      <c r="F2962" s="0" t="n">
        <v>190</v>
      </c>
      <c r="G2962" s="0" t="n">
        <v>175</v>
      </c>
      <c r="H2962" s="0" t="s">
        <v>145</v>
      </c>
      <c r="I2962" s="0" t="n">
        <v>180</v>
      </c>
      <c r="J2962" s="0" t="n">
        <f aca="false">F2962*E2962</f>
        <v>1140</v>
      </c>
      <c r="K2962" s="0" t="str">
        <f aca="false">IF(G2962&lt;1000,"1-Low",IF(G2962&lt;5000,"2-Medium","3-Bulk"))</f>
        <v>1-Low</v>
      </c>
      <c r="L2962" s="0" t="str">
        <f aca="false">IF(H2962="TRUE","Out of stock","In stock")</f>
        <v>In stock</v>
      </c>
      <c r="M2962" s="0" t="str">
        <f aca="false">IF(D2962&lt;5,"1) Under 5%",IF(D2962&lt;10,"2) 5-9%",IF(D2962&lt;15,"3) 10-14%",IF(D2962&lt;25,"4) 15-24%","5) 25%+"))))</f>
        <v>1) Under 5%</v>
      </c>
      <c r="N2962" s="0" t="str">
        <f aca="false">IF(F2962&lt;50,"1) Under Rs 50",IF(F2962&lt;100,"2) Rs 50-99",IF(F2962&lt;200,"3) Rs 100-199",IF(F2962&lt;500,"4) Rs 200-499","5) Rs 500+"))))</f>
        <v>3) Rs 100-199</v>
      </c>
      <c r="O2962" s="0" t="n">
        <f aca="false">G2962*E2962/1000</f>
        <v>1.05</v>
      </c>
    </row>
    <row r="2963" customFormat="false" ht="15" hidden="false" customHeight="false" outlineLevel="0" collapsed="false">
      <c r="A2963" s="0" t="s">
        <v>123</v>
      </c>
      <c r="B2963" s="0" t="s">
        <v>1453</v>
      </c>
      <c r="C2963" s="0" t="n">
        <v>180</v>
      </c>
      <c r="D2963" s="0" t="n">
        <v>0</v>
      </c>
      <c r="E2963" s="0" t="n">
        <v>6</v>
      </c>
      <c r="F2963" s="0" t="n">
        <v>180</v>
      </c>
      <c r="G2963" s="0" t="n">
        <v>200</v>
      </c>
      <c r="H2963" s="0" t="s">
        <v>145</v>
      </c>
      <c r="I2963" s="0" t="n">
        <v>200</v>
      </c>
      <c r="J2963" s="0" t="n">
        <f aca="false">F2963*E2963</f>
        <v>1080</v>
      </c>
      <c r="K2963" s="0" t="str">
        <f aca="false">IF(G2963&lt;1000,"1-Low",IF(G2963&lt;5000,"2-Medium","3-Bulk"))</f>
        <v>1-Low</v>
      </c>
      <c r="L2963" s="0" t="str">
        <f aca="false">IF(H2963="TRUE","Out of stock","In stock")</f>
        <v>In stock</v>
      </c>
      <c r="M2963" s="0" t="str">
        <f aca="false">IF(D2963&lt;5,"1) Under 5%",IF(D2963&lt;10,"2) 5-9%",IF(D2963&lt;15,"3) 10-14%",IF(D2963&lt;25,"4) 15-24%","5) 25%+"))))</f>
        <v>1) Under 5%</v>
      </c>
      <c r="N2963" s="0" t="str">
        <f aca="false">IF(F2963&lt;50,"1) Under Rs 50",IF(F2963&lt;100,"2) Rs 50-99",IF(F2963&lt;200,"3) Rs 100-199",IF(F2963&lt;500,"4) Rs 200-499","5) Rs 500+"))))</f>
        <v>3) Rs 100-199</v>
      </c>
      <c r="O2963" s="0" t="n">
        <f aca="false">G2963*E2963/1000</f>
        <v>1.2</v>
      </c>
    </row>
    <row r="2964" customFormat="false" ht="15" hidden="false" customHeight="false" outlineLevel="0" collapsed="false">
      <c r="A2964" s="0" t="s">
        <v>123</v>
      </c>
      <c r="B2964" s="0" t="s">
        <v>1454</v>
      </c>
      <c r="C2964" s="0" t="n">
        <v>155</v>
      </c>
      <c r="D2964" s="0" t="n">
        <v>9</v>
      </c>
      <c r="E2964" s="0" t="n">
        <v>4</v>
      </c>
      <c r="F2964" s="0" t="n">
        <v>140</v>
      </c>
      <c r="G2964" s="0" t="n">
        <v>180</v>
      </c>
      <c r="H2964" s="0" t="s">
        <v>145</v>
      </c>
      <c r="I2964" s="0" t="n">
        <v>180</v>
      </c>
      <c r="J2964" s="0" t="n">
        <f aca="false">F2964*E2964</f>
        <v>560</v>
      </c>
      <c r="K2964" s="0" t="str">
        <f aca="false">IF(G2964&lt;1000,"1-Low",IF(G2964&lt;5000,"2-Medium","3-Bulk"))</f>
        <v>1-Low</v>
      </c>
      <c r="L2964" s="0" t="str">
        <f aca="false">IF(H2964="TRUE","Out of stock","In stock")</f>
        <v>In stock</v>
      </c>
      <c r="M2964" s="0" t="str">
        <f aca="false">IF(D2964&lt;5,"1) Under 5%",IF(D2964&lt;10,"2) 5-9%",IF(D2964&lt;15,"3) 10-14%",IF(D2964&lt;25,"4) 15-24%","5) 25%+"))))</f>
        <v>2) 5-9%</v>
      </c>
      <c r="N2964" s="0" t="str">
        <f aca="false">IF(F2964&lt;50,"1) Under Rs 50",IF(F2964&lt;100,"2) Rs 50-99",IF(F2964&lt;200,"3) Rs 100-199",IF(F2964&lt;500,"4) Rs 200-499","5) Rs 500+"))))</f>
        <v>3) Rs 100-199</v>
      </c>
      <c r="O2964" s="0" t="n">
        <f aca="false">G2964*E2964/1000</f>
        <v>0.72</v>
      </c>
    </row>
    <row r="2965" customFormat="false" ht="15" hidden="false" customHeight="false" outlineLevel="0" collapsed="false">
      <c r="A2965" s="0" t="s">
        <v>123</v>
      </c>
      <c r="B2965" s="0" t="s">
        <v>1455</v>
      </c>
      <c r="C2965" s="0" t="n">
        <v>120</v>
      </c>
      <c r="D2965" s="0" t="n">
        <v>6</v>
      </c>
      <c r="E2965" s="0" t="n">
        <v>6</v>
      </c>
      <c r="F2965" s="0" t="n">
        <v>112</v>
      </c>
      <c r="G2965" s="0" t="n">
        <v>180</v>
      </c>
      <c r="H2965" s="0" t="s">
        <v>145</v>
      </c>
      <c r="I2965" s="0" t="n">
        <v>180</v>
      </c>
      <c r="J2965" s="0" t="n">
        <f aca="false">F2965*E2965</f>
        <v>672</v>
      </c>
      <c r="K2965" s="0" t="str">
        <f aca="false">IF(G2965&lt;1000,"1-Low",IF(G2965&lt;5000,"2-Medium","3-Bulk"))</f>
        <v>1-Low</v>
      </c>
      <c r="L2965" s="0" t="str">
        <f aca="false">IF(H2965="TRUE","Out of stock","In stock")</f>
        <v>In stock</v>
      </c>
      <c r="M2965" s="0" t="str">
        <f aca="false">IF(D2965&lt;5,"1) Under 5%",IF(D2965&lt;10,"2) 5-9%",IF(D2965&lt;15,"3) 10-14%",IF(D2965&lt;25,"4) 15-24%","5) 25%+"))))</f>
        <v>2) 5-9%</v>
      </c>
      <c r="N2965" s="0" t="str">
        <f aca="false">IF(F2965&lt;50,"1) Under Rs 50",IF(F2965&lt;100,"2) Rs 50-99",IF(F2965&lt;200,"3) Rs 100-199",IF(F2965&lt;500,"4) Rs 200-499","5) Rs 500+"))))</f>
        <v>3) Rs 100-199</v>
      </c>
      <c r="O2965" s="0" t="n">
        <f aca="false">G2965*E2965/1000</f>
        <v>1.08</v>
      </c>
    </row>
    <row r="2966" customFormat="false" ht="15" hidden="false" customHeight="false" outlineLevel="0" collapsed="false">
      <c r="A2966" s="0" t="s">
        <v>123</v>
      </c>
      <c r="B2966" s="0" t="s">
        <v>1456</v>
      </c>
      <c r="C2966" s="0" t="n">
        <v>65</v>
      </c>
      <c r="D2966" s="0" t="n">
        <v>10</v>
      </c>
      <c r="E2966" s="0" t="n">
        <v>6</v>
      </c>
      <c r="F2966" s="0" t="n">
        <v>58</v>
      </c>
      <c r="G2966" s="0" t="n">
        <v>40</v>
      </c>
      <c r="H2966" s="0" t="s">
        <v>145</v>
      </c>
      <c r="I2966" s="0" t="n">
        <v>40</v>
      </c>
      <c r="J2966" s="0" t="n">
        <f aca="false">F2966*E2966</f>
        <v>348</v>
      </c>
      <c r="K2966" s="0" t="str">
        <f aca="false">IF(G2966&lt;1000,"1-Low",IF(G2966&lt;5000,"2-Medium","3-Bulk"))</f>
        <v>1-Low</v>
      </c>
      <c r="L2966" s="0" t="str">
        <f aca="false">IF(H2966="TRUE","Out of stock","In stock")</f>
        <v>In stock</v>
      </c>
      <c r="M2966" s="0" t="str">
        <f aca="false">IF(D2966&lt;5,"1) Under 5%",IF(D2966&lt;10,"2) 5-9%",IF(D2966&lt;15,"3) 10-14%",IF(D2966&lt;25,"4) 15-24%","5) 25%+"))))</f>
        <v>3) 10-14%</v>
      </c>
      <c r="N2966" s="0" t="str">
        <f aca="false">IF(F2966&lt;50,"1) Under Rs 50",IF(F2966&lt;100,"2) Rs 50-99",IF(F2966&lt;200,"3) Rs 100-199",IF(F2966&lt;500,"4) Rs 200-499","5) Rs 500+"))))</f>
        <v>2) Rs 50-99</v>
      </c>
      <c r="O2966" s="0" t="n">
        <f aca="false">G2966*E2966/1000</f>
        <v>0.24</v>
      </c>
    </row>
    <row r="2967" customFormat="false" ht="15" hidden="false" customHeight="false" outlineLevel="0" collapsed="false">
      <c r="A2967" s="0" t="s">
        <v>123</v>
      </c>
      <c r="B2967" s="0" t="s">
        <v>1457</v>
      </c>
      <c r="C2967" s="0" t="n">
        <v>555</v>
      </c>
      <c r="D2967" s="0" t="n">
        <v>6</v>
      </c>
      <c r="E2967" s="0" t="n">
        <v>6</v>
      </c>
      <c r="F2967" s="0" t="n">
        <v>521</v>
      </c>
      <c r="G2967" s="0" t="n">
        <v>650</v>
      </c>
      <c r="H2967" s="0" t="s">
        <v>145</v>
      </c>
      <c r="I2967" s="0" t="n">
        <v>650</v>
      </c>
      <c r="J2967" s="0" t="n">
        <f aca="false">F2967*E2967</f>
        <v>3126</v>
      </c>
      <c r="K2967" s="0" t="str">
        <f aca="false">IF(G2967&lt;1000,"1-Low",IF(G2967&lt;5000,"2-Medium","3-Bulk"))</f>
        <v>1-Low</v>
      </c>
      <c r="L2967" s="0" t="str">
        <f aca="false">IF(H2967="TRUE","Out of stock","In stock")</f>
        <v>In stock</v>
      </c>
      <c r="M2967" s="0" t="str">
        <f aca="false">IF(D2967&lt;5,"1) Under 5%",IF(D2967&lt;10,"2) 5-9%",IF(D2967&lt;15,"3) 10-14%",IF(D2967&lt;25,"4) 15-24%","5) 25%+"))))</f>
        <v>2) 5-9%</v>
      </c>
      <c r="N2967" s="0" t="str">
        <f aca="false">IF(F2967&lt;50,"1) Under Rs 50",IF(F2967&lt;100,"2) Rs 50-99",IF(F2967&lt;200,"3) Rs 100-199",IF(F2967&lt;500,"4) Rs 200-499","5) Rs 500+"))))</f>
        <v>5) Rs 500+</v>
      </c>
      <c r="O2967" s="0" t="n">
        <f aca="false">G2967*E2967/1000</f>
        <v>3.9</v>
      </c>
    </row>
    <row r="2968" customFormat="false" ht="15" hidden="false" customHeight="false" outlineLevel="0" collapsed="false">
      <c r="A2968" s="0" t="s">
        <v>123</v>
      </c>
      <c r="B2968" s="0" t="s">
        <v>1264</v>
      </c>
      <c r="C2968" s="0" t="n">
        <v>100</v>
      </c>
      <c r="D2968" s="0" t="n">
        <v>0</v>
      </c>
      <c r="E2968" s="0" t="n">
        <v>1</v>
      </c>
      <c r="F2968" s="0" t="n">
        <v>100</v>
      </c>
      <c r="G2968" s="0" t="n">
        <v>200</v>
      </c>
      <c r="H2968" s="0" t="s">
        <v>145</v>
      </c>
      <c r="I2968" s="0" t="n">
        <v>200</v>
      </c>
      <c r="J2968" s="0" t="n">
        <f aca="false">F2968*E2968</f>
        <v>100</v>
      </c>
      <c r="K2968" s="0" t="str">
        <f aca="false">IF(G2968&lt;1000,"1-Low",IF(G2968&lt;5000,"2-Medium","3-Bulk"))</f>
        <v>1-Low</v>
      </c>
      <c r="L2968" s="0" t="str">
        <f aca="false">IF(H2968="TRUE","Out of stock","In stock")</f>
        <v>In stock</v>
      </c>
      <c r="M2968" s="0" t="str">
        <f aca="false">IF(D2968&lt;5,"1) Under 5%",IF(D2968&lt;10,"2) 5-9%",IF(D2968&lt;15,"3) 10-14%",IF(D2968&lt;25,"4) 15-24%","5) 25%+"))))</f>
        <v>1) Under 5%</v>
      </c>
      <c r="N2968" s="0" t="str">
        <f aca="false">IF(F2968&lt;50,"1) Under Rs 50",IF(F2968&lt;100,"2) Rs 50-99",IF(F2968&lt;200,"3) Rs 100-199",IF(F2968&lt;500,"4) Rs 200-499","5) Rs 500+"))))</f>
        <v>3) Rs 100-199</v>
      </c>
      <c r="O2968" s="0" t="n">
        <f aca="false">G2968*E2968/1000</f>
        <v>0.2</v>
      </c>
    </row>
    <row r="2969" customFormat="false" ht="15" hidden="false" customHeight="false" outlineLevel="0" collapsed="false">
      <c r="A2969" s="0" t="s">
        <v>123</v>
      </c>
      <c r="B2969" s="0" t="s">
        <v>1458</v>
      </c>
      <c r="C2969" s="0" t="n">
        <v>85</v>
      </c>
      <c r="D2969" s="0" t="n">
        <v>0</v>
      </c>
      <c r="E2969" s="0" t="n">
        <v>5</v>
      </c>
      <c r="F2969" s="0" t="n">
        <v>85</v>
      </c>
      <c r="G2969" s="0" t="n">
        <v>200</v>
      </c>
      <c r="H2969" s="0" t="s">
        <v>145</v>
      </c>
      <c r="I2969" s="0" t="n">
        <v>200</v>
      </c>
      <c r="J2969" s="0" t="n">
        <f aca="false">F2969*E2969</f>
        <v>425</v>
      </c>
      <c r="K2969" s="0" t="str">
        <f aca="false">IF(G2969&lt;1000,"1-Low",IF(G2969&lt;5000,"2-Medium","3-Bulk"))</f>
        <v>1-Low</v>
      </c>
      <c r="L2969" s="0" t="str">
        <f aca="false">IF(H2969="TRUE","Out of stock","In stock")</f>
        <v>In stock</v>
      </c>
      <c r="M2969" s="0" t="str">
        <f aca="false">IF(D2969&lt;5,"1) Under 5%",IF(D2969&lt;10,"2) 5-9%",IF(D2969&lt;15,"3) 10-14%",IF(D2969&lt;25,"4) 15-24%","5) 25%+"))))</f>
        <v>1) Under 5%</v>
      </c>
      <c r="N2969" s="0" t="str">
        <f aca="false">IF(F2969&lt;50,"1) Under Rs 50",IF(F2969&lt;100,"2) Rs 50-99",IF(F2969&lt;200,"3) Rs 100-199",IF(F2969&lt;500,"4) Rs 200-499","5) Rs 500+"))))</f>
        <v>2) Rs 50-99</v>
      </c>
      <c r="O2969" s="0" t="n">
        <f aca="false">G2969*E2969/1000</f>
        <v>1</v>
      </c>
    </row>
    <row r="2970" customFormat="false" ht="15" hidden="false" customHeight="false" outlineLevel="0" collapsed="false">
      <c r="A2970" s="0" t="s">
        <v>123</v>
      </c>
      <c r="B2970" s="0" t="s">
        <v>1459</v>
      </c>
      <c r="C2970" s="0" t="n">
        <v>185</v>
      </c>
      <c r="D2970" s="0" t="n">
        <v>8</v>
      </c>
      <c r="E2970" s="0" t="n">
        <v>6</v>
      </c>
      <c r="F2970" s="0" t="n">
        <v>169</v>
      </c>
      <c r="G2970" s="0" t="n">
        <v>5</v>
      </c>
      <c r="H2970" s="0" t="s">
        <v>145</v>
      </c>
      <c r="I2970" s="0" t="n">
        <v>4</v>
      </c>
      <c r="J2970" s="0" t="n">
        <f aca="false">F2970*E2970</f>
        <v>1014</v>
      </c>
      <c r="K2970" s="0" t="str">
        <f aca="false">IF(G2970&lt;1000,"1-Low",IF(G2970&lt;5000,"2-Medium","3-Bulk"))</f>
        <v>1-Low</v>
      </c>
      <c r="L2970" s="0" t="str">
        <f aca="false">IF(H2970="TRUE","Out of stock","In stock")</f>
        <v>In stock</v>
      </c>
      <c r="M2970" s="0" t="str">
        <f aca="false">IF(D2970&lt;5,"1) Under 5%",IF(D2970&lt;10,"2) 5-9%",IF(D2970&lt;15,"3) 10-14%",IF(D2970&lt;25,"4) 15-24%","5) 25%+"))))</f>
        <v>2) 5-9%</v>
      </c>
      <c r="N2970" s="0" t="str">
        <f aca="false">IF(F2970&lt;50,"1) Under Rs 50",IF(F2970&lt;100,"2) Rs 50-99",IF(F2970&lt;200,"3) Rs 100-199",IF(F2970&lt;500,"4) Rs 200-499","5) Rs 500+"))))</f>
        <v>3) Rs 100-199</v>
      </c>
      <c r="O2970" s="0" t="n">
        <f aca="false">G2970*E2970/1000</f>
        <v>0.03</v>
      </c>
    </row>
    <row r="2971" customFormat="false" ht="15" hidden="false" customHeight="false" outlineLevel="0" collapsed="false">
      <c r="A2971" s="0" t="s">
        <v>123</v>
      </c>
      <c r="B2971" s="0" t="s">
        <v>1460</v>
      </c>
      <c r="C2971" s="0" t="n">
        <v>180</v>
      </c>
      <c r="D2971" s="0" t="n">
        <v>0</v>
      </c>
      <c r="E2971" s="0" t="n">
        <v>6</v>
      </c>
      <c r="F2971" s="0" t="n">
        <v>180</v>
      </c>
      <c r="G2971" s="0" t="n">
        <v>600</v>
      </c>
      <c r="H2971" s="0" t="s">
        <v>145</v>
      </c>
      <c r="I2971" s="0" t="n">
        <v>600</v>
      </c>
      <c r="J2971" s="0" t="n">
        <f aca="false">F2971*E2971</f>
        <v>1080</v>
      </c>
      <c r="K2971" s="0" t="str">
        <f aca="false">IF(G2971&lt;1000,"1-Low",IF(G2971&lt;5000,"2-Medium","3-Bulk"))</f>
        <v>1-Low</v>
      </c>
      <c r="L2971" s="0" t="str">
        <f aca="false">IF(H2971="TRUE","Out of stock","In stock")</f>
        <v>In stock</v>
      </c>
      <c r="M2971" s="0" t="str">
        <f aca="false">IF(D2971&lt;5,"1) Under 5%",IF(D2971&lt;10,"2) 5-9%",IF(D2971&lt;15,"3) 10-14%",IF(D2971&lt;25,"4) 15-24%","5) 25%+"))))</f>
        <v>1) Under 5%</v>
      </c>
      <c r="N2971" s="0" t="str">
        <f aca="false">IF(F2971&lt;50,"1) Under Rs 50",IF(F2971&lt;100,"2) Rs 50-99",IF(F2971&lt;200,"3) Rs 100-199",IF(F2971&lt;500,"4) Rs 200-499","5) Rs 500+"))))</f>
        <v>3) Rs 100-199</v>
      </c>
      <c r="O2971" s="0" t="n">
        <f aca="false">G2971*E2971/1000</f>
        <v>3.6</v>
      </c>
    </row>
    <row r="2972" customFormat="false" ht="15" hidden="false" customHeight="false" outlineLevel="0" collapsed="false">
      <c r="A2972" s="0" t="s">
        <v>123</v>
      </c>
      <c r="B2972" s="0" t="s">
        <v>1461</v>
      </c>
      <c r="C2972" s="0" t="n">
        <v>620</v>
      </c>
      <c r="D2972" s="0" t="n">
        <v>0</v>
      </c>
      <c r="E2972" s="0" t="n">
        <v>1</v>
      </c>
      <c r="F2972" s="0" t="n">
        <v>620</v>
      </c>
      <c r="G2972" s="0" t="n">
        <v>172</v>
      </c>
      <c r="H2972" s="0" t="s">
        <v>145</v>
      </c>
      <c r="I2972" s="0" t="n">
        <v>172</v>
      </c>
      <c r="J2972" s="0" t="n">
        <f aca="false">F2972*E2972</f>
        <v>620</v>
      </c>
      <c r="K2972" s="0" t="str">
        <f aca="false">IF(G2972&lt;1000,"1-Low",IF(G2972&lt;5000,"2-Medium","3-Bulk"))</f>
        <v>1-Low</v>
      </c>
      <c r="L2972" s="0" t="str">
        <f aca="false">IF(H2972="TRUE","Out of stock","In stock")</f>
        <v>In stock</v>
      </c>
      <c r="M2972" s="0" t="str">
        <f aca="false">IF(D2972&lt;5,"1) Under 5%",IF(D2972&lt;10,"2) 5-9%",IF(D2972&lt;15,"3) 10-14%",IF(D2972&lt;25,"4) 15-24%","5) 25%+"))))</f>
        <v>1) Under 5%</v>
      </c>
      <c r="N2972" s="0" t="str">
        <f aca="false">IF(F2972&lt;50,"1) Under Rs 50",IF(F2972&lt;100,"2) Rs 50-99",IF(F2972&lt;200,"3) Rs 100-199",IF(F2972&lt;500,"4) Rs 200-499","5) Rs 500+"))))</f>
        <v>5) Rs 500+</v>
      </c>
      <c r="O2972" s="0" t="n">
        <f aca="false">G2972*E2972/1000</f>
        <v>0.172</v>
      </c>
    </row>
    <row r="2973" customFormat="false" ht="15" hidden="false" customHeight="false" outlineLevel="0" collapsed="false">
      <c r="A2973" s="0" t="s">
        <v>123</v>
      </c>
      <c r="B2973" s="0" t="s">
        <v>1462</v>
      </c>
      <c r="C2973" s="0" t="n">
        <v>225</v>
      </c>
      <c r="D2973" s="0" t="n">
        <v>0</v>
      </c>
      <c r="E2973" s="0" t="n">
        <v>6</v>
      </c>
      <c r="F2973" s="0" t="n">
        <v>225</v>
      </c>
      <c r="G2973" s="0" t="n">
        <v>418</v>
      </c>
      <c r="H2973" s="0" t="s">
        <v>145</v>
      </c>
      <c r="I2973" s="0" t="n">
        <v>418</v>
      </c>
      <c r="J2973" s="0" t="n">
        <f aca="false">F2973*E2973</f>
        <v>1350</v>
      </c>
      <c r="K2973" s="0" t="str">
        <f aca="false">IF(G2973&lt;1000,"1-Low",IF(G2973&lt;5000,"2-Medium","3-Bulk"))</f>
        <v>1-Low</v>
      </c>
      <c r="L2973" s="0" t="str">
        <f aca="false">IF(H2973="TRUE","Out of stock","In stock")</f>
        <v>In stock</v>
      </c>
      <c r="M2973" s="0" t="str">
        <f aca="false">IF(D2973&lt;5,"1) Under 5%",IF(D2973&lt;10,"2) 5-9%",IF(D2973&lt;15,"3) 10-14%",IF(D2973&lt;25,"4) 15-24%","5) 25%+"))))</f>
        <v>1) Under 5%</v>
      </c>
      <c r="N2973" s="0" t="str">
        <f aca="false">IF(F2973&lt;50,"1) Under Rs 50",IF(F2973&lt;100,"2) Rs 50-99",IF(F2973&lt;200,"3) Rs 100-199",IF(F2973&lt;500,"4) Rs 200-499","5) Rs 500+"))))</f>
        <v>4) Rs 200-499</v>
      </c>
      <c r="O2973" s="0" t="n">
        <f aca="false">G2973*E2973/1000</f>
        <v>2.508</v>
      </c>
    </row>
    <row r="2974" customFormat="false" ht="15" hidden="false" customHeight="false" outlineLevel="0" collapsed="false">
      <c r="A2974" s="0" t="s">
        <v>123</v>
      </c>
      <c r="B2974" s="0" t="s">
        <v>1463</v>
      </c>
      <c r="C2974" s="0" t="n">
        <v>199</v>
      </c>
      <c r="D2974" s="0" t="n">
        <v>10</v>
      </c>
      <c r="E2974" s="0" t="n">
        <v>6</v>
      </c>
      <c r="F2974" s="0" t="n">
        <v>179</v>
      </c>
      <c r="G2974" s="0" t="n">
        <v>250</v>
      </c>
      <c r="H2974" s="0" t="s">
        <v>145</v>
      </c>
      <c r="I2974" s="0" t="n">
        <v>250</v>
      </c>
      <c r="J2974" s="0" t="n">
        <f aca="false">F2974*E2974</f>
        <v>1074</v>
      </c>
      <c r="K2974" s="0" t="str">
        <f aca="false">IF(G2974&lt;1000,"1-Low",IF(G2974&lt;5000,"2-Medium","3-Bulk"))</f>
        <v>1-Low</v>
      </c>
      <c r="L2974" s="0" t="str">
        <f aca="false">IF(H2974="TRUE","Out of stock","In stock")</f>
        <v>In stock</v>
      </c>
      <c r="M2974" s="0" t="str">
        <f aca="false">IF(D2974&lt;5,"1) Under 5%",IF(D2974&lt;10,"2) 5-9%",IF(D2974&lt;15,"3) 10-14%",IF(D2974&lt;25,"4) 15-24%","5) 25%+"))))</f>
        <v>3) 10-14%</v>
      </c>
      <c r="N2974" s="0" t="str">
        <f aca="false">IF(F2974&lt;50,"1) Under Rs 50",IF(F2974&lt;100,"2) Rs 50-99",IF(F2974&lt;200,"3) Rs 100-199",IF(F2974&lt;500,"4) Rs 200-499","5) Rs 500+"))))</f>
        <v>3) Rs 100-199</v>
      </c>
      <c r="O2974" s="0" t="n">
        <f aca="false">G2974*E2974/1000</f>
        <v>1.5</v>
      </c>
    </row>
    <row r="2975" customFormat="false" ht="15" hidden="false" customHeight="false" outlineLevel="0" collapsed="false">
      <c r="A2975" s="0" t="s">
        <v>123</v>
      </c>
      <c r="B2975" s="0" t="s">
        <v>1464</v>
      </c>
      <c r="C2975" s="0" t="n">
        <v>140</v>
      </c>
      <c r="D2975" s="0" t="n">
        <v>10</v>
      </c>
      <c r="E2975" s="0" t="n">
        <v>4</v>
      </c>
      <c r="F2975" s="0" t="n">
        <v>126</v>
      </c>
      <c r="G2975" s="0" t="n">
        <v>250</v>
      </c>
      <c r="H2975" s="0" t="s">
        <v>145</v>
      </c>
      <c r="I2975" s="0" t="n">
        <v>250</v>
      </c>
      <c r="J2975" s="0" t="n">
        <f aca="false">F2975*E2975</f>
        <v>504</v>
      </c>
      <c r="K2975" s="0" t="str">
        <f aca="false">IF(G2975&lt;1000,"1-Low",IF(G2975&lt;5000,"2-Medium","3-Bulk"))</f>
        <v>1-Low</v>
      </c>
      <c r="L2975" s="0" t="str">
        <f aca="false">IF(H2975="TRUE","Out of stock","In stock")</f>
        <v>In stock</v>
      </c>
      <c r="M2975" s="0" t="str">
        <f aca="false">IF(D2975&lt;5,"1) Under 5%",IF(D2975&lt;10,"2) 5-9%",IF(D2975&lt;15,"3) 10-14%",IF(D2975&lt;25,"4) 15-24%","5) 25%+"))))</f>
        <v>3) 10-14%</v>
      </c>
      <c r="N2975" s="0" t="str">
        <f aca="false">IF(F2975&lt;50,"1) Under Rs 50",IF(F2975&lt;100,"2) Rs 50-99",IF(F2975&lt;200,"3) Rs 100-199",IF(F2975&lt;500,"4) Rs 200-499","5) Rs 500+"))))</f>
        <v>3) Rs 100-199</v>
      </c>
      <c r="O2975" s="0" t="n">
        <f aca="false">G2975*E2975/1000</f>
        <v>1</v>
      </c>
    </row>
    <row r="2976" customFormat="false" ht="15" hidden="false" customHeight="false" outlineLevel="0" collapsed="false">
      <c r="A2976" s="0" t="s">
        <v>123</v>
      </c>
      <c r="B2976" s="0" t="s">
        <v>1465</v>
      </c>
      <c r="C2976" s="0" t="n">
        <v>299</v>
      </c>
      <c r="D2976" s="0" t="n">
        <v>17</v>
      </c>
      <c r="E2976" s="0" t="n">
        <v>5</v>
      </c>
      <c r="F2976" s="0" t="n">
        <v>247</v>
      </c>
      <c r="G2976" s="0" t="n">
        <v>200</v>
      </c>
      <c r="H2976" s="0" t="s">
        <v>145</v>
      </c>
      <c r="I2976" s="0" t="n">
        <v>200</v>
      </c>
      <c r="J2976" s="0" t="n">
        <f aca="false">F2976*E2976</f>
        <v>1235</v>
      </c>
      <c r="K2976" s="0" t="str">
        <f aca="false">IF(G2976&lt;1000,"1-Low",IF(G2976&lt;5000,"2-Medium","3-Bulk"))</f>
        <v>1-Low</v>
      </c>
      <c r="L2976" s="0" t="str">
        <f aca="false">IF(H2976="TRUE","Out of stock","In stock")</f>
        <v>In stock</v>
      </c>
      <c r="M2976" s="0" t="str">
        <f aca="false">IF(D2976&lt;5,"1) Under 5%",IF(D2976&lt;10,"2) 5-9%",IF(D2976&lt;15,"3) 10-14%",IF(D2976&lt;25,"4) 15-24%","5) 25%+"))))</f>
        <v>4) 15-24%</v>
      </c>
      <c r="N2976" s="0" t="str">
        <f aca="false">IF(F2976&lt;50,"1) Under Rs 50",IF(F2976&lt;100,"2) Rs 50-99",IF(F2976&lt;200,"3) Rs 100-199",IF(F2976&lt;500,"4) Rs 200-499","5) Rs 500+"))))</f>
        <v>4) Rs 200-499</v>
      </c>
      <c r="O2976" s="0" t="n">
        <f aca="false">G2976*E2976/1000</f>
        <v>1</v>
      </c>
    </row>
    <row r="2977" customFormat="false" ht="15" hidden="false" customHeight="false" outlineLevel="0" collapsed="false">
      <c r="A2977" s="0" t="s">
        <v>123</v>
      </c>
      <c r="B2977" s="0" t="s">
        <v>1466</v>
      </c>
      <c r="C2977" s="0" t="n">
        <v>240</v>
      </c>
      <c r="D2977" s="0" t="n">
        <v>7</v>
      </c>
      <c r="E2977" s="0" t="n">
        <v>2</v>
      </c>
      <c r="F2977" s="0" t="n">
        <v>221</v>
      </c>
      <c r="G2977" s="0" t="n">
        <v>340</v>
      </c>
      <c r="H2977" s="0" t="s">
        <v>145</v>
      </c>
      <c r="I2977" s="0" t="n">
        <v>340</v>
      </c>
      <c r="J2977" s="0" t="n">
        <f aca="false">F2977*E2977</f>
        <v>442</v>
      </c>
      <c r="K2977" s="0" t="str">
        <f aca="false">IF(G2977&lt;1000,"1-Low",IF(G2977&lt;5000,"2-Medium","3-Bulk"))</f>
        <v>1-Low</v>
      </c>
      <c r="L2977" s="0" t="str">
        <f aca="false">IF(H2977="TRUE","Out of stock","In stock")</f>
        <v>In stock</v>
      </c>
      <c r="M2977" s="0" t="str">
        <f aca="false">IF(D2977&lt;5,"1) Under 5%",IF(D2977&lt;10,"2) 5-9%",IF(D2977&lt;15,"3) 10-14%",IF(D2977&lt;25,"4) 15-24%","5) 25%+"))))</f>
        <v>2) 5-9%</v>
      </c>
      <c r="N2977" s="0" t="str">
        <f aca="false">IF(F2977&lt;50,"1) Under Rs 50",IF(F2977&lt;100,"2) Rs 50-99",IF(F2977&lt;200,"3) Rs 100-199",IF(F2977&lt;500,"4) Rs 200-499","5) Rs 500+"))))</f>
        <v>4) Rs 200-499</v>
      </c>
      <c r="O2977" s="0" t="n">
        <f aca="false">G2977*E2977/1000</f>
        <v>0.68</v>
      </c>
    </row>
    <row r="2978" customFormat="false" ht="15" hidden="false" customHeight="false" outlineLevel="0" collapsed="false">
      <c r="A2978" s="0" t="s">
        <v>123</v>
      </c>
      <c r="B2978" s="0" t="s">
        <v>1467</v>
      </c>
      <c r="C2978" s="0" t="n">
        <v>250</v>
      </c>
      <c r="D2978" s="0" t="n">
        <v>0</v>
      </c>
      <c r="E2978" s="0" t="n">
        <v>5</v>
      </c>
      <c r="F2978" s="0" t="n">
        <v>250</v>
      </c>
      <c r="G2978" s="0" t="n">
        <v>120</v>
      </c>
      <c r="H2978" s="0" t="s">
        <v>145</v>
      </c>
      <c r="I2978" s="0" t="n">
        <v>120</v>
      </c>
      <c r="J2978" s="0" t="n">
        <f aca="false">F2978*E2978</f>
        <v>1250</v>
      </c>
      <c r="K2978" s="0" t="str">
        <f aca="false">IF(G2978&lt;1000,"1-Low",IF(G2978&lt;5000,"2-Medium","3-Bulk"))</f>
        <v>1-Low</v>
      </c>
      <c r="L2978" s="0" t="str">
        <f aca="false">IF(H2978="TRUE","Out of stock","In stock")</f>
        <v>In stock</v>
      </c>
      <c r="M2978" s="0" t="str">
        <f aca="false">IF(D2978&lt;5,"1) Under 5%",IF(D2978&lt;10,"2) 5-9%",IF(D2978&lt;15,"3) 10-14%",IF(D2978&lt;25,"4) 15-24%","5) 25%+"))))</f>
        <v>1) Under 5%</v>
      </c>
      <c r="N2978" s="0" t="str">
        <f aca="false">IF(F2978&lt;50,"1) Under Rs 50",IF(F2978&lt;100,"2) Rs 50-99",IF(F2978&lt;200,"3) Rs 100-199",IF(F2978&lt;500,"4) Rs 200-499","5) Rs 500+"))))</f>
        <v>4) Rs 200-499</v>
      </c>
      <c r="O2978" s="0" t="n">
        <f aca="false">G2978*E2978/1000</f>
        <v>0.6</v>
      </c>
    </row>
    <row r="2979" customFormat="false" ht="15" hidden="false" customHeight="false" outlineLevel="0" collapsed="false">
      <c r="A2979" s="0" t="s">
        <v>123</v>
      </c>
      <c r="B2979" s="0" t="s">
        <v>1468</v>
      </c>
      <c r="C2979" s="0" t="n">
        <v>220</v>
      </c>
      <c r="D2979" s="0" t="n">
        <v>0</v>
      </c>
      <c r="E2979" s="0" t="n">
        <v>5</v>
      </c>
      <c r="F2979" s="0" t="n">
        <v>220</v>
      </c>
      <c r="G2979" s="0" t="n">
        <v>190</v>
      </c>
      <c r="H2979" s="0" t="s">
        <v>145</v>
      </c>
      <c r="I2979" s="0" t="n">
        <v>190</v>
      </c>
      <c r="J2979" s="0" t="n">
        <f aca="false">F2979*E2979</f>
        <v>1100</v>
      </c>
      <c r="K2979" s="0" t="str">
        <f aca="false">IF(G2979&lt;1000,"1-Low",IF(G2979&lt;5000,"2-Medium","3-Bulk"))</f>
        <v>1-Low</v>
      </c>
      <c r="L2979" s="0" t="str">
        <f aca="false">IF(H2979="TRUE","Out of stock","In stock")</f>
        <v>In stock</v>
      </c>
      <c r="M2979" s="0" t="str">
        <f aca="false">IF(D2979&lt;5,"1) Under 5%",IF(D2979&lt;10,"2) 5-9%",IF(D2979&lt;15,"3) 10-14%",IF(D2979&lt;25,"4) 15-24%","5) 25%+"))))</f>
        <v>1) Under 5%</v>
      </c>
      <c r="N2979" s="0" t="str">
        <f aca="false">IF(F2979&lt;50,"1) Under Rs 50",IF(F2979&lt;100,"2) Rs 50-99",IF(F2979&lt;200,"3) Rs 100-199",IF(F2979&lt;500,"4) Rs 200-499","5) Rs 500+"))))</f>
        <v>4) Rs 200-499</v>
      </c>
      <c r="O2979" s="0" t="n">
        <f aca="false">G2979*E2979/1000</f>
        <v>0.95</v>
      </c>
    </row>
    <row r="2980" customFormat="false" ht="15" hidden="false" customHeight="false" outlineLevel="0" collapsed="false">
      <c r="A2980" s="0" t="s">
        <v>123</v>
      </c>
      <c r="B2980" s="0" t="s">
        <v>1367</v>
      </c>
      <c r="C2980" s="0" t="n">
        <v>155</v>
      </c>
      <c r="D2980" s="0" t="n">
        <v>0</v>
      </c>
      <c r="E2980" s="0" t="n">
        <v>6</v>
      </c>
      <c r="F2980" s="0" t="n">
        <v>155</v>
      </c>
      <c r="G2980" s="0" t="n">
        <v>870</v>
      </c>
      <c r="H2980" s="0" t="s">
        <v>145</v>
      </c>
      <c r="I2980" s="0" t="n">
        <v>15</v>
      </c>
      <c r="J2980" s="0" t="n">
        <f aca="false">F2980*E2980</f>
        <v>930</v>
      </c>
      <c r="K2980" s="0" t="str">
        <f aca="false">IF(G2980&lt;1000,"1-Low",IF(G2980&lt;5000,"2-Medium","3-Bulk"))</f>
        <v>1-Low</v>
      </c>
      <c r="L2980" s="0" t="str">
        <f aca="false">IF(H2980="TRUE","Out of stock","In stock")</f>
        <v>In stock</v>
      </c>
      <c r="M2980" s="0" t="str">
        <f aca="false">IF(D2980&lt;5,"1) Under 5%",IF(D2980&lt;10,"2) 5-9%",IF(D2980&lt;15,"3) 10-14%",IF(D2980&lt;25,"4) 15-24%","5) 25%+"))))</f>
        <v>1) Under 5%</v>
      </c>
      <c r="N2980" s="0" t="str">
        <f aca="false">IF(F2980&lt;50,"1) Under Rs 50",IF(F2980&lt;100,"2) Rs 50-99",IF(F2980&lt;200,"3) Rs 100-199",IF(F2980&lt;500,"4) Rs 200-499","5) Rs 500+"))))</f>
        <v>3) Rs 100-199</v>
      </c>
      <c r="O2980" s="0" t="n">
        <f aca="false">G2980*E2980/1000</f>
        <v>5.22</v>
      </c>
    </row>
    <row r="2981" customFormat="false" ht="15" hidden="false" customHeight="false" outlineLevel="0" collapsed="false">
      <c r="A2981" s="0" t="s">
        <v>123</v>
      </c>
      <c r="B2981" s="0" t="s">
        <v>1469</v>
      </c>
      <c r="C2981" s="0" t="n">
        <v>93</v>
      </c>
      <c r="D2981" s="0" t="n">
        <v>5</v>
      </c>
      <c r="E2981" s="0" t="n">
        <v>6</v>
      </c>
      <c r="F2981" s="0" t="n">
        <v>88</v>
      </c>
      <c r="G2981" s="0" t="n">
        <v>80</v>
      </c>
      <c r="H2981" s="0" t="s">
        <v>145</v>
      </c>
      <c r="I2981" s="0" t="n">
        <v>80</v>
      </c>
      <c r="J2981" s="0" t="n">
        <f aca="false">F2981*E2981</f>
        <v>528</v>
      </c>
      <c r="K2981" s="0" t="str">
        <f aca="false">IF(G2981&lt;1000,"1-Low",IF(G2981&lt;5000,"2-Medium","3-Bulk"))</f>
        <v>1-Low</v>
      </c>
      <c r="L2981" s="0" t="str">
        <f aca="false">IF(H2981="TRUE","Out of stock","In stock")</f>
        <v>In stock</v>
      </c>
      <c r="M2981" s="0" t="str">
        <f aca="false">IF(D2981&lt;5,"1) Under 5%",IF(D2981&lt;10,"2) 5-9%",IF(D2981&lt;15,"3) 10-14%",IF(D2981&lt;25,"4) 15-24%","5) 25%+"))))</f>
        <v>2) 5-9%</v>
      </c>
      <c r="N2981" s="0" t="str">
        <f aca="false">IF(F2981&lt;50,"1) Under Rs 50",IF(F2981&lt;100,"2) Rs 50-99",IF(F2981&lt;200,"3) Rs 100-199",IF(F2981&lt;500,"4) Rs 200-499","5) Rs 500+"))))</f>
        <v>2) Rs 50-99</v>
      </c>
      <c r="O2981" s="0" t="n">
        <f aca="false">G2981*E2981/1000</f>
        <v>0.48</v>
      </c>
    </row>
    <row r="2982" customFormat="false" ht="15" hidden="false" customHeight="false" outlineLevel="0" collapsed="false">
      <c r="A2982" s="0" t="s">
        <v>123</v>
      </c>
      <c r="B2982" s="0" t="s">
        <v>1470</v>
      </c>
      <c r="C2982" s="0" t="n">
        <v>310</v>
      </c>
      <c r="D2982" s="0" t="n">
        <v>12</v>
      </c>
      <c r="E2982" s="0" t="n">
        <v>1</v>
      </c>
      <c r="F2982" s="0" t="n">
        <v>272</v>
      </c>
      <c r="G2982" s="0" t="n">
        <v>200</v>
      </c>
      <c r="H2982" s="0" t="s">
        <v>145</v>
      </c>
      <c r="I2982" s="0" t="n">
        <v>200</v>
      </c>
      <c r="J2982" s="0" t="n">
        <f aca="false">F2982*E2982</f>
        <v>272</v>
      </c>
      <c r="K2982" s="0" t="str">
        <f aca="false">IF(G2982&lt;1000,"1-Low",IF(G2982&lt;5000,"2-Medium","3-Bulk"))</f>
        <v>1-Low</v>
      </c>
      <c r="L2982" s="0" t="str">
        <f aca="false">IF(H2982="TRUE","Out of stock","In stock")</f>
        <v>In stock</v>
      </c>
      <c r="M2982" s="0" t="str">
        <f aca="false">IF(D2982&lt;5,"1) Under 5%",IF(D2982&lt;10,"2) 5-9%",IF(D2982&lt;15,"3) 10-14%",IF(D2982&lt;25,"4) 15-24%","5) 25%+"))))</f>
        <v>3) 10-14%</v>
      </c>
      <c r="N2982" s="0" t="str">
        <f aca="false">IF(F2982&lt;50,"1) Under Rs 50",IF(F2982&lt;100,"2) Rs 50-99",IF(F2982&lt;200,"3) Rs 100-199",IF(F2982&lt;500,"4) Rs 200-499","5) Rs 500+"))))</f>
        <v>4) Rs 200-499</v>
      </c>
      <c r="O2982" s="0" t="n">
        <f aca="false">G2982*E2982/1000</f>
        <v>0.2</v>
      </c>
    </row>
    <row r="2983" customFormat="false" ht="15" hidden="false" customHeight="false" outlineLevel="0" collapsed="false">
      <c r="A2983" s="0" t="s">
        <v>123</v>
      </c>
      <c r="B2983" s="0" t="s">
        <v>1471</v>
      </c>
      <c r="C2983" s="0" t="n">
        <v>85</v>
      </c>
      <c r="D2983" s="0" t="n">
        <v>0</v>
      </c>
      <c r="E2983" s="0" t="n">
        <v>5</v>
      </c>
      <c r="F2983" s="0" t="n">
        <v>85</v>
      </c>
      <c r="G2983" s="0" t="n">
        <v>200</v>
      </c>
      <c r="H2983" s="0" t="s">
        <v>145</v>
      </c>
      <c r="I2983" s="0" t="n">
        <v>200</v>
      </c>
      <c r="J2983" s="0" t="n">
        <f aca="false">F2983*E2983</f>
        <v>425</v>
      </c>
      <c r="K2983" s="0" t="str">
        <f aca="false">IF(G2983&lt;1000,"1-Low",IF(G2983&lt;5000,"2-Medium","3-Bulk"))</f>
        <v>1-Low</v>
      </c>
      <c r="L2983" s="0" t="str">
        <f aca="false">IF(H2983="TRUE","Out of stock","In stock")</f>
        <v>In stock</v>
      </c>
      <c r="M2983" s="0" t="str">
        <f aca="false">IF(D2983&lt;5,"1) Under 5%",IF(D2983&lt;10,"2) 5-9%",IF(D2983&lt;15,"3) 10-14%",IF(D2983&lt;25,"4) 15-24%","5) 25%+"))))</f>
        <v>1) Under 5%</v>
      </c>
      <c r="N2983" s="0" t="str">
        <f aca="false">IF(F2983&lt;50,"1) Under Rs 50",IF(F2983&lt;100,"2) Rs 50-99",IF(F2983&lt;200,"3) Rs 100-199",IF(F2983&lt;500,"4) Rs 200-499","5) Rs 500+"))))</f>
        <v>2) Rs 50-99</v>
      </c>
      <c r="O2983" s="0" t="n">
        <f aca="false">G2983*E2983/1000</f>
        <v>1</v>
      </c>
    </row>
    <row r="2984" customFormat="false" ht="15" hidden="false" customHeight="false" outlineLevel="0" collapsed="false">
      <c r="A2984" s="0" t="s">
        <v>123</v>
      </c>
      <c r="B2984" s="0" t="s">
        <v>1472</v>
      </c>
      <c r="C2984" s="0" t="n">
        <v>130</v>
      </c>
      <c r="D2984" s="0" t="n">
        <v>11</v>
      </c>
      <c r="E2984" s="0" t="n">
        <v>2</v>
      </c>
      <c r="F2984" s="0" t="n">
        <v>115</v>
      </c>
      <c r="G2984" s="0" t="n">
        <v>50</v>
      </c>
      <c r="H2984" s="0" t="s">
        <v>145</v>
      </c>
      <c r="I2984" s="0" t="n">
        <v>50</v>
      </c>
      <c r="J2984" s="0" t="n">
        <f aca="false">F2984*E2984</f>
        <v>230</v>
      </c>
      <c r="K2984" s="0" t="str">
        <f aca="false">IF(G2984&lt;1000,"1-Low",IF(G2984&lt;5000,"2-Medium","3-Bulk"))</f>
        <v>1-Low</v>
      </c>
      <c r="L2984" s="0" t="str">
        <f aca="false">IF(H2984="TRUE","Out of stock","In stock")</f>
        <v>In stock</v>
      </c>
      <c r="M2984" s="0" t="str">
        <f aca="false">IF(D2984&lt;5,"1) Under 5%",IF(D2984&lt;10,"2) 5-9%",IF(D2984&lt;15,"3) 10-14%",IF(D2984&lt;25,"4) 15-24%","5) 25%+"))))</f>
        <v>3) 10-14%</v>
      </c>
      <c r="N2984" s="0" t="str">
        <f aca="false">IF(F2984&lt;50,"1) Under Rs 50",IF(F2984&lt;100,"2) Rs 50-99",IF(F2984&lt;200,"3) Rs 100-199",IF(F2984&lt;500,"4) Rs 200-499","5) Rs 500+"))))</f>
        <v>3) Rs 100-199</v>
      </c>
      <c r="O2984" s="0" t="n">
        <f aca="false">G2984*E2984/1000</f>
        <v>0.1</v>
      </c>
    </row>
    <row r="2985" customFormat="false" ht="15" hidden="false" customHeight="false" outlineLevel="0" collapsed="false">
      <c r="A2985" s="0" t="s">
        <v>123</v>
      </c>
      <c r="B2985" s="0" t="s">
        <v>1473</v>
      </c>
      <c r="C2985" s="0" t="n">
        <v>155</v>
      </c>
      <c r="D2985" s="0" t="n">
        <v>6</v>
      </c>
      <c r="E2985" s="0" t="n">
        <v>6</v>
      </c>
      <c r="F2985" s="0" t="n">
        <v>145</v>
      </c>
      <c r="G2985" s="0" t="n">
        <v>100</v>
      </c>
      <c r="H2985" s="0" t="s">
        <v>145</v>
      </c>
      <c r="I2985" s="0" t="n">
        <v>100</v>
      </c>
      <c r="J2985" s="0" t="n">
        <f aca="false">F2985*E2985</f>
        <v>870</v>
      </c>
      <c r="K2985" s="0" t="str">
        <f aca="false">IF(G2985&lt;1000,"1-Low",IF(G2985&lt;5000,"2-Medium","3-Bulk"))</f>
        <v>1-Low</v>
      </c>
      <c r="L2985" s="0" t="str">
        <f aca="false">IF(H2985="TRUE","Out of stock","In stock")</f>
        <v>In stock</v>
      </c>
      <c r="M2985" s="0" t="str">
        <f aca="false">IF(D2985&lt;5,"1) Under 5%",IF(D2985&lt;10,"2) 5-9%",IF(D2985&lt;15,"3) 10-14%",IF(D2985&lt;25,"4) 15-24%","5) 25%+"))))</f>
        <v>2) 5-9%</v>
      </c>
      <c r="N2985" s="0" t="str">
        <f aca="false">IF(F2985&lt;50,"1) Under Rs 50",IF(F2985&lt;100,"2) Rs 50-99",IF(F2985&lt;200,"3) Rs 100-199",IF(F2985&lt;500,"4) Rs 200-499","5) Rs 500+"))))</f>
        <v>3) Rs 100-199</v>
      </c>
      <c r="O2985" s="0" t="n">
        <f aca="false">G2985*E2985/1000</f>
        <v>0.6</v>
      </c>
    </row>
    <row r="2986" customFormat="false" ht="15" hidden="false" customHeight="false" outlineLevel="0" collapsed="false">
      <c r="A2986" s="0" t="s">
        <v>123</v>
      </c>
      <c r="B2986" s="0" t="s">
        <v>1474</v>
      </c>
      <c r="C2986" s="0" t="n">
        <v>320</v>
      </c>
      <c r="D2986" s="0" t="n">
        <v>0</v>
      </c>
      <c r="E2986" s="0" t="n">
        <v>4</v>
      </c>
      <c r="F2986" s="0" t="n">
        <v>320</v>
      </c>
      <c r="G2986" s="0" t="n">
        <v>24</v>
      </c>
      <c r="H2986" s="0" t="s">
        <v>145</v>
      </c>
      <c r="I2986" s="0" t="n">
        <v>24</v>
      </c>
      <c r="J2986" s="0" t="n">
        <f aca="false">F2986*E2986</f>
        <v>1280</v>
      </c>
      <c r="K2986" s="0" t="str">
        <f aca="false">IF(G2986&lt;1000,"1-Low",IF(G2986&lt;5000,"2-Medium","3-Bulk"))</f>
        <v>1-Low</v>
      </c>
      <c r="L2986" s="0" t="str">
        <f aca="false">IF(H2986="TRUE","Out of stock","In stock")</f>
        <v>In stock</v>
      </c>
      <c r="M2986" s="0" t="str">
        <f aca="false">IF(D2986&lt;5,"1) Under 5%",IF(D2986&lt;10,"2) 5-9%",IF(D2986&lt;15,"3) 10-14%",IF(D2986&lt;25,"4) 15-24%","5) 25%+"))))</f>
        <v>1) Under 5%</v>
      </c>
      <c r="N2986" s="0" t="str">
        <f aca="false">IF(F2986&lt;50,"1) Under Rs 50",IF(F2986&lt;100,"2) Rs 50-99",IF(F2986&lt;200,"3) Rs 100-199",IF(F2986&lt;500,"4) Rs 200-499","5) Rs 500+"))))</f>
        <v>4) Rs 200-499</v>
      </c>
      <c r="O2986" s="0" t="n">
        <f aca="false">G2986*E2986/1000</f>
        <v>0.096</v>
      </c>
    </row>
    <row r="2987" customFormat="false" ht="15" hidden="false" customHeight="false" outlineLevel="0" collapsed="false">
      <c r="A2987" s="0" t="s">
        <v>123</v>
      </c>
      <c r="B2987" s="0" t="s">
        <v>1475</v>
      </c>
      <c r="C2987" s="0" t="n">
        <v>225</v>
      </c>
      <c r="D2987" s="0" t="n">
        <v>9</v>
      </c>
      <c r="E2987" s="0" t="n">
        <v>6</v>
      </c>
      <c r="F2987" s="0" t="n">
        <v>203</v>
      </c>
      <c r="G2987" s="0" t="n">
        <v>200</v>
      </c>
      <c r="H2987" s="0" t="s">
        <v>145</v>
      </c>
      <c r="I2987" s="0" t="n">
        <v>200</v>
      </c>
      <c r="J2987" s="0" t="n">
        <f aca="false">F2987*E2987</f>
        <v>1218</v>
      </c>
      <c r="K2987" s="0" t="str">
        <f aca="false">IF(G2987&lt;1000,"1-Low",IF(G2987&lt;5000,"2-Medium","3-Bulk"))</f>
        <v>1-Low</v>
      </c>
      <c r="L2987" s="0" t="str">
        <f aca="false">IF(H2987="TRUE","Out of stock","In stock")</f>
        <v>In stock</v>
      </c>
      <c r="M2987" s="0" t="str">
        <f aca="false">IF(D2987&lt;5,"1) Under 5%",IF(D2987&lt;10,"2) 5-9%",IF(D2987&lt;15,"3) 10-14%",IF(D2987&lt;25,"4) 15-24%","5) 25%+"))))</f>
        <v>2) 5-9%</v>
      </c>
      <c r="N2987" s="0" t="str">
        <f aca="false">IF(F2987&lt;50,"1) Under Rs 50",IF(F2987&lt;100,"2) Rs 50-99",IF(F2987&lt;200,"3) Rs 100-199",IF(F2987&lt;500,"4) Rs 200-499","5) Rs 500+"))))</f>
        <v>4) Rs 200-499</v>
      </c>
      <c r="O2987" s="0" t="n">
        <f aca="false">G2987*E2987/1000</f>
        <v>1.2</v>
      </c>
    </row>
    <row r="2988" customFormat="false" ht="15" hidden="false" customHeight="false" outlineLevel="0" collapsed="false">
      <c r="A2988" s="0" t="s">
        <v>123</v>
      </c>
      <c r="B2988" s="0" t="s">
        <v>1476</v>
      </c>
      <c r="C2988" s="0" t="n">
        <v>149</v>
      </c>
      <c r="D2988" s="0" t="n">
        <v>0</v>
      </c>
      <c r="E2988" s="0" t="n">
        <v>6</v>
      </c>
      <c r="F2988" s="0" t="n">
        <v>149</v>
      </c>
      <c r="G2988" s="0" t="n">
        <v>192</v>
      </c>
      <c r="H2988" s="0" t="s">
        <v>145</v>
      </c>
      <c r="I2988" s="0" t="n">
        <v>192</v>
      </c>
      <c r="J2988" s="0" t="n">
        <f aca="false">F2988*E2988</f>
        <v>894</v>
      </c>
      <c r="K2988" s="0" t="str">
        <f aca="false">IF(G2988&lt;1000,"1-Low",IF(G2988&lt;5000,"2-Medium","3-Bulk"))</f>
        <v>1-Low</v>
      </c>
      <c r="L2988" s="0" t="str">
        <f aca="false">IF(H2988="TRUE","Out of stock","In stock")</f>
        <v>In stock</v>
      </c>
      <c r="M2988" s="0" t="str">
        <f aca="false">IF(D2988&lt;5,"1) Under 5%",IF(D2988&lt;10,"2) 5-9%",IF(D2988&lt;15,"3) 10-14%",IF(D2988&lt;25,"4) 15-24%","5) 25%+"))))</f>
        <v>1) Under 5%</v>
      </c>
      <c r="N2988" s="0" t="str">
        <f aca="false">IF(F2988&lt;50,"1) Under Rs 50",IF(F2988&lt;100,"2) Rs 50-99",IF(F2988&lt;200,"3) Rs 100-199",IF(F2988&lt;500,"4) Rs 200-499","5) Rs 500+"))))</f>
        <v>3) Rs 100-199</v>
      </c>
      <c r="O2988" s="0" t="n">
        <f aca="false">G2988*E2988/1000</f>
        <v>1.152</v>
      </c>
    </row>
    <row r="2989" customFormat="false" ht="15" hidden="false" customHeight="false" outlineLevel="0" collapsed="false">
      <c r="A2989" s="0" t="s">
        <v>123</v>
      </c>
      <c r="B2989" s="0" t="s">
        <v>1477</v>
      </c>
      <c r="C2989" s="0" t="n">
        <v>115</v>
      </c>
      <c r="D2989" s="0" t="n">
        <v>0</v>
      </c>
      <c r="E2989" s="0" t="n">
        <v>4</v>
      </c>
      <c r="F2989" s="0" t="n">
        <v>115</v>
      </c>
      <c r="G2989" s="0" t="n">
        <v>100</v>
      </c>
      <c r="H2989" s="0" t="s">
        <v>145</v>
      </c>
      <c r="I2989" s="0" t="n">
        <v>100</v>
      </c>
      <c r="J2989" s="0" t="n">
        <f aca="false">F2989*E2989</f>
        <v>460</v>
      </c>
      <c r="K2989" s="0" t="str">
        <f aca="false">IF(G2989&lt;1000,"1-Low",IF(G2989&lt;5000,"2-Medium","3-Bulk"))</f>
        <v>1-Low</v>
      </c>
      <c r="L2989" s="0" t="str">
        <f aca="false">IF(H2989="TRUE","Out of stock","In stock")</f>
        <v>In stock</v>
      </c>
      <c r="M2989" s="0" t="str">
        <f aca="false">IF(D2989&lt;5,"1) Under 5%",IF(D2989&lt;10,"2) 5-9%",IF(D2989&lt;15,"3) 10-14%",IF(D2989&lt;25,"4) 15-24%","5) 25%+"))))</f>
        <v>1) Under 5%</v>
      </c>
      <c r="N2989" s="0" t="str">
        <f aca="false">IF(F2989&lt;50,"1) Under Rs 50",IF(F2989&lt;100,"2) Rs 50-99",IF(F2989&lt;200,"3) Rs 100-199",IF(F2989&lt;500,"4) Rs 200-499","5) Rs 500+"))))</f>
        <v>3) Rs 100-199</v>
      </c>
      <c r="O2989" s="0" t="n">
        <f aca="false">G2989*E2989/1000</f>
        <v>0.4</v>
      </c>
    </row>
    <row r="2990" customFormat="false" ht="15" hidden="false" customHeight="false" outlineLevel="0" collapsed="false">
      <c r="A2990" s="0" t="s">
        <v>123</v>
      </c>
      <c r="B2990" s="0" t="s">
        <v>1478</v>
      </c>
      <c r="C2990" s="0" t="n">
        <v>195</v>
      </c>
      <c r="D2990" s="0" t="n">
        <v>9</v>
      </c>
      <c r="E2990" s="0" t="n">
        <v>6</v>
      </c>
      <c r="F2990" s="0" t="n">
        <v>176</v>
      </c>
      <c r="G2990" s="0" t="n">
        <v>150</v>
      </c>
      <c r="H2990" s="0" t="s">
        <v>145</v>
      </c>
      <c r="I2990" s="0" t="n">
        <v>150</v>
      </c>
      <c r="J2990" s="0" t="n">
        <f aca="false">F2990*E2990</f>
        <v>1056</v>
      </c>
      <c r="K2990" s="0" t="str">
        <f aca="false">IF(G2990&lt;1000,"1-Low",IF(G2990&lt;5000,"2-Medium","3-Bulk"))</f>
        <v>1-Low</v>
      </c>
      <c r="L2990" s="0" t="str">
        <f aca="false">IF(H2990="TRUE","Out of stock","In stock")</f>
        <v>In stock</v>
      </c>
      <c r="M2990" s="0" t="str">
        <f aca="false">IF(D2990&lt;5,"1) Under 5%",IF(D2990&lt;10,"2) 5-9%",IF(D2990&lt;15,"3) 10-14%",IF(D2990&lt;25,"4) 15-24%","5) 25%+"))))</f>
        <v>2) 5-9%</v>
      </c>
      <c r="N2990" s="0" t="str">
        <f aca="false">IF(F2990&lt;50,"1) Under Rs 50",IF(F2990&lt;100,"2) Rs 50-99",IF(F2990&lt;200,"3) Rs 100-199",IF(F2990&lt;500,"4) Rs 200-499","5) Rs 500+"))))</f>
        <v>3) Rs 100-199</v>
      </c>
      <c r="O2990" s="0" t="n">
        <f aca="false">G2990*E2990/1000</f>
        <v>0.9</v>
      </c>
    </row>
    <row r="2991" customFormat="false" ht="15" hidden="false" customHeight="false" outlineLevel="0" collapsed="false">
      <c r="A2991" s="0" t="s">
        <v>123</v>
      </c>
      <c r="B2991" s="0" t="s">
        <v>1433</v>
      </c>
      <c r="C2991" s="0" t="n">
        <v>264</v>
      </c>
      <c r="D2991" s="0" t="n">
        <v>0</v>
      </c>
      <c r="E2991" s="0" t="n">
        <v>6</v>
      </c>
      <c r="F2991" s="0" t="n">
        <v>264</v>
      </c>
      <c r="G2991" s="0" t="n">
        <v>340</v>
      </c>
      <c r="H2991" s="0" t="s">
        <v>145</v>
      </c>
      <c r="I2991" s="0" t="n">
        <v>340</v>
      </c>
      <c r="J2991" s="0" t="n">
        <f aca="false">F2991*E2991</f>
        <v>1584</v>
      </c>
      <c r="K2991" s="0" t="str">
        <f aca="false">IF(G2991&lt;1000,"1-Low",IF(G2991&lt;5000,"2-Medium","3-Bulk"))</f>
        <v>1-Low</v>
      </c>
      <c r="L2991" s="0" t="str">
        <f aca="false">IF(H2991="TRUE","Out of stock","In stock")</f>
        <v>In stock</v>
      </c>
      <c r="M2991" s="0" t="str">
        <f aca="false">IF(D2991&lt;5,"1) Under 5%",IF(D2991&lt;10,"2) 5-9%",IF(D2991&lt;15,"3) 10-14%",IF(D2991&lt;25,"4) 15-24%","5) 25%+"))))</f>
        <v>1) Under 5%</v>
      </c>
      <c r="N2991" s="0" t="str">
        <f aca="false">IF(F2991&lt;50,"1) Under Rs 50",IF(F2991&lt;100,"2) Rs 50-99",IF(F2991&lt;200,"3) Rs 100-199",IF(F2991&lt;500,"4) Rs 200-499","5) Rs 500+"))))</f>
        <v>4) Rs 200-499</v>
      </c>
      <c r="O2991" s="0" t="n">
        <f aca="false">G2991*E2991/1000</f>
        <v>2.04</v>
      </c>
    </row>
    <row r="2992" customFormat="false" ht="15" hidden="false" customHeight="false" outlineLevel="0" collapsed="false">
      <c r="A2992" s="0" t="s">
        <v>123</v>
      </c>
      <c r="B2992" s="0" t="s">
        <v>1479</v>
      </c>
      <c r="C2992" s="0" t="n">
        <v>105</v>
      </c>
      <c r="D2992" s="0" t="n">
        <v>0</v>
      </c>
      <c r="E2992" s="0" t="n">
        <v>4</v>
      </c>
      <c r="F2992" s="0" t="n">
        <v>105</v>
      </c>
      <c r="G2992" s="0" t="n">
        <v>1160</v>
      </c>
      <c r="H2992" s="0" t="s">
        <v>145</v>
      </c>
      <c r="I2992" s="0" t="n">
        <v>20</v>
      </c>
      <c r="J2992" s="0" t="n">
        <f aca="false">F2992*E2992</f>
        <v>420</v>
      </c>
      <c r="K2992" s="0" t="str">
        <f aca="false">IF(G2992&lt;1000,"1-Low",IF(G2992&lt;5000,"2-Medium","3-Bulk"))</f>
        <v>2-Medium</v>
      </c>
      <c r="L2992" s="0" t="str">
        <f aca="false">IF(H2992="TRUE","Out of stock","In stock")</f>
        <v>In stock</v>
      </c>
      <c r="M2992" s="0" t="str">
        <f aca="false">IF(D2992&lt;5,"1) Under 5%",IF(D2992&lt;10,"2) 5-9%",IF(D2992&lt;15,"3) 10-14%",IF(D2992&lt;25,"4) 15-24%","5) 25%+"))))</f>
        <v>1) Under 5%</v>
      </c>
      <c r="N2992" s="0" t="str">
        <f aca="false">IF(F2992&lt;50,"1) Under Rs 50",IF(F2992&lt;100,"2) Rs 50-99",IF(F2992&lt;200,"3) Rs 100-199",IF(F2992&lt;500,"4) Rs 200-499","5) Rs 500+"))))</f>
        <v>3) Rs 100-199</v>
      </c>
      <c r="O2992" s="0" t="n">
        <f aca="false">G2992*E2992/1000</f>
        <v>4.64</v>
      </c>
    </row>
    <row r="2993" customFormat="false" ht="15" hidden="false" customHeight="false" outlineLevel="0" collapsed="false">
      <c r="A2993" s="0" t="s">
        <v>123</v>
      </c>
      <c r="B2993" s="0" t="s">
        <v>1480</v>
      </c>
      <c r="C2993" s="0" t="n">
        <v>180</v>
      </c>
      <c r="D2993" s="0" t="n">
        <v>9</v>
      </c>
      <c r="E2993" s="0" t="n">
        <v>2</v>
      </c>
      <c r="F2993" s="0" t="n">
        <v>163</v>
      </c>
      <c r="G2993" s="0" t="n">
        <v>100</v>
      </c>
      <c r="H2993" s="0" t="s">
        <v>145</v>
      </c>
      <c r="I2993" s="0" t="n">
        <v>100</v>
      </c>
      <c r="J2993" s="0" t="n">
        <f aca="false">F2993*E2993</f>
        <v>326</v>
      </c>
      <c r="K2993" s="0" t="str">
        <f aca="false">IF(G2993&lt;1000,"1-Low",IF(G2993&lt;5000,"2-Medium","3-Bulk"))</f>
        <v>1-Low</v>
      </c>
      <c r="L2993" s="0" t="str">
        <f aca="false">IF(H2993="TRUE","Out of stock","In stock")</f>
        <v>In stock</v>
      </c>
      <c r="M2993" s="0" t="str">
        <f aca="false">IF(D2993&lt;5,"1) Under 5%",IF(D2993&lt;10,"2) 5-9%",IF(D2993&lt;15,"3) 10-14%",IF(D2993&lt;25,"4) 15-24%","5) 25%+"))))</f>
        <v>2) 5-9%</v>
      </c>
      <c r="N2993" s="0" t="str">
        <f aca="false">IF(F2993&lt;50,"1) Under Rs 50",IF(F2993&lt;100,"2) Rs 50-99",IF(F2993&lt;200,"3) Rs 100-199",IF(F2993&lt;500,"4) Rs 200-499","5) Rs 500+"))))</f>
        <v>3) Rs 100-199</v>
      </c>
      <c r="O2993" s="0" t="n">
        <f aca="false">G2993*E2993/1000</f>
        <v>0.2</v>
      </c>
    </row>
    <row r="2994" customFormat="false" ht="15" hidden="false" customHeight="false" outlineLevel="0" collapsed="false">
      <c r="A2994" s="0" t="s">
        <v>123</v>
      </c>
      <c r="B2994" s="0" t="s">
        <v>1481</v>
      </c>
      <c r="C2994" s="0" t="n">
        <v>190</v>
      </c>
      <c r="D2994" s="0" t="n">
        <v>0</v>
      </c>
      <c r="E2994" s="0" t="n">
        <v>5</v>
      </c>
      <c r="F2994" s="0" t="n">
        <v>190</v>
      </c>
      <c r="G2994" s="0" t="n">
        <v>200</v>
      </c>
      <c r="H2994" s="0" t="s">
        <v>145</v>
      </c>
      <c r="I2994" s="0" t="n">
        <v>200</v>
      </c>
      <c r="J2994" s="0" t="n">
        <f aca="false">F2994*E2994</f>
        <v>950</v>
      </c>
      <c r="K2994" s="0" t="str">
        <f aca="false">IF(G2994&lt;1000,"1-Low",IF(G2994&lt;5000,"2-Medium","3-Bulk"))</f>
        <v>1-Low</v>
      </c>
      <c r="L2994" s="0" t="str">
        <f aca="false">IF(H2994="TRUE","Out of stock","In stock")</f>
        <v>In stock</v>
      </c>
      <c r="M2994" s="0" t="str">
        <f aca="false">IF(D2994&lt;5,"1) Under 5%",IF(D2994&lt;10,"2) 5-9%",IF(D2994&lt;15,"3) 10-14%",IF(D2994&lt;25,"4) 15-24%","5) 25%+"))))</f>
        <v>1) Under 5%</v>
      </c>
      <c r="N2994" s="0" t="str">
        <f aca="false">IF(F2994&lt;50,"1) Under Rs 50",IF(F2994&lt;100,"2) Rs 50-99",IF(F2994&lt;200,"3) Rs 100-199",IF(F2994&lt;500,"4) Rs 200-499","5) Rs 500+"))))</f>
        <v>3) Rs 100-199</v>
      </c>
      <c r="O2994" s="0" t="n">
        <f aca="false">G2994*E2994/1000</f>
        <v>1</v>
      </c>
    </row>
    <row r="2995" customFormat="false" ht="15" hidden="false" customHeight="false" outlineLevel="0" collapsed="false">
      <c r="A2995" s="0" t="s">
        <v>123</v>
      </c>
      <c r="B2995" s="0" t="s">
        <v>1482</v>
      </c>
      <c r="C2995" s="0" t="n">
        <v>90</v>
      </c>
      <c r="D2995" s="0" t="n">
        <v>10</v>
      </c>
      <c r="E2995" s="0" t="n">
        <v>6</v>
      </c>
      <c r="F2995" s="0" t="n">
        <v>81</v>
      </c>
      <c r="G2995" s="0" t="n">
        <v>100</v>
      </c>
      <c r="H2995" s="0" t="s">
        <v>145</v>
      </c>
      <c r="I2995" s="0" t="n">
        <v>100</v>
      </c>
      <c r="J2995" s="0" t="n">
        <f aca="false">F2995*E2995</f>
        <v>486</v>
      </c>
      <c r="K2995" s="0" t="str">
        <f aca="false">IF(G2995&lt;1000,"1-Low",IF(G2995&lt;5000,"2-Medium","3-Bulk"))</f>
        <v>1-Low</v>
      </c>
      <c r="L2995" s="0" t="str">
        <f aca="false">IF(H2995="TRUE","Out of stock","In stock")</f>
        <v>In stock</v>
      </c>
      <c r="M2995" s="0" t="str">
        <f aca="false">IF(D2995&lt;5,"1) Under 5%",IF(D2995&lt;10,"2) 5-9%",IF(D2995&lt;15,"3) 10-14%",IF(D2995&lt;25,"4) 15-24%","5) 25%+"))))</f>
        <v>3) 10-14%</v>
      </c>
      <c r="N2995" s="0" t="str">
        <f aca="false">IF(F2995&lt;50,"1) Under Rs 50",IF(F2995&lt;100,"2) Rs 50-99",IF(F2995&lt;200,"3) Rs 100-199",IF(F2995&lt;500,"4) Rs 200-499","5) Rs 500+"))))</f>
        <v>2) Rs 50-99</v>
      </c>
      <c r="O2995" s="0" t="n">
        <f aca="false">G2995*E2995/1000</f>
        <v>0.6</v>
      </c>
    </row>
    <row r="2996" customFormat="false" ht="15" hidden="false" customHeight="false" outlineLevel="0" collapsed="false">
      <c r="A2996" s="0" t="s">
        <v>123</v>
      </c>
      <c r="B2996" s="0" t="s">
        <v>1483</v>
      </c>
      <c r="C2996" s="0" t="n">
        <v>199</v>
      </c>
      <c r="D2996" s="0" t="n">
        <v>0</v>
      </c>
      <c r="E2996" s="0" t="n">
        <v>6</v>
      </c>
      <c r="F2996" s="0" t="n">
        <v>199</v>
      </c>
      <c r="G2996" s="0" t="n">
        <v>200</v>
      </c>
      <c r="H2996" s="0" t="s">
        <v>145</v>
      </c>
      <c r="I2996" s="0" t="n">
        <v>200</v>
      </c>
      <c r="J2996" s="0" t="n">
        <f aca="false">F2996*E2996</f>
        <v>1194</v>
      </c>
      <c r="K2996" s="0" t="str">
        <f aca="false">IF(G2996&lt;1000,"1-Low",IF(G2996&lt;5000,"2-Medium","3-Bulk"))</f>
        <v>1-Low</v>
      </c>
      <c r="L2996" s="0" t="str">
        <f aca="false">IF(H2996="TRUE","Out of stock","In stock")</f>
        <v>In stock</v>
      </c>
      <c r="M2996" s="0" t="str">
        <f aca="false">IF(D2996&lt;5,"1) Under 5%",IF(D2996&lt;10,"2) 5-9%",IF(D2996&lt;15,"3) 10-14%",IF(D2996&lt;25,"4) 15-24%","5) 25%+"))))</f>
        <v>1) Under 5%</v>
      </c>
      <c r="N2996" s="0" t="str">
        <f aca="false">IF(F2996&lt;50,"1) Under Rs 50",IF(F2996&lt;100,"2) Rs 50-99",IF(F2996&lt;200,"3) Rs 100-199",IF(F2996&lt;500,"4) Rs 200-499","5) Rs 500+"))))</f>
        <v>3) Rs 100-199</v>
      </c>
      <c r="O2996" s="0" t="n">
        <f aca="false">G2996*E2996/1000</f>
        <v>1.2</v>
      </c>
    </row>
    <row r="2997" customFormat="false" ht="15" hidden="false" customHeight="false" outlineLevel="0" collapsed="false">
      <c r="A2997" s="0" t="s">
        <v>123</v>
      </c>
      <c r="B2997" s="0" t="s">
        <v>1484</v>
      </c>
      <c r="C2997" s="0" t="n">
        <v>175</v>
      </c>
      <c r="D2997" s="0" t="n">
        <v>0</v>
      </c>
      <c r="E2997" s="0" t="n">
        <v>3</v>
      </c>
      <c r="F2997" s="0" t="n">
        <v>175</v>
      </c>
      <c r="G2997" s="0" t="n">
        <v>812</v>
      </c>
      <c r="H2997" s="0" t="s">
        <v>145</v>
      </c>
      <c r="I2997" s="0" t="n">
        <v>14</v>
      </c>
      <c r="J2997" s="0" t="n">
        <f aca="false">F2997*E2997</f>
        <v>525</v>
      </c>
      <c r="K2997" s="0" t="str">
        <f aca="false">IF(G2997&lt;1000,"1-Low",IF(G2997&lt;5000,"2-Medium","3-Bulk"))</f>
        <v>1-Low</v>
      </c>
      <c r="L2997" s="0" t="str">
        <f aca="false">IF(H2997="TRUE","Out of stock","In stock")</f>
        <v>In stock</v>
      </c>
      <c r="M2997" s="0" t="str">
        <f aca="false">IF(D2997&lt;5,"1) Under 5%",IF(D2997&lt;10,"2) 5-9%",IF(D2997&lt;15,"3) 10-14%",IF(D2997&lt;25,"4) 15-24%","5) 25%+"))))</f>
        <v>1) Under 5%</v>
      </c>
      <c r="N2997" s="0" t="str">
        <f aca="false">IF(F2997&lt;50,"1) Under Rs 50",IF(F2997&lt;100,"2) Rs 50-99",IF(F2997&lt;200,"3) Rs 100-199",IF(F2997&lt;500,"4) Rs 200-499","5) Rs 500+"))))</f>
        <v>3) Rs 100-199</v>
      </c>
      <c r="O2997" s="0" t="n">
        <f aca="false">G2997*E2997/1000</f>
        <v>2.436</v>
      </c>
    </row>
    <row r="2998" customFormat="false" ht="15" hidden="false" customHeight="false" outlineLevel="0" collapsed="false">
      <c r="A2998" s="0" t="s">
        <v>123</v>
      </c>
      <c r="B2998" s="0" t="s">
        <v>118</v>
      </c>
      <c r="C2998" s="0" t="n">
        <v>1099</v>
      </c>
      <c r="D2998" s="0" t="n">
        <v>18</v>
      </c>
      <c r="E2998" s="0" t="n">
        <v>6</v>
      </c>
      <c r="F2998" s="0" t="n">
        <v>899</v>
      </c>
      <c r="G2998" s="0" t="n">
        <v>54</v>
      </c>
      <c r="H2998" s="0" t="s">
        <v>145</v>
      </c>
      <c r="I2998" s="0" t="n">
        <v>54</v>
      </c>
      <c r="J2998" s="0" t="n">
        <f aca="false">F2998*E2998</f>
        <v>5394</v>
      </c>
      <c r="K2998" s="0" t="str">
        <f aca="false">IF(G2998&lt;1000,"1-Low",IF(G2998&lt;5000,"2-Medium","3-Bulk"))</f>
        <v>1-Low</v>
      </c>
      <c r="L2998" s="0" t="str">
        <f aca="false">IF(H2998="TRUE","Out of stock","In stock")</f>
        <v>In stock</v>
      </c>
      <c r="M2998" s="0" t="str">
        <f aca="false">IF(D2998&lt;5,"1) Under 5%",IF(D2998&lt;10,"2) 5-9%",IF(D2998&lt;15,"3) 10-14%",IF(D2998&lt;25,"4) 15-24%","5) 25%+"))))</f>
        <v>4) 15-24%</v>
      </c>
      <c r="N2998" s="0" t="str">
        <f aca="false">IF(F2998&lt;50,"1) Under Rs 50",IF(F2998&lt;100,"2) Rs 50-99",IF(F2998&lt;200,"3) Rs 100-199",IF(F2998&lt;500,"4) Rs 200-499","5) Rs 500+"))))</f>
        <v>5) Rs 500+</v>
      </c>
      <c r="O2998" s="0" t="n">
        <f aca="false">G2998*E2998/1000</f>
        <v>0.324</v>
      </c>
    </row>
    <row r="2999" customFormat="false" ht="15" hidden="false" customHeight="false" outlineLevel="0" collapsed="false">
      <c r="A2999" s="0" t="s">
        <v>123</v>
      </c>
      <c r="B2999" s="0" t="s">
        <v>1366</v>
      </c>
      <c r="C2999" s="0" t="n">
        <v>199</v>
      </c>
      <c r="D2999" s="0" t="n">
        <v>10</v>
      </c>
      <c r="E2999" s="0" t="n">
        <v>6</v>
      </c>
      <c r="F2999" s="0" t="n">
        <v>179</v>
      </c>
      <c r="G2999" s="0" t="n">
        <v>250</v>
      </c>
      <c r="H2999" s="0" t="s">
        <v>145</v>
      </c>
      <c r="I2999" s="0" t="n">
        <v>250</v>
      </c>
      <c r="J2999" s="0" t="n">
        <f aca="false">F2999*E2999</f>
        <v>1074</v>
      </c>
      <c r="K2999" s="0" t="str">
        <f aca="false">IF(G2999&lt;1000,"1-Low",IF(G2999&lt;5000,"2-Medium","3-Bulk"))</f>
        <v>1-Low</v>
      </c>
      <c r="L2999" s="0" t="str">
        <f aca="false">IF(H2999="TRUE","Out of stock","In stock")</f>
        <v>In stock</v>
      </c>
      <c r="M2999" s="0" t="str">
        <f aca="false">IF(D2999&lt;5,"1) Under 5%",IF(D2999&lt;10,"2) 5-9%",IF(D2999&lt;15,"3) 10-14%",IF(D2999&lt;25,"4) 15-24%","5) 25%+"))))</f>
        <v>3) 10-14%</v>
      </c>
      <c r="N2999" s="0" t="str">
        <f aca="false">IF(F2999&lt;50,"1) Under Rs 50",IF(F2999&lt;100,"2) Rs 50-99",IF(F2999&lt;200,"3) Rs 100-199",IF(F2999&lt;500,"4) Rs 200-499","5) Rs 500+"))))</f>
        <v>3) Rs 100-199</v>
      </c>
      <c r="O2999" s="0" t="n">
        <f aca="false">G2999*E2999/1000</f>
        <v>1.5</v>
      </c>
    </row>
    <row r="3000" customFormat="false" ht="15" hidden="false" customHeight="false" outlineLevel="0" collapsed="false">
      <c r="A3000" s="0" t="s">
        <v>123</v>
      </c>
      <c r="B3000" s="0" t="s">
        <v>1485</v>
      </c>
      <c r="C3000" s="0" t="n">
        <v>125</v>
      </c>
      <c r="D3000" s="0" t="n">
        <v>10</v>
      </c>
      <c r="E3000" s="0" t="n">
        <v>6</v>
      </c>
      <c r="F3000" s="0" t="n">
        <v>112</v>
      </c>
      <c r="G3000" s="0" t="n">
        <v>100</v>
      </c>
      <c r="H3000" s="0" t="s">
        <v>145</v>
      </c>
      <c r="I3000" s="0" t="n">
        <v>100</v>
      </c>
      <c r="J3000" s="0" t="n">
        <f aca="false">F3000*E3000</f>
        <v>672</v>
      </c>
      <c r="K3000" s="0" t="str">
        <f aca="false">IF(G3000&lt;1000,"1-Low",IF(G3000&lt;5000,"2-Medium","3-Bulk"))</f>
        <v>1-Low</v>
      </c>
      <c r="L3000" s="0" t="str">
        <f aca="false">IF(H3000="TRUE","Out of stock","In stock")</f>
        <v>In stock</v>
      </c>
      <c r="M3000" s="0" t="str">
        <f aca="false">IF(D3000&lt;5,"1) Under 5%",IF(D3000&lt;10,"2) 5-9%",IF(D3000&lt;15,"3) 10-14%",IF(D3000&lt;25,"4) 15-24%","5) 25%+"))))</f>
        <v>3) 10-14%</v>
      </c>
      <c r="N3000" s="0" t="str">
        <f aca="false">IF(F3000&lt;50,"1) Under Rs 50",IF(F3000&lt;100,"2) Rs 50-99",IF(F3000&lt;200,"3) Rs 100-199",IF(F3000&lt;500,"4) Rs 200-499","5) Rs 500+"))))</f>
        <v>3) Rs 100-199</v>
      </c>
      <c r="O3000" s="0" t="n">
        <f aca="false">G3000*E3000/1000</f>
        <v>0.6</v>
      </c>
    </row>
    <row r="3001" customFormat="false" ht="15" hidden="false" customHeight="false" outlineLevel="0" collapsed="false">
      <c r="A3001" s="0" t="s">
        <v>123</v>
      </c>
      <c r="B3001" s="0" t="s">
        <v>1450</v>
      </c>
      <c r="C3001" s="0" t="n">
        <v>180</v>
      </c>
      <c r="D3001" s="0" t="n">
        <v>10</v>
      </c>
      <c r="E3001" s="0" t="n">
        <v>6</v>
      </c>
      <c r="F3001" s="0" t="n">
        <v>162</v>
      </c>
      <c r="G3001" s="0" t="n">
        <v>150</v>
      </c>
      <c r="H3001" s="0" t="s">
        <v>145</v>
      </c>
      <c r="I3001" s="0" t="n">
        <v>150</v>
      </c>
      <c r="J3001" s="0" t="n">
        <f aca="false">F3001*E3001</f>
        <v>972</v>
      </c>
      <c r="K3001" s="0" t="str">
        <f aca="false">IF(G3001&lt;1000,"1-Low",IF(G3001&lt;5000,"2-Medium","3-Bulk"))</f>
        <v>1-Low</v>
      </c>
      <c r="L3001" s="0" t="str">
        <f aca="false">IF(H3001="TRUE","Out of stock","In stock")</f>
        <v>In stock</v>
      </c>
      <c r="M3001" s="0" t="str">
        <f aca="false">IF(D3001&lt;5,"1) Under 5%",IF(D3001&lt;10,"2) 5-9%",IF(D3001&lt;15,"3) 10-14%",IF(D3001&lt;25,"4) 15-24%","5) 25%+"))))</f>
        <v>3) 10-14%</v>
      </c>
      <c r="N3001" s="0" t="str">
        <f aca="false">IF(F3001&lt;50,"1) Under Rs 50",IF(F3001&lt;100,"2) Rs 50-99",IF(F3001&lt;200,"3) Rs 100-199",IF(F3001&lt;500,"4) Rs 200-499","5) Rs 500+"))))</f>
        <v>3) Rs 100-199</v>
      </c>
      <c r="O3001" s="0" t="n">
        <f aca="false">G3001*E3001/1000</f>
        <v>0.9</v>
      </c>
    </row>
    <row r="3002" customFormat="false" ht="15" hidden="false" customHeight="false" outlineLevel="0" collapsed="false">
      <c r="A3002" s="0" t="s">
        <v>123</v>
      </c>
      <c r="B3002" s="0" t="s">
        <v>1486</v>
      </c>
      <c r="C3002" s="0" t="n">
        <v>225</v>
      </c>
      <c r="D3002" s="0" t="n">
        <v>20</v>
      </c>
      <c r="E3002" s="0" t="n">
        <v>6</v>
      </c>
      <c r="F3002" s="0" t="n">
        <v>180</v>
      </c>
      <c r="G3002" s="0" t="n">
        <v>250</v>
      </c>
      <c r="H3002" s="0" t="s">
        <v>145</v>
      </c>
      <c r="I3002" s="0" t="n">
        <v>250</v>
      </c>
      <c r="J3002" s="0" t="n">
        <f aca="false">F3002*E3002</f>
        <v>1080</v>
      </c>
      <c r="K3002" s="0" t="str">
        <f aca="false">IF(G3002&lt;1000,"1-Low",IF(G3002&lt;5000,"2-Medium","3-Bulk"))</f>
        <v>1-Low</v>
      </c>
      <c r="L3002" s="0" t="str">
        <f aca="false">IF(H3002="TRUE","Out of stock","In stock")</f>
        <v>In stock</v>
      </c>
      <c r="M3002" s="0" t="str">
        <f aca="false">IF(D3002&lt;5,"1) Under 5%",IF(D3002&lt;10,"2) 5-9%",IF(D3002&lt;15,"3) 10-14%",IF(D3002&lt;25,"4) 15-24%","5) 25%+"))))</f>
        <v>4) 15-24%</v>
      </c>
      <c r="N3002" s="0" t="str">
        <f aca="false">IF(F3002&lt;50,"1) Under Rs 50",IF(F3002&lt;100,"2) Rs 50-99",IF(F3002&lt;200,"3) Rs 100-199",IF(F3002&lt;500,"4) Rs 200-499","5) Rs 500+"))))</f>
        <v>3) Rs 100-199</v>
      </c>
      <c r="O3002" s="0" t="n">
        <f aca="false">G3002*E3002/1000</f>
        <v>1.5</v>
      </c>
    </row>
    <row r="3003" customFormat="false" ht="15" hidden="false" customHeight="false" outlineLevel="0" collapsed="false">
      <c r="A3003" s="0" t="s">
        <v>123</v>
      </c>
      <c r="B3003" s="0" t="s">
        <v>1487</v>
      </c>
      <c r="C3003" s="0" t="n">
        <v>180</v>
      </c>
      <c r="D3003" s="0" t="n">
        <v>0</v>
      </c>
      <c r="E3003" s="0" t="n">
        <v>1</v>
      </c>
      <c r="F3003" s="0" t="n">
        <v>180</v>
      </c>
      <c r="G3003" s="0" t="n">
        <v>174</v>
      </c>
      <c r="H3003" s="0" t="s">
        <v>145</v>
      </c>
      <c r="I3003" s="0" t="n">
        <v>3</v>
      </c>
      <c r="J3003" s="0" t="n">
        <f aca="false">F3003*E3003</f>
        <v>180</v>
      </c>
      <c r="K3003" s="0" t="str">
        <f aca="false">IF(G3003&lt;1000,"1-Low",IF(G3003&lt;5000,"2-Medium","3-Bulk"))</f>
        <v>1-Low</v>
      </c>
      <c r="L3003" s="0" t="str">
        <f aca="false">IF(H3003="TRUE","Out of stock","In stock")</f>
        <v>In stock</v>
      </c>
      <c r="M3003" s="0" t="str">
        <f aca="false">IF(D3003&lt;5,"1) Under 5%",IF(D3003&lt;10,"2) 5-9%",IF(D3003&lt;15,"3) 10-14%",IF(D3003&lt;25,"4) 15-24%","5) 25%+"))))</f>
        <v>1) Under 5%</v>
      </c>
      <c r="N3003" s="0" t="str">
        <f aca="false">IF(F3003&lt;50,"1) Under Rs 50",IF(F3003&lt;100,"2) Rs 50-99",IF(F3003&lt;200,"3) Rs 100-199",IF(F3003&lt;500,"4) Rs 200-499","5) Rs 500+"))))</f>
        <v>3) Rs 100-199</v>
      </c>
      <c r="O3003" s="0" t="n">
        <f aca="false">G3003*E3003/1000</f>
        <v>0.174</v>
      </c>
    </row>
    <row r="3004" customFormat="false" ht="15" hidden="false" customHeight="false" outlineLevel="0" collapsed="false">
      <c r="A3004" s="0" t="s">
        <v>123</v>
      </c>
      <c r="B3004" s="0" t="s">
        <v>1464</v>
      </c>
      <c r="C3004" s="0" t="n">
        <v>285</v>
      </c>
      <c r="D3004" s="0" t="n">
        <v>7</v>
      </c>
      <c r="E3004" s="0" t="n">
        <v>6</v>
      </c>
      <c r="F3004" s="0" t="n">
        <v>263</v>
      </c>
      <c r="G3004" s="0" t="n">
        <v>500</v>
      </c>
      <c r="H3004" s="0" t="s">
        <v>145</v>
      </c>
      <c r="I3004" s="0" t="n">
        <v>500</v>
      </c>
      <c r="J3004" s="0" t="n">
        <f aca="false">F3004*E3004</f>
        <v>1578</v>
      </c>
      <c r="K3004" s="0" t="str">
        <f aca="false">IF(G3004&lt;1000,"1-Low",IF(G3004&lt;5000,"2-Medium","3-Bulk"))</f>
        <v>1-Low</v>
      </c>
      <c r="L3004" s="0" t="str">
        <f aca="false">IF(H3004="TRUE","Out of stock","In stock")</f>
        <v>In stock</v>
      </c>
      <c r="M3004" s="0" t="str">
        <f aca="false">IF(D3004&lt;5,"1) Under 5%",IF(D3004&lt;10,"2) 5-9%",IF(D3004&lt;15,"3) 10-14%",IF(D3004&lt;25,"4) 15-24%","5) 25%+"))))</f>
        <v>2) 5-9%</v>
      </c>
      <c r="N3004" s="0" t="str">
        <f aca="false">IF(F3004&lt;50,"1) Under Rs 50",IF(F3004&lt;100,"2) Rs 50-99",IF(F3004&lt;200,"3) Rs 100-199",IF(F3004&lt;500,"4) Rs 200-499","5) Rs 500+"))))</f>
        <v>4) Rs 200-499</v>
      </c>
      <c r="O3004" s="0" t="n">
        <f aca="false">G3004*E3004/1000</f>
        <v>3</v>
      </c>
    </row>
    <row r="3005" customFormat="false" ht="15" hidden="false" customHeight="false" outlineLevel="0" collapsed="false">
      <c r="A3005" s="0" t="s">
        <v>123</v>
      </c>
      <c r="B3005" s="0" t="s">
        <v>1488</v>
      </c>
      <c r="C3005" s="0" t="n">
        <v>235</v>
      </c>
      <c r="D3005" s="0" t="n">
        <v>7</v>
      </c>
      <c r="E3005" s="0" t="n">
        <v>6</v>
      </c>
      <c r="F3005" s="0" t="n">
        <v>218</v>
      </c>
      <c r="G3005" s="0" t="n">
        <v>1160</v>
      </c>
      <c r="H3005" s="0" t="s">
        <v>145</v>
      </c>
      <c r="I3005" s="0" t="n">
        <v>20</v>
      </c>
      <c r="J3005" s="0" t="n">
        <f aca="false">F3005*E3005</f>
        <v>1308</v>
      </c>
      <c r="K3005" s="0" t="str">
        <f aca="false">IF(G3005&lt;1000,"1-Low",IF(G3005&lt;5000,"2-Medium","3-Bulk"))</f>
        <v>2-Medium</v>
      </c>
      <c r="L3005" s="0" t="str">
        <f aca="false">IF(H3005="TRUE","Out of stock","In stock")</f>
        <v>In stock</v>
      </c>
      <c r="M3005" s="0" t="str">
        <f aca="false">IF(D3005&lt;5,"1) Under 5%",IF(D3005&lt;10,"2) 5-9%",IF(D3005&lt;15,"3) 10-14%",IF(D3005&lt;25,"4) 15-24%","5) 25%+"))))</f>
        <v>2) 5-9%</v>
      </c>
      <c r="N3005" s="0" t="str">
        <f aca="false">IF(F3005&lt;50,"1) Under Rs 50",IF(F3005&lt;100,"2) Rs 50-99",IF(F3005&lt;200,"3) Rs 100-199",IF(F3005&lt;500,"4) Rs 200-499","5) Rs 500+"))))</f>
        <v>4) Rs 200-499</v>
      </c>
      <c r="O3005" s="0" t="n">
        <f aca="false">G3005*E3005/1000</f>
        <v>6.96</v>
      </c>
    </row>
    <row r="3006" customFormat="false" ht="15" hidden="false" customHeight="false" outlineLevel="0" collapsed="false">
      <c r="A3006" s="0" t="s">
        <v>123</v>
      </c>
      <c r="B3006" s="0" t="s">
        <v>1489</v>
      </c>
      <c r="C3006" s="0" t="n">
        <v>55</v>
      </c>
      <c r="D3006" s="0" t="n">
        <v>9</v>
      </c>
      <c r="E3006" s="0" t="n">
        <v>6</v>
      </c>
      <c r="F3006" s="0" t="n">
        <v>50</v>
      </c>
      <c r="G3006" s="0" t="n">
        <v>80</v>
      </c>
      <c r="H3006" s="0" t="s">
        <v>145</v>
      </c>
      <c r="I3006" s="0" t="n">
        <v>80</v>
      </c>
      <c r="J3006" s="0" t="n">
        <f aca="false">F3006*E3006</f>
        <v>300</v>
      </c>
      <c r="K3006" s="0" t="str">
        <f aca="false">IF(G3006&lt;1000,"1-Low",IF(G3006&lt;5000,"2-Medium","3-Bulk"))</f>
        <v>1-Low</v>
      </c>
      <c r="L3006" s="0" t="str">
        <f aca="false">IF(H3006="TRUE","Out of stock","In stock")</f>
        <v>In stock</v>
      </c>
      <c r="M3006" s="0" t="str">
        <f aca="false">IF(D3006&lt;5,"1) Under 5%",IF(D3006&lt;10,"2) 5-9%",IF(D3006&lt;15,"3) 10-14%",IF(D3006&lt;25,"4) 15-24%","5) 25%+"))))</f>
        <v>2) 5-9%</v>
      </c>
      <c r="N3006" s="0" t="str">
        <f aca="false">IF(F3006&lt;50,"1) Under Rs 50",IF(F3006&lt;100,"2) Rs 50-99",IF(F3006&lt;200,"3) Rs 100-199",IF(F3006&lt;500,"4) Rs 200-499","5) Rs 500+"))))</f>
        <v>2) Rs 50-99</v>
      </c>
      <c r="O3006" s="0" t="n">
        <f aca="false">G3006*E3006/1000</f>
        <v>0.48</v>
      </c>
    </row>
    <row r="3007" customFormat="false" ht="15" hidden="false" customHeight="false" outlineLevel="0" collapsed="false">
      <c r="A3007" s="0" t="s">
        <v>123</v>
      </c>
      <c r="B3007" s="0" t="s">
        <v>1490</v>
      </c>
      <c r="C3007" s="0" t="n">
        <v>180</v>
      </c>
      <c r="D3007" s="0" t="n">
        <v>0</v>
      </c>
      <c r="E3007" s="0" t="n">
        <v>2</v>
      </c>
      <c r="F3007" s="0" t="n">
        <v>180</v>
      </c>
      <c r="G3007" s="0" t="n">
        <v>625</v>
      </c>
      <c r="H3007" s="0" t="s">
        <v>145</v>
      </c>
      <c r="I3007" s="0" t="n">
        <v>625</v>
      </c>
      <c r="J3007" s="0" t="n">
        <f aca="false">F3007*E3007</f>
        <v>360</v>
      </c>
      <c r="K3007" s="0" t="str">
        <f aca="false">IF(G3007&lt;1000,"1-Low",IF(G3007&lt;5000,"2-Medium","3-Bulk"))</f>
        <v>1-Low</v>
      </c>
      <c r="L3007" s="0" t="str">
        <f aca="false">IF(H3007="TRUE","Out of stock","In stock")</f>
        <v>In stock</v>
      </c>
      <c r="M3007" s="0" t="str">
        <f aca="false">IF(D3007&lt;5,"1) Under 5%",IF(D3007&lt;10,"2) 5-9%",IF(D3007&lt;15,"3) 10-14%",IF(D3007&lt;25,"4) 15-24%","5) 25%+"))))</f>
        <v>1) Under 5%</v>
      </c>
      <c r="N3007" s="0" t="str">
        <f aca="false">IF(F3007&lt;50,"1) Under Rs 50",IF(F3007&lt;100,"2) Rs 50-99",IF(F3007&lt;200,"3) Rs 100-199",IF(F3007&lt;500,"4) Rs 200-499","5) Rs 500+"))))</f>
        <v>3) Rs 100-199</v>
      </c>
      <c r="O3007" s="0" t="n">
        <f aca="false">G3007*E3007/1000</f>
        <v>1.25</v>
      </c>
    </row>
    <row r="3008" customFormat="false" ht="15" hidden="false" customHeight="false" outlineLevel="0" collapsed="false">
      <c r="A3008" s="0" t="s">
        <v>123</v>
      </c>
      <c r="B3008" s="0" t="s">
        <v>1491</v>
      </c>
      <c r="C3008" s="0" t="n">
        <v>425</v>
      </c>
      <c r="D3008" s="0" t="n">
        <v>20</v>
      </c>
      <c r="E3008" s="0" t="n">
        <v>5</v>
      </c>
      <c r="F3008" s="0" t="n">
        <v>340</v>
      </c>
      <c r="G3008" s="0" t="n">
        <v>400</v>
      </c>
      <c r="H3008" s="0" t="s">
        <v>145</v>
      </c>
      <c r="I3008" s="0" t="n">
        <v>9</v>
      </c>
      <c r="J3008" s="0" t="n">
        <f aca="false">F3008*E3008</f>
        <v>1700</v>
      </c>
      <c r="K3008" s="0" t="str">
        <f aca="false">IF(G3008&lt;1000,"1-Low",IF(G3008&lt;5000,"2-Medium","3-Bulk"))</f>
        <v>1-Low</v>
      </c>
      <c r="L3008" s="0" t="str">
        <f aca="false">IF(H3008="TRUE","Out of stock","In stock")</f>
        <v>In stock</v>
      </c>
      <c r="M3008" s="0" t="str">
        <f aca="false">IF(D3008&lt;5,"1) Under 5%",IF(D3008&lt;10,"2) 5-9%",IF(D3008&lt;15,"3) 10-14%",IF(D3008&lt;25,"4) 15-24%","5) 25%+"))))</f>
        <v>4) 15-24%</v>
      </c>
      <c r="N3008" s="0" t="str">
        <f aca="false">IF(F3008&lt;50,"1) Under Rs 50",IF(F3008&lt;100,"2) Rs 50-99",IF(F3008&lt;200,"3) Rs 100-199",IF(F3008&lt;500,"4) Rs 200-499","5) Rs 500+"))))</f>
        <v>4) Rs 200-499</v>
      </c>
      <c r="O3008" s="0" t="n">
        <f aca="false">G3008*E3008/1000</f>
        <v>2</v>
      </c>
    </row>
    <row r="3009" customFormat="false" ht="15" hidden="false" customHeight="false" outlineLevel="0" collapsed="false">
      <c r="A3009" s="0" t="s">
        <v>123</v>
      </c>
      <c r="B3009" s="0" t="s">
        <v>1492</v>
      </c>
      <c r="C3009" s="0" t="n">
        <v>130</v>
      </c>
      <c r="D3009" s="0" t="n">
        <v>0</v>
      </c>
      <c r="E3009" s="0" t="n">
        <v>4</v>
      </c>
      <c r="F3009" s="0" t="n">
        <v>130</v>
      </c>
      <c r="G3009" s="0" t="n">
        <v>50</v>
      </c>
      <c r="H3009" s="0" t="s">
        <v>145</v>
      </c>
      <c r="I3009" s="0" t="n">
        <v>50</v>
      </c>
      <c r="J3009" s="0" t="n">
        <f aca="false">F3009*E3009</f>
        <v>520</v>
      </c>
      <c r="K3009" s="0" t="str">
        <f aca="false">IF(G3009&lt;1000,"1-Low",IF(G3009&lt;5000,"2-Medium","3-Bulk"))</f>
        <v>1-Low</v>
      </c>
      <c r="L3009" s="0" t="str">
        <f aca="false">IF(H3009="TRUE","Out of stock","In stock")</f>
        <v>In stock</v>
      </c>
      <c r="M3009" s="0" t="str">
        <f aca="false">IF(D3009&lt;5,"1) Under 5%",IF(D3009&lt;10,"2) 5-9%",IF(D3009&lt;15,"3) 10-14%",IF(D3009&lt;25,"4) 15-24%","5) 25%+"))))</f>
        <v>1) Under 5%</v>
      </c>
      <c r="N3009" s="0" t="str">
        <f aca="false">IF(F3009&lt;50,"1) Under Rs 50",IF(F3009&lt;100,"2) Rs 50-99",IF(F3009&lt;200,"3) Rs 100-199",IF(F3009&lt;500,"4) Rs 200-499","5) Rs 500+"))))</f>
        <v>3) Rs 100-199</v>
      </c>
      <c r="O3009" s="0" t="n">
        <f aca="false">G3009*E3009/1000</f>
        <v>0.2</v>
      </c>
    </row>
    <row r="3010" customFormat="false" ht="15" hidden="false" customHeight="false" outlineLevel="0" collapsed="false">
      <c r="A3010" s="0" t="s">
        <v>123</v>
      </c>
      <c r="B3010" s="0" t="s">
        <v>1493</v>
      </c>
      <c r="C3010" s="0" t="n">
        <v>550</v>
      </c>
      <c r="D3010" s="0" t="n">
        <v>0</v>
      </c>
      <c r="E3010" s="0" t="n">
        <v>3</v>
      </c>
      <c r="F3010" s="0" t="n">
        <v>550</v>
      </c>
      <c r="G3010" s="0" t="n">
        <v>159</v>
      </c>
      <c r="H3010" s="0" t="s">
        <v>145</v>
      </c>
      <c r="I3010" s="0" t="n">
        <v>172</v>
      </c>
      <c r="J3010" s="0" t="n">
        <f aca="false">F3010*E3010</f>
        <v>1650</v>
      </c>
      <c r="K3010" s="0" t="str">
        <f aca="false">IF(G3010&lt;1000,"1-Low",IF(G3010&lt;5000,"2-Medium","3-Bulk"))</f>
        <v>1-Low</v>
      </c>
      <c r="L3010" s="0" t="str">
        <f aca="false">IF(H3010="TRUE","Out of stock","In stock")</f>
        <v>In stock</v>
      </c>
      <c r="M3010" s="0" t="str">
        <f aca="false">IF(D3010&lt;5,"1) Under 5%",IF(D3010&lt;10,"2) 5-9%",IF(D3010&lt;15,"3) 10-14%",IF(D3010&lt;25,"4) 15-24%","5) 25%+"))))</f>
        <v>1) Under 5%</v>
      </c>
      <c r="N3010" s="0" t="str">
        <f aca="false">IF(F3010&lt;50,"1) Under Rs 50",IF(F3010&lt;100,"2) Rs 50-99",IF(F3010&lt;200,"3) Rs 100-199",IF(F3010&lt;500,"4) Rs 200-499","5) Rs 500+"))))</f>
        <v>5) Rs 500+</v>
      </c>
      <c r="O3010" s="0" t="n">
        <f aca="false">G3010*E3010/1000</f>
        <v>0.477</v>
      </c>
    </row>
    <row r="3011" customFormat="false" ht="15" hidden="false" customHeight="false" outlineLevel="0" collapsed="false">
      <c r="A3011" s="0" t="s">
        <v>123</v>
      </c>
      <c r="B3011" s="0" t="s">
        <v>1368</v>
      </c>
      <c r="C3011" s="0" t="n">
        <v>235</v>
      </c>
      <c r="D3011" s="0" t="n">
        <v>0</v>
      </c>
      <c r="E3011" s="0" t="n">
        <v>6</v>
      </c>
      <c r="F3011" s="0" t="n">
        <v>235</v>
      </c>
      <c r="G3011" s="0" t="n">
        <v>400</v>
      </c>
      <c r="H3011" s="0" t="s">
        <v>145</v>
      </c>
      <c r="I3011" s="0" t="n">
        <v>400</v>
      </c>
      <c r="J3011" s="0" t="n">
        <f aca="false">F3011*E3011</f>
        <v>1410</v>
      </c>
      <c r="K3011" s="0" t="str">
        <f aca="false">IF(G3011&lt;1000,"1-Low",IF(G3011&lt;5000,"2-Medium","3-Bulk"))</f>
        <v>1-Low</v>
      </c>
      <c r="L3011" s="0" t="str">
        <f aca="false">IF(H3011="TRUE","Out of stock","In stock")</f>
        <v>In stock</v>
      </c>
      <c r="M3011" s="0" t="str">
        <f aca="false">IF(D3011&lt;5,"1) Under 5%",IF(D3011&lt;10,"2) 5-9%",IF(D3011&lt;15,"3) 10-14%",IF(D3011&lt;25,"4) 15-24%","5) 25%+"))))</f>
        <v>1) Under 5%</v>
      </c>
      <c r="N3011" s="0" t="str">
        <f aca="false">IF(F3011&lt;50,"1) Under Rs 50",IF(F3011&lt;100,"2) Rs 50-99",IF(F3011&lt;200,"3) Rs 100-199",IF(F3011&lt;500,"4) Rs 200-499","5) Rs 500+"))))</f>
        <v>4) Rs 200-499</v>
      </c>
      <c r="O3011" s="0" t="n">
        <f aca="false">G3011*E3011/1000</f>
        <v>2.4</v>
      </c>
    </row>
    <row r="3012" customFormat="false" ht="15" hidden="false" customHeight="false" outlineLevel="0" collapsed="false">
      <c r="A3012" s="0" t="s">
        <v>123</v>
      </c>
      <c r="B3012" s="0" t="s">
        <v>1494</v>
      </c>
      <c r="C3012" s="0" t="n">
        <v>249</v>
      </c>
      <c r="D3012" s="0" t="n">
        <v>0</v>
      </c>
      <c r="E3012" s="0" t="n">
        <v>4</v>
      </c>
      <c r="F3012" s="0" t="n">
        <v>249</v>
      </c>
      <c r="G3012" s="0" t="n">
        <v>100</v>
      </c>
      <c r="H3012" s="0" t="s">
        <v>145</v>
      </c>
      <c r="I3012" s="0" t="n">
        <v>100</v>
      </c>
      <c r="J3012" s="0" t="n">
        <f aca="false">F3012*E3012</f>
        <v>996</v>
      </c>
      <c r="K3012" s="0" t="str">
        <f aca="false">IF(G3012&lt;1000,"1-Low",IF(G3012&lt;5000,"2-Medium","3-Bulk"))</f>
        <v>1-Low</v>
      </c>
      <c r="L3012" s="0" t="str">
        <f aca="false">IF(H3012="TRUE","Out of stock","In stock")</f>
        <v>In stock</v>
      </c>
      <c r="M3012" s="0" t="str">
        <f aca="false">IF(D3012&lt;5,"1) Under 5%",IF(D3012&lt;10,"2) 5-9%",IF(D3012&lt;15,"3) 10-14%",IF(D3012&lt;25,"4) 15-24%","5) 25%+"))))</f>
        <v>1) Under 5%</v>
      </c>
      <c r="N3012" s="0" t="str">
        <f aca="false">IF(F3012&lt;50,"1) Under Rs 50",IF(F3012&lt;100,"2) Rs 50-99",IF(F3012&lt;200,"3) Rs 100-199",IF(F3012&lt;500,"4) Rs 200-499","5) Rs 500+"))))</f>
        <v>4) Rs 200-499</v>
      </c>
      <c r="O3012" s="0" t="n">
        <f aca="false">G3012*E3012/1000</f>
        <v>0.4</v>
      </c>
    </row>
    <row r="3013" customFormat="false" ht="15" hidden="false" customHeight="false" outlineLevel="0" collapsed="false">
      <c r="A3013" s="0" t="s">
        <v>123</v>
      </c>
      <c r="B3013" s="0" t="s">
        <v>1495</v>
      </c>
      <c r="C3013" s="0" t="n">
        <v>20</v>
      </c>
      <c r="D3013" s="0" t="n">
        <v>0</v>
      </c>
      <c r="E3013" s="0" t="n">
        <v>3</v>
      </c>
      <c r="F3013" s="0" t="n">
        <v>20</v>
      </c>
      <c r="G3013" s="0" t="n">
        <v>58</v>
      </c>
      <c r="H3013" s="0" t="s">
        <v>145</v>
      </c>
      <c r="I3013" s="0" t="n">
        <v>1</v>
      </c>
      <c r="J3013" s="0" t="n">
        <f aca="false">F3013*E3013</f>
        <v>60</v>
      </c>
      <c r="K3013" s="0" t="str">
        <f aca="false">IF(G3013&lt;1000,"1-Low",IF(G3013&lt;5000,"2-Medium","3-Bulk"))</f>
        <v>1-Low</v>
      </c>
      <c r="L3013" s="0" t="str">
        <f aca="false">IF(H3013="TRUE","Out of stock","In stock")</f>
        <v>In stock</v>
      </c>
      <c r="M3013" s="0" t="str">
        <f aca="false">IF(D3013&lt;5,"1) Under 5%",IF(D3013&lt;10,"2) 5-9%",IF(D3013&lt;15,"3) 10-14%",IF(D3013&lt;25,"4) 15-24%","5) 25%+"))))</f>
        <v>1) Under 5%</v>
      </c>
      <c r="N3013" s="0" t="str">
        <f aca="false">IF(F3013&lt;50,"1) Under Rs 50",IF(F3013&lt;100,"2) Rs 50-99",IF(F3013&lt;200,"3) Rs 100-199",IF(F3013&lt;500,"4) Rs 200-499","5) Rs 500+"))))</f>
        <v>1) Under Rs 50</v>
      </c>
      <c r="O3013" s="0" t="n">
        <f aca="false">G3013*E3013/1000</f>
        <v>0.174</v>
      </c>
    </row>
    <row r="3014" customFormat="false" ht="15" hidden="false" customHeight="false" outlineLevel="0" collapsed="false">
      <c r="A3014" s="0" t="s">
        <v>123</v>
      </c>
      <c r="B3014" s="0" t="s">
        <v>1496</v>
      </c>
      <c r="C3014" s="0" t="n">
        <v>135</v>
      </c>
      <c r="D3014" s="0" t="n">
        <v>5</v>
      </c>
      <c r="E3014" s="0" t="n">
        <v>6</v>
      </c>
      <c r="F3014" s="0" t="n">
        <v>128</v>
      </c>
      <c r="G3014" s="0" t="n">
        <v>50</v>
      </c>
      <c r="H3014" s="0" t="s">
        <v>145</v>
      </c>
      <c r="I3014" s="0" t="n">
        <v>50</v>
      </c>
      <c r="J3014" s="0" t="n">
        <f aca="false">F3014*E3014</f>
        <v>768</v>
      </c>
      <c r="K3014" s="0" t="str">
        <f aca="false">IF(G3014&lt;1000,"1-Low",IF(G3014&lt;5000,"2-Medium","3-Bulk"))</f>
        <v>1-Low</v>
      </c>
      <c r="L3014" s="0" t="str">
        <f aca="false">IF(H3014="TRUE","Out of stock","In stock")</f>
        <v>In stock</v>
      </c>
      <c r="M3014" s="0" t="str">
        <f aca="false">IF(D3014&lt;5,"1) Under 5%",IF(D3014&lt;10,"2) 5-9%",IF(D3014&lt;15,"3) 10-14%",IF(D3014&lt;25,"4) 15-24%","5) 25%+"))))</f>
        <v>2) 5-9%</v>
      </c>
      <c r="N3014" s="0" t="str">
        <f aca="false">IF(F3014&lt;50,"1) Under Rs 50",IF(F3014&lt;100,"2) Rs 50-99",IF(F3014&lt;200,"3) Rs 100-199",IF(F3014&lt;500,"4) Rs 200-499","5) Rs 500+"))))</f>
        <v>3) Rs 100-199</v>
      </c>
      <c r="O3014" s="0" t="n">
        <f aca="false">G3014*E3014/1000</f>
        <v>0.3</v>
      </c>
    </row>
    <row r="3015" customFormat="false" ht="15" hidden="false" customHeight="false" outlineLevel="0" collapsed="false">
      <c r="A3015" s="0" t="s">
        <v>123</v>
      </c>
      <c r="B3015" s="0" t="s">
        <v>1427</v>
      </c>
      <c r="C3015" s="0" t="n">
        <v>240</v>
      </c>
      <c r="D3015" s="0" t="n">
        <v>0</v>
      </c>
      <c r="E3015" s="0" t="n">
        <v>4</v>
      </c>
      <c r="F3015" s="0" t="n">
        <v>240</v>
      </c>
      <c r="G3015" s="0" t="n">
        <v>340</v>
      </c>
      <c r="H3015" s="0" t="s">
        <v>145</v>
      </c>
      <c r="I3015" s="0" t="n">
        <v>340</v>
      </c>
      <c r="J3015" s="0" t="n">
        <f aca="false">F3015*E3015</f>
        <v>960</v>
      </c>
      <c r="K3015" s="0" t="str">
        <f aca="false">IF(G3015&lt;1000,"1-Low",IF(G3015&lt;5000,"2-Medium","3-Bulk"))</f>
        <v>1-Low</v>
      </c>
      <c r="L3015" s="0" t="str">
        <f aca="false">IF(H3015="TRUE","Out of stock","In stock")</f>
        <v>In stock</v>
      </c>
      <c r="M3015" s="0" t="str">
        <f aca="false">IF(D3015&lt;5,"1) Under 5%",IF(D3015&lt;10,"2) 5-9%",IF(D3015&lt;15,"3) 10-14%",IF(D3015&lt;25,"4) 15-24%","5) 25%+"))))</f>
        <v>1) Under 5%</v>
      </c>
      <c r="N3015" s="0" t="str">
        <f aca="false">IF(F3015&lt;50,"1) Under Rs 50",IF(F3015&lt;100,"2) Rs 50-99",IF(F3015&lt;200,"3) Rs 100-199",IF(F3015&lt;500,"4) Rs 200-499","5) Rs 500+"))))</f>
        <v>4) Rs 200-499</v>
      </c>
      <c r="O3015" s="0" t="n">
        <f aca="false">G3015*E3015/1000</f>
        <v>1.36</v>
      </c>
    </row>
    <row r="3016" customFormat="false" ht="15" hidden="false" customHeight="false" outlineLevel="0" collapsed="false">
      <c r="A3016" s="0" t="s">
        <v>123</v>
      </c>
      <c r="B3016" s="0" t="s">
        <v>1497</v>
      </c>
      <c r="C3016" s="0" t="n">
        <v>199</v>
      </c>
      <c r="D3016" s="0" t="n">
        <v>0</v>
      </c>
      <c r="E3016" s="0" t="n">
        <v>6</v>
      </c>
      <c r="F3016" s="0" t="n">
        <v>199</v>
      </c>
      <c r="G3016" s="0" t="n">
        <v>192</v>
      </c>
      <c r="H3016" s="0" t="s">
        <v>145</v>
      </c>
      <c r="I3016" s="0" t="n">
        <v>192</v>
      </c>
      <c r="J3016" s="0" t="n">
        <f aca="false">F3016*E3016</f>
        <v>1194</v>
      </c>
      <c r="K3016" s="0" t="str">
        <f aca="false">IF(G3016&lt;1000,"1-Low",IF(G3016&lt;5000,"2-Medium","3-Bulk"))</f>
        <v>1-Low</v>
      </c>
      <c r="L3016" s="0" t="str">
        <f aca="false">IF(H3016="TRUE","Out of stock","In stock")</f>
        <v>In stock</v>
      </c>
      <c r="M3016" s="0" t="str">
        <f aca="false">IF(D3016&lt;5,"1) Under 5%",IF(D3016&lt;10,"2) 5-9%",IF(D3016&lt;15,"3) 10-14%",IF(D3016&lt;25,"4) 15-24%","5) 25%+"))))</f>
        <v>1) Under 5%</v>
      </c>
      <c r="N3016" s="0" t="str">
        <f aca="false">IF(F3016&lt;50,"1) Under Rs 50",IF(F3016&lt;100,"2) Rs 50-99",IF(F3016&lt;200,"3) Rs 100-199",IF(F3016&lt;500,"4) Rs 200-499","5) Rs 500+"))))</f>
        <v>3) Rs 100-199</v>
      </c>
      <c r="O3016" s="0" t="n">
        <f aca="false">G3016*E3016/1000</f>
        <v>1.152</v>
      </c>
    </row>
    <row r="3017" customFormat="false" ht="15" hidden="false" customHeight="false" outlineLevel="0" collapsed="false">
      <c r="A3017" s="0" t="s">
        <v>123</v>
      </c>
      <c r="B3017" s="0" t="s">
        <v>1498</v>
      </c>
      <c r="C3017" s="0" t="n">
        <v>275</v>
      </c>
      <c r="D3017" s="0" t="n">
        <v>10</v>
      </c>
      <c r="E3017" s="0" t="n">
        <v>6</v>
      </c>
      <c r="F3017" s="0" t="n">
        <v>247</v>
      </c>
      <c r="G3017" s="0" t="n">
        <v>200</v>
      </c>
      <c r="H3017" s="0" t="s">
        <v>145</v>
      </c>
      <c r="I3017" s="0" t="n">
        <v>200</v>
      </c>
      <c r="J3017" s="0" t="n">
        <f aca="false">F3017*E3017</f>
        <v>1482</v>
      </c>
      <c r="K3017" s="0" t="str">
        <f aca="false">IF(G3017&lt;1000,"1-Low",IF(G3017&lt;5000,"2-Medium","3-Bulk"))</f>
        <v>1-Low</v>
      </c>
      <c r="L3017" s="0" t="str">
        <f aca="false">IF(H3017="TRUE","Out of stock","In stock")</f>
        <v>In stock</v>
      </c>
      <c r="M3017" s="0" t="str">
        <f aca="false">IF(D3017&lt;5,"1) Under 5%",IF(D3017&lt;10,"2) 5-9%",IF(D3017&lt;15,"3) 10-14%",IF(D3017&lt;25,"4) 15-24%","5) 25%+"))))</f>
        <v>3) 10-14%</v>
      </c>
      <c r="N3017" s="0" t="str">
        <f aca="false">IF(F3017&lt;50,"1) Under Rs 50",IF(F3017&lt;100,"2) Rs 50-99",IF(F3017&lt;200,"3) Rs 100-199",IF(F3017&lt;500,"4) Rs 200-499","5) Rs 500+"))))</f>
        <v>4) Rs 200-499</v>
      </c>
      <c r="O3017" s="0" t="n">
        <f aca="false">G3017*E3017/1000</f>
        <v>1.2</v>
      </c>
    </row>
    <row r="3018" customFormat="false" ht="15" hidden="false" customHeight="false" outlineLevel="0" collapsed="false">
      <c r="A3018" s="0" t="s">
        <v>123</v>
      </c>
      <c r="B3018" s="0" t="s">
        <v>1499</v>
      </c>
      <c r="C3018" s="0" t="n">
        <v>1549</v>
      </c>
      <c r="D3018" s="0" t="n">
        <v>45</v>
      </c>
      <c r="E3018" s="0" t="n">
        <v>3</v>
      </c>
      <c r="F3018" s="0" t="n">
        <v>849</v>
      </c>
      <c r="G3018" s="0" t="n">
        <v>82</v>
      </c>
      <c r="H3018" s="0" t="s">
        <v>145</v>
      </c>
      <c r="I3018" s="0" t="n">
        <v>82</v>
      </c>
      <c r="J3018" s="0" t="n">
        <f aca="false">F3018*E3018</f>
        <v>2547</v>
      </c>
      <c r="K3018" s="0" t="str">
        <f aca="false">IF(G3018&lt;1000,"1-Low",IF(G3018&lt;5000,"2-Medium","3-Bulk"))</f>
        <v>1-Low</v>
      </c>
      <c r="L3018" s="0" t="str">
        <f aca="false">IF(H3018="TRUE","Out of stock","In stock")</f>
        <v>In stock</v>
      </c>
      <c r="M3018" s="0" t="str">
        <f aca="false">IF(D3018&lt;5,"1) Under 5%",IF(D3018&lt;10,"2) 5-9%",IF(D3018&lt;15,"3) 10-14%",IF(D3018&lt;25,"4) 15-24%","5) 25%+"))))</f>
        <v>5) 25%+</v>
      </c>
      <c r="N3018" s="0" t="str">
        <f aca="false">IF(F3018&lt;50,"1) Under Rs 50",IF(F3018&lt;100,"2) Rs 50-99",IF(F3018&lt;200,"3) Rs 100-199",IF(F3018&lt;500,"4) Rs 200-499","5) Rs 500+"))))</f>
        <v>5) Rs 500+</v>
      </c>
      <c r="O3018" s="0" t="n">
        <f aca="false">G3018*E3018/1000</f>
        <v>0.246</v>
      </c>
    </row>
    <row r="3019" customFormat="false" ht="15" hidden="false" customHeight="false" outlineLevel="0" collapsed="false">
      <c r="A3019" s="0" t="s">
        <v>123</v>
      </c>
      <c r="B3019" s="0" t="s">
        <v>1500</v>
      </c>
      <c r="C3019" s="0" t="n">
        <v>195</v>
      </c>
      <c r="D3019" s="0" t="n">
        <v>10</v>
      </c>
      <c r="E3019" s="0" t="n">
        <v>6</v>
      </c>
      <c r="F3019" s="0" t="n">
        <v>174</v>
      </c>
      <c r="G3019" s="0" t="n">
        <v>150</v>
      </c>
      <c r="H3019" s="0" t="s">
        <v>145</v>
      </c>
      <c r="I3019" s="0" t="n">
        <v>150</v>
      </c>
      <c r="J3019" s="0" t="n">
        <f aca="false">F3019*E3019</f>
        <v>1044</v>
      </c>
      <c r="K3019" s="0" t="str">
        <f aca="false">IF(G3019&lt;1000,"1-Low",IF(G3019&lt;5000,"2-Medium","3-Bulk"))</f>
        <v>1-Low</v>
      </c>
      <c r="L3019" s="0" t="str">
        <f aca="false">IF(H3019="TRUE","Out of stock","In stock")</f>
        <v>In stock</v>
      </c>
      <c r="M3019" s="0" t="str">
        <f aca="false">IF(D3019&lt;5,"1) Under 5%",IF(D3019&lt;10,"2) 5-9%",IF(D3019&lt;15,"3) 10-14%",IF(D3019&lt;25,"4) 15-24%","5) 25%+"))))</f>
        <v>3) 10-14%</v>
      </c>
      <c r="N3019" s="0" t="str">
        <f aca="false">IF(F3019&lt;50,"1) Under Rs 50",IF(F3019&lt;100,"2) Rs 50-99",IF(F3019&lt;200,"3) Rs 100-199",IF(F3019&lt;500,"4) Rs 200-499","5) Rs 500+"))))</f>
        <v>3) Rs 100-199</v>
      </c>
      <c r="O3019" s="0" t="n">
        <f aca="false">G3019*E3019/1000</f>
        <v>0.9</v>
      </c>
    </row>
    <row r="3020" customFormat="false" ht="15" hidden="false" customHeight="false" outlineLevel="0" collapsed="false">
      <c r="A3020" s="0" t="s">
        <v>123</v>
      </c>
      <c r="B3020" s="0" t="s">
        <v>1501</v>
      </c>
      <c r="C3020" s="0" t="n">
        <v>375</v>
      </c>
      <c r="D3020" s="0" t="n">
        <v>10</v>
      </c>
      <c r="E3020" s="0" t="n">
        <v>6</v>
      </c>
      <c r="F3020" s="0" t="n">
        <v>334</v>
      </c>
      <c r="G3020" s="0" t="n">
        <v>340</v>
      </c>
      <c r="H3020" s="0" t="s">
        <v>145</v>
      </c>
      <c r="I3020" s="0" t="n">
        <v>340</v>
      </c>
      <c r="J3020" s="0" t="n">
        <f aca="false">F3020*E3020</f>
        <v>2004</v>
      </c>
      <c r="K3020" s="0" t="str">
        <f aca="false">IF(G3020&lt;1000,"1-Low",IF(G3020&lt;5000,"2-Medium","3-Bulk"))</f>
        <v>1-Low</v>
      </c>
      <c r="L3020" s="0" t="str">
        <f aca="false">IF(H3020="TRUE","Out of stock","In stock")</f>
        <v>In stock</v>
      </c>
      <c r="M3020" s="0" t="str">
        <f aca="false">IF(D3020&lt;5,"1) Under 5%",IF(D3020&lt;10,"2) 5-9%",IF(D3020&lt;15,"3) 10-14%",IF(D3020&lt;25,"4) 15-24%","5) 25%+"))))</f>
        <v>3) 10-14%</v>
      </c>
      <c r="N3020" s="0" t="str">
        <f aca="false">IF(F3020&lt;50,"1) Under Rs 50",IF(F3020&lt;100,"2) Rs 50-99",IF(F3020&lt;200,"3) Rs 100-199",IF(F3020&lt;500,"4) Rs 200-499","5) Rs 500+"))))</f>
        <v>4) Rs 200-499</v>
      </c>
      <c r="O3020" s="0" t="n">
        <f aca="false">G3020*E3020/1000</f>
        <v>2.04</v>
      </c>
    </row>
    <row r="3021" customFormat="false" ht="15" hidden="false" customHeight="false" outlineLevel="0" collapsed="false">
      <c r="A3021" s="0" t="s">
        <v>123</v>
      </c>
      <c r="B3021" s="0" t="s">
        <v>1502</v>
      </c>
      <c r="C3021" s="0" t="n">
        <v>85</v>
      </c>
      <c r="D3021" s="0" t="n">
        <v>7</v>
      </c>
      <c r="E3021" s="0" t="n">
        <v>4</v>
      </c>
      <c r="F3021" s="0" t="n">
        <v>79</v>
      </c>
      <c r="G3021" s="0" t="n">
        <v>64</v>
      </c>
      <c r="H3021" s="0" t="s">
        <v>145</v>
      </c>
      <c r="I3021" s="0" t="n">
        <v>64</v>
      </c>
      <c r="J3021" s="0" t="n">
        <f aca="false">F3021*E3021</f>
        <v>316</v>
      </c>
      <c r="K3021" s="0" t="str">
        <f aca="false">IF(G3021&lt;1000,"1-Low",IF(G3021&lt;5000,"2-Medium","3-Bulk"))</f>
        <v>1-Low</v>
      </c>
      <c r="L3021" s="0" t="str">
        <f aca="false">IF(H3021="TRUE","Out of stock","In stock")</f>
        <v>In stock</v>
      </c>
      <c r="M3021" s="0" t="str">
        <f aca="false">IF(D3021&lt;5,"1) Under 5%",IF(D3021&lt;10,"2) 5-9%",IF(D3021&lt;15,"3) 10-14%",IF(D3021&lt;25,"4) 15-24%","5) 25%+"))))</f>
        <v>2) 5-9%</v>
      </c>
      <c r="N3021" s="0" t="str">
        <f aca="false">IF(F3021&lt;50,"1) Under Rs 50",IF(F3021&lt;100,"2) Rs 50-99",IF(F3021&lt;200,"3) Rs 100-199",IF(F3021&lt;500,"4) Rs 200-499","5) Rs 500+"))))</f>
        <v>2) Rs 50-99</v>
      </c>
      <c r="O3021" s="0" t="n">
        <f aca="false">G3021*E3021/1000</f>
        <v>0.256</v>
      </c>
    </row>
    <row r="3022" customFormat="false" ht="15" hidden="false" customHeight="false" outlineLevel="0" collapsed="false">
      <c r="A3022" s="0" t="s">
        <v>123</v>
      </c>
      <c r="B3022" s="0" t="s">
        <v>1503</v>
      </c>
      <c r="C3022" s="0" t="n">
        <v>195</v>
      </c>
      <c r="D3022" s="0" t="n">
        <v>9</v>
      </c>
      <c r="E3022" s="0" t="n">
        <v>6</v>
      </c>
      <c r="F3022" s="0" t="n">
        <v>176</v>
      </c>
      <c r="G3022" s="0" t="n">
        <v>150</v>
      </c>
      <c r="H3022" s="0" t="s">
        <v>145</v>
      </c>
      <c r="I3022" s="0" t="n">
        <v>150</v>
      </c>
      <c r="J3022" s="0" t="n">
        <f aca="false">F3022*E3022</f>
        <v>1056</v>
      </c>
      <c r="K3022" s="0" t="str">
        <f aca="false">IF(G3022&lt;1000,"1-Low",IF(G3022&lt;5000,"2-Medium","3-Bulk"))</f>
        <v>1-Low</v>
      </c>
      <c r="L3022" s="0" t="str">
        <f aca="false">IF(H3022="TRUE","Out of stock","In stock")</f>
        <v>In stock</v>
      </c>
      <c r="M3022" s="0" t="str">
        <f aca="false">IF(D3022&lt;5,"1) Under 5%",IF(D3022&lt;10,"2) 5-9%",IF(D3022&lt;15,"3) 10-14%",IF(D3022&lt;25,"4) 15-24%","5) 25%+"))))</f>
        <v>2) 5-9%</v>
      </c>
      <c r="N3022" s="0" t="str">
        <f aca="false">IF(F3022&lt;50,"1) Under Rs 50",IF(F3022&lt;100,"2) Rs 50-99",IF(F3022&lt;200,"3) Rs 100-199",IF(F3022&lt;500,"4) Rs 200-499","5) Rs 500+"))))</f>
        <v>3) Rs 100-199</v>
      </c>
      <c r="O3022" s="0" t="n">
        <f aca="false">G3022*E3022/1000</f>
        <v>0.9</v>
      </c>
    </row>
    <row r="3023" customFormat="false" ht="15" hidden="false" customHeight="false" outlineLevel="0" collapsed="false">
      <c r="A3023" s="0" t="s">
        <v>123</v>
      </c>
      <c r="B3023" s="0" t="s">
        <v>1504</v>
      </c>
      <c r="C3023" s="0" t="n">
        <v>115</v>
      </c>
      <c r="D3023" s="0" t="n">
        <v>0</v>
      </c>
      <c r="E3023" s="0" t="n">
        <v>5</v>
      </c>
      <c r="F3023" s="0" t="n">
        <v>115</v>
      </c>
      <c r="G3023" s="0" t="n">
        <v>1160</v>
      </c>
      <c r="H3023" s="0" t="s">
        <v>145</v>
      </c>
      <c r="I3023" s="0" t="n">
        <v>20</v>
      </c>
      <c r="J3023" s="0" t="n">
        <f aca="false">F3023*E3023</f>
        <v>575</v>
      </c>
      <c r="K3023" s="0" t="str">
        <f aca="false">IF(G3023&lt;1000,"1-Low",IF(G3023&lt;5000,"2-Medium","3-Bulk"))</f>
        <v>2-Medium</v>
      </c>
      <c r="L3023" s="0" t="str">
        <f aca="false">IF(H3023="TRUE","Out of stock","In stock")</f>
        <v>In stock</v>
      </c>
      <c r="M3023" s="0" t="str">
        <f aca="false">IF(D3023&lt;5,"1) Under 5%",IF(D3023&lt;10,"2) 5-9%",IF(D3023&lt;15,"3) 10-14%",IF(D3023&lt;25,"4) 15-24%","5) 25%+"))))</f>
        <v>1) Under 5%</v>
      </c>
      <c r="N3023" s="0" t="str">
        <f aca="false">IF(F3023&lt;50,"1) Under Rs 50",IF(F3023&lt;100,"2) Rs 50-99",IF(F3023&lt;200,"3) Rs 100-199",IF(F3023&lt;500,"4) Rs 200-499","5) Rs 500+"))))</f>
        <v>3) Rs 100-199</v>
      </c>
      <c r="O3023" s="0" t="n">
        <f aca="false">G3023*E3023/1000</f>
        <v>5.8</v>
      </c>
    </row>
    <row r="3024" customFormat="false" ht="15" hidden="false" customHeight="false" outlineLevel="0" collapsed="false">
      <c r="A3024" s="0" t="s">
        <v>123</v>
      </c>
      <c r="B3024" s="0" t="s">
        <v>1505</v>
      </c>
      <c r="C3024" s="0" t="n">
        <v>699</v>
      </c>
      <c r="D3024" s="0" t="n">
        <v>21</v>
      </c>
      <c r="E3024" s="0" t="n">
        <v>1</v>
      </c>
      <c r="F3024" s="0" t="n">
        <v>549</v>
      </c>
      <c r="G3024" s="0" t="n">
        <v>50</v>
      </c>
      <c r="H3024" s="0" t="s">
        <v>145</v>
      </c>
      <c r="I3024" s="0" t="n">
        <v>50</v>
      </c>
      <c r="J3024" s="0" t="n">
        <f aca="false">F3024*E3024</f>
        <v>549</v>
      </c>
      <c r="K3024" s="0" t="str">
        <f aca="false">IF(G3024&lt;1000,"1-Low",IF(G3024&lt;5000,"2-Medium","3-Bulk"))</f>
        <v>1-Low</v>
      </c>
      <c r="L3024" s="0" t="str">
        <f aca="false">IF(H3024="TRUE","Out of stock","In stock")</f>
        <v>In stock</v>
      </c>
      <c r="M3024" s="0" t="str">
        <f aca="false">IF(D3024&lt;5,"1) Under 5%",IF(D3024&lt;10,"2) 5-9%",IF(D3024&lt;15,"3) 10-14%",IF(D3024&lt;25,"4) 15-24%","5) 25%+"))))</f>
        <v>4) 15-24%</v>
      </c>
      <c r="N3024" s="0" t="str">
        <f aca="false">IF(F3024&lt;50,"1) Under Rs 50",IF(F3024&lt;100,"2) Rs 50-99",IF(F3024&lt;200,"3) Rs 100-199",IF(F3024&lt;500,"4) Rs 200-499","5) Rs 500+"))))</f>
        <v>5) Rs 500+</v>
      </c>
      <c r="O3024" s="0" t="n">
        <f aca="false">G3024*E3024/1000</f>
        <v>0.05</v>
      </c>
    </row>
    <row r="3025" customFormat="false" ht="15" hidden="false" customHeight="false" outlineLevel="0" collapsed="false">
      <c r="A3025" s="0" t="s">
        <v>123</v>
      </c>
      <c r="B3025" s="0" t="s">
        <v>1506</v>
      </c>
      <c r="C3025" s="0" t="n">
        <v>1099</v>
      </c>
      <c r="D3025" s="0" t="n">
        <v>22</v>
      </c>
      <c r="E3025" s="0" t="n">
        <v>3</v>
      </c>
      <c r="F3025" s="0" t="n">
        <v>849</v>
      </c>
      <c r="G3025" s="0" t="n">
        <v>72</v>
      </c>
      <c r="H3025" s="0" t="s">
        <v>145</v>
      </c>
      <c r="I3025" s="0" t="n">
        <v>72</v>
      </c>
      <c r="J3025" s="0" t="n">
        <f aca="false">F3025*E3025</f>
        <v>2547</v>
      </c>
      <c r="K3025" s="0" t="str">
        <f aca="false">IF(G3025&lt;1000,"1-Low",IF(G3025&lt;5000,"2-Medium","3-Bulk"))</f>
        <v>1-Low</v>
      </c>
      <c r="L3025" s="0" t="str">
        <f aca="false">IF(H3025="TRUE","Out of stock","In stock")</f>
        <v>In stock</v>
      </c>
      <c r="M3025" s="0" t="str">
        <f aca="false">IF(D3025&lt;5,"1) Under 5%",IF(D3025&lt;10,"2) 5-9%",IF(D3025&lt;15,"3) 10-14%",IF(D3025&lt;25,"4) 15-24%","5) 25%+"))))</f>
        <v>4) 15-24%</v>
      </c>
      <c r="N3025" s="0" t="str">
        <f aca="false">IF(F3025&lt;50,"1) Under Rs 50",IF(F3025&lt;100,"2) Rs 50-99",IF(F3025&lt;200,"3) Rs 100-199",IF(F3025&lt;500,"4) Rs 200-499","5) Rs 500+"))))</f>
        <v>5) Rs 500+</v>
      </c>
      <c r="O3025" s="0" t="n">
        <f aca="false">G3025*E3025/1000</f>
        <v>0.216</v>
      </c>
    </row>
    <row r="3026" customFormat="false" ht="15" hidden="false" customHeight="false" outlineLevel="0" collapsed="false">
      <c r="A3026" s="0" t="s">
        <v>123</v>
      </c>
      <c r="B3026" s="0" t="s">
        <v>1507</v>
      </c>
      <c r="C3026" s="0" t="n">
        <v>175</v>
      </c>
      <c r="D3026" s="0" t="n">
        <v>9</v>
      </c>
      <c r="E3026" s="0" t="n">
        <v>6</v>
      </c>
      <c r="F3026" s="0" t="n">
        <v>158</v>
      </c>
      <c r="G3026" s="0" t="n">
        <v>100</v>
      </c>
      <c r="H3026" s="0" t="s">
        <v>145</v>
      </c>
      <c r="I3026" s="0" t="n">
        <v>100</v>
      </c>
      <c r="J3026" s="0" t="n">
        <f aca="false">F3026*E3026</f>
        <v>948</v>
      </c>
      <c r="K3026" s="0" t="str">
        <f aca="false">IF(G3026&lt;1000,"1-Low",IF(G3026&lt;5000,"2-Medium","3-Bulk"))</f>
        <v>1-Low</v>
      </c>
      <c r="L3026" s="0" t="str">
        <f aca="false">IF(H3026="TRUE","Out of stock","In stock")</f>
        <v>In stock</v>
      </c>
      <c r="M3026" s="0" t="str">
        <f aca="false">IF(D3026&lt;5,"1) Under 5%",IF(D3026&lt;10,"2) 5-9%",IF(D3026&lt;15,"3) 10-14%",IF(D3026&lt;25,"4) 15-24%","5) 25%+"))))</f>
        <v>2) 5-9%</v>
      </c>
      <c r="N3026" s="0" t="str">
        <f aca="false">IF(F3026&lt;50,"1) Under Rs 50",IF(F3026&lt;100,"2) Rs 50-99",IF(F3026&lt;200,"3) Rs 100-199",IF(F3026&lt;500,"4) Rs 200-499","5) Rs 500+"))))</f>
        <v>3) Rs 100-199</v>
      </c>
      <c r="O3026" s="0" t="n">
        <f aca="false">G3026*E3026/1000</f>
        <v>0.6</v>
      </c>
    </row>
    <row r="3027" customFormat="false" ht="15" hidden="false" customHeight="false" outlineLevel="0" collapsed="false">
      <c r="A3027" s="0" t="s">
        <v>123</v>
      </c>
      <c r="B3027" s="0" t="s">
        <v>1508</v>
      </c>
      <c r="C3027" s="0" t="n">
        <v>50</v>
      </c>
      <c r="D3027" s="0" t="n">
        <v>0</v>
      </c>
      <c r="E3027" s="0" t="n">
        <v>4</v>
      </c>
      <c r="F3027" s="0" t="n">
        <v>50</v>
      </c>
      <c r="G3027" s="0" t="n">
        <v>130</v>
      </c>
      <c r="H3027" s="0" t="s">
        <v>145</v>
      </c>
      <c r="I3027" s="0" t="n">
        <v>130</v>
      </c>
      <c r="J3027" s="0" t="n">
        <f aca="false">F3027*E3027</f>
        <v>200</v>
      </c>
      <c r="K3027" s="0" t="str">
        <f aca="false">IF(G3027&lt;1000,"1-Low",IF(G3027&lt;5000,"2-Medium","3-Bulk"))</f>
        <v>1-Low</v>
      </c>
      <c r="L3027" s="0" t="str">
        <f aca="false">IF(H3027="TRUE","Out of stock","In stock")</f>
        <v>In stock</v>
      </c>
      <c r="M3027" s="0" t="str">
        <f aca="false">IF(D3027&lt;5,"1) Under 5%",IF(D3027&lt;10,"2) 5-9%",IF(D3027&lt;15,"3) 10-14%",IF(D3027&lt;25,"4) 15-24%","5) 25%+"))))</f>
        <v>1) Under 5%</v>
      </c>
      <c r="N3027" s="0" t="str">
        <f aca="false">IF(F3027&lt;50,"1) Under Rs 50",IF(F3027&lt;100,"2) Rs 50-99",IF(F3027&lt;200,"3) Rs 100-199",IF(F3027&lt;500,"4) Rs 200-499","5) Rs 500+"))))</f>
        <v>2) Rs 50-99</v>
      </c>
      <c r="O3027" s="0" t="n">
        <f aca="false">G3027*E3027/1000</f>
        <v>0.52</v>
      </c>
    </row>
    <row r="3028" customFormat="false" ht="15" hidden="false" customHeight="false" outlineLevel="0" collapsed="false">
      <c r="A3028" s="0" t="s">
        <v>123</v>
      </c>
      <c r="B3028" s="0" t="s">
        <v>1509</v>
      </c>
      <c r="C3028" s="0" t="n">
        <v>145</v>
      </c>
      <c r="D3028" s="0" t="n">
        <v>9</v>
      </c>
      <c r="E3028" s="0" t="n">
        <v>5</v>
      </c>
      <c r="F3028" s="0" t="n">
        <v>131</v>
      </c>
      <c r="G3028" s="0" t="n">
        <v>100</v>
      </c>
      <c r="H3028" s="0" t="s">
        <v>145</v>
      </c>
      <c r="I3028" s="0" t="n">
        <v>100</v>
      </c>
      <c r="J3028" s="0" t="n">
        <f aca="false">F3028*E3028</f>
        <v>655</v>
      </c>
      <c r="K3028" s="0" t="str">
        <f aca="false">IF(G3028&lt;1000,"1-Low",IF(G3028&lt;5000,"2-Medium","3-Bulk"))</f>
        <v>1-Low</v>
      </c>
      <c r="L3028" s="0" t="str">
        <f aca="false">IF(H3028="TRUE","Out of stock","In stock")</f>
        <v>In stock</v>
      </c>
      <c r="M3028" s="0" t="str">
        <f aca="false">IF(D3028&lt;5,"1) Under 5%",IF(D3028&lt;10,"2) 5-9%",IF(D3028&lt;15,"3) 10-14%",IF(D3028&lt;25,"4) 15-24%","5) 25%+"))))</f>
        <v>2) 5-9%</v>
      </c>
      <c r="N3028" s="0" t="str">
        <f aca="false">IF(F3028&lt;50,"1) Under Rs 50",IF(F3028&lt;100,"2) Rs 50-99",IF(F3028&lt;200,"3) Rs 100-199",IF(F3028&lt;500,"4) Rs 200-499","5) Rs 500+"))))</f>
        <v>3) Rs 100-199</v>
      </c>
      <c r="O3028" s="0" t="n">
        <f aca="false">G3028*E3028/1000</f>
        <v>0.5</v>
      </c>
    </row>
    <row r="3029" customFormat="false" ht="15" hidden="false" customHeight="false" outlineLevel="0" collapsed="false">
      <c r="A3029" s="0" t="s">
        <v>123</v>
      </c>
      <c r="B3029" s="0" t="s">
        <v>124</v>
      </c>
      <c r="C3029" s="0" t="n">
        <v>555</v>
      </c>
      <c r="D3029" s="0" t="n">
        <v>6</v>
      </c>
      <c r="E3029" s="0" t="n">
        <v>6</v>
      </c>
      <c r="F3029" s="0" t="n">
        <v>521</v>
      </c>
      <c r="G3029" s="0" t="n">
        <v>650</v>
      </c>
      <c r="H3029" s="0" t="s">
        <v>145</v>
      </c>
      <c r="I3029" s="0" t="n">
        <v>650</v>
      </c>
      <c r="J3029" s="0" t="n">
        <f aca="false">F3029*E3029</f>
        <v>3126</v>
      </c>
      <c r="K3029" s="0" t="str">
        <f aca="false">IF(G3029&lt;1000,"1-Low",IF(G3029&lt;5000,"2-Medium","3-Bulk"))</f>
        <v>1-Low</v>
      </c>
      <c r="L3029" s="0" t="str">
        <f aca="false">IF(H3029="TRUE","Out of stock","In stock")</f>
        <v>In stock</v>
      </c>
      <c r="M3029" s="0" t="str">
        <f aca="false">IF(D3029&lt;5,"1) Under 5%",IF(D3029&lt;10,"2) 5-9%",IF(D3029&lt;15,"3) 10-14%",IF(D3029&lt;25,"4) 15-24%","5) 25%+"))))</f>
        <v>2) 5-9%</v>
      </c>
      <c r="N3029" s="0" t="str">
        <f aca="false">IF(F3029&lt;50,"1) Under Rs 50",IF(F3029&lt;100,"2) Rs 50-99",IF(F3029&lt;200,"3) Rs 100-199",IF(F3029&lt;500,"4) Rs 200-499","5) Rs 500+"))))</f>
        <v>5) Rs 500+</v>
      </c>
      <c r="O3029" s="0" t="n">
        <f aca="false">G3029*E3029/1000</f>
        <v>3.9</v>
      </c>
    </row>
    <row r="3030" customFormat="false" ht="15" hidden="false" customHeight="false" outlineLevel="0" collapsed="false">
      <c r="A3030" s="0" t="s">
        <v>123</v>
      </c>
      <c r="B3030" s="0" t="s">
        <v>1510</v>
      </c>
      <c r="C3030" s="0" t="n">
        <v>599</v>
      </c>
      <c r="D3030" s="0" t="n">
        <v>15</v>
      </c>
      <c r="E3030" s="0" t="n">
        <v>1</v>
      </c>
      <c r="F3030" s="0" t="n">
        <v>509</v>
      </c>
      <c r="G3030" s="0" t="n">
        <v>30</v>
      </c>
      <c r="H3030" s="0" t="s">
        <v>145</v>
      </c>
      <c r="I3030" s="0" t="n">
        <v>30</v>
      </c>
      <c r="J3030" s="0" t="n">
        <f aca="false">F3030*E3030</f>
        <v>509</v>
      </c>
      <c r="K3030" s="0" t="str">
        <f aca="false">IF(G3030&lt;1000,"1-Low",IF(G3030&lt;5000,"2-Medium","3-Bulk"))</f>
        <v>1-Low</v>
      </c>
      <c r="L3030" s="0" t="str">
        <f aca="false">IF(H3030="TRUE","Out of stock","In stock")</f>
        <v>In stock</v>
      </c>
      <c r="M3030" s="0" t="str">
        <f aca="false">IF(D3030&lt;5,"1) Under 5%",IF(D3030&lt;10,"2) 5-9%",IF(D3030&lt;15,"3) 10-14%",IF(D3030&lt;25,"4) 15-24%","5) 25%+"))))</f>
        <v>4) 15-24%</v>
      </c>
      <c r="N3030" s="0" t="str">
        <f aca="false">IF(F3030&lt;50,"1) Under Rs 50",IF(F3030&lt;100,"2) Rs 50-99",IF(F3030&lt;200,"3) Rs 100-199",IF(F3030&lt;500,"4) Rs 200-499","5) Rs 500+"))))</f>
        <v>5) Rs 500+</v>
      </c>
      <c r="O3030" s="0" t="n">
        <f aca="false">G3030*E3030/1000</f>
        <v>0.03</v>
      </c>
    </row>
    <row r="3031" customFormat="false" ht="15" hidden="false" customHeight="false" outlineLevel="0" collapsed="false">
      <c r="A3031" s="0" t="s">
        <v>123</v>
      </c>
      <c r="B3031" s="0" t="s">
        <v>1511</v>
      </c>
      <c r="C3031" s="0" t="n">
        <v>178</v>
      </c>
      <c r="D3031" s="0" t="n">
        <v>0</v>
      </c>
      <c r="E3031" s="0" t="n">
        <v>6</v>
      </c>
      <c r="F3031" s="0" t="n">
        <v>178</v>
      </c>
      <c r="G3031" s="0" t="n">
        <v>340</v>
      </c>
      <c r="H3031" s="0" t="s">
        <v>145</v>
      </c>
      <c r="I3031" s="0" t="n">
        <v>340</v>
      </c>
      <c r="J3031" s="0" t="n">
        <f aca="false">F3031*E3031</f>
        <v>1068</v>
      </c>
      <c r="K3031" s="0" t="str">
        <f aca="false">IF(G3031&lt;1000,"1-Low",IF(G3031&lt;5000,"2-Medium","3-Bulk"))</f>
        <v>1-Low</v>
      </c>
      <c r="L3031" s="0" t="str">
        <f aca="false">IF(H3031="TRUE","Out of stock","In stock")</f>
        <v>In stock</v>
      </c>
      <c r="M3031" s="0" t="str">
        <f aca="false">IF(D3031&lt;5,"1) Under 5%",IF(D3031&lt;10,"2) 5-9%",IF(D3031&lt;15,"3) 10-14%",IF(D3031&lt;25,"4) 15-24%","5) 25%+"))))</f>
        <v>1) Under 5%</v>
      </c>
      <c r="N3031" s="0" t="str">
        <f aca="false">IF(F3031&lt;50,"1) Under Rs 50",IF(F3031&lt;100,"2) Rs 50-99",IF(F3031&lt;200,"3) Rs 100-199",IF(F3031&lt;500,"4) Rs 200-499","5) Rs 500+"))))</f>
        <v>3) Rs 100-199</v>
      </c>
      <c r="O3031" s="0" t="n">
        <f aca="false">G3031*E3031/1000</f>
        <v>2.04</v>
      </c>
    </row>
    <row r="3032" customFormat="false" ht="15" hidden="false" customHeight="false" outlineLevel="0" collapsed="false">
      <c r="A3032" s="0" t="s">
        <v>123</v>
      </c>
      <c r="B3032" s="0" t="s">
        <v>1512</v>
      </c>
      <c r="C3032" s="0" t="n">
        <v>225</v>
      </c>
      <c r="D3032" s="0" t="n">
        <v>6</v>
      </c>
      <c r="E3032" s="0" t="n">
        <v>3</v>
      </c>
      <c r="F3032" s="0" t="n">
        <v>210</v>
      </c>
      <c r="G3032" s="0" t="n">
        <v>340</v>
      </c>
      <c r="H3032" s="0" t="s">
        <v>145</v>
      </c>
      <c r="I3032" s="0" t="n">
        <v>340</v>
      </c>
      <c r="J3032" s="0" t="n">
        <f aca="false">F3032*E3032</f>
        <v>630</v>
      </c>
      <c r="K3032" s="0" t="str">
        <f aca="false">IF(G3032&lt;1000,"1-Low",IF(G3032&lt;5000,"2-Medium","3-Bulk"))</f>
        <v>1-Low</v>
      </c>
      <c r="L3032" s="0" t="str">
        <f aca="false">IF(H3032="TRUE","Out of stock","In stock")</f>
        <v>In stock</v>
      </c>
      <c r="M3032" s="0" t="str">
        <f aca="false">IF(D3032&lt;5,"1) Under 5%",IF(D3032&lt;10,"2) 5-9%",IF(D3032&lt;15,"3) 10-14%",IF(D3032&lt;25,"4) 15-24%","5) 25%+"))))</f>
        <v>2) 5-9%</v>
      </c>
      <c r="N3032" s="0" t="str">
        <f aca="false">IF(F3032&lt;50,"1) Under Rs 50",IF(F3032&lt;100,"2) Rs 50-99",IF(F3032&lt;200,"3) Rs 100-199",IF(F3032&lt;500,"4) Rs 200-499","5) Rs 500+"))))</f>
        <v>4) Rs 200-499</v>
      </c>
      <c r="O3032" s="0" t="n">
        <f aca="false">G3032*E3032/1000</f>
        <v>1.02</v>
      </c>
    </row>
    <row r="3033" customFormat="false" ht="15" hidden="false" customHeight="false" outlineLevel="0" collapsed="false">
      <c r="A3033" s="0" t="s">
        <v>123</v>
      </c>
      <c r="B3033" s="0" t="s">
        <v>1513</v>
      </c>
      <c r="C3033" s="0" t="n">
        <v>199</v>
      </c>
      <c r="D3033" s="0" t="n">
        <v>5</v>
      </c>
      <c r="E3033" s="0" t="n">
        <v>4</v>
      </c>
      <c r="F3033" s="0" t="n">
        <v>189</v>
      </c>
      <c r="G3033" s="0" t="n">
        <v>125</v>
      </c>
      <c r="H3033" s="0" t="s">
        <v>145</v>
      </c>
      <c r="I3033" s="0" t="n">
        <v>125</v>
      </c>
      <c r="J3033" s="0" t="n">
        <f aca="false">F3033*E3033</f>
        <v>756</v>
      </c>
      <c r="K3033" s="0" t="str">
        <f aca="false">IF(G3033&lt;1000,"1-Low",IF(G3033&lt;5000,"2-Medium","3-Bulk"))</f>
        <v>1-Low</v>
      </c>
      <c r="L3033" s="0" t="str">
        <f aca="false">IF(H3033="TRUE","Out of stock","In stock")</f>
        <v>In stock</v>
      </c>
      <c r="M3033" s="0" t="str">
        <f aca="false">IF(D3033&lt;5,"1) Under 5%",IF(D3033&lt;10,"2) 5-9%",IF(D3033&lt;15,"3) 10-14%",IF(D3033&lt;25,"4) 15-24%","5) 25%+"))))</f>
        <v>2) 5-9%</v>
      </c>
      <c r="N3033" s="0" t="str">
        <f aca="false">IF(F3033&lt;50,"1) Under Rs 50",IF(F3033&lt;100,"2) Rs 50-99",IF(F3033&lt;200,"3) Rs 100-199",IF(F3033&lt;500,"4) Rs 200-499","5) Rs 500+"))))</f>
        <v>3) Rs 100-199</v>
      </c>
      <c r="O3033" s="0" t="n">
        <f aca="false">G3033*E3033/1000</f>
        <v>0.5</v>
      </c>
    </row>
    <row r="3034" customFormat="false" ht="15" hidden="false" customHeight="false" outlineLevel="0" collapsed="false">
      <c r="A3034" s="0" t="s">
        <v>123</v>
      </c>
      <c r="B3034" s="0" t="s">
        <v>1514</v>
      </c>
      <c r="C3034" s="0" t="n">
        <v>199</v>
      </c>
      <c r="D3034" s="0" t="n">
        <v>0</v>
      </c>
      <c r="E3034" s="0" t="n">
        <v>1</v>
      </c>
      <c r="F3034" s="0" t="n">
        <v>199</v>
      </c>
      <c r="G3034" s="0" t="n">
        <v>150</v>
      </c>
      <c r="H3034" s="0" t="s">
        <v>145</v>
      </c>
      <c r="I3034" s="0" t="n">
        <v>150</v>
      </c>
      <c r="J3034" s="0" t="n">
        <f aca="false">F3034*E3034</f>
        <v>199</v>
      </c>
      <c r="K3034" s="0" t="str">
        <f aca="false">IF(G3034&lt;1000,"1-Low",IF(G3034&lt;5000,"2-Medium","3-Bulk"))</f>
        <v>1-Low</v>
      </c>
      <c r="L3034" s="0" t="str">
        <f aca="false">IF(H3034="TRUE","Out of stock","In stock")</f>
        <v>In stock</v>
      </c>
      <c r="M3034" s="0" t="str">
        <f aca="false">IF(D3034&lt;5,"1) Under 5%",IF(D3034&lt;10,"2) 5-9%",IF(D3034&lt;15,"3) 10-14%",IF(D3034&lt;25,"4) 15-24%","5) 25%+"))))</f>
        <v>1) Under 5%</v>
      </c>
      <c r="N3034" s="0" t="str">
        <f aca="false">IF(F3034&lt;50,"1) Under Rs 50",IF(F3034&lt;100,"2) Rs 50-99",IF(F3034&lt;200,"3) Rs 100-199",IF(F3034&lt;500,"4) Rs 200-499","5) Rs 500+"))))</f>
        <v>3) Rs 100-199</v>
      </c>
      <c r="O3034" s="0" t="n">
        <f aca="false">G3034*E3034/1000</f>
        <v>0.15</v>
      </c>
    </row>
    <row r="3035" customFormat="false" ht="15" hidden="false" customHeight="false" outlineLevel="0" collapsed="false">
      <c r="A3035" s="0" t="s">
        <v>123</v>
      </c>
      <c r="B3035" s="0" t="s">
        <v>1515</v>
      </c>
      <c r="C3035" s="0" t="n">
        <v>699</v>
      </c>
      <c r="D3035" s="0" t="n">
        <v>17</v>
      </c>
      <c r="E3035" s="0" t="n">
        <v>6</v>
      </c>
      <c r="F3035" s="0" t="n">
        <v>575</v>
      </c>
      <c r="G3035" s="0" t="n">
        <v>50</v>
      </c>
      <c r="H3035" s="0" t="s">
        <v>145</v>
      </c>
      <c r="I3035" s="0" t="n">
        <v>50</v>
      </c>
      <c r="J3035" s="0" t="n">
        <f aca="false">F3035*E3035</f>
        <v>3450</v>
      </c>
      <c r="K3035" s="0" t="str">
        <f aca="false">IF(G3035&lt;1000,"1-Low",IF(G3035&lt;5000,"2-Medium","3-Bulk"))</f>
        <v>1-Low</v>
      </c>
      <c r="L3035" s="0" t="str">
        <f aca="false">IF(H3035="TRUE","Out of stock","In stock")</f>
        <v>In stock</v>
      </c>
      <c r="M3035" s="0" t="str">
        <f aca="false">IF(D3035&lt;5,"1) Under 5%",IF(D3035&lt;10,"2) 5-9%",IF(D3035&lt;15,"3) 10-14%",IF(D3035&lt;25,"4) 15-24%","5) 25%+"))))</f>
        <v>4) 15-24%</v>
      </c>
      <c r="N3035" s="0" t="str">
        <f aca="false">IF(F3035&lt;50,"1) Under Rs 50",IF(F3035&lt;100,"2) Rs 50-99",IF(F3035&lt;200,"3) Rs 100-199",IF(F3035&lt;500,"4) Rs 200-499","5) Rs 500+"))))</f>
        <v>5) Rs 500+</v>
      </c>
      <c r="O3035" s="0" t="n">
        <f aca="false">G3035*E3035/1000</f>
        <v>0.3</v>
      </c>
    </row>
    <row r="3036" customFormat="false" ht="15" hidden="false" customHeight="false" outlineLevel="0" collapsed="false">
      <c r="A3036" s="0" t="s">
        <v>123</v>
      </c>
      <c r="B3036" s="0" t="s">
        <v>1516</v>
      </c>
      <c r="C3036" s="0" t="n">
        <v>199</v>
      </c>
      <c r="D3036" s="0" t="n">
        <v>0</v>
      </c>
      <c r="E3036" s="0" t="n">
        <v>1</v>
      </c>
      <c r="F3036" s="0" t="n">
        <v>199</v>
      </c>
      <c r="G3036" s="0" t="n">
        <v>150</v>
      </c>
      <c r="H3036" s="0" t="s">
        <v>145</v>
      </c>
      <c r="I3036" s="0" t="n">
        <v>150</v>
      </c>
      <c r="J3036" s="0" t="n">
        <f aca="false">F3036*E3036</f>
        <v>199</v>
      </c>
      <c r="K3036" s="0" t="str">
        <f aca="false">IF(G3036&lt;1000,"1-Low",IF(G3036&lt;5000,"2-Medium","3-Bulk"))</f>
        <v>1-Low</v>
      </c>
      <c r="L3036" s="0" t="str">
        <f aca="false">IF(H3036="TRUE","Out of stock","In stock")</f>
        <v>In stock</v>
      </c>
      <c r="M3036" s="0" t="str">
        <f aca="false">IF(D3036&lt;5,"1) Under 5%",IF(D3036&lt;10,"2) 5-9%",IF(D3036&lt;15,"3) 10-14%",IF(D3036&lt;25,"4) 15-24%","5) 25%+"))))</f>
        <v>1) Under 5%</v>
      </c>
      <c r="N3036" s="0" t="str">
        <f aca="false">IF(F3036&lt;50,"1) Under Rs 50",IF(F3036&lt;100,"2) Rs 50-99",IF(F3036&lt;200,"3) Rs 100-199",IF(F3036&lt;500,"4) Rs 200-499","5) Rs 500+"))))</f>
        <v>3) Rs 100-199</v>
      </c>
      <c r="O3036" s="0" t="n">
        <f aca="false">G3036*E3036/1000</f>
        <v>0.15</v>
      </c>
    </row>
    <row r="3037" customFormat="false" ht="15" hidden="false" customHeight="false" outlineLevel="0" collapsed="false">
      <c r="A3037" s="0" t="s">
        <v>123</v>
      </c>
      <c r="B3037" s="0" t="s">
        <v>1517</v>
      </c>
      <c r="C3037" s="0" t="n">
        <v>199</v>
      </c>
      <c r="D3037" s="0" t="n">
        <v>0</v>
      </c>
      <c r="E3037" s="0" t="n">
        <v>6</v>
      </c>
      <c r="F3037" s="0" t="n">
        <v>199</v>
      </c>
      <c r="G3037" s="0" t="n">
        <v>500</v>
      </c>
      <c r="H3037" s="0" t="s">
        <v>145</v>
      </c>
      <c r="I3037" s="0" t="n">
        <v>500</v>
      </c>
      <c r="J3037" s="0" t="n">
        <f aca="false">F3037*E3037</f>
        <v>1194</v>
      </c>
      <c r="K3037" s="0" t="str">
        <f aca="false">IF(G3037&lt;1000,"1-Low",IF(G3037&lt;5000,"2-Medium","3-Bulk"))</f>
        <v>1-Low</v>
      </c>
      <c r="L3037" s="0" t="str">
        <f aca="false">IF(H3037="TRUE","Out of stock","In stock")</f>
        <v>In stock</v>
      </c>
      <c r="M3037" s="0" t="str">
        <f aca="false">IF(D3037&lt;5,"1) Under 5%",IF(D3037&lt;10,"2) 5-9%",IF(D3037&lt;15,"3) 10-14%",IF(D3037&lt;25,"4) 15-24%","5) 25%+"))))</f>
        <v>1) Under 5%</v>
      </c>
      <c r="N3037" s="0" t="str">
        <f aca="false">IF(F3037&lt;50,"1) Under Rs 50",IF(F3037&lt;100,"2) Rs 50-99",IF(F3037&lt;200,"3) Rs 100-199",IF(F3037&lt;500,"4) Rs 200-499","5) Rs 500+"))))</f>
        <v>3) Rs 100-199</v>
      </c>
      <c r="O3037" s="0" t="n">
        <f aca="false">G3037*E3037/1000</f>
        <v>3</v>
      </c>
    </row>
    <row r="3038" customFormat="false" ht="15" hidden="false" customHeight="false" outlineLevel="0" collapsed="false">
      <c r="A3038" s="0" t="s">
        <v>123</v>
      </c>
      <c r="B3038" s="0" t="s">
        <v>1518</v>
      </c>
      <c r="C3038" s="0" t="n">
        <v>375</v>
      </c>
      <c r="D3038" s="0" t="n">
        <v>9</v>
      </c>
      <c r="E3038" s="0" t="n">
        <v>6</v>
      </c>
      <c r="F3038" s="0" t="n">
        <v>338</v>
      </c>
      <c r="G3038" s="0" t="n">
        <v>340</v>
      </c>
      <c r="H3038" s="0" t="s">
        <v>145</v>
      </c>
      <c r="I3038" s="0" t="n">
        <v>340</v>
      </c>
      <c r="J3038" s="0" t="n">
        <f aca="false">F3038*E3038</f>
        <v>2028</v>
      </c>
      <c r="K3038" s="0" t="str">
        <f aca="false">IF(G3038&lt;1000,"1-Low",IF(G3038&lt;5000,"2-Medium","3-Bulk"))</f>
        <v>1-Low</v>
      </c>
      <c r="L3038" s="0" t="str">
        <f aca="false">IF(H3038="TRUE","Out of stock","In stock")</f>
        <v>In stock</v>
      </c>
      <c r="M3038" s="0" t="str">
        <f aca="false">IF(D3038&lt;5,"1) Under 5%",IF(D3038&lt;10,"2) 5-9%",IF(D3038&lt;15,"3) 10-14%",IF(D3038&lt;25,"4) 15-24%","5) 25%+"))))</f>
        <v>2) 5-9%</v>
      </c>
      <c r="N3038" s="0" t="str">
        <f aca="false">IF(F3038&lt;50,"1) Under Rs 50",IF(F3038&lt;100,"2) Rs 50-99",IF(F3038&lt;200,"3) Rs 100-199",IF(F3038&lt;500,"4) Rs 200-499","5) Rs 500+"))))</f>
        <v>4) Rs 200-499</v>
      </c>
      <c r="O3038" s="0" t="n">
        <f aca="false">G3038*E3038/1000</f>
        <v>2.04</v>
      </c>
    </row>
    <row r="3039" customFormat="false" ht="15" hidden="false" customHeight="false" outlineLevel="0" collapsed="false">
      <c r="A3039" s="0" t="s">
        <v>123</v>
      </c>
      <c r="B3039" s="0" t="s">
        <v>1519</v>
      </c>
      <c r="C3039" s="0" t="n">
        <v>649</v>
      </c>
      <c r="D3039" s="0" t="n">
        <v>10</v>
      </c>
      <c r="E3039" s="0" t="n">
        <v>6</v>
      </c>
      <c r="F3039" s="0" t="n">
        <v>578</v>
      </c>
      <c r="G3039" s="0" t="n">
        <v>232</v>
      </c>
      <c r="H3039" s="0" t="s">
        <v>145</v>
      </c>
      <c r="I3039" s="0" t="n">
        <v>4</v>
      </c>
      <c r="J3039" s="0" t="n">
        <f aca="false">F3039*E3039</f>
        <v>3468</v>
      </c>
      <c r="K3039" s="0" t="str">
        <f aca="false">IF(G3039&lt;1000,"1-Low",IF(G3039&lt;5000,"2-Medium","3-Bulk"))</f>
        <v>1-Low</v>
      </c>
      <c r="L3039" s="0" t="str">
        <f aca="false">IF(H3039="TRUE","Out of stock","In stock")</f>
        <v>In stock</v>
      </c>
      <c r="M3039" s="0" t="str">
        <f aca="false">IF(D3039&lt;5,"1) Under 5%",IF(D3039&lt;10,"2) 5-9%",IF(D3039&lt;15,"3) 10-14%",IF(D3039&lt;25,"4) 15-24%","5) 25%+"))))</f>
        <v>3) 10-14%</v>
      </c>
      <c r="N3039" s="0" t="str">
        <f aca="false">IF(F3039&lt;50,"1) Under Rs 50",IF(F3039&lt;100,"2) Rs 50-99",IF(F3039&lt;200,"3) Rs 100-199",IF(F3039&lt;500,"4) Rs 200-499","5) Rs 500+"))))</f>
        <v>5) Rs 500+</v>
      </c>
      <c r="O3039" s="0" t="n">
        <f aca="false">G3039*E3039/1000</f>
        <v>1.392</v>
      </c>
    </row>
    <row r="3040" customFormat="false" ht="15" hidden="false" customHeight="false" outlineLevel="0" collapsed="false">
      <c r="A3040" s="0" t="s">
        <v>123</v>
      </c>
      <c r="B3040" s="0" t="s">
        <v>1468</v>
      </c>
      <c r="C3040" s="0" t="n">
        <v>210</v>
      </c>
      <c r="D3040" s="0" t="n">
        <v>13</v>
      </c>
      <c r="E3040" s="0" t="n">
        <v>1</v>
      </c>
      <c r="F3040" s="0" t="n">
        <v>182</v>
      </c>
      <c r="G3040" s="0" t="n">
        <v>190</v>
      </c>
      <c r="H3040" s="0" t="s">
        <v>145</v>
      </c>
      <c r="I3040" s="0" t="n">
        <v>190</v>
      </c>
      <c r="J3040" s="0" t="n">
        <f aca="false">F3040*E3040</f>
        <v>182</v>
      </c>
      <c r="K3040" s="0" t="str">
        <f aca="false">IF(G3040&lt;1000,"1-Low",IF(G3040&lt;5000,"2-Medium","3-Bulk"))</f>
        <v>1-Low</v>
      </c>
      <c r="L3040" s="0" t="str">
        <f aca="false">IF(H3040="TRUE","Out of stock","In stock")</f>
        <v>In stock</v>
      </c>
      <c r="M3040" s="0" t="str">
        <f aca="false">IF(D3040&lt;5,"1) Under 5%",IF(D3040&lt;10,"2) 5-9%",IF(D3040&lt;15,"3) 10-14%",IF(D3040&lt;25,"4) 15-24%","5) 25%+"))))</f>
        <v>3) 10-14%</v>
      </c>
      <c r="N3040" s="0" t="str">
        <f aca="false">IF(F3040&lt;50,"1) Under Rs 50",IF(F3040&lt;100,"2) Rs 50-99",IF(F3040&lt;200,"3) Rs 100-199",IF(F3040&lt;500,"4) Rs 200-499","5) Rs 500+"))))</f>
        <v>3) Rs 100-199</v>
      </c>
      <c r="O3040" s="0" t="n">
        <f aca="false">G3040*E3040/1000</f>
        <v>0.19</v>
      </c>
    </row>
    <row r="3041" customFormat="false" ht="15" hidden="false" customHeight="false" outlineLevel="0" collapsed="false">
      <c r="A3041" s="0" t="s">
        <v>123</v>
      </c>
      <c r="B3041" s="0" t="s">
        <v>1520</v>
      </c>
      <c r="C3041" s="0" t="n">
        <v>375</v>
      </c>
      <c r="D3041" s="0" t="n">
        <v>0</v>
      </c>
      <c r="E3041" s="0" t="n">
        <v>2</v>
      </c>
      <c r="F3041" s="0" t="n">
        <v>375</v>
      </c>
      <c r="G3041" s="0" t="n">
        <v>116</v>
      </c>
      <c r="H3041" s="0" t="s">
        <v>145</v>
      </c>
      <c r="I3041" s="0" t="n">
        <v>2</v>
      </c>
      <c r="J3041" s="0" t="n">
        <f aca="false">F3041*E3041</f>
        <v>750</v>
      </c>
      <c r="K3041" s="0" t="str">
        <f aca="false">IF(G3041&lt;1000,"1-Low",IF(G3041&lt;5000,"2-Medium","3-Bulk"))</f>
        <v>1-Low</v>
      </c>
      <c r="L3041" s="0" t="str">
        <f aca="false">IF(H3041="TRUE","Out of stock","In stock")</f>
        <v>In stock</v>
      </c>
      <c r="M3041" s="0" t="str">
        <f aca="false">IF(D3041&lt;5,"1) Under 5%",IF(D3041&lt;10,"2) 5-9%",IF(D3041&lt;15,"3) 10-14%",IF(D3041&lt;25,"4) 15-24%","5) 25%+"))))</f>
        <v>1) Under 5%</v>
      </c>
      <c r="N3041" s="0" t="str">
        <f aca="false">IF(F3041&lt;50,"1) Under Rs 50",IF(F3041&lt;100,"2) Rs 50-99",IF(F3041&lt;200,"3) Rs 100-199",IF(F3041&lt;500,"4) Rs 200-499","5) Rs 500+"))))</f>
        <v>4) Rs 200-499</v>
      </c>
      <c r="O3041" s="0" t="n">
        <f aca="false">G3041*E3041/1000</f>
        <v>0.232</v>
      </c>
    </row>
    <row r="3042" customFormat="false" ht="15" hidden="false" customHeight="false" outlineLevel="0" collapsed="false">
      <c r="A3042" s="0" t="s">
        <v>123</v>
      </c>
      <c r="B3042" s="0" t="s">
        <v>1402</v>
      </c>
      <c r="C3042" s="0" t="n">
        <v>300</v>
      </c>
      <c r="D3042" s="0" t="n">
        <v>12</v>
      </c>
      <c r="E3042" s="0" t="n">
        <v>1</v>
      </c>
      <c r="F3042" s="0" t="n">
        <v>264</v>
      </c>
      <c r="G3042" s="0" t="n">
        <v>400</v>
      </c>
      <c r="H3042" s="0" t="s">
        <v>145</v>
      </c>
      <c r="I3042" s="0" t="n">
        <v>400</v>
      </c>
      <c r="J3042" s="0" t="n">
        <f aca="false">F3042*E3042</f>
        <v>264</v>
      </c>
      <c r="K3042" s="0" t="str">
        <f aca="false">IF(G3042&lt;1000,"1-Low",IF(G3042&lt;5000,"2-Medium","3-Bulk"))</f>
        <v>1-Low</v>
      </c>
      <c r="L3042" s="0" t="str">
        <f aca="false">IF(H3042="TRUE","Out of stock","In stock")</f>
        <v>In stock</v>
      </c>
      <c r="M3042" s="0" t="str">
        <f aca="false">IF(D3042&lt;5,"1) Under 5%",IF(D3042&lt;10,"2) 5-9%",IF(D3042&lt;15,"3) 10-14%",IF(D3042&lt;25,"4) 15-24%","5) 25%+"))))</f>
        <v>3) 10-14%</v>
      </c>
      <c r="N3042" s="0" t="str">
        <f aca="false">IF(F3042&lt;50,"1) Under Rs 50",IF(F3042&lt;100,"2) Rs 50-99",IF(F3042&lt;200,"3) Rs 100-199",IF(F3042&lt;500,"4) Rs 200-499","5) Rs 500+"))))</f>
        <v>4) Rs 200-499</v>
      </c>
      <c r="O3042" s="0" t="n">
        <f aca="false">G3042*E3042/1000</f>
        <v>0.4</v>
      </c>
    </row>
    <row r="3043" customFormat="false" ht="15" hidden="false" customHeight="false" outlineLevel="0" collapsed="false">
      <c r="A3043" s="0" t="s">
        <v>123</v>
      </c>
      <c r="B3043" s="0" t="s">
        <v>1521</v>
      </c>
      <c r="C3043" s="0" t="n">
        <v>75</v>
      </c>
      <c r="D3043" s="0" t="n">
        <v>0</v>
      </c>
      <c r="E3043" s="0" t="n">
        <v>6</v>
      </c>
      <c r="F3043" s="0" t="n">
        <v>75</v>
      </c>
      <c r="G3043" s="0" t="n">
        <v>70</v>
      </c>
      <c r="H3043" s="0" t="s">
        <v>145</v>
      </c>
      <c r="I3043" s="0" t="n">
        <v>70</v>
      </c>
      <c r="J3043" s="0" t="n">
        <f aca="false">F3043*E3043</f>
        <v>450</v>
      </c>
      <c r="K3043" s="0" t="str">
        <f aca="false">IF(G3043&lt;1000,"1-Low",IF(G3043&lt;5000,"2-Medium","3-Bulk"))</f>
        <v>1-Low</v>
      </c>
      <c r="L3043" s="0" t="str">
        <f aca="false">IF(H3043="TRUE","Out of stock","In stock")</f>
        <v>In stock</v>
      </c>
      <c r="M3043" s="0" t="str">
        <f aca="false">IF(D3043&lt;5,"1) Under 5%",IF(D3043&lt;10,"2) 5-9%",IF(D3043&lt;15,"3) 10-14%",IF(D3043&lt;25,"4) 15-24%","5) 25%+"))))</f>
        <v>1) Under 5%</v>
      </c>
      <c r="N3043" s="0" t="str">
        <f aca="false">IF(F3043&lt;50,"1) Under Rs 50",IF(F3043&lt;100,"2) Rs 50-99",IF(F3043&lt;200,"3) Rs 100-199",IF(F3043&lt;500,"4) Rs 200-499","5) Rs 500+"))))</f>
        <v>2) Rs 50-99</v>
      </c>
      <c r="O3043" s="0" t="n">
        <f aca="false">G3043*E3043/1000</f>
        <v>0.42</v>
      </c>
    </row>
    <row r="3044" customFormat="false" ht="15" hidden="false" customHeight="false" outlineLevel="0" collapsed="false">
      <c r="A3044" s="0" t="s">
        <v>123</v>
      </c>
      <c r="B3044" s="0" t="s">
        <v>1522</v>
      </c>
      <c r="C3044" s="0" t="n">
        <v>140</v>
      </c>
      <c r="D3044" s="0" t="n">
        <v>10</v>
      </c>
      <c r="E3044" s="0" t="n">
        <v>6</v>
      </c>
      <c r="F3044" s="0" t="n">
        <v>126</v>
      </c>
      <c r="G3044" s="0" t="n">
        <v>70</v>
      </c>
      <c r="H3044" s="0" t="s">
        <v>145</v>
      </c>
      <c r="I3044" s="0" t="n">
        <v>70</v>
      </c>
      <c r="J3044" s="0" t="n">
        <f aca="false">F3044*E3044</f>
        <v>756</v>
      </c>
      <c r="K3044" s="0" t="str">
        <f aca="false">IF(G3044&lt;1000,"1-Low",IF(G3044&lt;5000,"2-Medium","3-Bulk"))</f>
        <v>1-Low</v>
      </c>
      <c r="L3044" s="0" t="str">
        <f aca="false">IF(H3044="TRUE","Out of stock","In stock")</f>
        <v>In stock</v>
      </c>
      <c r="M3044" s="0" t="str">
        <f aca="false">IF(D3044&lt;5,"1) Under 5%",IF(D3044&lt;10,"2) 5-9%",IF(D3044&lt;15,"3) 10-14%",IF(D3044&lt;25,"4) 15-24%","5) 25%+"))))</f>
        <v>3) 10-14%</v>
      </c>
      <c r="N3044" s="0" t="str">
        <f aca="false">IF(F3044&lt;50,"1) Under Rs 50",IF(F3044&lt;100,"2) Rs 50-99",IF(F3044&lt;200,"3) Rs 100-199",IF(F3044&lt;500,"4) Rs 200-499","5) Rs 500+"))))</f>
        <v>3) Rs 100-199</v>
      </c>
      <c r="O3044" s="0" t="n">
        <f aca="false">G3044*E3044/1000</f>
        <v>0.42</v>
      </c>
    </row>
    <row r="3045" customFormat="false" ht="15" hidden="false" customHeight="false" outlineLevel="0" collapsed="false">
      <c r="A3045" s="0" t="s">
        <v>123</v>
      </c>
      <c r="B3045" s="0" t="s">
        <v>1523</v>
      </c>
      <c r="C3045" s="0" t="n">
        <v>93</v>
      </c>
      <c r="D3045" s="0" t="n">
        <v>0</v>
      </c>
      <c r="E3045" s="0" t="n">
        <v>6</v>
      </c>
      <c r="F3045" s="0" t="n">
        <v>93</v>
      </c>
      <c r="G3045" s="0" t="n">
        <v>80</v>
      </c>
      <c r="H3045" s="0" t="s">
        <v>145</v>
      </c>
      <c r="I3045" s="0" t="n">
        <v>80</v>
      </c>
      <c r="J3045" s="0" t="n">
        <f aca="false">F3045*E3045</f>
        <v>558</v>
      </c>
      <c r="K3045" s="0" t="str">
        <f aca="false">IF(G3045&lt;1000,"1-Low",IF(G3045&lt;5000,"2-Medium","3-Bulk"))</f>
        <v>1-Low</v>
      </c>
      <c r="L3045" s="0" t="str">
        <f aca="false">IF(H3045="TRUE","Out of stock","In stock")</f>
        <v>In stock</v>
      </c>
      <c r="M3045" s="0" t="str">
        <f aca="false">IF(D3045&lt;5,"1) Under 5%",IF(D3045&lt;10,"2) 5-9%",IF(D3045&lt;15,"3) 10-14%",IF(D3045&lt;25,"4) 15-24%","5) 25%+"))))</f>
        <v>1) Under 5%</v>
      </c>
      <c r="N3045" s="0" t="str">
        <f aca="false">IF(F3045&lt;50,"1) Under Rs 50",IF(F3045&lt;100,"2) Rs 50-99",IF(F3045&lt;200,"3) Rs 100-199",IF(F3045&lt;500,"4) Rs 200-499","5) Rs 500+"))))</f>
        <v>2) Rs 50-99</v>
      </c>
      <c r="O3045" s="0" t="n">
        <f aca="false">G3045*E3045/1000</f>
        <v>0.48</v>
      </c>
    </row>
    <row r="3046" customFormat="false" ht="15" hidden="false" customHeight="false" outlineLevel="0" collapsed="false">
      <c r="A3046" s="0" t="s">
        <v>123</v>
      </c>
      <c r="B3046" s="0" t="s">
        <v>1524</v>
      </c>
      <c r="C3046" s="0" t="n">
        <v>120</v>
      </c>
      <c r="D3046" s="0" t="n">
        <v>0</v>
      </c>
      <c r="E3046" s="0" t="n">
        <v>6</v>
      </c>
      <c r="F3046" s="0" t="n">
        <v>120</v>
      </c>
      <c r="G3046" s="0" t="n">
        <v>180</v>
      </c>
      <c r="H3046" s="0" t="s">
        <v>145</v>
      </c>
      <c r="I3046" s="0" t="n">
        <v>180</v>
      </c>
      <c r="J3046" s="0" t="n">
        <f aca="false">F3046*E3046</f>
        <v>720</v>
      </c>
      <c r="K3046" s="0" t="str">
        <f aca="false">IF(G3046&lt;1000,"1-Low",IF(G3046&lt;5000,"2-Medium","3-Bulk"))</f>
        <v>1-Low</v>
      </c>
      <c r="L3046" s="0" t="str">
        <f aca="false">IF(H3046="TRUE","Out of stock","In stock")</f>
        <v>In stock</v>
      </c>
      <c r="M3046" s="0" t="str">
        <f aca="false">IF(D3046&lt;5,"1) Under 5%",IF(D3046&lt;10,"2) 5-9%",IF(D3046&lt;15,"3) 10-14%",IF(D3046&lt;25,"4) 15-24%","5) 25%+"))))</f>
        <v>1) Under 5%</v>
      </c>
      <c r="N3046" s="0" t="str">
        <f aca="false">IF(F3046&lt;50,"1) Under Rs 50",IF(F3046&lt;100,"2) Rs 50-99",IF(F3046&lt;200,"3) Rs 100-199",IF(F3046&lt;500,"4) Rs 200-499","5) Rs 500+"))))</f>
        <v>3) Rs 100-199</v>
      </c>
      <c r="O3046" s="0" t="n">
        <f aca="false">G3046*E3046/1000</f>
        <v>1.08</v>
      </c>
    </row>
    <row r="3047" customFormat="false" ht="15" hidden="false" customHeight="false" outlineLevel="0" collapsed="false">
      <c r="A3047" s="0" t="s">
        <v>123</v>
      </c>
      <c r="B3047" s="0" t="s">
        <v>1525</v>
      </c>
      <c r="C3047" s="0" t="n">
        <v>100</v>
      </c>
      <c r="D3047" s="0" t="n">
        <v>10</v>
      </c>
      <c r="E3047" s="0" t="n">
        <v>6</v>
      </c>
      <c r="F3047" s="0" t="n">
        <v>90</v>
      </c>
      <c r="G3047" s="0" t="n">
        <v>25</v>
      </c>
      <c r="H3047" s="0" t="s">
        <v>145</v>
      </c>
      <c r="I3047" s="0" t="n">
        <v>25</v>
      </c>
      <c r="J3047" s="0" t="n">
        <f aca="false">F3047*E3047</f>
        <v>540</v>
      </c>
      <c r="K3047" s="0" t="str">
        <f aca="false">IF(G3047&lt;1000,"1-Low",IF(G3047&lt;5000,"2-Medium","3-Bulk"))</f>
        <v>1-Low</v>
      </c>
      <c r="L3047" s="0" t="str">
        <f aca="false">IF(H3047="TRUE","Out of stock","In stock")</f>
        <v>In stock</v>
      </c>
      <c r="M3047" s="0" t="str">
        <f aca="false">IF(D3047&lt;5,"1) Under 5%",IF(D3047&lt;10,"2) 5-9%",IF(D3047&lt;15,"3) 10-14%",IF(D3047&lt;25,"4) 15-24%","5) 25%+"))))</f>
        <v>3) 10-14%</v>
      </c>
      <c r="N3047" s="0" t="str">
        <f aca="false">IF(F3047&lt;50,"1) Under Rs 50",IF(F3047&lt;100,"2) Rs 50-99",IF(F3047&lt;200,"3) Rs 100-199",IF(F3047&lt;500,"4) Rs 200-499","5) Rs 500+"))))</f>
        <v>2) Rs 50-99</v>
      </c>
      <c r="O3047" s="0" t="n">
        <f aca="false">G3047*E3047/1000</f>
        <v>0.15</v>
      </c>
    </row>
    <row r="3048" customFormat="false" ht="15" hidden="false" customHeight="false" outlineLevel="0" collapsed="false">
      <c r="A3048" s="0" t="s">
        <v>123</v>
      </c>
      <c r="B3048" s="0" t="s">
        <v>1301</v>
      </c>
      <c r="C3048" s="0" t="n">
        <v>69</v>
      </c>
      <c r="D3048" s="0" t="n">
        <v>0</v>
      </c>
      <c r="E3048" s="0" t="n">
        <v>5</v>
      </c>
      <c r="F3048" s="0" t="n">
        <v>69</v>
      </c>
      <c r="G3048" s="0" t="n">
        <v>200</v>
      </c>
      <c r="H3048" s="0" t="s">
        <v>145</v>
      </c>
      <c r="I3048" s="0" t="n">
        <v>200</v>
      </c>
      <c r="J3048" s="0" t="n">
        <f aca="false">F3048*E3048</f>
        <v>345</v>
      </c>
      <c r="K3048" s="0" t="str">
        <f aca="false">IF(G3048&lt;1000,"1-Low",IF(G3048&lt;5000,"2-Medium","3-Bulk"))</f>
        <v>1-Low</v>
      </c>
      <c r="L3048" s="0" t="str">
        <f aca="false">IF(H3048="TRUE","Out of stock","In stock")</f>
        <v>In stock</v>
      </c>
      <c r="M3048" s="0" t="str">
        <f aca="false">IF(D3048&lt;5,"1) Under 5%",IF(D3048&lt;10,"2) 5-9%",IF(D3048&lt;15,"3) 10-14%",IF(D3048&lt;25,"4) 15-24%","5) 25%+"))))</f>
        <v>1) Under 5%</v>
      </c>
      <c r="N3048" s="0" t="str">
        <f aca="false">IF(F3048&lt;50,"1) Under Rs 50",IF(F3048&lt;100,"2) Rs 50-99",IF(F3048&lt;200,"3) Rs 100-199",IF(F3048&lt;500,"4) Rs 200-499","5) Rs 500+"))))</f>
        <v>2) Rs 50-99</v>
      </c>
      <c r="O3048" s="0" t="n">
        <f aca="false">G3048*E3048/1000</f>
        <v>1</v>
      </c>
    </row>
    <row r="3049" customFormat="false" ht="15" hidden="false" customHeight="false" outlineLevel="0" collapsed="false">
      <c r="A3049" s="0" t="s">
        <v>123</v>
      </c>
      <c r="B3049" s="0" t="s">
        <v>1526</v>
      </c>
      <c r="C3049" s="0" t="n">
        <v>360</v>
      </c>
      <c r="D3049" s="0" t="n">
        <v>10</v>
      </c>
      <c r="E3049" s="0" t="n">
        <v>6</v>
      </c>
      <c r="F3049" s="0" t="n">
        <v>324</v>
      </c>
      <c r="G3049" s="0" t="n">
        <v>24</v>
      </c>
      <c r="H3049" s="0" t="s">
        <v>145</v>
      </c>
      <c r="I3049" s="0" t="n">
        <v>24</v>
      </c>
      <c r="J3049" s="0" t="n">
        <f aca="false">F3049*E3049</f>
        <v>1944</v>
      </c>
      <c r="K3049" s="0" t="str">
        <f aca="false">IF(G3049&lt;1000,"1-Low",IF(G3049&lt;5000,"2-Medium","3-Bulk"))</f>
        <v>1-Low</v>
      </c>
      <c r="L3049" s="0" t="str">
        <f aca="false">IF(H3049="TRUE","Out of stock","In stock")</f>
        <v>In stock</v>
      </c>
      <c r="M3049" s="0" t="str">
        <f aca="false">IF(D3049&lt;5,"1) Under 5%",IF(D3049&lt;10,"2) 5-9%",IF(D3049&lt;15,"3) 10-14%",IF(D3049&lt;25,"4) 15-24%","5) 25%+"))))</f>
        <v>3) 10-14%</v>
      </c>
      <c r="N3049" s="0" t="str">
        <f aca="false">IF(F3049&lt;50,"1) Under Rs 50",IF(F3049&lt;100,"2) Rs 50-99",IF(F3049&lt;200,"3) Rs 100-199",IF(F3049&lt;500,"4) Rs 200-499","5) Rs 500+"))))</f>
        <v>4) Rs 200-499</v>
      </c>
      <c r="O3049" s="0" t="n">
        <f aca="false">G3049*E3049/1000</f>
        <v>0.144</v>
      </c>
    </row>
    <row r="3050" customFormat="false" ht="15" hidden="false" customHeight="false" outlineLevel="0" collapsed="false">
      <c r="A3050" s="0" t="s">
        <v>123</v>
      </c>
      <c r="B3050" s="0" t="s">
        <v>1299</v>
      </c>
      <c r="C3050" s="0" t="n">
        <v>260</v>
      </c>
      <c r="D3050" s="0" t="n">
        <v>18</v>
      </c>
      <c r="E3050" s="0" t="n">
        <v>1</v>
      </c>
      <c r="F3050" s="0" t="n">
        <v>213</v>
      </c>
      <c r="G3050" s="0" t="n">
        <v>400</v>
      </c>
      <c r="H3050" s="0" t="s">
        <v>145</v>
      </c>
      <c r="I3050" s="0" t="n">
        <v>400</v>
      </c>
      <c r="J3050" s="0" t="n">
        <f aca="false">F3050*E3050</f>
        <v>213</v>
      </c>
      <c r="K3050" s="0" t="str">
        <f aca="false">IF(G3050&lt;1000,"1-Low",IF(G3050&lt;5000,"2-Medium","3-Bulk"))</f>
        <v>1-Low</v>
      </c>
      <c r="L3050" s="0" t="str">
        <f aca="false">IF(H3050="TRUE","Out of stock","In stock")</f>
        <v>In stock</v>
      </c>
      <c r="M3050" s="0" t="str">
        <f aca="false">IF(D3050&lt;5,"1) Under 5%",IF(D3050&lt;10,"2) 5-9%",IF(D3050&lt;15,"3) 10-14%",IF(D3050&lt;25,"4) 15-24%","5) 25%+"))))</f>
        <v>4) 15-24%</v>
      </c>
      <c r="N3050" s="0" t="str">
        <f aca="false">IF(F3050&lt;50,"1) Under Rs 50",IF(F3050&lt;100,"2) Rs 50-99",IF(F3050&lt;200,"3) Rs 100-199",IF(F3050&lt;500,"4) Rs 200-499","5) Rs 500+"))))</f>
        <v>4) Rs 200-499</v>
      </c>
      <c r="O3050" s="0" t="n">
        <f aca="false">G3050*E3050/1000</f>
        <v>0.4</v>
      </c>
    </row>
    <row r="3051" customFormat="false" ht="15" hidden="false" customHeight="false" outlineLevel="0" collapsed="false">
      <c r="A3051" s="0" t="s">
        <v>123</v>
      </c>
      <c r="B3051" s="0" t="s">
        <v>1395</v>
      </c>
      <c r="C3051" s="0" t="n">
        <v>490</v>
      </c>
      <c r="D3051" s="0" t="n">
        <v>25</v>
      </c>
      <c r="E3051" s="0" t="n">
        <v>4</v>
      </c>
      <c r="F3051" s="0" t="n">
        <v>367</v>
      </c>
      <c r="G3051" s="0" t="n">
        <v>700</v>
      </c>
      <c r="H3051" s="0" t="s">
        <v>145</v>
      </c>
      <c r="I3051" s="0" t="n">
        <v>700</v>
      </c>
      <c r="J3051" s="0" t="n">
        <f aca="false">F3051*E3051</f>
        <v>1468</v>
      </c>
      <c r="K3051" s="0" t="str">
        <f aca="false">IF(G3051&lt;1000,"1-Low",IF(G3051&lt;5000,"2-Medium","3-Bulk"))</f>
        <v>1-Low</v>
      </c>
      <c r="L3051" s="0" t="str">
        <f aca="false">IF(H3051="TRUE","Out of stock","In stock")</f>
        <v>In stock</v>
      </c>
      <c r="M3051" s="0" t="str">
        <f aca="false">IF(D3051&lt;5,"1) Under 5%",IF(D3051&lt;10,"2) 5-9%",IF(D3051&lt;15,"3) 10-14%",IF(D3051&lt;25,"4) 15-24%","5) 25%+"))))</f>
        <v>5) 25%+</v>
      </c>
      <c r="N3051" s="0" t="str">
        <f aca="false">IF(F3051&lt;50,"1) Under Rs 50",IF(F3051&lt;100,"2) Rs 50-99",IF(F3051&lt;200,"3) Rs 100-199",IF(F3051&lt;500,"4) Rs 200-499","5) Rs 500+"))))</f>
        <v>4) Rs 200-499</v>
      </c>
      <c r="O3051" s="0" t="n">
        <f aca="false">G3051*E3051/1000</f>
        <v>2.8</v>
      </c>
    </row>
    <row r="3052" customFormat="false" ht="15" hidden="false" customHeight="false" outlineLevel="0" collapsed="false">
      <c r="A3052" s="0" t="s">
        <v>123</v>
      </c>
      <c r="B3052" s="0" t="s">
        <v>1477</v>
      </c>
      <c r="C3052" s="0" t="n">
        <v>200</v>
      </c>
      <c r="D3052" s="0" t="n">
        <v>0</v>
      </c>
      <c r="E3052" s="0" t="n">
        <v>6</v>
      </c>
      <c r="F3052" s="0" t="n">
        <v>200</v>
      </c>
      <c r="G3052" s="0" t="n">
        <v>200</v>
      </c>
      <c r="H3052" s="0" t="s">
        <v>145</v>
      </c>
      <c r="I3052" s="0" t="n">
        <v>200</v>
      </c>
      <c r="J3052" s="0" t="n">
        <f aca="false">F3052*E3052</f>
        <v>1200</v>
      </c>
      <c r="K3052" s="0" t="str">
        <f aca="false">IF(G3052&lt;1000,"1-Low",IF(G3052&lt;5000,"2-Medium","3-Bulk"))</f>
        <v>1-Low</v>
      </c>
      <c r="L3052" s="0" t="str">
        <f aca="false">IF(H3052="TRUE","Out of stock","In stock")</f>
        <v>In stock</v>
      </c>
      <c r="M3052" s="0" t="str">
        <f aca="false">IF(D3052&lt;5,"1) Under 5%",IF(D3052&lt;10,"2) 5-9%",IF(D3052&lt;15,"3) 10-14%",IF(D3052&lt;25,"4) 15-24%","5) 25%+"))))</f>
        <v>1) Under 5%</v>
      </c>
      <c r="N3052" s="0" t="str">
        <f aca="false">IF(F3052&lt;50,"1) Under Rs 50",IF(F3052&lt;100,"2) Rs 50-99",IF(F3052&lt;200,"3) Rs 100-199",IF(F3052&lt;500,"4) Rs 200-499","5) Rs 500+"))))</f>
        <v>4) Rs 200-499</v>
      </c>
      <c r="O3052" s="0" t="n">
        <f aca="false">G3052*E3052/1000</f>
        <v>1.2</v>
      </c>
    </row>
    <row r="3053" customFormat="false" ht="15" hidden="false" customHeight="false" outlineLevel="0" collapsed="false">
      <c r="A3053" s="0" t="s">
        <v>123</v>
      </c>
      <c r="B3053" s="0" t="s">
        <v>1527</v>
      </c>
      <c r="C3053" s="0" t="n">
        <v>325</v>
      </c>
      <c r="D3053" s="0" t="n">
        <v>0</v>
      </c>
      <c r="E3053" s="0" t="n">
        <v>4</v>
      </c>
      <c r="F3053" s="0" t="n">
        <v>325</v>
      </c>
      <c r="G3053" s="0" t="n">
        <v>400</v>
      </c>
      <c r="H3053" s="0" t="s">
        <v>145</v>
      </c>
      <c r="I3053" s="0" t="n">
        <v>400</v>
      </c>
      <c r="J3053" s="0" t="n">
        <f aca="false">F3053*E3053</f>
        <v>1300</v>
      </c>
      <c r="K3053" s="0" t="str">
        <f aca="false">IF(G3053&lt;1000,"1-Low",IF(G3053&lt;5000,"2-Medium","3-Bulk"))</f>
        <v>1-Low</v>
      </c>
      <c r="L3053" s="0" t="str">
        <f aca="false">IF(H3053="TRUE","Out of stock","In stock")</f>
        <v>In stock</v>
      </c>
      <c r="M3053" s="0" t="str">
        <f aca="false">IF(D3053&lt;5,"1) Under 5%",IF(D3053&lt;10,"2) 5-9%",IF(D3053&lt;15,"3) 10-14%",IF(D3053&lt;25,"4) 15-24%","5) 25%+"))))</f>
        <v>1) Under 5%</v>
      </c>
      <c r="N3053" s="0" t="str">
        <f aca="false">IF(F3053&lt;50,"1) Under Rs 50",IF(F3053&lt;100,"2) Rs 50-99",IF(F3053&lt;200,"3) Rs 100-199",IF(F3053&lt;500,"4) Rs 200-499","5) Rs 500+"))))</f>
        <v>4) Rs 200-499</v>
      </c>
      <c r="O3053" s="0" t="n">
        <f aca="false">G3053*E3053/1000</f>
        <v>1.6</v>
      </c>
    </row>
    <row r="3054" customFormat="false" ht="15" hidden="false" customHeight="false" outlineLevel="0" collapsed="false">
      <c r="A3054" s="0" t="s">
        <v>123</v>
      </c>
      <c r="B3054" s="0" t="s">
        <v>1528</v>
      </c>
      <c r="C3054" s="0" t="n">
        <v>199</v>
      </c>
      <c r="D3054" s="0" t="n">
        <v>0</v>
      </c>
      <c r="E3054" s="0" t="n">
        <v>1</v>
      </c>
      <c r="F3054" s="0" t="n">
        <v>199</v>
      </c>
      <c r="G3054" s="0" t="n">
        <v>193</v>
      </c>
      <c r="H3054" s="0" t="s">
        <v>145</v>
      </c>
      <c r="I3054" s="0" t="n">
        <v>193</v>
      </c>
      <c r="J3054" s="0" t="n">
        <f aca="false">F3054*E3054</f>
        <v>199</v>
      </c>
      <c r="K3054" s="0" t="str">
        <f aca="false">IF(G3054&lt;1000,"1-Low",IF(G3054&lt;5000,"2-Medium","3-Bulk"))</f>
        <v>1-Low</v>
      </c>
      <c r="L3054" s="0" t="str">
        <f aca="false">IF(H3054="TRUE","Out of stock","In stock")</f>
        <v>In stock</v>
      </c>
      <c r="M3054" s="0" t="str">
        <f aca="false">IF(D3054&lt;5,"1) Under 5%",IF(D3054&lt;10,"2) 5-9%",IF(D3054&lt;15,"3) 10-14%",IF(D3054&lt;25,"4) 15-24%","5) 25%+"))))</f>
        <v>1) Under 5%</v>
      </c>
      <c r="N3054" s="0" t="str">
        <f aca="false">IF(F3054&lt;50,"1) Under Rs 50",IF(F3054&lt;100,"2) Rs 50-99",IF(F3054&lt;200,"3) Rs 100-199",IF(F3054&lt;500,"4) Rs 200-499","5) Rs 500+"))))</f>
        <v>3) Rs 100-199</v>
      </c>
      <c r="O3054" s="0" t="n">
        <f aca="false">G3054*E3054/1000</f>
        <v>0.193</v>
      </c>
    </row>
    <row r="3055" customFormat="false" ht="15" hidden="false" customHeight="false" outlineLevel="0" collapsed="false">
      <c r="A3055" s="0" t="s">
        <v>123</v>
      </c>
      <c r="B3055" s="0" t="s">
        <v>1529</v>
      </c>
      <c r="C3055" s="0" t="n">
        <v>185</v>
      </c>
      <c r="D3055" s="0" t="n">
        <v>15</v>
      </c>
      <c r="E3055" s="0" t="n">
        <v>6</v>
      </c>
      <c r="F3055" s="0" t="n">
        <v>157</v>
      </c>
      <c r="G3055" s="0" t="n">
        <v>100</v>
      </c>
      <c r="H3055" s="0" t="s">
        <v>145</v>
      </c>
      <c r="I3055" s="0" t="n">
        <v>100</v>
      </c>
      <c r="J3055" s="0" t="n">
        <f aca="false">F3055*E3055</f>
        <v>942</v>
      </c>
      <c r="K3055" s="0" t="str">
        <f aca="false">IF(G3055&lt;1000,"1-Low",IF(G3055&lt;5000,"2-Medium","3-Bulk"))</f>
        <v>1-Low</v>
      </c>
      <c r="L3055" s="0" t="str">
        <f aca="false">IF(H3055="TRUE","Out of stock","In stock")</f>
        <v>In stock</v>
      </c>
      <c r="M3055" s="0" t="str">
        <f aca="false">IF(D3055&lt;5,"1) Under 5%",IF(D3055&lt;10,"2) 5-9%",IF(D3055&lt;15,"3) 10-14%",IF(D3055&lt;25,"4) 15-24%","5) 25%+"))))</f>
        <v>4) 15-24%</v>
      </c>
      <c r="N3055" s="0" t="str">
        <f aca="false">IF(F3055&lt;50,"1) Under Rs 50",IF(F3055&lt;100,"2) Rs 50-99",IF(F3055&lt;200,"3) Rs 100-199",IF(F3055&lt;500,"4) Rs 200-499","5) Rs 500+"))))</f>
        <v>3) Rs 100-199</v>
      </c>
      <c r="O3055" s="0" t="n">
        <f aca="false">G3055*E3055/1000</f>
        <v>0.6</v>
      </c>
    </row>
    <row r="3056" customFormat="false" ht="15" hidden="false" customHeight="false" outlineLevel="0" collapsed="false">
      <c r="A3056" s="0" t="s">
        <v>123</v>
      </c>
      <c r="B3056" s="0" t="s">
        <v>1319</v>
      </c>
      <c r="C3056" s="0" t="n">
        <v>555</v>
      </c>
      <c r="D3056" s="0" t="n">
        <v>0</v>
      </c>
      <c r="E3056" s="0" t="n">
        <v>1</v>
      </c>
      <c r="F3056" s="0" t="n">
        <v>555</v>
      </c>
      <c r="G3056" s="0" t="n">
        <v>60</v>
      </c>
      <c r="H3056" s="0" t="s">
        <v>145</v>
      </c>
      <c r="I3056" s="0" t="n">
        <v>60</v>
      </c>
      <c r="J3056" s="0" t="n">
        <f aca="false">F3056*E3056</f>
        <v>555</v>
      </c>
      <c r="K3056" s="0" t="str">
        <f aca="false">IF(G3056&lt;1000,"1-Low",IF(G3056&lt;5000,"2-Medium","3-Bulk"))</f>
        <v>1-Low</v>
      </c>
      <c r="L3056" s="0" t="str">
        <f aca="false">IF(H3056="TRUE","Out of stock","In stock")</f>
        <v>In stock</v>
      </c>
      <c r="M3056" s="0" t="str">
        <f aca="false">IF(D3056&lt;5,"1) Under 5%",IF(D3056&lt;10,"2) 5-9%",IF(D3056&lt;15,"3) 10-14%",IF(D3056&lt;25,"4) 15-24%","5) 25%+"))))</f>
        <v>1) Under 5%</v>
      </c>
      <c r="N3056" s="0" t="str">
        <f aca="false">IF(F3056&lt;50,"1) Under Rs 50",IF(F3056&lt;100,"2) Rs 50-99",IF(F3056&lt;200,"3) Rs 100-199",IF(F3056&lt;500,"4) Rs 200-499","5) Rs 500+"))))</f>
        <v>5) Rs 500+</v>
      </c>
      <c r="O3056" s="0" t="n">
        <f aca="false">G3056*E3056/1000</f>
        <v>0.06</v>
      </c>
    </row>
    <row r="3057" customFormat="false" ht="15" hidden="false" customHeight="false" outlineLevel="0" collapsed="false">
      <c r="A3057" s="0" t="s">
        <v>123</v>
      </c>
      <c r="B3057" s="0" t="s">
        <v>1530</v>
      </c>
      <c r="C3057" s="0" t="n">
        <v>249</v>
      </c>
      <c r="D3057" s="0" t="n">
        <v>20</v>
      </c>
      <c r="E3057" s="0" t="n">
        <v>6</v>
      </c>
      <c r="F3057" s="0" t="n">
        <v>199</v>
      </c>
      <c r="G3057" s="0" t="n">
        <v>250</v>
      </c>
      <c r="H3057" s="0" t="s">
        <v>145</v>
      </c>
      <c r="I3057" s="0" t="n">
        <v>250</v>
      </c>
      <c r="J3057" s="0" t="n">
        <f aca="false">F3057*E3057</f>
        <v>1194</v>
      </c>
      <c r="K3057" s="0" t="str">
        <f aca="false">IF(G3057&lt;1000,"1-Low",IF(G3057&lt;5000,"2-Medium","3-Bulk"))</f>
        <v>1-Low</v>
      </c>
      <c r="L3057" s="0" t="str">
        <f aca="false">IF(H3057="TRUE","Out of stock","In stock")</f>
        <v>In stock</v>
      </c>
      <c r="M3057" s="0" t="str">
        <f aca="false">IF(D3057&lt;5,"1) Under 5%",IF(D3057&lt;10,"2) 5-9%",IF(D3057&lt;15,"3) 10-14%",IF(D3057&lt;25,"4) 15-24%","5) 25%+"))))</f>
        <v>4) 15-24%</v>
      </c>
      <c r="N3057" s="0" t="str">
        <f aca="false">IF(F3057&lt;50,"1) Under Rs 50",IF(F3057&lt;100,"2) Rs 50-99",IF(F3057&lt;200,"3) Rs 100-199",IF(F3057&lt;500,"4) Rs 200-499","5) Rs 500+"))))</f>
        <v>3) Rs 100-199</v>
      </c>
      <c r="O3057" s="0" t="n">
        <f aca="false">G3057*E3057/1000</f>
        <v>1.5</v>
      </c>
    </row>
    <row r="3058" customFormat="false" ht="15" hidden="false" customHeight="false" outlineLevel="0" collapsed="false">
      <c r="A3058" s="0" t="s">
        <v>123</v>
      </c>
      <c r="B3058" s="0" t="s">
        <v>1528</v>
      </c>
      <c r="C3058" s="0" t="n">
        <v>209</v>
      </c>
      <c r="D3058" s="0" t="n">
        <v>0</v>
      </c>
      <c r="E3058" s="0" t="n">
        <v>3</v>
      </c>
      <c r="F3058" s="0" t="n">
        <v>209</v>
      </c>
      <c r="G3058" s="0" t="n">
        <v>193</v>
      </c>
      <c r="H3058" s="0" t="s">
        <v>145</v>
      </c>
      <c r="I3058" s="0" t="n">
        <v>193</v>
      </c>
      <c r="J3058" s="0" t="n">
        <f aca="false">F3058*E3058</f>
        <v>627</v>
      </c>
      <c r="K3058" s="0" t="str">
        <f aca="false">IF(G3058&lt;1000,"1-Low",IF(G3058&lt;5000,"2-Medium","3-Bulk"))</f>
        <v>1-Low</v>
      </c>
      <c r="L3058" s="0" t="str">
        <f aca="false">IF(H3058="TRUE","Out of stock","In stock")</f>
        <v>In stock</v>
      </c>
      <c r="M3058" s="0" t="str">
        <f aca="false">IF(D3058&lt;5,"1) Under 5%",IF(D3058&lt;10,"2) 5-9%",IF(D3058&lt;15,"3) 10-14%",IF(D3058&lt;25,"4) 15-24%","5) 25%+"))))</f>
        <v>1) Under 5%</v>
      </c>
      <c r="N3058" s="0" t="str">
        <f aca="false">IF(F3058&lt;50,"1) Under Rs 50",IF(F3058&lt;100,"2) Rs 50-99",IF(F3058&lt;200,"3) Rs 100-199",IF(F3058&lt;500,"4) Rs 200-499","5) Rs 500+"))))</f>
        <v>4) Rs 200-499</v>
      </c>
      <c r="O3058" s="0" t="n">
        <f aca="false">G3058*E3058/1000</f>
        <v>0.579</v>
      </c>
    </row>
    <row r="3059" customFormat="false" ht="15" hidden="false" customHeight="false" outlineLevel="0" collapsed="false">
      <c r="A3059" s="0" t="s">
        <v>123</v>
      </c>
      <c r="B3059" s="0" t="s">
        <v>1326</v>
      </c>
      <c r="C3059" s="0" t="n">
        <v>285</v>
      </c>
      <c r="D3059" s="0" t="n">
        <v>6</v>
      </c>
      <c r="E3059" s="0" t="n">
        <v>6</v>
      </c>
      <c r="F3059" s="0" t="n">
        <v>266</v>
      </c>
      <c r="G3059" s="0" t="n">
        <v>340</v>
      </c>
      <c r="H3059" s="0" t="s">
        <v>145</v>
      </c>
      <c r="I3059" s="0" t="n">
        <v>340</v>
      </c>
      <c r="J3059" s="0" t="n">
        <f aca="false">F3059*E3059</f>
        <v>1596</v>
      </c>
      <c r="K3059" s="0" t="str">
        <f aca="false">IF(G3059&lt;1000,"1-Low",IF(G3059&lt;5000,"2-Medium","3-Bulk"))</f>
        <v>1-Low</v>
      </c>
      <c r="L3059" s="0" t="str">
        <f aca="false">IF(H3059="TRUE","Out of stock","In stock")</f>
        <v>In stock</v>
      </c>
      <c r="M3059" s="0" t="str">
        <f aca="false">IF(D3059&lt;5,"1) Under 5%",IF(D3059&lt;10,"2) 5-9%",IF(D3059&lt;15,"3) 10-14%",IF(D3059&lt;25,"4) 15-24%","5) 25%+"))))</f>
        <v>2) 5-9%</v>
      </c>
      <c r="N3059" s="0" t="str">
        <f aca="false">IF(F3059&lt;50,"1) Under Rs 50",IF(F3059&lt;100,"2) Rs 50-99",IF(F3059&lt;200,"3) Rs 100-199",IF(F3059&lt;500,"4) Rs 200-499","5) Rs 500+"))))</f>
        <v>4) Rs 200-499</v>
      </c>
      <c r="O3059" s="0" t="n">
        <f aca="false">G3059*E3059/1000</f>
        <v>2.04</v>
      </c>
    </row>
    <row r="3060" customFormat="false" ht="15" hidden="false" customHeight="false" outlineLevel="0" collapsed="false">
      <c r="A3060" s="0" t="s">
        <v>123</v>
      </c>
      <c r="B3060" s="0" t="s">
        <v>1531</v>
      </c>
      <c r="C3060" s="0" t="n">
        <v>249</v>
      </c>
      <c r="D3060" s="0" t="n">
        <v>0</v>
      </c>
      <c r="E3060" s="0" t="n">
        <v>4</v>
      </c>
      <c r="F3060" s="0" t="n">
        <v>249</v>
      </c>
      <c r="G3060" s="0" t="n">
        <v>150</v>
      </c>
      <c r="H3060" s="0" t="s">
        <v>145</v>
      </c>
      <c r="I3060" s="0" t="n">
        <v>150</v>
      </c>
      <c r="J3060" s="0" t="n">
        <f aca="false">F3060*E3060</f>
        <v>996</v>
      </c>
      <c r="K3060" s="0" t="str">
        <f aca="false">IF(G3060&lt;1000,"1-Low",IF(G3060&lt;5000,"2-Medium","3-Bulk"))</f>
        <v>1-Low</v>
      </c>
      <c r="L3060" s="0" t="str">
        <f aca="false">IF(H3060="TRUE","Out of stock","In stock")</f>
        <v>In stock</v>
      </c>
      <c r="M3060" s="0" t="str">
        <f aca="false">IF(D3060&lt;5,"1) Under 5%",IF(D3060&lt;10,"2) 5-9%",IF(D3060&lt;15,"3) 10-14%",IF(D3060&lt;25,"4) 15-24%","5) 25%+"))))</f>
        <v>1) Under 5%</v>
      </c>
      <c r="N3060" s="0" t="str">
        <f aca="false">IF(F3060&lt;50,"1) Under Rs 50",IF(F3060&lt;100,"2) Rs 50-99",IF(F3060&lt;200,"3) Rs 100-199",IF(F3060&lt;500,"4) Rs 200-499","5) Rs 500+"))))</f>
        <v>4) Rs 200-499</v>
      </c>
      <c r="O3060" s="0" t="n">
        <f aca="false">G3060*E3060/1000</f>
        <v>0.6</v>
      </c>
    </row>
    <row r="3061" customFormat="false" ht="15" hidden="false" customHeight="false" outlineLevel="0" collapsed="false">
      <c r="A3061" s="0" t="s">
        <v>123</v>
      </c>
      <c r="B3061" s="0" t="s">
        <v>1489</v>
      </c>
      <c r="C3061" s="0" t="n">
        <v>150</v>
      </c>
      <c r="D3061" s="0" t="n">
        <v>10</v>
      </c>
      <c r="E3061" s="0" t="n">
        <v>6</v>
      </c>
      <c r="F3061" s="0" t="n">
        <v>135</v>
      </c>
      <c r="G3061" s="0" t="n">
        <v>250</v>
      </c>
      <c r="H3061" s="0" t="s">
        <v>145</v>
      </c>
      <c r="I3061" s="0" t="n">
        <v>250</v>
      </c>
      <c r="J3061" s="0" t="n">
        <f aca="false">F3061*E3061</f>
        <v>810</v>
      </c>
      <c r="K3061" s="0" t="str">
        <f aca="false">IF(G3061&lt;1000,"1-Low",IF(G3061&lt;5000,"2-Medium","3-Bulk"))</f>
        <v>1-Low</v>
      </c>
      <c r="L3061" s="0" t="str">
        <f aca="false">IF(H3061="TRUE","Out of stock","In stock")</f>
        <v>In stock</v>
      </c>
      <c r="M3061" s="0" t="str">
        <f aca="false">IF(D3061&lt;5,"1) Under 5%",IF(D3061&lt;10,"2) 5-9%",IF(D3061&lt;15,"3) 10-14%",IF(D3061&lt;25,"4) 15-24%","5) 25%+"))))</f>
        <v>3) 10-14%</v>
      </c>
      <c r="N3061" s="0" t="str">
        <f aca="false">IF(F3061&lt;50,"1) Under Rs 50",IF(F3061&lt;100,"2) Rs 50-99",IF(F3061&lt;200,"3) Rs 100-199",IF(F3061&lt;500,"4) Rs 200-499","5) Rs 500+"))))</f>
        <v>3) Rs 100-199</v>
      </c>
      <c r="O3061" s="0" t="n">
        <f aca="false">G3061*E3061/1000</f>
        <v>1.5</v>
      </c>
    </row>
    <row r="3062" customFormat="false" ht="15" hidden="false" customHeight="false" outlineLevel="0" collapsed="false">
      <c r="A3062" s="0" t="s">
        <v>123</v>
      </c>
      <c r="B3062" s="0" t="s">
        <v>1447</v>
      </c>
      <c r="C3062" s="0" t="n">
        <v>170</v>
      </c>
      <c r="D3062" s="0" t="n">
        <v>14</v>
      </c>
      <c r="E3062" s="0" t="n">
        <v>6</v>
      </c>
      <c r="F3062" s="0" t="n">
        <v>146</v>
      </c>
      <c r="G3062" s="0" t="n">
        <v>200</v>
      </c>
      <c r="H3062" s="0" t="s">
        <v>145</v>
      </c>
      <c r="I3062" s="0" t="n">
        <v>200</v>
      </c>
      <c r="J3062" s="0" t="n">
        <f aca="false">F3062*E3062</f>
        <v>876</v>
      </c>
      <c r="K3062" s="0" t="str">
        <f aca="false">IF(G3062&lt;1000,"1-Low",IF(G3062&lt;5000,"2-Medium","3-Bulk"))</f>
        <v>1-Low</v>
      </c>
      <c r="L3062" s="0" t="str">
        <f aca="false">IF(H3062="TRUE","Out of stock","In stock")</f>
        <v>In stock</v>
      </c>
      <c r="M3062" s="0" t="str">
        <f aca="false">IF(D3062&lt;5,"1) Under 5%",IF(D3062&lt;10,"2) 5-9%",IF(D3062&lt;15,"3) 10-14%",IF(D3062&lt;25,"4) 15-24%","5) 25%+"))))</f>
        <v>3) 10-14%</v>
      </c>
      <c r="N3062" s="0" t="str">
        <f aca="false">IF(F3062&lt;50,"1) Under Rs 50",IF(F3062&lt;100,"2) Rs 50-99",IF(F3062&lt;200,"3) Rs 100-199",IF(F3062&lt;500,"4) Rs 200-499","5) Rs 500+"))))</f>
        <v>3) Rs 100-199</v>
      </c>
      <c r="O3062" s="0" t="n">
        <f aca="false">G3062*E3062/1000</f>
        <v>1.2</v>
      </c>
    </row>
    <row r="3063" customFormat="false" ht="15" hidden="false" customHeight="false" outlineLevel="0" collapsed="false">
      <c r="A3063" s="0" t="s">
        <v>123</v>
      </c>
      <c r="B3063" s="0" t="s">
        <v>1532</v>
      </c>
      <c r="C3063" s="0" t="n">
        <v>268</v>
      </c>
      <c r="D3063" s="0" t="n">
        <v>5</v>
      </c>
      <c r="E3063" s="0" t="n">
        <v>1</v>
      </c>
      <c r="F3063" s="0" t="n">
        <v>252</v>
      </c>
      <c r="G3063" s="0" t="n">
        <v>340</v>
      </c>
      <c r="H3063" s="0" t="s">
        <v>145</v>
      </c>
      <c r="I3063" s="0" t="n">
        <v>340</v>
      </c>
      <c r="J3063" s="0" t="n">
        <f aca="false">F3063*E3063</f>
        <v>252</v>
      </c>
      <c r="K3063" s="0" t="str">
        <f aca="false">IF(G3063&lt;1000,"1-Low",IF(G3063&lt;5000,"2-Medium","3-Bulk"))</f>
        <v>1-Low</v>
      </c>
      <c r="L3063" s="0" t="str">
        <f aca="false">IF(H3063="TRUE","Out of stock","In stock")</f>
        <v>In stock</v>
      </c>
      <c r="M3063" s="0" t="str">
        <f aca="false">IF(D3063&lt;5,"1) Under 5%",IF(D3063&lt;10,"2) 5-9%",IF(D3063&lt;15,"3) 10-14%",IF(D3063&lt;25,"4) 15-24%","5) 25%+"))))</f>
        <v>2) 5-9%</v>
      </c>
      <c r="N3063" s="0" t="str">
        <f aca="false">IF(F3063&lt;50,"1) Under Rs 50",IF(F3063&lt;100,"2) Rs 50-99",IF(F3063&lt;200,"3) Rs 100-199",IF(F3063&lt;500,"4) Rs 200-499","5) Rs 500+"))))</f>
        <v>4) Rs 200-499</v>
      </c>
      <c r="O3063" s="0" t="n">
        <f aca="false">G3063*E3063/1000</f>
        <v>0.34</v>
      </c>
    </row>
    <row r="3064" customFormat="false" ht="15" hidden="false" customHeight="false" outlineLevel="0" collapsed="false">
      <c r="A3064" s="0" t="s">
        <v>123</v>
      </c>
      <c r="B3064" s="0" t="s">
        <v>1288</v>
      </c>
      <c r="C3064" s="0" t="n">
        <v>280</v>
      </c>
      <c r="D3064" s="0" t="n">
        <v>15</v>
      </c>
      <c r="E3064" s="0" t="n">
        <v>6</v>
      </c>
      <c r="F3064" s="0" t="n">
        <v>236</v>
      </c>
      <c r="G3064" s="0" t="n">
        <v>340</v>
      </c>
      <c r="H3064" s="0" t="s">
        <v>145</v>
      </c>
      <c r="I3064" s="0" t="n">
        <v>340</v>
      </c>
      <c r="J3064" s="0" t="n">
        <f aca="false">F3064*E3064</f>
        <v>1416</v>
      </c>
      <c r="K3064" s="0" t="str">
        <f aca="false">IF(G3064&lt;1000,"1-Low",IF(G3064&lt;5000,"2-Medium","3-Bulk"))</f>
        <v>1-Low</v>
      </c>
      <c r="L3064" s="0" t="str">
        <f aca="false">IF(H3064="TRUE","Out of stock","In stock")</f>
        <v>In stock</v>
      </c>
      <c r="M3064" s="0" t="str">
        <f aca="false">IF(D3064&lt;5,"1) Under 5%",IF(D3064&lt;10,"2) 5-9%",IF(D3064&lt;15,"3) 10-14%",IF(D3064&lt;25,"4) 15-24%","5) 25%+"))))</f>
        <v>4) 15-24%</v>
      </c>
      <c r="N3064" s="0" t="str">
        <f aca="false">IF(F3064&lt;50,"1) Under Rs 50",IF(F3064&lt;100,"2) Rs 50-99",IF(F3064&lt;200,"3) Rs 100-199",IF(F3064&lt;500,"4) Rs 200-499","5) Rs 500+"))))</f>
        <v>4) Rs 200-499</v>
      </c>
      <c r="O3064" s="0" t="n">
        <f aca="false">G3064*E3064/1000</f>
        <v>2.04</v>
      </c>
    </row>
    <row r="3065" customFormat="false" ht="15" hidden="false" customHeight="false" outlineLevel="0" collapsed="false">
      <c r="A3065" s="0" t="s">
        <v>123</v>
      </c>
      <c r="B3065" s="0" t="s">
        <v>1533</v>
      </c>
      <c r="C3065" s="0" t="n">
        <v>295</v>
      </c>
      <c r="D3065" s="0" t="n">
        <v>9</v>
      </c>
      <c r="E3065" s="0" t="n">
        <v>6</v>
      </c>
      <c r="F3065" s="0" t="n">
        <v>266</v>
      </c>
      <c r="G3065" s="0" t="n">
        <v>340</v>
      </c>
      <c r="H3065" s="0" t="s">
        <v>145</v>
      </c>
      <c r="I3065" s="0" t="n">
        <v>340</v>
      </c>
      <c r="J3065" s="0" t="n">
        <f aca="false">F3065*E3065</f>
        <v>1596</v>
      </c>
      <c r="K3065" s="0" t="str">
        <f aca="false">IF(G3065&lt;1000,"1-Low",IF(G3065&lt;5000,"2-Medium","3-Bulk"))</f>
        <v>1-Low</v>
      </c>
      <c r="L3065" s="0" t="str">
        <f aca="false">IF(H3065="TRUE","Out of stock","In stock")</f>
        <v>In stock</v>
      </c>
      <c r="M3065" s="0" t="str">
        <f aca="false">IF(D3065&lt;5,"1) Under 5%",IF(D3065&lt;10,"2) 5-9%",IF(D3065&lt;15,"3) 10-14%",IF(D3065&lt;25,"4) 15-24%","5) 25%+"))))</f>
        <v>2) 5-9%</v>
      </c>
      <c r="N3065" s="0" t="str">
        <f aca="false">IF(F3065&lt;50,"1) Under Rs 50",IF(F3065&lt;100,"2) Rs 50-99",IF(F3065&lt;200,"3) Rs 100-199",IF(F3065&lt;500,"4) Rs 200-499","5) Rs 500+"))))</f>
        <v>4) Rs 200-499</v>
      </c>
      <c r="O3065" s="0" t="n">
        <f aca="false">G3065*E3065/1000</f>
        <v>2.04</v>
      </c>
    </row>
    <row r="3066" customFormat="false" ht="15" hidden="false" customHeight="false" outlineLevel="0" collapsed="false">
      <c r="A3066" s="0" t="s">
        <v>123</v>
      </c>
      <c r="B3066" s="0" t="s">
        <v>1534</v>
      </c>
      <c r="C3066" s="0" t="n">
        <v>345</v>
      </c>
      <c r="D3066" s="0" t="n">
        <v>0</v>
      </c>
      <c r="E3066" s="0" t="n">
        <v>6</v>
      </c>
      <c r="F3066" s="0" t="n">
        <v>345</v>
      </c>
      <c r="G3066" s="0" t="n">
        <v>58</v>
      </c>
      <c r="H3066" s="0" t="s">
        <v>145</v>
      </c>
      <c r="I3066" s="0" t="n">
        <v>1</v>
      </c>
      <c r="J3066" s="0" t="n">
        <f aca="false">F3066*E3066</f>
        <v>2070</v>
      </c>
      <c r="K3066" s="0" t="str">
        <f aca="false">IF(G3066&lt;1000,"1-Low",IF(G3066&lt;5000,"2-Medium","3-Bulk"))</f>
        <v>1-Low</v>
      </c>
      <c r="L3066" s="0" t="str">
        <f aca="false">IF(H3066="TRUE","Out of stock","In stock")</f>
        <v>In stock</v>
      </c>
      <c r="M3066" s="0" t="str">
        <f aca="false">IF(D3066&lt;5,"1) Under 5%",IF(D3066&lt;10,"2) 5-9%",IF(D3066&lt;15,"3) 10-14%",IF(D3066&lt;25,"4) 15-24%","5) 25%+"))))</f>
        <v>1) Under 5%</v>
      </c>
      <c r="N3066" s="0" t="str">
        <f aca="false">IF(F3066&lt;50,"1) Under Rs 50",IF(F3066&lt;100,"2) Rs 50-99",IF(F3066&lt;200,"3) Rs 100-199",IF(F3066&lt;500,"4) Rs 200-499","5) Rs 500+"))))</f>
        <v>4) Rs 200-499</v>
      </c>
      <c r="O3066" s="0" t="n">
        <f aca="false">G3066*E3066/1000</f>
        <v>0.348</v>
      </c>
    </row>
    <row r="3067" customFormat="false" ht="15" hidden="false" customHeight="false" outlineLevel="0" collapsed="false">
      <c r="A3067" s="0" t="s">
        <v>123</v>
      </c>
      <c r="B3067" s="0" t="s">
        <v>1535</v>
      </c>
      <c r="C3067" s="0" t="n">
        <v>365</v>
      </c>
      <c r="D3067" s="0" t="n">
        <v>0</v>
      </c>
      <c r="E3067" s="0" t="n">
        <v>1</v>
      </c>
      <c r="F3067" s="0" t="n">
        <v>365</v>
      </c>
      <c r="G3067" s="0" t="n">
        <v>340</v>
      </c>
      <c r="H3067" s="0" t="s">
        <v>145</v>
      </c>
      <c r="I3067" s="0" t="n">
        <v>340</v>
      </c>
      <c r="J3067" s="0" t="n">
        <f aca="false">F3067*E3067</f>
        <v>365</v>
      </c>
      <c r="K3067" s="0" t="str">
        <f aca="false">IF(G3067&lt;1000,"1-Low",IF(G3067&lt;5000,"2-Medium","3-Bulk"))</f>
        <v>1-Low</v>
      </c>
      <c r="L3067" s="0" t="str">
        <f aca="false">IF(H3067="TRUE","Out of stock","In stock")</f>
        <v>In stock</v>
      </c>
      <c r="M3067" s="0" t="str">
        <f aca="false">IF(D3067&lt;5,"1) Under 5%",IF(D3067&lt;10,"2) 5-9%",IF(D3067&lt;15,"3) 10-14%",IF(D3067&lt;25,"4) 15-24%","5) 25%+"))))</f>
        <v>1) Under 5%</v>
      </c>
      <c r="N3067" s="0" t="str">
        <f aca="false">IF(F3067&lt;50,"1) Under Rs 50",IF(F3067&lt;100,"2) Rs 50-99",IF(F3067&lt;200,"3) Rs 100-199",IF(F3067&lt;500,"4) Rs 200-499","5) Rs 500+"))))</f>
        <v>4) Rs 200-499</v>
      </c>
      <c r="O3067" s="0" t="n">
        <f aca="false">G3067*E3067/1000</f>
        <v>0.34</v>
      </c>
    </row>
    <row r="3068" customFormat="false" ht="15" hidden="false" customHeight="false" outlineLevel="0" collapsed="false">
      <c r="A3068" s="0" t="s">
        <v>123</v>
      </c>
      <c r="B3068" s="0" t="s">
        <v>1536</v>
      </c>
      <c r="C3068" s="0" t="n">
        <v>200</v>
      </c>
      <c r="D3068" s="0" t="n">
        <v>20</v>
      </c>
      <c r="E3068" s="0" t="n">
        <v>2</v>
      </c>
      <c r="F3068" s="0" t="n">
        <v>160</v>
      </c>
      <c r="G3068" s="0" t="n">
        <v>200</v>
      </c>
      <c r="H3068" s="0" t="s">
        <v>145</v>
      </c>
      <c r="I3068" s="0" t="n">
        <v>250</v>
      </c>
      <c r="J3068" s="0" t="n">
        <f aca="false">F3068*E3068</f>
        <v>320</v>
      </c>
      <c r="K3068" s="0" t="str">
        <f aca="false">IF(G3068&lt;1000,"1-Low",IF(G3068&lt;5000,"2-Medium","3-Bulk"))</f>
        <v>1-Low</v>
      </c>
      <c r="L3068" s="0" t="str">
        <f aca="false">IF(H3068="TRUE","Out of stock","In stock")</f>
        <v>In stock</v>
      </c>
      <c r="M3068" s="0" t="str">
        <f aca="false">IF(D3068&lt;5,"1) Under 5%",IF(D3068&lt;10,"2) 5-9%",IF(D3068&lt;15,"3) 10-14%",IF(D3068&lt;25,"4) 15-24%","5) 25%+"))))</f>
        <v>4) 15-24%</v>
      </c>
      <c r="N3068" s="0" t="str">
        <f aca="false">IF(F3068&lt;50,"1) Under Rs 50",IF(F3068&lt;100,"2) Rs 50-99",IF(F3068&lt;200,"3) Rs 100-199",IF(F3068&lt;500,"4) Rs 200-499","5) Rs 500+"))))</f>
        <v>3) Rs 100-199</v>
      </c>
      <c r="O3068" s="0" t="n">
        <f aca="false">G3068*E3068/1000</f>
        <v>0.4</v>
      </c>
    </row>
    <row r="3069" customFormat="false" ht="15" hidden="false" customHeight="false" outlineLevel="0" collapsed="false">
      <c r="A3069" s="0" t="s">
        <v>123</v>
      </c>
      <c r="B3069" s="0" t="s">
        <v>1365</v>
      </c>
      <c r="C3069" s="0" t="n">
        <v>235</v>
      </c>
      <c r="D3069" s="0" t="n">
        <v>20</v>
      </c>
      <c r="E3069" s="0" t="n">
        <v>6</v>
      </c>
      <c r="F3069" s="0" t="n">
        <v>188</v>
      </c>
      <c r="G3069" s="0" t="n">
        <v>400</v>
      </c>
      <c r="H3069" s="0" t="s">
        <v>145</v>
      </c>
      <c r="I3069" s="0" t="n">
        <v>400</v>
      </c>
      <c r="J3069" s="0" t="n">
        <f aca="false">F3069*E3069</f>
        <v>1128</v>
      </c>
      <c r="K3069" s="0" t="str">
        <f aca="false">IF(G3069&lt;1000,"1-Low",IF(G3069&lt;5000,"2-Medium","3-Bulk"))</f>
        <v>1-Low</v>
      </c>
      <c r="L3069" s="0" t="str">
        <f aca="false">IF(H3069="TRUE","Out of stock","In stock")</f>
        <v>In stock</v>
      </c>
      <c r="M3069" s="0" t="str">
        <f aca="false">IF(D3069&lt;5,"1) Under 5%",IF(D3069&lt;10,"2) 5-9%",IF(D3069&lt;15,"3) 10-14%",IF(D3069&lt;25,"4) 15-24%","5) 25%+"))))</f>
        <v>4) 15-24%</v>
      </c>
      <c r="N3069" s="0" t="str">
        <f aca="false">IF(F3069&lt;50,"1) Under Rs 50",IF(F3069&lt;100,"2) Rs 50-99",IF(F3069&lt;200,"3) Rs 100-199",IF(F3069&lt;500,"4) Rs 200-499","5) Rs 500+"))))</f>
        <v>3) Rs 100-199</v>
      </c>
      <c r="O3069" s="0" t="n">
        <f aca="false">G3069*E3069/1000</f>
        <v>2.4</v>
      </c>
    </row>
    <row r="3070" customFormat="false" ht="15" hidden="false" customHeight="false" outlineLevel="0" collapsed="false">
      <c r="A3070" s="0" t="s">
        <v>123</v>
      </c>
      <c r="B3070" s="0" t="s">
        <v>1537</v>
      </c>
      <c r="C3070" s="0" t="n">
        <v>250</v>
      </c>
      <c r="D3070" s="0" t="n">
        <v>0</v>
      </c>
      <c r="E3070" s="0" t="n">
        <v>6</v>
      </c>
      <c r="F3070" s="0" t="n">
        <v>250</v>
      </c>
      <c r="G3070" s="0" t="n">
        <v>150</v>
      </c>
      <c r="H3070" s="0" t="s">
        <v>145</v>
      </c>
      <c r="I3070" s="0" t="n">
        <v>150</v>
      </c>
      <c r="J3070" s="0" t="n">
        <f aca="false">F3070*E3070</f>
        <v>1500</v>
      </c>
      <c r="K3070" s="0" t="str">
        <f aca="false">IF(G3070&lt;1000,"1-Low",IF(G3070&lt;5000,"2-Medium","3-Bulk"))</f>
        <v>1-Low</v>
      </c>
      <c r="L3070" s="0" t="str">
        <f aca="false">IF(H3070="TRUE","Out of stock","In stock")</f>
        <v>In stock</v>
      </c>
      <c r="M3070" s="0" t="str">
        <f aca="false">IF(D3070&lt;5,"1) Under 5%",IF(D3070&lt;10,"2) 5-9%",IF(D3070&lt;15,"3) 10-14%",IF(D3070&lt;25,"4) 15-24%","5) 25%+"))))</f>
        <v>1) Under 5%</v>
      </c>
      <c r="N3070" s="0" t="str">
        <f aca="false">IF(F3070&lt;50,"1) Under Rs 50",IF(F3070&lt;100,"2) Rs 50-99",IF(F3070&lt;200,"3) Rs 100-199",IF(F3070&lt;500,"4) Rs 200-499","5) Rs 500+"))))</f>
        <v>4) Rs 200-499</v>
      </c>
      <c r="O3070" s="0" t="n">
        <f aca="false">G3070*E3070/1000</f>
        <v>0.9</v>
      </c>
    </row>
    <row r="3071" customFormat="false" ht="15" hidden="false" customHeight="false" outlineLevel="0" collapsed="false">
      <c r="A3071" s="0" t="s">
        <v>123</v>
      </c>
      <c r="B3071" s="0" t="s">
        <v>1538</v>
      </c>
      <c r="C3071" s="0" t="n">
        <v>71</v>
      </c>
      <c r="D3071" s="0" t="n">
        <v>0</v>
      </c>
      <c r="E3071" s="0" t="n">
        <v>6</v>
      </c>
      <c r="F3071" s="0" t="n">
        <v>71</v>
      </c>
      <c r="G3071" s="0" t="n">
        <v>200</v>
      </c>
      <c r="H3071" s="0" t="s">
        <v>145</v>
      </c>
      <c r="I3071" s="0" t="n">
        <v>200</v>
      </c>
      <c r="J3071" s="0" t="n">
        <f aca="false">F3071*E3071</f>
        <v>426</v>
      </c>
      <c r="K3071" s="0" t="str">
        <f aca="false">IF(G3071&lt;1000,"1-Low",IF(G3071&lt;5000,"2-Medium","3-Bulk"))</f>
        <v>1-Low</v>
      </c>
      <c r="L3071" s="0" t="str">
        <f aca="false">IF(H3071="TRUE","Out of stock","In stock")</f>
        <v>In stock</v>
      </c>
      <c r="M3071" s="0" t="str">
        <f aca="false">IF(D3071&lt;5,"1) Under 5%",IF(D3071&lt;10,"2) 5-9%",IF(D3071&lt;15,"3) 10-14%",IF(D3071&lt;25,"4) 15-24%","5) 25%+"))))</f>
        <v>1) Under 5%</v>
      </c>
      <c r="N3071" s="0" t="str">
        <f aca="false">IF(F3071&lt;50,"1) Under Rs 50",IF(F3071&lt;100,"2) Rs 50-99",IF(F3071&lt;200,"3) Rs 100-199",IF(F3071&lt;500,"4) Rs 200-499","5) Rs 500+"))))</f>
        <v>2) Rs 50-99</v>
      </c>
      <c r="O3071" s="0" t="n">
        <f aca="false">G3071*E3071/1000</f>
        <v>1.2</v>
      </c>
    </row>
    <row r="3072" customFormat="false" ht="15" hidden="false" customHeight="false" outlineLevel="0" collapsed="false">
      <c r="A3072" s="0" t="s">
        <v>123</v>
      </c>
      <c r="B3072" s="0" t="s">
        <v>1539</v>
      </c>
      <c r="C3072" s="0" t="n">
        <v>190</v>
      </c>
      <c r="D3072" s="0" t="n">
        <v>6</v>
      </c>
      <c r="E3072" s="0" t="n">
        <v>6</v>
      </c>
      <c r="F3072" s="0" t="n">
        <v>178</v>
      </c>
      <c r="G3072" s="0" t="n">
        <v>200</v>
      </c>
      <c r="H3072" s="0" t="s">
        <v>145</v>
      </c>
      <c r="I3072" s="0" t="n">
        <v>200</v>
      </c>
      <c r="J3072" s="0" t="n">
        <f aca="false">F3072*E3072</f>
        <v>1068</v>
      </c>
      <c r="K3072" s="0" t="str">
        <f aca="false">IF(G3072&lt;1000,"1-Low",IF(G3072&lt;5000,"2-Medium","3-Bulk"))</f>
        <v>1-Low</v>
      </c>
      <c r="L3072" s="0" t="str">
        <f aca="false">IF(H3072="TRUE","Out of stock","In stock")</f>
        <v>In stock</v>
      </c>
      <c r="M3072" s="0" t="str">
        <f aca="false">IF(D3072&lt;5,"1) Under 5%",IF(D3072&lt;10,"2) 5-9%",IF(D3072&lt;15,"3) 10-14%",IF(D3072&lt;25,"4) 15-24%","5) 25%+"))))</f>
        <v>2) 5-9%</v>
      </c>
      <c r="N3072" s="0" t="str">
        <f aca="false">IF(F3072&lt;50,"1) Under Rs 50",IF(F3072&lt;100,"2) Rs 50-99",IF(F3072&lt;200,"3) Rs 100-199",IF(F3072&lt;500,"4) Rs 200-499","5) Rs 500+"))))</f>
        <v>3) Rs 100-199</v>
      </c>
      <c r="O3072" s="0" t="n">
        <f aca="false">G3072*E3072/1000</f>
        <v>1.2</v>
      </c>
    </row>
    <row r="3073" customFormat="false" ht="15" hidden="false" customHeight="false" outlineLevel="0" collapsed="false">
      <c r="A3073" s="0" t="s">
        <v>123</v>
      </c>
      <c r="B3073" s="0" t="s">
        <v>1540</v>
      </c>
      <c r="C3073" s="0" t="n">
        <v>399</v>
      </c>
      <c r="D3073" s="0" t="n">
        <v>0</v>
      </c>
      <c r="E3073" s="0" t="n">
        <v>1</v>
      </c>
      <c r="F3073" s="0" t="n">
        <v>399</v>
      </c>
      <c r="G3073" s="0" t="n">
        <v>200</v>
      </c>
      <c r="H3073" s="0" t="s">
        <v>145</v>
      </c>
      <c r="I3073" s="0" t="n">
        <v>200</v>
      </c>
      <c r="J3073" s="0" t="n">
        <f aca="false">F3073*E3073</f>
        <v>399</v>
      </c>
      <c r="K3073" s="0" t="str">
        <f aca="false">IF(G3073&lt;1000,"1-Low",IF(G3073&lt;5000,"2-Medium","3-Bulk"))</f>
        <v>1-Low</v>
      </c>
      <c r="L3073" s="0" t="str">
        <f aca="false">IF(H3073="TRUE","Out of stock","In stock")</f>
        <v>In stock</v>
      </c>
      <c r="M3073" s="0" t="str">
        <f aca="false">IF(D3073&lt;5,"1) Under 5%",IF(D3073&lt;10,"2) 5-9%",IF(D3073&lt;15,"3) 10-14%",IF(D3073&lt;25,"4) 15-24%","5) 25%+"))))</f>
        <v>1) Under 5%</v>
      </c>
      <c r="N3073" s="0" t="str">
        <f aca="false">IF(F3073&lt;50,"1) Under Rs 50",IF(F3073&lt;100,"2) Rs 50-99",IF(F3073&lt;200,"3) Rs 100-199",IF(F3073&lt;500,"4) Rs 200-499","5) Rs 500+"))))</f>
        <v>4) Rs 200-499</v>
      </c>
      <c r="O3073" s="0" t="n">
        <f aca="false">G3073*E3073/1000</f>
        <v>0.2</v>
      </c>
    </row>
    <row r="3074" customFormat="false" ht="15" hidden="false" customHeight="false" outlineLevel="0" collapsed="false">
      <c r="A3074" s="0" t="s">
        <v>123</v>
      </c>
      <c r="B3074" s="0" t="s">
        <v>1541</v>
      </c>
      <c r="C3074" s="0" t="n">
        <v>80</v>
      </c>
      <c r="D3074" s="0" t="n">
        <v>10</v>
      </c>
      <c r="E3074" s="0" t="n">
        <v>2</v>
      </c>
      <c r="F3074" s="0" t="n">
        <v>72</v>
      </c>
      <c r="G3074" s="0" t="n">
        <v>20</v>
      </c>
      <c r="H3074" s="0" t="s">
        <v>145</v>
      </c>
      <c r="I3074" s="0" t="n">
        <v>20</v>
      </c>
      <c r="J3074" s="0" t="n">
        <f aca="false">F3074*E3074</f>
        <v>144</v>
      </c>
      <c r="K3074" s="0" t="str">
        <f aca="false">IF(G3074&lt;1000,"1-Low",IF(G3074&lt;5000,"2-Medium","3-Bulk"))</f>
        <v>1-Low</v>
      </c>
      <c r="L3074" s="0" t="str">
        <f aca="false">IF(H3074="TRUE","Out of stock","In stock")</f>
        <v>In stock</v>
      </c>
      <c r="M3074" s="0" t="str">
        <f aca="false">IF(D3074&lt;5,"1) Under 5%",IF(D3074&lt;10,"2) 5-9%",IF(D3074&lt;15,"3) 10-14%",IF(D3074&lt;25,"4) 15-24%","5) 25%+"))))</f>
        <v>3) 10-14%</v>
      </c>
      <c r="N3074" s="0" t="str">
        <f aca="false">IF(F3074&lt;50,"1) Under Rs 50",IF(F3074&lt;100,"2) Rs 50-99",IF(F3074&lt;200,"3) Rs 100-199",IF(F3074&lt;500,"4) Rs 200-499","5) Rs 500+"))))</f>
        <v>2) Rs 50-99</v>
      </c>
      <c r="O3074" s="0" t="n">
        <f aca="false">G3074*E3074/1000</f>
        <v>0.04</v>
      </c>
    </row>
    <row r="3075" customFormat="false" ht="15" hidden="false" customHeight="false" outlineLevel="0" collapsed="false">
      <c r="A3075" s="0" t="s">
        <v>123</v>
      </c>
      <c r="B3075" s="0" t="s">
        <v>1542</v>
      </c>
      <c r="C3075" s="0" t="n">
        <v>230</v>
      </c>
      <c r="D3075" s="0" t="n">
        <v>0</v>
      </c>
      <c r="E3075" s="0" t="n">
        <v>4</v>
      </c>
      <c r="F3075" s="0" t="n">
        <v>230</v>
      </c>
      <c r="G3075" s="0" t="n">
        <v>150</v>
      </c>
      <c r="H3075" s="0" t="s">
        <v>145</v>
      </c>
      <c r="I3075" s="0" t="n">
        <v>120</v>
      </c>
      <c r="J3075" s="0" t="n">
        <f aca="false">F3075*E3075</f>
        <v>920</v>
      </c>
      <c r="K3075" s="0" t="str">
        <f aca="false">IF(G3075&lt;1000,"1-Low",IF(G3075&lt;5000,"2-Medium","3-Bulk"))</f>
        <v>1-Low</v>
      </c>
      <c r="L3075" s="0" t="str">
        <f aca="false">IF(H3075="TRUE","Out of stock","In stock")</f>
        <v>In stock</v>
      </c>
      <c r="M3075" s="0" t="str">
        <f aca="false">IF(D3075&lt;5,"1) Under 5%",IF(D3075&lt;10,"2) 5-9%",IF(D3075&lt;15,"3) 10-14%",IF(D3075&lt;25,"4) 15-24%","5) 25%+"))))</f>
        <v>1) Under 5%</v>
      </c>
      <c r="N3075" s="0" t="str">
        <f aca="false">IF(F3075&lt;50,"1) Under Rs 50",IF(F3075&lt;100,"2) Rs 50-99",IF(F3075&lt;200,"3) Rs 100-199",IF(F3075&lt;500,"4) Rs 200-499","5) Rs 500+"))))</f>
        <v>4) Rs 200-499</v>
      </c>
      <c r="O3075" s="0" t="n">
        <f aca="false">G3075*E3075/1000</f>
        <v>0.6</v>
      </c>
    </row>
    <row r="3076" customFormat="false" ht="15" hidden="false" customHeight="false" outlineLevel="0" collapsed="false">
      <c r="A3076" s="0" t="s">
        <v>123</v>
      </c>
      <c r="B3076" s="0" t="s">
        <v>1543</v>
      </c>
      <c r="C3076" s="0" t="n">
        <v>245</v>
      </c>
      <c r="D3076" s="0" t="n">
        <v>9</v>
      </c>
      <c r="E3076" s="0" t="n">
        <v>6</v>
      </c>
      <c r="F3076" s="0" t="n">
        <v>221</v>
      </c>
      <c r="G3076" s="0" t="n">
        <v>100</v>
      </c>
      <c r="H3076" s="0" t="s">
        <v>145</v>
      </c>
      <c r="I3076" s="0" t="n">
        <v>100</v>
      </c>
      <c r="J3076" s="0" t="n">
        <f aca="false">F3076*E3076</f>
        <v>1326</v>
      </c>
      <c r="K3076" s="0" t="str">
        <f aca="false">IF(G3076&lt;1000,"1-Low",IF(G3076&lt;5000,"2-Medium","3-Bulk"))</f>
        <v>1-Low</v>
      </c>
      <c r="L3076" s="0" t="str">
        <f aca="false">IF(H3076="TRUE","Out of stock","In stock")</f>
        <v>In stock</v>
      </c>
      <c r="M3076" s="0" t="str">
        <f aca="false">IF(D3076&lt;5,"1) Under 5%",IF(D3076&lt;10,"2) 5-9%",IF(D3076&lt;15,"3) 10-14%",IF(D3076&lt;25,"4) 15-24%","5) 25%+"))))</f>
        <v>2) 5-9%</v>
      </c>
      <c r="N3076" s="0" t="str">
        <f aca="false">IF(F3076&lt;50,"1) Under Rs 50",IF(F3076&lt;100,"2) Rs 50-99",IF(F3076&lt;200,"3) Rs 100-199",IF(F3076&lt;500,"4) Rs 200-499","5) Rs 500+"))))</f>
        <v>4) Rs 200-499</v>
      </c>
      <c r="O3076" s="0" t="n">
        <f aca="false">G3076*E3076/1000</f>
        <v>0.6</v>
      </c>
    </row>
    <row r="3077" customFormat="false" ht="15" hidden="false" customHeight="false" outlineLevel="0" collapsed="false">
      <c r="A3077" s="0" t="s">
        <v>123</v>
      </c>
      <c r="B3077" s="0" t="s">
        <v>1544</v>
      </c>
      <c r="C3077" s="0" t="n">
        <v>90</v>
      </c>
      <c r="D3077" s="0" t="n">
        <v>6</v>
      </c>
      <c r="E3077" s="0" t="n">
        <v>4</v>
      </c>
      <c r="F3077" s="0" t="n">
        <v>84</v>
      </c>
      <c r="G3077" s="0" t="n">
        <v>80</v>
      </c>
      <c r="H3077" s="0" t="s">
        <v>145</v>
      </c>
      <c r="I3077" s="0" t="n">
        <v>80</v>
      </c>
      <c r="J3077" s="0" t="n">
        <f aca="false">F3077*E3077</f>
        <v>336</v>
      </c>
      <c r="K3077" s="0" t="str">
        <f aca="false">IF(G3077&lt;1000,"1-Low",IF(G3077&lt;5000,"2-Medium","3-Bulk"))</f>
        <v>1-Low</v>
      </c>
      <c r="L3077" s="0" t="str">
        <f aca="false">IF(H3077="TRUE","Out of stock","In stock")</f>
        <v>In stock</v>
      </c>
      <c r="M3077" s="0" t="str">
        <f aca="false">IF(D3077&lt;5,"1) Under 5%",IF(D3077&lt;10,"2) 5-9%",IF(D3077&lt;15,"3) 10-14%",IF(D3077&lt;25,"4) 15-24%","5) 25%+"))))</f>
        <v>2) 5-9%</v>
      </c>
      <c r="N3077" s="0" t="str">
        <f aca="false">IF(F3077&lt;50,"1) Under Rs 50",IF(F3077&lt;100,"2) Rs 50-99",IF(F3077&lt;200,"3) Rs 100-199",IF(F3077&lt;500,"4) Rs 200-499","5) Rs 500+"))))</f>
        <v>2) Rs 50-99</v>
      </c>
      <c r="O3077" s="0" t="n">
        <f aca="false">G3077*E3077/1000</f>
        <v>0.32</v>
      </c>
    </row>
    <row r="3078" customFormat="false" ht="15" hidden="false" customHeight="false" outlineLevel="0" collapsed="false">
      <c r="A3078" s="0" t="s">
        <v>123</v>
      </c>
      <c r="B3078" s="0" t="s">
        <v>1545</v>
      </c>
      <c r="C3078" s="0" t="n">
        <v>109</v>
      </c>
      <c r="D3078" s="0" t="n">
        <v>3</v>
      </c>
      <c r="E3078" s="0" t="n">
        <v>0</v>
      </c>
      <c r="F3078" s="0" t="n">
        <v>105</v>
      </c>
      <c r="G3078" s="0" t="n">
        <v>750</v>
      </c>
      <c r="H3078" s="0" t="s">
        <v>230</v>
      </c>
      <c r="I3078" s="0" t="n">
        <v>750</v>
      </c>
      <c r="J3078" s="0" t="n">
        <f aca="false">F3078*E3078</f>
        <v>0</v>
      </c>
      <c r="K3078" s="0" t="str">
        <f aca="false">IF(G3078&lt;1000,"1-Low",IF(G3078&lt;5000,"2-Medium","3-Bulk"))</f>
        <v>1-Low</v>
      </c>
      <c r="L3078" s="0" t="str">
        <f aca="false">IF(H3078="TRUE","Out of stock","In stock")</f>
        <v>Out of stock</v>
      </c>
      <c r="M3078" s="0" t="str">
        <f aca="false">IF(D3078&lt;5,"1) Under 5%",IF(D3078&lt;10,"2) 5-9%",IF(D3078&lt;15,"3) 10-14%",IF(D3078&lt;25,"4) 15-24%","5) 25%+"))))</f>
        <v>1) Under 5%</v>
      </c>
      <c r="N3078" s="0" t="str">
        <f aca="false">IF(F3078&lt;50,"1) Under Rs 50",IF(F3078&lt;100,"2) Rs 50-99",IF(F3078&lt;200,"3) Rs 100-199",IF(F3078&lt;500,"4) Rs 200-499","5) Rs 500+"))))</f>
        <v>3) Rs 100-199</v>
      </c>
      <c r="O3078" s="0" t="n">
        <f aca="false">G3078*E3078/1000</f>
        <v>0</v>
      </c>
    </row>
    <row r="3079" customFormat="false" ht="15" hidden="false" customHeight="false" outlineLevel="0" collapsed="false">
      <c r="A3079" s="0" t="s">
        <v>123</v>
      </c>
      <c r="B3079" s="0" t="s">
        <v>1546</v>
      </c>
      <c r="C3079" s="0" t="n">
        <v>123</v>
      </c>
      <c r="D3079" s="0" t="n">
        <v>0</v>
      </c>
      <c r="E3079" s="0" t="n">
        <v>0</v>
      </c>
      <c r="F3079" s="0" t="n">
        <v>123</v>
      </c>
      <c r="G3079" s="0" t="n">
        <v>300</v>
      </c>
      <c r="H3079" s="0" t="s">
        <v>230</v>
      </c>
      <c r="I3079" s="0" t="n">
        <v>300</v>
      </c>
      <c r="J3079" s="0" t="n">
        <f aca="false">F3079*E3079</f>
        <v>0</v>
      </c>
      <c r="K3079" s="0" t="str">
        <f aca="false">IF(G3079&lt;1000,"1-Low",IF(G3079&lt;5000,"2-Medium","3-Bulk"))</f>
        <v>1-Low</v>
      </c>
      <c r="L3079" s="0" t="str">
        <f aca="false">IF(H3079="TRUE","Out of stock","In stock")</f>
        <v>Out of stock</v>
      </c>
      <c r="M3079" s="0" t="str">
        <f aca="false">IF(D3079&lt;5,"1) Under 5%",IF(D3079&lt;10,"2) 5-9%",IF(D3079&lt;15,"3) 10-14%",IF(D3079&lt;25,"4) 15-24%","5) 25%+"))))</f>
        <v>1) Under 5%</v>
      </c>
      <c r="N3079" s="0" t="str">
        <f aca="false">IF(F3079&lt;50,"1) Under Rs 50",IF(F3079&lt;100,"2) Rs 50-99",IF(F3079&lt;200,"3) Rs 100-199",IF(F3079&lt;500,"4) Rs 200-499","5) Rs 500+"))))</f>
        <v>3) Rs 100-199</v>
      </c>
      <c r="O3079" s="0" t="n">
        <f aca="false">G3079*E3079/1000</f>
        <v>0</v>
      </c>
    </row>
    <row r="3080" customFormat="false" ht="15" hidden="false" customHeight="false" outlineLevel="0" collapsed="false">
      <c r="A3080" s="0" t="s">
        <v>123</v>
      </c>
      <c r="B3080" s="0" t="s">
        <v>1547</v>
      </c>
      <c r="C3080" s="0" t="n">
        <v>30</v>
      </c>
      <c r="D3080" s="0" t="n">
        <v>3</v>
      </c>
      <c r="E3080" s="0" t="n">
        <v>0</v>
      </c>
      <c r="F3080" s="0" t="n">
        <v>29</v>
      </c>
      <c r="G3080" s="0" t="n">
        <v>406</v>
      </c>
      <c r="H3080" s="0" t="s">
        <v>230</v>
      </c>
      <c r="I3080" s="0" t="n">
        <v>7</v>
      </c>
      <c r="J3080" s="0" t="n">
        <f aca="false">F3080*E3080</f>
        <v>0</v>
      </c>
      <c r="K3080" s="0" t="str">
        <f aca="false">IF(G3080&lt;1000,"1-Low",IF(G3080&lt;5000,"2-Medium","3-Bulk"))</f>
        <v>1-Low</v>
      </c>
      <c r="L3080" s="0" t="str">
        <f aca="false">IF(H3080="TRUE","Out of stock","In stock")</f>
        <v>Out of stock</v>
      </c>
      <c r="M3080" s="0" t="str">
        <f aca="false">IF(D3080&lt;5,"1) Under 5%",IF(D3080&lt;10,"2) 5-9%",IF(D3080&lt;15,"3) 10-14%",IF(D3080&lt;25,"4) 15-24%","5) 25%+"))))</f>
        <v>1) Under 5%</v>
      </c>
      <c r="N3080" s="0" t="str">
        <f aca="false">IF(F3080&lt;50,"1) Under Rs 50",IF(F3080&lt;100,"2) Rs 50-99",IF(F3080&lt;200,"3) Rs 100-199",IF(F3080&lt;500,"4) Rs 200-499","5) Rs 500+"))))</f>
        <v>1) Under Rs 50</v>
      </c>
      <c r="O3080" s="0" t="n">
        <f aca="false">G3080*E3080/1000</f>
        <v>0</v>
      </c>
    </row>
    <row r="3081" customFormat="false" ht="15" hidden="false" customHeight="false" outlineLevel="0" collapsed="false">
      <c r="A3081" s="0" t="s">
        <v>123</v>
      </c>
      <c r="B3081" s="0" t="s">
        <v>1548</v>
      </c>
      <c r="C3081" s="0" t="n">
        <v>48</v>
      </c>
      <c r="D3081" s="0" t="n">
        <v>2</v>
      </c>
      <c r="E3081" s="0" t="n">
        <v>0</v>
      </c>
      <c r="F3081" s="0" t="n">
        <v>47</v>
      </c>
      <c r="G3081" s="0" t="n">
        <v>120</v>
      </c>
      <c r="H3081" s="0" t="s">
        <v>230</v>
      </c>
      <c r="I3081" s="0" t="n">
        <v>120</v>
      </c>
      <c r="J3081" s="0" t="n">
        <f aca="false">F3081*E3081</f>
        <v>0</v>
      </c>
      <c r="K3081" s="0" t="str">
        <f aca="false">IF(G3081&lt;1000,"1-Low",IF(G3081&lt;5000,"2-Medium","3-Bulk"))</f>
        <v>1-Low</v>
      </c>
      <c r="L3081" s="0" t="str">
        <f aca="false">IF(H3081="TRUE","Out of stock","In stock")</f>
        <v>Out of stock</v>
      </c>
      <c r="M3081" s="0" t="str">
        <f aca="false">IF(D3081&lt;5,"1) Under 5%",IF(D3081&lt;10,"2) 5-9%",IF(D3081&lt;15,"3) 10-14%",IF(D3081&lt;25,"4) 15-24%","5) 25%+"))))</f>
        <v>1) Under 5%</v>
      </c>
      <c r="N3081" s="0" t="str">
        <f aca="false">IF(F3081&lt;50,"1) Under Rs 50",IF(F3081&lt;100,"2) Rs 50-99",IF(F3081&lt;200,"3) Rs 100-199",IF(F3081&lt;500,"4) Rs 200-499","5) Rs 500+"))))</f>
        <v>1) Under Rs 50</v>
      </c>
      <c r="O3081" s="0" t="n">
        <f aca="false">G3081*E3081/1000</f>
        <v>0</v>
      </c>
    </row>
    <row r="3082" customFormat="false" ht="15" hidden="false" customHeight="false" outlineLevel="0" collapsed="false">
      <c r="A3082" s="0" t="s">
        <v>123</v>
      </c>
      <c r="B3082" s="0" t="s">
        <v>1549</v>
      </c>
      <c r="C3082" s="0" t="n">
        <v>215</v>
      </c>
      <c r="D3082" s="0" t="n">
        <v>9</v>
      </c>
      <c r="E3082" s="0" t="n">
        <v>0</v>
      </c>
      <c r="F3082" s="0" t="n">
        <v>194</v>
      </c>
      <c r="G3082" s="0" t="n">
        <v>400</v>
      </c>
      <c r="H3082" s="0" t="s">
        <v>230</v>
      </c>
      <c r="I3082" s="0" t="n">
        <v>400</v>
      </c>
      <c r="J3082" s="0" t="n">
        <f aca="false">F3082*E3082</f>
        <v>0</v>
      </c>
      <c r="K3082" s="0" t="str">
        <f aca="false">IF(G3082&lt;1000,"1-Low",IF(G3082&lt;5000,"2-Medium","3-Bulk"))</f>
        <v>1-Low</v>
      </c>
      <c r="L3082" s="0" t="str">
        <f aca="false">IF(H3082="TRUE","Out of stock","In stock")</f>
        <v>Out of stock</v>
      </c>
      <c r="M3082" s="0" t="str">
        <f aca="false">IF(D3082&lt;5,"1) Under 5%",IF(D3082&lt;10,"2) 5-9%",IF(D3082&lt;15,"3) 10-14%",IF(D3082&lt;25,"4) 15-24%","5) 25%+"))))</f>
        <v>2) 5-9%</v>
      </c>
      <c r="N3082" s="0" t="str">
        <f aca="false">IF(F3082&lt;50,"1) Under Rs 50",IF(F3082&lt;100,"2) Rs 50-99",IF(F3082&lt;200,"3) Rs 100-199",IF(F3082&lt;500,"4) Rs 200-499","5) Rs 500+"))))</f>
        <v>3) Rs 100-199</v>
      </c>
      <c r="O3082" s="0" t="n">
        <f aca="false">G3082*E3082/1000</f>
        <v>0</v>
      </c>
    </row>
    <row r="3083" customFormat="false" ht="15" hidden="false" customHeight="false" outlineLevel="0" collapsed="false">
      <c r="A3083" s="0" t="s">
        <v>123</v>
      </c>
      <c r="B3083" s="0" t="s">
        <v>1281</v>
      </c>
      <c r="C3083" s="0" t="n">
        <v>90</v>
      </c>
      <c r="D3083" s="0" t="n">
        <v>10</v>
      </c>
      <c r="E3083" s="0" t="n">
        <v>0</v>
      </c>
      <c r="F3083" s="0" t="n">
        <v>81</v>
      </c>
      <c r="G3083" s="0" t="n">
        <v>150</v>
      </c>
      <c r="H3083" s="0" t="s">
        <v>230</v>
      </c>
      <c r="I3083" s="0" t="n">
        <v>150</v>
      </c>
      <c r="J3083" s="0" t="n">
        <f aca="false">F3083*E3083</f>
        <v>0</v>
      </c>
      <c r="K3083" s="0" t="str">
        <f aca="false">IF(G3083&lt;1000,"1-Low",IF(G3083&lt;5000,"2-Medium","3-Bulk"))</f>
        <v>1-Low</v>
      </c>
      <c r="L3083" s="0" t="str">
        <f aca="false">IF(H3083="TRUE","Out of stock","In stock")</f>
        <v>Out of stock</v>
      </c>
      <c r="M3083" s="0" t="str">
        <f aca="false">IF(D3083&lt;5,"1) Under 5%",IF(D3083&lt;10,"2) 5-9%",IF(D3083&lt;15,"3) 10-14%",IF(D3083&lt;25,"4) 15-24%","5) 25%+"))))</f>
        <v>3) 10-14%</v>
      </c>
      <c r="N3083" s="0" t="str">
        <f aca="false">IF(F3083&lt;50,"1) Under Rs 50",IF(F3083&lt;100,"2) Rs 50-99",IF(F3083&lt;200,"3) Rs 100-199",IF(F3083&lt;500,"4) Rs 200-499","5) Rs 500+"))))</f>
        <v>2) Rs 50-99</v>
      </c>
      <c r="O3083" s="0" t="n">
        <f aca="false">G3083*E3083/1000</f>
        <v>0</v>
      </c>
    </row>
    <row r="3084" customFormat="false" ht="15" hidden="false" customHeight="false" outlineLevel="0" collapsed="false">
      <c r="A3084" s="0" t="s">
        <v>123</v>
      </c>
      <c r="B3084" s="0" t="s">
        <v>1359</v>
      </c>
      <c r="C3084" s="0" t="n">
        <v>100</v>
      </c>
      <c r="D3084" s="0" t="n">
        <v>16</v>
      </c>
      <c r="E3084" s="0" t="n">
        <v>0</v>
      </c>
      <c r="F3084" s="0" t="n">
        <v>84</v>
      </c>
      <c r="G3084" s="0" t="n">
        <v>500</v>
      </c>
      <c r="H3084" s="0" t="s">
        <v>230</v>
      </c>
      <c r="I3084" s="0" t="n">
        <v>100</v>
      </c>
      <c r="J3084" s="0" t="n">
        <f aca="false">F3084*E3084</f>
        <v>0</v>
      </c>
      <c r="K3084" s="0" t="str">
        <f aca="false">IF(G3084&lt;1000,"1-Low",IF(G3084&lt;5000,"2-Medium","3-Bulk"))</f>
        <v>1-Low</v>
      </c>
      <c r="L3084" s="0" t="str">
        <f aca="false">IF(H3084="TRUE","Out of stock","In stock")</f>
        <v>Out of stock</v>
      </c>
      <c r="M3084" s="0" t="str">
        <f aca="false">IF(D3084&lt;5,"1) Under 5%",IF(D3084&lt;10,"2) 5-9%",IF(D3084&lt;15,"3) 10-14%",IF(D3084&lt;25,"4) 15-24%","5) 25%+"))))</f>
        <v>4) 15-24%</v>
      </c>
      <c r="N3084" s="0" t="str">
        <f aca="false">IF(F3084&lt;50,"1) Under Rs 50",IF(F3084&lt;100,"2) Rs 50-99",IF(F3084&lt;200,"3) Rs 100-199",IF(F3084&lt;500,"4) Rs 200-499","5) Rs 500+"))))</f>
        <v>2) Rs 50-99</v>
      </c>
      <c r="O3084" s="0" t="n">
        <f aca="false">G3084*E3084/1000</f>
        <v>0</v>
      </c>
    </row>
    <row r="3085" customFormat="false" ht="15" hidden="false" customHeight="false" outlineLevel="0" collapsed="false">
      <c r="A3085" s="0" t="s">
        <v>123</v>
      </c>
      <c r="B3085" s="0" t="s">
        <v>1550</v>
      </c>
      <c r="C3085" s="0" t="n">
        <v>115</v>
      </c>
      <c r="D3085" s="0" t="n">
        <v>7</v>
      </c>
      <c r="E3085" s="0" t="n">
        <v>0</v>
      </c>
      <c r="F3085" s="0" t="n">
        <v>106</v>
      </c>
      <c r="G3085" s="0" t="n">
        <v>75</v>
      </c>
      <c r="H3085" s="0" t="s">
        <v>230</v>
      </c>
      <c r="I3085" s="0" t="n">
        <v>75</v>
      </c>
      <c r="J3085" s="0" t="n">
        <f aca="false">F3085*E3085</f>
        <v>0</v>
      </c>
      <c r="K3085" s="0" t="str">
        <f aca="false">IF(G3085&lt;1000,"1-Low",IF(G3085&lt;5000,"2-Medium","3-Bulk"))</f>
        <v>1-Low</v>
      </c>
      <c r="L3085" s="0" t="str">
        <f aca="false">IF(H3085="TRUE","Out of stock","In stock")</f>
        <v>Out of stock</v>
      </c>
      <c r="M3085" s="0" t="str">
        <f aca="false">IF(D3085&lt;5,"1) Under 5%",IF(D3085&lt;10,"2) 5-9%",IF(D3085&lt;15,"3) 10-14%",IF(D3085&lt;25,"4) 15-24%","5) 25%+"))))</f>
        <v>2) 5-9%</v>
      </c>
      <c r="N3085" s="0" t="str">
        <f aca="false">IF(F3085&lt;50,"1) Under Rs 50",IF(F3085&lt;100,"2) Rs 50-99",IF(F3085&lt;200,"3) Rs 100-199",IF(F3085&lt;500,"4) Rs 200-499","5) Rs 500+"))))</f>
        <v>3) Rs 100-199</v>
      </c>
      <c r="O3085" s="0" t="n">
        <f aca="false">G3085*E3085/1000</f>
        <v>0</v>
      </c>
    </row>
    <row r="3086" customFormat="false" ht="15" hidden="false" customHeight="false" outlineLevel="0" collapsed="false">
      <c r="A3086" s="0" t="s">
        <v>123</v>
      </c>
      <c r="B3086" s="0" t="s">
        <v>1551</v>
      </c>
      <c r="C3086" s="0" t="n">
        <v>90</v>
      </c>
      <c r="D3086" s="0" t="n">
        <v>0</v>
      </c>
      <c r="E3086" s="0" t="n">
        <v>0</v>
      </c>
      <c r="F3086" s="0" t="n">
        <v>90</v>
      </c>
      <c r="G3086" s="0" t="n">
        <v>406</v>
      </c>
      <c r="H3086" s="0" t="s">
        <v>230</v>
      </c>
      <c r="I3086" s="0" t="n">
        <v>7</v>
      </c>
      <c r="J3086" s="0" t="n">
        <f aca="false">F3086*E3086</f>
        <v>0</v>
      </c>
      <c r="K3086" s="0" t="str">
        <f aca="false">IF(G3086&lt;1000,"1-Low",IF(G3086&lt;5000,"2-Medium","3-Bulk"))</f>
        <v>1-Low</v>
      </c>
      <c r="L3086" s="0" t="str">
        <f aca="false">IF(H3086="TRUE","Out of stock","In stock")</f>
        <v>Out of stock</v>
      </c>
      <c r="M3086" s="0" t="str">
        <f aca="false">IF(D3086&lt;5,"1) Under 5%",IF(D3086&lt;10,"2) 5-9%",IF(D3086&lt;15,"3) 10-14%",IF(D3086&lt;25,"4) 15-24%","5) 25%+"))))</f>
        <v>1) Under 5%</v>
      </c>
      <c r="N3086" s="0" t="str">
        <f aca="false">IF(F3086&lt;50,"1) Under Rs 50",IF(F3086&lt;100,"2) Rs 50-99",IF(F3086&lt;200,"3) Rs 100-199",IF(F3086&lt;500,"4) Rs 200-499","5) Rs 500+"))))</f>
        <v>2) Rs 50-99</v>
      </c>
      <c r="O3086" s="0" t="n">
        <f aca="false">G3086*E3086/1000</f>
        <v>0</v>
      </c>
    </row>
    <row r="3087" customFormat="false" ht="15" hidden="false" customHeight="false" outlineLevel="0" collapsed="false">
      <c r="A3087" s="0" t="s">
        <v>123</v>
      </c>
      <c r="B3087" s="0" t="s">
        <v>1552</v>
      </c>
      <c r="C3087" s="0" t="n">
        <v>32</v>
      </c>
      <c r="D3087" s="0" t="n">
        <v>9</v>
      </c>
      <c r="E3087" s="0" t="n">
        <v>0</v>
      </c>
      <c r="F3087" s="0" t="n">
        <v>29</v>
      </c>
      <c r="G3087" s="0" t="n">
        <v>406</v>
      </c>
      <c r="H3087" s="0" t="s">
        <v>230</v>
      </c>
      <c r="I3087" s="0" t="n">
        <v>7</v>
      </c>
      <c r="J3087" s="0" t="n">
        <f aca="false">F3087*E3087</f>
        <v>0</v>
      </c>
      <c r="K3087" s="0" t="str">
        <f aca="false">IF(G3087&lt;1000,"1-Low",IF(G3087&lt;5000,"2-Medium","3-Bulk"))</f>
        <v>1-Low</v>
      </c>
      <c r="L3087" s="0" t="str">
        <f aca="false">IF(H3087="TRUE","Out of stock","In stock")</f>
        <v>Out of stock</v>
      </c>
      <c r="M3087" s="0" t="str">
        <f aca="false">IF(D3087&lt;5,"1) Under 5%",IF(D3087&lt;10,"2) 5-9%",IF(D3087&lt;15,"3) 10-14%",IF(D3087&lt;25,"4) 15-24%","5) 25%+"))))</f>
        <v>2) 5-9%</v>
      </c>
      <c r="N3087" s="0" t="str">
        <f aca="false">IF(F3087&lt;50,"1) Under Rs 50",IF(F3087&lt;100,"2) Rs 50-99",IF(F3087&lt;200,"3) Rs 100-199",IF(F3087&lt;500,"4) Rs 200-499","5) Rs 500+"))))</f>
        <v>1) Under Rs 50</v>
      </c>
      <c r="O3087" s="0" t="n">
        <f aca="false">G3087*E3087/1000</f>
        <v>0</v>
      </c>
    </row>
    <row r="3088" customFormat="false" ht="15" hidden="false" customHeight="false" outlineLevel="0" collapsed="false">
      <c r="A3088" s="0" t="s">
        <v>123</v>
      </c>
      <c r="B3088" s="0" t="s">
        <v>1553</v>
      </c>
      <c r="C3088" s="0" t="n">
        <v>84</v>
      </c>
      <c r="D3088" s="0" t="n">
        <v>0</v>
      </c>
      <c r="E3088" s="0" t="n">
        <v>0</v>
      </c>
      <c r="F3088" s="0" t="n">
        <v>84</v>
      </c>
      <c r="G3088" s="0" t="n">
        <v>400</v>
      </c>
      <c r="H3088" s="0" t="s">
        <v>230</v>
      </c>
      <c r="I3088" s="0" t="n">
        <v>100</v>
      </c>
      <c r="J3088" s="0" t="n">
        <f aca="false">F3088*E3088</f>
        <v>0</v>
      </c>
      <c r="K3088" s="0" t="str">
        <f aca="false">IF(G3088&lt;1000,"1-Low",IF(G3088&lt;5000,"2-Medium","3-Bulk"))</f>
        <v>1-Low</v>
      </c>
      <c r="L3088" s="0" t="str">
        <f aca="false">IF(H3088="TRUE","Out of stock","In stock")</f>
        <v>Out of stock</v>
      </c>
      <c r="M3088" s="0" t="str">
        <f aca="false">IF(D3088&lt;5,"1) Under 5%",IF(D3088&lt;10,"2) 5-9%",IF(D3088&lt;15,"3) 10-14%",IF(D3088&lt;25,"4) 15-24%","5) 25%+"))))</f>
        <v>1) Under 5%</v>
      </c>
      <c r="N3088" s="0" t="str">
        <f aca="false">IF(F3088&lt;50,"1) Under Rs 50",IF(F3088&lt;100,"2) Rs 50-99",IF(F3088&lt;200,"3) Rs 100-199",IF(F3088&lt;500,"4) Rs 200-499","5) Rs 500+"))))</f>
        <v>2) Rs 50-99</v>
      </c>
      <c r="O3088" s="0" t="n">
        <f aca="false">G3088*E3088/1000</f>
        <v>0</v>
      </c>
    </row>
    <row r="3089" customFormat="false" ht="15" hidden="false" customHeight="false" outlineLevel="0" collapsed="false">
      <c r="A3089" s="0" t="s">
        <v>123</v>
      </c>
      <c r="B3089" s="0" t="s">
        <v>1554</v>
      </c>
      <c r="C3089" s="0" t="n">
        <v>249</v>
      </c>
      <c r="D3089" s="0" t="n">
        <v>7</v>
      </c>
      <c r="E3089" s="0" t="n">
        <v>0</v>
      </c>
      <c r="F3089" s="0" t="n">
        <v>230</v>
      </c>
      <c r="G3089" s="0" t="n">
        <v>58</v>
      </c>
      <c r="H3089" s="0" t="s">
        <v>230</v>
      </c>
      <c r="I3089" s="0" t="n">
        <v>1</v>
      </c>
      <c r="J3089" s="0" t="n">
        <f aca="false">F3089*E3089</f>
        <v>0</v>
      </c>
      <c r="K3089" s="0" t="str">
        <f aca="false">IF(G3089&lt;1000,"1-Low",IF(G3089&lt;5000,"2-Medium","3-Bulk"))</f>
        <v>1-Low</v>
      </c>
      <c r="L3089" s="0" t="str">
        <f aca="false">IF(H3089="TRUE","Out of stock","In stock")</f>
        <v>Out of stock</v>
      </c>
      <c r="M3089" s="0" t="str">
        <f aca="false">IF(D3089&lt;5,"1) Under 5%",IF(D3089&lt;10,"2) 5-9%",IF(D3089&lt;15,"3) 10-14%",IF(D3089&lt;25,"4) 15-24%","5) 25%+"))))</f>
        <v>2) 5-9%</v>
      </c>
      <c r="N3089" s="0" t="str">
        <f aca="false">IF(F3089&lt;50,"1) Under Rs 50",IF(F3089&lt;100,"2) Rs 50-99",IF(F3089&lt;200,"3) Rs 100-199",IF(F3089&lt;500,"4) Rs 200-499","5) Rs 500+"))))</f>
        <v>4) Rs 200-499</v>
      </c>
      <c r="O3089" s="0" t="n">
        <f aca="false">G3089*E3089/1000</f>
        <v>0</v>
      </c>
    </row>
    <row r="3090" customFormat="false" ht="15" hidden="false" customHeight="false" outlineLevel="0" collapsed="false">
      <c r="A3090" s="0" t="s">
        <v>123</v>
      </c>
      <c r="B3090" s="0" t="s">
        <v>1324</v>
      </c>
      <c r="C3090" s="0" t="n">
        <v>90</v>
      </c>
      <c r="D3090" s="0" t="n">
        <v>3</v>
      </c>
      <c r="E3090" s="0" t="n">
        <v>0</v>
      </c>
      <c r="F3090" s="0" t="n">
        <v>87</v>
      </c>
      <c r="G3090" s="0" t="n">
        <v>58</v>
      </c>
      <c r="H3090" s="0" t="s">
        <v>230</v>
      </c>
      <c r="I3090" s="0" t="n">
        <v>20</v>
      </c>
      <c r="J3090" s="0" t="n">
        <f aca="false">F3090*E3090</f>
        <v>0</v>
      </c>
      <c r="K3090" s="0" t="str">
        <f aca="false">IF(G3090&lt;1000,"1-Low",IF(G3090&lt;5000,"2-Medium","3-Bulk"))</f>
        <v>1-Low</v>
      </c>
      <c r="L3090" s="0" t="str">
        <f aca="false">IF(H3090="TRUE","Out of stock","In stock")</f>
        <v>Out of stock</v>
      </c>
      <c r="M3090" s="0" t="str">
        <f aca="false">IF(D3090&lt;5,"1) Under 5%",IF(D3090&lt;10,"2) 5-9%",IF(D3090&lt;15,"3) 10-14%",IF(D3090&lt;25,"4) 15-24%","5) 25%+"))))</f>
        <v>1) Under 5%</v>
      </c>
      <c r="N3090" s="0" t="str">
        <f aca="false">IF(F3090&lt;50,"1) Under Rs 50",IF(F3090&lt;100,"2) Rs 50-99",IF(F3090&lt;200,"3) Rs 100-199",IF(F3090&lt;500,"4) Rs 200-499","5) Rs 500+"))))</f>
        <v>2) Rs 50-99</v>
      </c>
      <c r="O3090" s="0" t="n">
        <f aca="false">G3090*E3090/1000</f>
        <v>0</v>
      </c>
    </row>
    <row r="3091" customFormat="false" ht="15" hidden="false" customHeight="false" outlineLevel="0" collapsed="false">
      <c r="A3091" s="0" t="s">
        <v>123</v>
      </c>
      <c r="B3091" s="0" t="s">
        <v>1555</v>
      </c>
      <c r="C3091" s="0" t="n">
        <v>42</v>
      </c>
      <c r="D3091" s="0" t="n">
        <v>2</v>
      </c>
      <c r="E3091" s="0" t="n">
        <v>0</v>
      </c>
      <c r="F3091" s="0" t="n">
        <v>41</v>
      </c>
      <c r="G3091" s="0" t="n">
        <v>406</v>
      </c>
      <c r="H3091" s="0" t="s">
        <v>230</v>
      </c>
      <c r="I3091" s="0" t="n">
        <v>7</v>
      </c>
      <c r="J3091" s="0" t="n">
        <f aca="false">F3091*E3091</f>
        <v>0</v>
      </c>
      <c r="K3091" s="0" t="str">
        <f aca="false">IF(G3091&lt;1000,"1-Low",IF(G3091&lt;5000,"2-Medium","3-Bulk"))</f>
        <v>1-Low</v>
      </c>
      <c r="L3091" s="0" t="str">
        <f aca="false">IF(H3091="TRUE","Out of stock","In stock")</f>
        <v>Out of stock</v>
      </c>
      <c r="M3091" s="0" t="str">
        <f aca="false">IF(D3091&lt;5,"1) Under 5%",IF(D3091&lt;10,"2) 5-9%",IF(D3091&lt;15,"3) 10-14%",IF(D3091&lt;25,"4) 15-24%","5) 25%+"))))</f>
        <v>1) Under 5%</v>
      </c>
      <c r="N3091" s="0" t="str">
        <f aca="false">IF(F3091&lt;50,"1) Under Rs 50",IF(F3091&lt;100,"2) Rs 50-99",IF(F3091&lt;200,"3) Rs 100-199",IF(F3091&lt;500,"4) Rs 200-499","5) Rs 500+"))))</f>
        <v>1) Under Rs 50</v>
      </c>
      <c r="O3091" s="0" t="n">
        <f aca="false">G3091*E3091/1000</f>
        <v>0</v>
      </c>
    </row>
    <row r="3092" customFormat="false" ht="15" hidden="false" customHeight="false" outlineLevel="0" collapsed="false">
      <c r="A3092" s="0" t="s">
        <v>123</v>
      </c>
      <c r="B3092" s="0" t="s">
        <v>1556</v>
      </c>
      <c r="C3092" s="0" t="n">
        <v>82</v>
      </c>
      <c r="D3092" s="0" t="n">
        <v>9</v>
      </c>
      <c r="E3092" s="0" t="n">
        <v>0</v>
      </c>
      <c r="F3092" s="0" t="n">
        <v>74</v>
      </c>
      <c r="G3092" s="0" t="n">
        <v>27</v>
      </c>
      <c r="H3092" s="0" t="s">
        <v>230</v>
      </c>
      <c r="I3092" s="0" t="n">
        <v>27</v>
      </c>
      <c r="J3092" s="0" t="n">
        <f aca="false">F3092*E3092</f>
        <v>0</v>
      </c>
      <c r="K3092" s="0" t="str">
        <f aca="false">IF(G3092&lt;1000,"1-Low",IF(G3092&lt;5000,"2-Medium","3-Bulk"))</f>
        <v>1-Low</v>
      </c>
      <c r="L3092" s="0" t="str">
        <f aca="false">IF(H3092="TRUE","Out of stock","In stock")</f>
        <v>Out of stock</v>
      </c>
      <c r="M3092" s="0" t="str">
        <f aca="false">IF(D3092&lt;5,"1) Under 5%",IF(D3092&lt;10,"2) 5-9%",IF(D3092&lt;15,"3) 10-14%",IF(D3092&lt;25,"4) 15-24%","5) 25%+"))))</f>
        <v>2) 5-9%</v>
      </c>
      <c r="N3092" s="0" t="str">
        <f aca="false">IF(F3092&lt;50,"1) Under Rs 50",IF(F3092&lt;100,"2) Rs 50-99",IF(F3092&lt;200,"3) Rs 100-199",IF(F3092&lt;500,"4) Rs 200-499","5) Rs 500+"))))</f>
        <v>2) Rs 50-99</v>
      </c>
      <c r="O3092" s="0" t="n">
        <f aca="false">G3092*E3092/1000</f>
        <v>0</v>
      </c>
    </row>
    <row r="3093" customFormat="false" ht="15" hidden="false" customHeight="false" outlineLevel="0" collapsed="false">
      <c r="A3093" s="0" t="s">
        <v>123</v>
      </c>
      <c r="B3093" s="0" t="s">
        <v>1557</v>
      </c>
      <c r="C3093" s="0" t="n">
        <v>145</v>
      </c>
      <c r="D3093" s="0" t="n">
        <v>9</v>
      </c>
      <c r="E3093" s="0" t="n">
        <v>0</v>
      </c>
      <c r="F3093" s="0" t="n">
        <v>131</v>
      </c>
      <c r="G3093" s="0" t="n">
        <v>100</v>
      </c>
      <c r="H3093" s="0" t="s">
        <v>230</v>
      </c>
      <c r="I3093" s="0" t="n">
        <v>100</v>
      </c>
      <c r="J3093" s="0" t="n">
        <f aca="false">F3093*E3093</f>
        <v>0</v>
      </c>
      <c r="K3093" s="0" t="str">
        <f aca="false">IF(G3093&lt;1000,"1-Low",IF(G3093&lt;5000,"2-Medium","3-Bulk"))</f>
        <v>1-Low</v>
      </c>
      <c r="L3093" s="0" t="str">
        <f aca="false">IF(H3093="TRUE","Out of stock","In stock")</f>
        <v>Out of stock</v>
      </c>
      <c r="M3093" s="0" t="str">
        <f aca="false">IF(D3093&lt;5,"1) Under 5%",IF(D3093&lt;10,"2) 5-9%",IF(D3093&lt;15,"3) 10-14%",IF(D3093&lt;25,"4) 15-24%","5) 25%+"))))</f>
        <v>2) 5-9%</v>
      </c>
      <c r="N3093" s="0" t="str">
        <f aca="false">IF(F3093&lt;50,"1) Under Rs 50",IF(F3093&lt;100,"2) Rs 50-99",IF(F3093&lt;200,"3) Rs 100-199",IF(F3093&lt;500,"4) Rs 200-499","5) Rs 500+"))))</f>
        <v>3) Rs 100-199</v>
      </c>
      <c r="O3093" s="0" t="n">
        <f aca="false">G3093*E3093/1000</f>
        <v>0</v>
      </c>
    </row>
    <row r="3094" customFormat="false" ht="15" hidden="false" customHeight="false" outlineLevel="0" collapsed="false">
      <c r="A3094" s="0" t="s">
        <v>123</v>
      </c>
      <c r="B3094" s="0" t="s">
        <v>1558</v>
      </c>
      <c r="C3094" s="0" t="n">
        <v>67</v>
      </c>
      <c r="D3094" s="0" t="n">
        <v>10</v>
      </c>
      <c r="E3094" s="0" t="n">
        <v>0</v>
      </c>
      <c r="F3094" s="0" t="n">
        <v>60</v>
      </c>
      <c r="G3094" s="0" t="n">
        <v>100</v>
      </c>
      <c r="H3094" s="0" t="s">
        <v>230</v>
      </c>
      <c r="I3094" s="0" t="n">
        <v>100</v>
      </c>
      <c r="J3094" s="0" t="n">
        <f aca="false">F3094*E3094</f>
        <v>0</v>
      </c>
      <c r="K3094" s="0" t="str">
        <f aca="false">IF(G3094&lt;1000,"1-Low",IF(G3094&lt;5000,"2-Medium","3-Bulk"))</f>
        <v>1-Low</v>
      </c>
      <c r="L3094" s="0" t="str">
        <f aca="false">IF(H3094="TRUE","Out of stock","In stock")</f>
        <v>Out of stock</v>
      </c>
      <c r="M3094" s="0" t="str">
        <f aca="false">IF(D3094&lt;5,"1) Under 5%",IF(D3094&lt;10,"2) 5-9%",IF(D3094&lt;15,"3) 10-14%",IF(D3094&lt;25,"4) 15-24%","5) 25%+"))))</f>
        <v>3) 10-14%</v>
      </c>
      <c r="N3094" s="0" t="str">
        <f aca="false">IF(F3094&lt;50,"1) Under Rs 50",IF(F3094&lt;100,"2) Rs 50-99",IF(F3094&lt;200,"3) Rs 100-199",IF(F3094&lt;500,"4) Rs 200-499","5) Rs 500+"))))</f>
        <v>2) Rs 50-99</v>
      </c>
      <c r="O3094" s="0" t="n">
        <f aca="false">G3094*E3094/1000</f>
        <v>0</v>
      </c>
    </row>
    <row r="3095" customFormat="false" ht="15" hidden="false" customHeight="false" outlineLevel="0" collapsed="false">
      <c r="A3095" s="0" t="s">
        <v>123</v>
      </c>
      <c r="B3095" s="0" t="s">
        <v>1559</v>
      </c>
      <c r="C3095" s="0" t="n">
        <v>130</v>
      </c>
      <c r="D3095" s="0" t="n">
        <v>7</v>
      </c>
      <c r="E3095" s="0" t="n">
        <v>0</v>
      </c>
      <c r="F3095" s="0" t="n">
        <v>120</v>
      </c>
      <c r="G3095" s="0" t="n">
        <v>200</v>
      </c>
      <c r="H3095" s="0" t="s">
        <v>230</v>
      </c>
      <c r="I3095" s="0" t="n">
        <v>200</v>
      </c>
      <c r="J3095" s="0" t="n">
        <f aca="false">F3095*E3095</f>
        <v>0</v>
      </c>
      <c r="K3095" s="0" t="str">
        <f aca="false">IF(G3095&lt;1000,"1-Low",IF(G3095&lt;5000,"2-Medium","3-Bulk"))</f>
        <v>1-Low</v>
      </c>
      <c r="L3095" s="0" t="str">
        <f aca="false">IF(H3095="TRUE","Out of stock","In stock")</f>
        <v>Out of stock</v>
      </c>
      <c r="M3095" s="0" t="str">
        <f aca="false">IF(D3095&lt;5,"1) Under 5%",IF(D3095&lt;10,"2) 5-9%",IF(D3095&lt;15,"3) 10-14%",IF(D3095&lt;25,"4) 15-24%","5) 25%+"))))</f>
        <v>2) 5-9%</v>
      </c>
      <c r="N3095" s="0" t="str">
        <f aca="false">IF(F3095&lt;50,"1) Under Rs 50",IF(F3095&lt;100,"2) Rs 50-99",IF(F3095&lt;200,"3) Rs 100-199",IF(F3095&lt;500,"4) Rs 200-499","5) Rs 500+"))))</f>
        <v>3) Rs 100-199</v>
      </c>
      <c r="O3095" s="0" t="n">
        <f aca="false">G3095*E3095/1000</f>
        <v>0</v>
      </c>
    </row>
    <row r="3096" customFormat="false" ht="15" hidden="false" customHeight="false" outlineLevel="0" collapsed="false">
      <c r="A3096" s="0" t="s">
        <v>123</v>
      </c>
      <c r="B3096" s="0" t="s">
        <v>1560</v>
      </c>
      <c r="C3096" s="0" t="n">
        <v>185</v>
      </c>
      <c r="D3096" s="0" t="n">
        <v>0</v>
      </c>
      <c r="E3096" s="0" t="n">
        <v>0</v>
      </c>
      <c r="F3096" s="0" t="n">
        <v>185</v>
      </c>
      <c r="G3096" s="0" t="n">
        <v>870</v>
      </c>
      <c r="H3096" s="0" t="s">
        <v>230</v>
      </c>
      <c r="I3096" s="0" t="n">
        <v>15</v>
      </c>
      <c r="J3096" s="0" t="n">
        <f aca="false">F3096*E3096</f>
        <v>0</v>
      </c>
      <c r="K3096" s="0" t="str">
        <f aca="false">IF(G3096&lt;1000,"1-Low",IF(G3096&lt;5000,"2-Medium","3-Bulk"))</f>
        <v>1-Low</v>
      </c>
      <c r="L3096" s="0" t="str">
        <f aca="false">IF(H3096="TRUE","Out of stock","In stock")</f>
        <v>Out of stock</v>
      </c>
      <c r="M3096" s="0" t="str">
        <f aca="false">IF(D3096&lt;5,"1) Under 5%",IF(D3096&lt;10,"2) 5-9%",IF(D3096&lt;15,"3) 10-14%",IF(D3096&lt;25,"4) 15-24%","5) 25%+"))))</f>
        <v>1) Under 5%</v>
      </c>
      <c r="N3096" s="0" t="str">
        <f aca="false">IF(F3096&lt;50,"1) Under Rs 50",IF(F3096&lt;100,"2) Rs 50-99",IF(F3096&lt;200,"3) Rs 100-199",IF(F3096&lt;500,"4) Rs 200-499","5) Rs 500+"))))</f>
        <v>3) Rs 100-199</v>
      </c>
      <c r="O3096" s="0" t="n">
        <f aca="false">G3096*E3096/1000</f>
        <v>0</v>
      </c>
    </row>
    <row r="3097" customFormat="false" ht="15" hidden="false" customHeight="false" outlineLevel="0" collapsed="false">
      <c r="A3097" s="0" t="s">
        <v>123</v>
      </c>
      <c r="B3097" s="0" t="s">
        <v>1561</v>
      </c>
      <c r="C3097" s="0" t="n">
        <v>116</v>
      </c>
      <c r="D3097" s="0" t="n">
        <v>0</v>
      </c>
      <c r="E3097" s="0" t="n">
        <v>0</v>
      </c>
      <c r="F3097" s="0" t="n">
        <v>116</v>
      </c>
      <c r="G3097" s="0" t="n">
        <v>400</v>
      </c>
      <c r="H3097" s="0" t="s">
        <v>230</v>
      </c>
      <c r="I3097" s="0" t="n">
        <v>400</v>
      </c>
      <c r="J3097" s="0" t="n">
        <f aca="false">F3097*E3097</f>
        <v>0</v>
      </c>
      <c r="K3097" s="0" t="str">
        <f aca="false">IF(G3097&lt;1000,"1-Low",IF(G3097&lt;5000,"2-Medium","3-Bulk"))</f>
        <v>1-Low</v>
      </c>
      <c r="L3097" s="0" t="str">
        <f aca="false">IF(H3097="TRUE","Out of stock","In stock")</f>
        <v>Out of stock</v>
      </c>
      <c r="M3097" s="0" t="str">
        <f aca="false">IF(D3097&lt;5,"1) Under 5%",IF(D3097&lt;10,"2) 5-9%",IF(D3097&lt;15,"3) 10-14%",IF(D3097&lt;25,"4) 15-24%","5) 25%+"))))</f>
        <v>1) Under 5%</v>
      </c>
      <c r="N3097" s="0" t="str">
        <f aca="false">IF(F3097&lt;50,"1) Under Rs 50",IF(F3097&lt;100,"2) Rs 50-99",IF(F3097&lt;200,"3) Rs 100-199",IF(F3097&lt;500,"4) Rs 200-499","5) Rs 500+"))))</f>
        <v>3) Rs 100-199</v>
      </c>
      <c r="O3097" s="0" t="n">
        <f aca="false">G3097*E3097/1000</f>
        <v>0</v>
      </c>
    </row>
    <row r="3098" customFormat="false" ht="15" hidden="false" customHeight="false" outlineLevel="0" collapsed="false">
      <c r="A3098" s="0" t="s">
        <v>123</v>
      </c>
      <c r="B3098" s="0" t="s">
        <v>1562</v>
      </c>
      <c r="C3098" s="0" t="n">
        <v>399</v>
      </c>
      <c r="D3098" s="0" t="n">
        <v>7</v>
      </c>
      <c r="E3098" s="0" t="n">
        <v>0</v>
      </c>
      <c r="F3098" s="0" t="n">
        <v>369</v>
      </c>
      <c r="G3098" s="0" t="n">
        <v>26</v>
      </c>
      <c r="H3098" s="0" t="s">
        <v>230</v>
      </c>
      <c r="I3098" s="0" t="n">
        <v>26</v>
      </c>
      <c r="J3098" s="0" t="n">
        <f aca="false">F3098*E3098</f>
        <v>0</v>
      </c>
      <c r="K3098" s="0" t="str">
        <f aca="false">IF(G3098&lt;1000,"1-Low",IF(G3098&lt;5000,"2-Medium","3-Bulk"))</f>
        <v>1-Low</v>
      </c>
      <c r="L3098" s="0" t="str">
        <f aca="false">IF(H3098="TRUE","Out of stock","In stock")</f>
        <v>Out of stock</v>
      </c>
      <c r="M3098" s="0" t="str">
        <f aca="false">IF(D3098&lt;5,"1) Under 5%",IF(D3098&lt;10,"2) 5-9%",IF(D3098&lt;15,"3) 10-14%",IF(D3098&lt;25,"4) 15-24%","5) 25%+"))))</f>
        <v>2) 5-9%</v>
      </c>
      <c r="N3098" s="0" t="str">
        <f aca="false">IF(F3098&lt;50,"1) Under Rs 50",IF(F3098&lt;100,"2) Rs 50-99",IF(F3098&lt;200,"3) Rs 100-199",IF(F3098&lt;500,"4) Rs 200-499","5) Rs 500+"))))</f>
        <v>4) Rs 200-499</v>
      </c>
      <c r="O3098" s="0" t="n">
        <f aca="false">G3098*E3098/1000</f>
        <v>0</v>
      </c>
    </row>
    <row r="3099" customFormat="false" ht="15" hidden="false" customHeight="false" outlineLevel="0" collapsed="false">
      <c r="A3099" s="0" t="s">
        <v>119</v>
      </c>
      <c r="B3099" s="0" t="s">
        <v>1255</v>
      </c>
      <c r="C3099" s="0" t="n">
        <v>160</v>
      </c>
      <c r="D3099" s="0" t="n">
        <v>35</v>
      </c>
      <c r="E3099" s="0" t="n">
        <v>3</v>
      </c>
      <c r="F3099" s="0" t="n">
        <v>104</v>
      </c>
      <c r="G3099" s="0" t="n">
        <v>80</v>
      </c>
      <c r="H3099" s="0" t="s">
        <v>145</v>
      </c>
      <c r="I3099" s="0" t="n">
        <v>80</v>
      </c>
      <c r="J3099" s="0" t="n">
        <f aca="false">F3099*E3099</f>
        <v>312</v>
      </c>
      <c r="K3099" s="0" t="str">
        <f aca="false">IF(G3099&lt;1000,"1-Low",IF(G3099&lt;5000,"2-Medium","3-Bulk"))</f>
        <v>1-Low</v>
      </c>
      <c r="L3099" s="0" t="str">
        <f aca="false">IF(H3099="TRUE","Out of stock","In stock")</f>
        <v>In stock</v>
      </c>
      <c r="M3099" s="0" t="str">
        <f aca="false">IF(D3099&lt;5,"1) Under 5%",IF(D3099&lt;10,"2) 5-9%",IF(D3099&lt;15,"3) 10-14%",IF(D3099&lt;25,"4) 15-24%","5) 25%+"))))</f>
        <v>5) 25%+</v>
      </c>
      <c r="N3099" s="0" t="str">
        <f aca="false">IF(F3099&lt;50,"1) Under Rs 50",IF(F3099&lt;100,"2) Rs 50-99",IF(F3099&lt;200,"3) Rs 100-199",IF(F3099&lt;500,"4) Rs 200-499","5) Rs 500+"))))</f>
        <v>3) Rs 100-199</v>
      </c>
      <c r="O3099" s="0" t="n">
        <f aca="false">G3099*E3099/1000</f>
        <v>0.24</v>
      </c>
    </row>
    <row r="3100" customFormat="false" ht="15" hidden="false" customHeight="false" outlineLevel="0" collapsed="false">
      <c r="A3100" s="0" t="s">
        <v>119</v>
      </c>
      <c r="B3100" s="0" t="s">
        <v>1256</v>
      </c>
      <c r="C3100" s="0" t="n">
        <v>25</v>
      </c>
      <c r="D3100" s="0" t="n">
        <v>0</v>
      </c>
      <c r="E3100" s="0" t="n">
        <v>6</v>
      </c>
      <c r="F3100" s="0" t="n">
        <v>25</v>
      </c>
      <c r="G3100" s="0" t="n">
        <v>50</v>
      </c>
      <c r="H3100" s="0" t="s">
        <v>145</v>
      </c>
      <c r="I3100" s="0" t="n">
        <v>50</v>
      </c>
      <c r="J3100" s="0" t="n">
        <f aca="false">F3100*E3100</f>
        <v>150</v>
      </c>
      <c r="K3100" s="0" t="str">
        <f aca="false">IF(G3100&lt;1000,"1-Low",IF(G3100&lt;5000,"2-Medium","3-Bulk"))</f>
        <v>1-Low</v>
      </c>
      <c r="L3100" s="0" t="str">
        <f aca="false">IF(H3100="TRUE","Out of stock","In stock")</f>
        <v>In stock</v>
      </c>
      <c r="M3100" s="0" t="str">
        <f aca="false">IF(D3100&lt;5,"1) Under 5%",IF(D3100&lt;10,"2) 5-9%",IF(D3100&lt;15,"3) 10-14%",IF(D3100&lt;25,"4) 15-24%","5) 25%+"))))</f>
        <v>1) Under 5%</v>
      </c>
      <c r="N3100" s="0" t="str">
        <f aca="false">IF(F3100&lt;50,"1) Under Rs 50",IF(F3100&lt;100,"2) Rs 50-99",IF(F3100&lt;200,"3) Rs 100-199",IF(F3100&lt;500,"4) Rs 200-499","5) Rs 500+"))))</f>
        <v>1) Under Rs 50</v>
      </c>
      <c r="O3100" s="0" t="n">
        <f aca="false">G3100*E3100/1000</f>
        <v>0.3</v>
      </c>
    </row>
    <row r="3101" customFormat="false" ht="15" hidden="false" customHeight="false" outlineLevel="0" collapsed="false">
      <c r="A3101" s="0" t="s">
        <v>119</v>
      </c>
      <c r="B3101" s="0" t="s">
        <v>1257</v>
      </c>
      <c r="C3101" s="0" t="n">
        <v>115</v>
      </c>
      <c r="D3101" s="0" t="n">
        <v>10</v>
      </c>
      <c r="E3101" s="0" t="n">
        <v>6</v>
      </c>
      <c r="F3101" s="0" t="n">
        <v>103</v>
      </c>
      <c r="G3101" s="0" t="n">
        <v>100</v>
      </c>
      <c r="H3101" s="0" t="s">
        <v>145</v>
      </c>
      <c r="I3101" s="0" t="n">
        <v>100</v>
      </c>
      <c r="J3101" s="0" t="n">
        <f aca="false">F3101*E3101</f>
        <v>618</v>
      </c>
      <c r="K3101" s="0" t="str">
        <f aca="false">IF(G3101&lt;1000,"1-Low",IF(G3101&lt;5000,"2-Medium","3-Bulk"))</f>
        <v>1-Low</v>
      </c>
      <c r="L3101" s="0" t="str">
        <f aca="false">IF(H3101="TRUE","Out of stock","In stock")</f>
        <v>In stock</v>
      </c>
      <c r="M3101" s="0" t="str">
        <f aca="false">IF(D3101&lt;5,"1) Under 5%",IF(D3101&lt;10,"2) 5-9%",IF(D3101&lt;15,"3) 10-14%",IF(D3101&lt;25,"4) 15-24%","5) 25%+"))))</f>
        <v>3) 10-14%</v>
      </c>
      <c r="N3101" s="0" t="str">
        <f aca="false">IF(F3101&lt;50,"1) Under Rs 50",IF(F3101&lt;100,"2) Rs 50-99",IF(F3101&lt;200,"3) Rs 100-199",IF(F3101&lt;500,"4) Rs 200-499","5) Rs 500+"))))</f>
        <v>3) Rs 100-199</v>
      </c>
      <c r="O3101" s="0" t="n">
        <f aca="false">G3101*E3101/1000</f>
        <v>0.6</v>
      </c>
    </row>
    <row r="3102" customFormat="false" ht="15" hidden="false" customHeight="false" outlineLevel="0" collapsed="false">
      <c r="A3102" s="0" t="s">
        <v>119</v>
      </c>
      <c r="B3102" s="0" t="s">
        <v>1258</v>
      </c>
      <c r="C3102" s="0" t="n">
        <v>109</v>
      </c>
      <c r="D3102" s="0" t="n">
        <v>3</v>
      </c>
      <c r="E3102" s="0" t="n">
        <v>6</v>
      </c>
      <c r="F3102" s="0" t="n">
        <v>105</v>
      </c>
      <c r="G3102" s="0" t="n">
        <v>750</v>
      </c>
      <c r="H3102" s="0" t="s">
        <v>145</v>
      </c>
      <c r="I3102" s="0" t="n">
        <v>750</v>
      </c>
      <c r="J3102" s="0" t="n">
        <f aca="false">F3102*E3102</f>
        <v>630</v>
      </c>
      <c r="K3102" s="0" t="str">
        <f aca="false">IF(G3102&lt;1000,"1-Low",IF(G3102&lt;5000,"2-Medium","3-Bulk"))</f>
        <v>1-Low</v>
      </c>
      <c r="L3102" s="0" t="str">
        <f aca="false">IF(H3102="TRUE","Out of stock","In stock")</f>
        <v>In stock</v>
      </c>
      <c r="M3102" s="0" t="str">
        <f aca="false">IF(D3102&lt;5,"1) Under 5%",IF(D3102&lt;10,"2) 5-9%",IF(D3102&lt;15,"3) 10-14%",IF(D3102&lt;25,"4) 15-24%","5) 25%+"))))</f>
        <v>1) Under 5%</v>
      </c>
      <c r="N3102" s="0" t="str">
        <f aca="false">IF(F3102&lt;50,"1) Under Rs 50",IF(F3102&lt;100,"2) Rs 50-99",IF(F3102&lt;200,"3) Rs 100-199",IF(F3102&lt;500,"4) Rs 200-499","5) Rs 500+"))))</f>
        <v>3) Rs 100-199</v>
      </c>
      <c r="O3102" s="0" t="n">
        <f aca="false">G3102*E3102/1000</f>
        <v>4.5</v>
      </c>
    </row>
    <row r="3103" customFormat="false" ht="15" hidden="false" customHeight="false" outlineLevel="0" collapsed="false">
      <c r="A3103" s="0" t="s">
        <v>119</v>
      </c>
      <c r="B3103" s="0" t="s">
        <v>1259</v>
      </c>
      <c r="C3103" s="0" t="n">
        <v>115</v>
      </c>
      <c r="D3103" s="0" t="n">
        <v>4</v>
      </c>
      <c r="E3103" s="0" t="n">
        <v>6</v>
      </c>
      <c r="F3103" s="0" t="n">
        <v>110</v>
      </c>
      <c r="G3103" s="0" t="n">
        <v>750</v>
      </c>
      <c r="H3103" s="0" t="s">
        <v>145</v>
      </c>
      <c r="I3103" s="0" t="n">
        <v>500</v>
      </c>
      <c r="J3103" s="0" t="n">
        <f aca="false">F3103*E3103</f>
        <v>660</v>
      </c>
      <c r="K3103" s="0" t="str">
        <f aca="false">IF(G3103&lt;1000,"1-Low",IF(G3103&lt;5000,"2-Medium","3-Bulk"))</f>
        <v>1-Low</v>
      </c>
      <c r="L3103" s="0" t="str">
        <f aca="false">IF(H3103="TRUE","Out of stock","In stock")</f>
        <v>In stock</v>
      </c>
      <c r="M3103" s="0" t="str">
        <f aca="false">IF(D3103&lt;5,"1) Under 5%",IF(D3103&lt;10,"2) 5-9%",IF(D3103&lt;15,"3) 10-14%",IF(D3103&lt;25,"4) 15-24%","5) 25%+"))))</f>
        <v>1) Under 5%</v>
      </c>
      <c r="N3103" s="0" t="str">
        <f aca="false">IF(F3103&lt;50,"1) Under Rs 50",IF(F3103&lt;100,"2) Rs 50-99",IF(F3103&lt;200,"3) Rs 100-199",IF(F3103&lt;500,"4) Rs 200-499","5) Rs 500+"))))</f>
        <v>3) Rs 100-199</v>
      </c>
      <c r="O3103" s="0" t="n">
        <f aca="false">G3103*E3103/1000</f>
        <v>4.5</v>
      </c>
    </row>
    <row r="3104" customFormat="false" ht="15" hidden="false" customHeight="false" outlineLevel="0" collapsed="false">
      <c r="A3104" s="0" t="s">
        <v>119</v>
      </c>
      <c r="B3104" s="0" t="s">
        <v>1260</v>
      </c>
      <c r="C3104" s="0" t="n">
        <v>120</v>
      </c>
      <c r="D3104" s="0" t="n">
        <v>10</v>
      </c>
      <c r="E3104" s="0" t="n">
        <v>6</v>
      </c>
      <c r="F3104" s="0" t="n">
        <v>108</v>
      </c>
      <c r="G3104" s="0" t="n">
        <v>120</v>
      </c>
      <c r="H3104" s="0" t="s">
        <v>145</v>
      </c>
      <c r="I3104" s="0" t="n">
        <v>120</v>
      </c>
      <c r="J3104" s="0" t="n">
        <f aca="false">F3104*E3104</f>
        <v>648</v>
      </c>
      <c r="K3104" s="0" t="str">
        <f aca="false">IF(G3104&lt;1000,"1-Low",IF(G3104&lt;5000,"2-Medium","3-Bulk"))</f>
        <v>1-Low</v>
      </c>
      <c r="L3104" s="0" t="str">
        <f aca="false">IF(H3104="TRUE","Out of stock","In stock")</f>
        <v>In stock</v>
      </c>
      <c r="M3104" s="0" t="str">
        <f aca="false">IF(D3104&lt;5,"1) Under 5%",IF(D3104&lt;10,"2) 5-9%",IF(D3104&lt;15,"3) 10-14%",IF(D3104&lt;25,"4) 15-24%","5) 25%+"))))</f>
        <v>3) 10-14%</v>
      </c>
      <c r="N3104" s="0" t="str">
        <f aca="false">IF(F3104&lt;50,"1) Under Rs 50",IF(F3104&lt;100,"2) Rs 50-99",IF(F3104&lt;200,"3) Rs 100-199",IF(F3104&lt;500,"4) Rs 200-499","5) Rs 500+"))))</f>
        <v>3) Rs 100-199</v>
      </c>
      <c r="O3104" s="0" t="n">
        <f aca="false">G3104*E3104/1000</f>
        <v>0.72</v>
      </c>
    </row>
    <row r="3105" customFormat="false" ht="15" hidden="false" customHeight="false" outlineLevel="0" collapsed="false">
      <c r="A3105" s="0" t="s">
        <v>119</v>
      </c>
      <c r="B3105" s="0" t="s">
        <v>1261</v>
      </c>
      <c r="C3105" s="0" t="n">
        <v>35</v>
      </c>
      <c r="D3105" s="0" t="n">
        <v>2</v>
      </c>
      <c r="E3105" s="0" t="n">
        <v>6</v>
      </c>
      <c r="F3105" s="0" t="n">
        <v>34</v>
      </c>
      <c r="G3105" s="0" t="n">
        <v>75</v>
      </c>
      <c r="H3105" s="0" t="s">
        <v>145</v>
      </c>
      <c r="I3105" s="0" t="n">
        <v>75</v>
      </c>
      <c r="J3105" s="0" t="n">
        <f aca="false">F3105*E3105</f>
        <v>204</v>
      </c>
      <c r="K3105" s="0" t="str">
        <f aca="false">IF(G3105&lt;1000,"1-Low",IF(G3105&lt;5000,"2-Medium","3-Bulk"))</f>
        <v>1-Low</v>
      </c>
      <c r="L3105" s="0" t="str">
        <f aca="false">IF(H3105="TRUE","Out of stock","In stock")</f>
        <v>In stock</v>
      </c>
      <c r="M3105" s="0" t="str">
        <f aca="false">IF(D3105&lt;5,"1) Under 5%",IF(D3105&lt;10,"2) 5-9%",IF(D3105&lt;15,"3) 10-14%",IF(D3105&lt;25,"4) 15-24%","5) 25%+"))))</f>
        <v>1) Under 5%</v>
      </c>
      <c r="N3105" s="0" t="str">
        <f aca="false">IF(F3105&lt;50,"1) Under Rs 50",IF(F3105&lt;100,"2) Rs 50-99",IF(F3105&lt;200,"3) Rs 100-199",IF(F3105&lt;500,"4) Rs 200-499","5) Rs 500+"))))</f>
        <v>1) Under Rs 50</v>
      </c>
      <c r="O3105" s="0" t="n">
        <f aca="false">G3105*E3105/1000</f>
        <v>0.45</v>
      </c>
    </row>
    <row r="3106" customFormat="false" ht="15" hidden="false" customHeight="false" outlineLevel="0" collapsed="false">
      <c r="A3106" s="0" t="s">
        <v>119</v>
      </c>
      <c r="B3106" s="0" t="s">
        <v>1262</v>
      </c>
      <c r="C3106" s="0" t="n">
        <v>114</v>
      </c>
      <c r="D3106" s="0" t="n">
        <v>18</v>
      </c>
      <c r="E3106" s="0" t="n">
        <v>2</v>
      </c>
      <c r="F3106" s="0" t="n">
        <v>93</v>
      </c>
      <c r="G3106" s="0" t="n">
        <v>200</v>
      </c>
      <c r="H3106" s="0" t="s">
        <v>145</v>
      </c>
      <c r="I3106" s="0" t="n">
        <v>200</v>
      </c>
      <c r="J3106" s="0" t="n">
        <f aca="false">F3106*E3106</f>
        <v>186</v>
      </c>
      <c r="K3106" s="0" t="str">
        <f aca="false">IF(G3106&lt;1000,"1-Low",IF(G3106&lt;5000,"2-Medium","3-Bulk"))</f>
        <v>1-Low</v>
      </c>
      <c r="L3106" s="0" t="str">
        <f aca="false">IF(H3106="TRUE","Out of stock","In stock")</f>
        <v>In stock</v>
      </c>
      <c r="M3106" s="0" t="str">
        <f aca="false">IF(D3106&lt;5,"1) Under 5%",IF(D3106&lt;10,"2) 5-9%",IF(D3106&lt;15,"3) 10-14%",IF(D3106&lt;25,"4) 15-24%","5) 25%+"))))</f>
        <v>4) 15-24%</v>
      </c>
      <c r="N3106" s="0" t="str">
        <f aca="false">IF(F3106&lt;50,"1) Under Rs 50",IF(F3106&lt;100,"2) Rs 50-99",IF(F3106&lt;200,"3) Rs 100-199",IF(F3106&lt;500,"4) Rs 200-499","5) Rs 500+"))))</f>
        <v>2) Rs 50-99</v>
      </c>
      <c r="O3106" s="0" t="n">
        <f aca="false">G3106*E3106/1000</f>
        <v>0.4</v>
      </c>
    </row>
    <row r="3107" customFormat="false" ht="15" hidden="false" customHeight="false" outlineLevel="0" collapsed="false">
      <c r="A3107" s="0" t="s">
        <v>119</v>
      </c>
      <c r="B3107" s="0" t="s">
        <v>1263</v>
      </c>
      <c r="C3107" s="0" t="n">
        <v>225</v>
      </c>
      <c r="D3107" s="0" t="n">
        <v>24</v>
      </c>
      <c r="E3107" s="0" t="n">
        <v>6</v>
      </c>
      <c r="F3107" s="0" t="n">
        <v>169</v>
      </c>
      <c r="G3107" s="0" t="n">
        <v>150</v>
      </c>
      <c r="H3107" s="0" t="s">
        <v>145</v>
      </c>
      <c r="I3107" s="0" t="n">
        <v>150</v>
      </c>
      <c r="J3107" s="0" t="n">
        <f aca="false">F3107*E3107</f>
        <v>1014</v>
      </c>
      <c r="K3107" s="0" t="str">
        <f aca="false">IF(G3107&lt;1000,"1-Low",IF(G3107&lt;5000,"2-Medium","3-Bulk"))</f>
        <v>1-Low</v>
      </c>
      <c r="L3107" s="0" t="str">
        <f aca="false">IF(H3107="TRUE","Out of stock","In stock")</f>
        <v>In stock</v>
      </c>
      <c r="M3107" s="0" t="str">
        <f aca="false">IF(D3107&lt;5,"1) Under 5%",IF(D3107&lt;10,"2) 5-9%",IF(D3107&lt;15,"3) 10-14%",IF(D3107&lt;25,"4) 15-24%","5) 25%+"))))</f>
        <v>4) 15-24%</v>
      </c>
      <c r="N3107" s="0" t="str">
        <f aca="false">IF(F3107&lt;50,"1) Under Rs 50",IF(F3107&lt;100,"2) Rs 50-99",IF(F3107&lt;200,"3) Rs 100-199",IF(F3107&lt;500,"4) Rs 200-499","5) Rs 500+"))))</f>
        <v>3) Rs 100-199</v>
      </c>
      <c r="O3107" s="0" t="n">
        <f aca="false">G3107*E3107/1000</f>
        <v>0.9</v>
      </c>
    </row>
    <row r="3108" customFormat="false" ht="15" hidden="false" customHeight="false" outlineLevel="0" collapsed="false">
      <c r="A3108" s="0" t="s">
        <v>119</v>
      </c>
      <c r="B3108" s="0" t="s">
        <v>1264</v>
      </c>
      <c r="C3108" s="0" t="n">
        <v>58</v>
      </c>
      <c r="D3108" s="0" t="n">
        <v>5</v>
      </c>
      <c r="E3108" s="0" t="n">
        <v>6</v>
      </c>
      <c r="F3108" s="0" t="n">
        <v>55</v>
      </c>
      <c r="G3108" s="0" t="n">
        <v>100</v>
      </c>
      <c r="H3108" s="0" t="s">
        <v>145</v>
      </c>
      <c r="I3108" s="0" t="n">
        <v>100</v>
      </c>
      <c r="J3108" s="0" t="n">
        <f aca="false">F3108*E3108</f>
        <v>330</v>
      </c>
      <c r="K3108" s="0" t="str">
        <f aca="false">IF(G3108&lt;1000,"1-Low",IF(G3108&lt;5000,"2-Medium","3-Bulk"))</f>
        <v>1-Low</v>
      </c>
      <c r="L3108" s="0" t="str">
        <f aca="false">IF(H3108="TRUE","Out of stock","In stock")</f>
        <v>In stock</v>
      </c>
      <c r="M3108" s="0" t="str">
        <f aca="false">IF(D3108&lt;5,"1) Under 5%",IF(D3108&lt;10,"2) 5-9%",IF(D3108&lt;15,"3) 10-14%",IF(D3108&lt;25,"4) 15-24%","5) 25%+"))))</f>
        <v>2) 5-9%</v>
      </c>
      <c r="N3108" s="0" t="str">
        <f aca="false">IF(F3108&lt;50,"1) Under Rs 50",IF(F3108&lt;100,"2) Rs 50-99",IF(F3108&lt;200,"3) Rs 100-199",IF(F3108&lt;500,"4) Rs 200-499","5) Rs 500+"))))</f>
        <v>2) Rs 50-99</v>
      </c>
      <c r="O3108" s="0" t="n">
        <f aca="false">G3108*E3108/1000</f>
        <v>0.6</v>
      </c>
    </row>
    <row r="3109" customFormat="false" ht="15" hidden="false" customHeight="false" outlineLevel="0" collapsed="false">
      <c r="A3109" s="0" t="s">
        <v>119</v>
      </c>
      <c r="B3109" s="0" t="s">
        <v>1265</v>
      </c>
      <c r="C3109" s="0" t="n">
        <v>101</v>
      </c>
      <c r="D3109" s="0" t="n">
        <v>5</v>
      </c>
      <c r="E3109" s="0" t="n">
        <v>2</v>
      </c>
      <c r="F3109" s="0" t="n">
        <v>95</v>
      </c>
      <c r="G3109" s="0" t="n">
        <v>150</v>
      </c>
      <c r="H3109" s="0" t="s">
        <v>145</v>
      </c>
      <c r="I3109" s="0" t="n">
        <v>150</v>
      </c>
      <c r="J3109" s="0" t="n">
        <f aca="false">F3109*E3109</f>
        <v>190</v>
      </c>
      <c r="K3109" s="0" t="str">
        <f aca="false">IF(G3109&lt;1000,"1-Low",IF(G3109&lt;5000,"2-Medium","3-Bulk"))</f>
        <v>1-Low</v>
      </c>
      <c r="L3109" s="0" t="str">
        <f aca="false">IF(H3109="TRUE","Out of stock","In stock")</f>
        <v>In stock</v>
      </c>
      <c r="M3109" s="0" t="str">
        <f aca="false">IF(D3109&lt;5,"1) Under 5%",IF(D3109&lt;10,"2) 5-9%",IF(D3109&lt;15,"3) 10-14%",IF(D3109&lt;25,"4) 15-24%","5) 25%+"))))</f>
        <v>2) 5-9%</v>
      </c>
      <c r="N3109" s="0" t="str">
        <f aca="false">IF(F3109&lt;50,"1) Under Rs 50",IF(F3109&lt;100,"2) Rs 50-99",IF(F3109&lt;200,"3) Rs 100-199",IF(F3109&lt;500,"4) Rs 200-499","5) Rs 500+"))))</f>
        <v>2) Rs 50-99</v>
      </c>
      <c r="O3109" s="0" t="n">
        <f aca="false">G3109*E3109/1000</f>
        <v>0.3</v>
      </c>
    </row>
    <row r="3110" customFormat="false" ht="15" hidden="false" customHeight="false" outlineLevel="0" collapsed="false">
      <c r="A3110" s="0" t="s">
        <v>119</v>
      </c>
      <c r="B3110" s="0" t="s">
        <v>1266</v>
      </c>
      <c r="C3110" s="0" t="n">
        <v>432</v>
      </c>
      <c r="D3110" s="0" t="n">
        <v>15</v>
      </c>
      <c r="E3110" s="0" t="n">
        <v>6</v>
      </c>
      <c r="F3110" s="0" t="n">
        <v>367</v>
      </c>
      <c r="G3110" s="0" t="n">
        <v>100</v>
      </c>
      <c r="H3110" s="0" t="s">
        <v>145</v>
      </c>
      <c r="I3110" s="0" t="n">
        <v>100</v>
      </c>
      <c r="J3110" s="0" t="n">
        <f aca="false">F3110*E3110</f>
        <v>2202</v>
      </c>
      <c r="K3110" s="0" t="str">
        <f aca="false">IF(G3110&lt;1000,"1-Low",IF(G3110&lt;5000,"2-Medium","3-Bulk"))</f>
        <v>1-Low</v>
      </c>
      <c r="L3110" s="0" t="str">
        <f aca="false">IF(H3110="TRUE","Out of stock","In stock")</f>
        <v>In stock</v>
      </c>
      <c r="M3110" s="0" t="str">
        <f aca="false">IF(D3110&lt;5,"1) Under 5%",IF(D3110&lt;10,"2) 5-9%",IF(D3110&lt;15,"3) 10-14%",IF(D3110&lt;25,"4) 15-24%","5) 25%+"))))</f>
        <v>4) 15-24%</v>
      </c>
      <c r="N3110" s="0" t="str">
        <f aca="false">IF(F3110&lt;50,"1) Under Rs 50",IF(F3110&lt;100,"2) Rs 50-99",IF(F3110&lt;200,"3) Rs 100-199",IF(F3110&lt;500,"4) Rs 200-499","5) Rs 500+"))))</f>
        <v>4) Rs 200-499</v>
      </c>
      <c r="O3110" s="0" t="n">
        <f aca="false">G3110*E3110/1000</f>
        <v>0.6</v>
      </c>
    </row>
    <row r="3111" customFormat="false" ht="15" hidden="false" customHeight="false" outlineLevel="0" collapsed="false">
      <c r="A3111" s="0" t="s">
        <v>119</v>
      </c>
      <c r="B3111" s="0" t="s">
        <v>1267</v>
      </c>
      <c r="C3111" s="0" t="n">
        <v>50</v>
      </c>
      <c r="D3111" s="0" t="n">
        <v>0</v>
      </c>
      <c r="E3111" s="0" t="n">
        <v>6</v>
      </c>
      <c r="F3111" s="0" t="n">
        <v>50</v>
      </c>
      <c r="G3111" s="0" t="n">
        <v>58</v>
      </c>
      <c r="H3111" s="0" t="s">
        <v>145</v>
      </c>
      <c r="I3111" s="0" t="n">
        <v>1</v>
      </c>
      <c r="J3111" s="0" t="n">
        <f aca="false">F3111*E3111</f>
        <v>300</v>
      </c>
      <c r="K3111" s="0" t="str">
        <f aca="false">IF(G3111&lt;1000,"1-Low",IF(G3111&lt;5000,"2-Medium","3-Bulk"))</f>
        <v>1-Low</v>
      </c>
      <c r="L3111" s="0" t="str">
        <f aca="false">IF(H3111="TRUE","Out of stock","In stock")</f>
        <v>In stock</v>
      </c>
      <c r="M3111" s="0" t="str">
        <f aca="false">IF(D3111&lt;5,"1) Under 5%",IF(D3111&lt;10,"2) 5-9%",IF(D3111&lt;15,"3) 10-14%",IF(D3111&lt;25,"4) 15-24%","5) 25%+"))))</f>
        <v>1) Under 5%</v>
      </c>
      <c r="N3111" s="0" t="str">
        <f aca="false">IF(F3111&lt;50,"1) Under Rs 50",IF(F3111&lt;100,"2) Rs 50-99",IF(F3111&lt;200,"3) Rs 100-199",IF(F3111&lt;500,"4) Rs 200-499","5) Rs 500+"))))</f>
        <v>2) Rs 50-99</v>
      </c>
      <c r="O3111" s="0" t="n">
        <f aca="false">G3111*E3111/1000</f>
        <v>0.348</v>
      </c>
    </row>
    <row r="3112" customFormat="false" ht="15" hidden="false" customHeight="false" outlineLevel="0" collapsed="false">
      <c r="A3112" s="0" t="s">
        <v>119</v>
      </c>
      <c r="B3112" s="0" t="s">
        <v>1268</v>
      </c>
      <c r="C3112" s="0" t="n">
        <v>75</v>
      </c>
      <c r="D3112" s="0" t="n">
        <v>0</v>
      </c>
      <c r="E3112" s="0" t="n">
        <v>6</v>
      </c>
      <c r="F3112" s="0" t="n">
        <v>75</v>
      </c>
      <c r="G3112" s="0" t="n">
        <v>125</v>
      </c>
      <c r="H3112" s="0" t="s">
        <v>145</v>
      </c>
      <c r="I3112" s="0" t="n">
        <v>125</v>
      </c>
      <c r="J3112" s="0" t="n">
        <f aca="false">F3112*E3112</f>
        <v>450</v>
      </c>
      <c r="K3112" s="0" t="str">
        <f aca="false">IF(G3112&lt;1000,"1-Low",IF(G3112&lt;5000,"2-Medium","3-Bulk"))</f>
        <v>1-Low</v>
      </c>
      <c r="L3112" s="0" t="str">
        <f aca="false">IF(H3112="TRUE","Out of stock","In stock")</f>
        <v>In stock</v>
      </c>
      <c r="M3112" s="0" t="str">
        <f aca="false">IF(D3112&lt;5,"1) Under 5%",IF(D3112&lt;10,"2) 5-9%",IF(D3112&lt;15,"3) 10-14%",IF(D3112&lt;25,"4) 15-24%","5) 25%+"))))</f>
        <v>1) Under 5%</v>
      </c>
      <c r="N3112" s="0" t="str">
        <f aca="false">IF(F3112&lt;50,"1) Under Rs 50",IF(F3112&lt;100,"2) Rs 50-99",IF(F3112&lt;200,"3) Rs 100-199",IF(F3112&lt;500,"4) Rs 200-499","5) Rs 500+"))))</f>
        <v>2) Rs 50-99</v>
      </c>
      <c r="O3112" s="0" t="n">
        <f aca="false">G3112*E3112/1000</f>
        <v>0.75</v>
      </c>
    </row>
    <row r="3113" customFormat="false" ht="15" hidden="false" customHeight="false" outlineLevel="0" collapsed="false">
      <c r="A3113" s="0" t="s">
        <v>119</v>
      </c>
      <c r="B3113" s="0" t="s">
        <v>1269</v>
      </c>
      <c r="C3113" s="0" t="n">
        <v>79</v>
      </c>
      <c r="D3113" s="0" t="n">
        <v>13</v>
      </c>
      <c r="E3113" s="0" t="n">
        <v>6</v>
      </c>
      <c r="F3113" s="0" t="n">
        <v>68</v>
      </c>
      <c r="G3113" s="0" t="n">
        <v>50</v>
      </c>
      <c r="H3113" s="0" t="s">
        <v>145</v>
      </c>
      <c r="I3113" s="0" t="n">
        <v>50</v>
      </c>
      <c r="J3113" s="0" t="n">
        <f aca="false">F3113*E3113</f>
        <v>408</v>
      </c>
      <c r="K3113" s="0" t="str">
        <f aca="false">IF(G3113&lt;1000,"1-Low",IF(G3113&lt;5000,"2-Medium","3-Bulk"))</f>
        <v>1-Low</v>
      </c>
      <c r="L3113" s="0" t="str">
        <f aca="false">IF(H3113="TRUE","Out of stock","In stock")</f>
        <v>In stock</v>
      </c>
      <c r="M3113" s="0" t="str">
        <f aca="false">IF(D3113&lt;5,"1) Under 5%",IF(D3113&lt;10,"2) 5-9%",IF(D3113&lt;15,"3) 10-14%",IF(D3113&lt;25,"4) 15-24%","5) 25%+"))))</f>
        <v>3) 10-14%</v>
      </c>
      <c r="N3113" s="0" t="str">
        <f aca="false">IF(F3113&lt;50,"1) Under Rs 50",IF(F3113&lt;100,"2) Rs 50-99",IF(F3113&lt;200,"3) Rs 100-199",IF(F3113&lt;500,"4) Rs 200-499","5) Rs 500+"))))</f>
        <v>2) Rs 50-99</v>
      </c>
      <c r="O3113" s="0" t="n">
        <f aca="false">G3113*E3113/1000</f>
        <v>0.3</v>
      </c>
    </row>
    <row r="3114" customFormat="false" ht="15" hidden="false" customHeight="false" outlineLevel="0" collapsed="false">
      <c r="A3114" s="0" t="s">
        <v>119</v>
      </c>
      <c r="B3114" s="0" t="s">
        <v>1270</v>
      </c>
      <c r="C3114" s="0" t="n">
        <v>166</v>
      </c>
      <c r="D3114" s="0" t="n">
        <v>5</v>
      </c>
      <c r="E3114" s="0" t="n">
        <v>4</v>
      </c>
      <c r="F3114" s="0" t="n">
        <v>157</v>
      </c>
      <c r="G3114" s="0" t="n">
        <v>375</v>
      </c>
      <c r="H3114" s="0" t="s">
        <v>145</v>
      </c>
      <c r="I3114" s="0" t="n">
        <v>375</v>
      </c>
      <c r="J3114" s="0" t="n">
        <f aca="false">F3114*E3114</f>
        <v>628</v>
      </c>
      <c r="K3114" s="0" t="str">
        <f aca="false">IF(G3114&lt;1000,"1-Low",IF(G3114&lt;5000,"2-Medium","3-Bulk"))</f>
        <v>1-Low</v>
      </c>
      <c r="L3114" s="0" t="str">
        <f aca="false">IF(H3114="TRUE","Out of stock","In stock")</f>
        <v>In stock</v>
      </c>
      <c r="M3114" s="0" t="str">
        <f aca="false">IF(D3114&lt;5,"1) Under 5%",IF(D3114&lt;10,"2) 5-9%",IF(D3114&lt;15,"3) 10-14%",IF(D3114&lt;25,"4) 15-24%","5) 25%+"))))</f>
        <v>2) 5-9%</v>
      </c>
      <c r="N3114" s="0" t="str">
        <f aca="false">IF(F3114&lt;50,"1) Under Rs 50",IF(F3114&lt;100,"2) Rs 50-99",IF(F3114&lt;200,"3) Rs 100-199",IF(F3114&lt;500,"4) Rs 200-499","5) Rs 500+"))))</f>
        <v>3) Rs 100-199</v>
      </c>
      <c r="O3114" s="0" t="n">
        <f aca="false">G3114*E3114/1000</f>
        <v>1.5</v>
      </c>
    </row>
    <row r="3115" customFormat="false" ht="15" hidden="false" customHeight="false" outlineLevel="0" collapsed="false">
      <c r="A3115" s="0" t="s">
        <v>119</v>
      </c>
      <c r="B3115" s="0" t="s">
        <v>1271</v>
      </c>
      <c r="C3115" s="0" t="n">
        <v>260</v>
      </c>
      <c r="D3115" s="0" t="n">
        <v>5</v>
      </c>
      <c r="E3115" s="0" t="n">
        <v>6</v>
      </c>
      <c r="F3115" s="0" t="n">
        <v>247</v>
      </c>
      <c r="G3115" s="0" t="n">
        <v>625</v>
      </c>
      <c r="H3115" s="0" t="s">
        <v>145</v>
      </c>
      <c r="I3115" s="0" t="n">
        <v>625</v>
      </c>
      <c r="J3115" s="0" t="n">
        <f aca="false">F3115*E3115</f>
        <v>1482</v>
      </c>
      <c r="K3115" s="0" t="str">
        <f aca="false">IF(G3115&lt;1000,"1-Low",IF(G3115&lt;5000,"2-Medium","3-Bulk"))</f>
        <v>1-Low</v>
      </c>
      <c r="L3115" s="0" t="str">
        <f aca="false">IF(H3115="TRUE","Out of stock","In stock")</f>
        <v>In stock</v>
      </c>
      <c r="M3115" s="0" t="str">
        <f aca="false">IF(D3115&lt;5,"1) Under 5%",IF(D3115&lt;10,"2) 5-9%",IF(D3115&lt;15,"3) 10-14%",IF(D3115&lt;25,"4) 15-24%","5) 25%+"))))</f>
        <v>2) 5-9%</v>
      </c>
      <c r="N3115" s="0" t="str">
        <f aca="false">IF(F3115&lt;50,"1) Under Rs 50",IF(F3115&lt;100,"2) Rs 50-99",IF(F3115&lt;200,"3) Rs 100-199",IF(F3115&lt;500,"4) Rs 200-499","5) Rs 500+"))))</f>
        <v>4) Rs 200-499</v>
      </c>
      <c r="O3115" s="0" t="n">
        <f aca="false">G3115*E3115/1000</f>
        <v>3.75</v>
      </c>
    </row>
    <row r="3116" customFormat="false" ht="15" hidden="false" customHeight="false" outlineLevel="0" collapsed="false">
      <c r="A3116" s="0" t="s">
        <v>119</v>
      </c>
      <c r="B3116" s="0" t="s">
        <v>1272</v>
      </c>
      <c r="C3116" s="0" t="n">
        <v>250</v>
      </c>
      <c r="D3116" s="0" t="n">
        <v>10</v>
      </c>
      <c r="E3116" s="0" t="n">
        <v>3</v>
      </c>
      <c r="F3116" s="0" t="n">
        <v>225</v>
      </c>
      <c r="G3116" s="0" t="n">
        <v>100</v>
      </c>
      <c r="H3116" s="0" t="s">
        <v>145</v>
      </c>
      <c r="I3116" s="0" t="n">
        <v>100</v>
      </c>
      <c r="J3116" s="0" t="n">
        <f aca="false">F3116*E3116</f>
        <v>675</v>
      </c>
      <c r="K3116" s="0" t="str">
        <f aca="false">IF(G3116&lt;1000,"1-Low",IF(G3116&lt;5000,"2-Medium","3-Bulk"))</f>
        <v>1-Low</v>
      </c>
      <c r="L3116" s="0" t="str">
        <f aca="false">IF(H3116="TRUE","Out of stock","In stock")</f>
        <v>In stock</v>
      </c>
      <c r="M3116" s="0" t="str">
        <f aca="false">IF(D3116&lt;5,"1) Under 5%",IF(D3116&lt;10,"2) 5-9%",IF(D3116&lt;15,"3) 10-14%",IF(D3116&lt;25,"4) 15-24%","5) 25%+"))))</f>
        <v>3) 10-14%</v>
      </c>
      <c r="N3116" s="0" t="str">
        <f aca="false">IF(F3116&lt;50,"1) Under Rs 50",IF(F3116&lt;100,"2) Rs 50-99",IF(F3116&lt;200,"3) Rs 100-199",IF(F3116&lt;500,"4) Rs 200-499","5) Rs 500+"))))</f>
        <v>4) Rs 200-499</v>
      </c>
      <c r="O3116" s="0" t="n">
        <f aca="false">G3116*E3116/1000</f>
        <v>0.3</v>
      </c>
    </row>
    <row r="3117" customFormat="false" ht="15" hidden="false" customHeight="false" outlineLevel="0" collapsed="false">
      <c r="A3117" s="0" t="s">
        <v>119</v>
      </c>
      <c r="B3117" s="0" t="s">
        <v>1273</v>
      </c>
      <c r="C3117" s="0" t="n">
        <v>30</v>
      </c>
      <c r="D3117" s="0" t="n">
        <v>3</v>
      </c>
      <c r="E3117" s="0" t="n">
        <v>3</v>
      </c>
      <c r="F3117" s="0" t="n">
        <v>29</v>
      </c>
      <c r="G3117" s="0" t="n">
        <v>100</v>
      </c>
      <c r="H3117" s="0" t="s">
        <v>145</v>
      </c>
      <c r="I3117" s="0" t="n">
        <v>125</v>
      </c>
      <c r="J3117" s="0" t="n">
        <f aca="false">F3117*E3117</f>
        <v>87</v>
      </c>
      <c r="K3117" s="0" t="str">
        <f aca="false">IF(G3117&lt;1000,"1-Low",IF(G3117&lt;5000,"2-Medium","3-Bulk"))</f>
        <v>1-Low</v>
      </c>
      <c r="L3117" s="0" t="str">
        <f aca="false">IF(H3117="TRUE","Out of stock","In stock")</f>
        <v>In stock</v>
      </c>
      <c r="M3117" s="0" t="str">
        <f aca="false">IF(D3117&lt;5,"1) Under 5%",IF(D3117&lt;10,"2) 5-9%",IF(D3117&lt;15,"3) 10-14%",IF(D3117&lt;25,"4) 15-24%","5) 25%+"))))</f>
        <v>1) Under 5%</v>
      </c>
      <c r="N3117" s="0" t="str">
        <f aca="false">IF(F3117&lt;50,"1) Under Rs 50",IF(F3117&lt;100,"2) Rs 50-99",IF(F3117&lt;200,"3) Rs 100-199",IF(F3117&lt;500,"4) Rs 200-499","5) Rs 500+"))))</f>
        <v>1) Under Rs 50</v>
      </c>
      <c r="O3117" s="0" t="n">
        <f aca="false">G3117*E3117/1000</f>
        <v>0.3</v>
      </c>
    </row>
    <row r="3118" customFormat="false" ht="15" hidden="false" customHeight="false" outlineLevel="0" collapsed="false">
      <c r="A3118" s="0" t="s">
        <v>119</v>
      </c>
      <c r="B3118" s="0" t="s">
        <v>1261</v>
      </c>
      <c r="C3118" s="0" t="n">
        <v>70</v>
      </c>
      <c r="D3118" s="0" t="n">
        <v>10</v>
      </c>
      <c r="E3118" s="0" t="n">
        <v>6</v>
      </c>
      <c r="F3118" s="0" t="n">
        <v>63</v>
      </c>
      <c r="G3118" s="0" t="n">
        <v>125</v>
      </c>
      <c r="H3118" s="0" t="s">
        <v>145</v>
      </c>
      <c r="I3118" s="0" t="n">
        <v>125</v>
      </c>
      <c r="J3118" s="0" t="n">
        <f aca="false">F3118*E3118</f>
        <v>378</v>
      </c>
      <c r="K3118" s="0" t="str">
        <f aca="false">IF(G3118&lt;1000,"1-Low",IF(G3118&lt;5000,"2-Medium","3-Bulk"))</f>
        <v>1-Low</v>
      </c>
      <c r="L3118" s="0" t="str">
        <f aca="false">IF(H3118="TRUE","Out of stock","In stock")</f>
        <v>In stock</v>
      </c>
      <c r="M3118" s="0" t="str">
        <f aca="false">IF(D3118&lt;5,"1) Under 5%",IF(D3118&lt;10,"2) 5-9%",IF(D3118&lt;15,"3) 10-14%",IF(D3118&lt;25,"4) 15-24%","5) 25%+"))))</f>
        <v>3) 10-14%</v>
      </c>
      <c r="N3118" s="0" t="str">
        <f aca="false">IF(F3118&lt;50,"1) Under Rs 50",IF(F3118&lt;100,"2) Rs 50-99",IF(F3118&lt;200,"3) Rs 100-199",IF(F3118&lt;500,"4) Rs 200-499","5) Rs 500+"))))</f>
        <v>2) Rs 50-99</v>
      </c>
      <c r="O3118" s="0" t="n">
        <f aca="false">G3118*E3118/1000</f>
        <v>0.75</v>
      </c>
    </row>
    <row r="3119" customFormat="false" ht="15" hidden="false" customHeight="false" outlineLevel="0" collapsed="false">
      <c r="A3119" s="0" t="s">
        <v>119</v>
      </c>
      <c r="B3119" s="0" t="s">
        <v>1274</v>
      </c>
      <c r="C3119" s="0" t="n">
        <v>10</v>
      </c>
      <c r="D3119" s="0" t="n">
        <v>0</v>
      </c>
      <c r="E3119" s="0" t="n">
        <v>6</v>
      </c>
      <c r="F3119" s="0" t="n">
        <v>10</v>
      </c>
      <c r="G3119" s="0" t="n">
        <v>18</v>
      </c>
      <c r="H3119" s="0" t="s">
        <v>145</v>
      </c>
      <c r="I3119" s="0" t="n">
        <v>18</v>
      </c>
      <c r="J3119" s="0" t="n">
        <f aca="false">F3119*E3119</f>
        <v>60</v>
      </c>
      <c r="K3119" s="0" t="str">
        <f aca="false">IF(G3119&lt;1000,"1-Low",IF(G3119&lt;5000,"2-Medium","3-Bulk"))</f>
        <v>1-Low</v>
      </c>
      <c r="L3119" s="0" t="str">
        <f aca="false">IF(H3119="TRUE","Out of stock","In stock")</f>
        <v>In stock</v>
      </c>
      <c r="M3119" s="0" t="str">
        <f aca="false">IF(D3119&lt;5,"1) Under 5%",IF(D3119&lt;10,"2) 5-9%",IF(D3119&lt;15,"3) 10-14%",IF(D3119&lt;25,"4) 15-24%","5) 25%+"))))</f>
        <v>1) Under 5%</v>
      </c>
      <c r="N3119" s="0" t="str">
        <f aca="false">IF(F3119&lt;50,"1) Under Rs 50",IF(F3119&lt;100,"2) Rs 50-99",IF(F3119&lt;200,"3) Rs 100-199",IF(F3119&lt;500,"4) Rs 200-499","5) Rs 500+"))))</f>
        <v>1) Under Rs 50</v>
      </c>
      <c r="O3119" s="0" t="n">
        <f aca="false">G3119*E3119/1000</f>
        <v>0.108</v>
      </c>
    </row>
    <row r="3120" customFormat="false" ht="15" hidden="false" customHeight="false" outlineLevel="0" collapsed="false">
      <c r="A3120" s="0" t="s">
        <v>119</v>
      </c>
      <c r="B3120" s="0" t="s">
        <v>1275</v>
      </c>
      <c r="C3120" s="0" t="n">
        <v>213</v>
      </c>
      <c r="D3120" s="0" t="n">
        <v>10</v>
      </c>
      <c r="E3120" s="0" t="n">
        <v>6</v>
      </c>
      <c r="F3120" s="0" t="n">
        <v>190</v>
      </c>
      <c r="G3120" s="0" t="n">
        <v>110</v>
      </c>
      <c r="H3120" s="0" t="s">
        <v>145</v>
      </c>
      <c r="I3120" s="0" t="n">
        <v>110</v>
      </c>
      <c r="J3120" s="0" t="n">
        <f aca="false">F3120*E3120</f>
        <v>1140</v>
      </c>
      <c r="K3120" s="0" t="str">
        <f aca="false">IF(G3120&lt;1000,"1-Low",IF(G3120&lt;5000,"2-Medium","3-Bulk"))</f>
        <v>1-Low</v>
      </c>
      <c r="L3120" s="0" t="str">
        <f aca="false">IF(H3120="TRUE","Out of stock","In stock")</f>
        <v>In stock</v>
      </c>
      <c r="M3120" s="0" t="str">
        <f aca="false">IF(D3120&lt;5,"1) Under 5%",IF(D3120&lt;10,"2) 5-9%",IF(D3120&lt;15,"3) 10-14%",IF(D3120&lt;25,"4) 15-24%","5) 25%+"))))</f>
        <v>3) 10-14%</v>
      </c>
      <c r="N3120" s="0" t="str">
        <f aca="false">IF(F3120&lt;50,"1) Under Rs 50",IF(F3120&lt;100,"2) Rs 50-99",IF(F3120&lt;200,"3) Rs 100-199",IF(F3120&lt;500,"4) Rs 200-499","5) Rs 500+"))))</f>
        <v>3) Rs 100-199</v>
      </c>
      <c r="O3120" s="0" t="n">
        <f aca="false">G3120*E3120/1000</f>
        <v>0.66</v>
      </c>
    </row>
    <row r="3121" customFormat="false" ht="15" hidden="false" customHeight="false" outlineLevel="0" collapsed="false">
      <c r="A3121" s="0" t="s">
        <v>119</v>
      </c>
      <c r="B3121" s="0" t="s">
        <v>1276</v>
      </c>
      <c r="C3121" s="0" t="n">
        <v>50</v>
      </c>
      <c r="D3121" s="0" t="n">
        <v>10</v>
      </c>
      <c r="E3121" s="0" t="n">
        <v>4</v>
      </c>
      <c r="F3121" s="0" t="n">
        <v>45</v>
      </c>
      <c r="G3121" s="0" t="n">
        <v>50</v>
      </c>
      <c r="H3121" s="0" t="s">
        <v>145</v>
      </c>
      <c r="I3121" s="0" t="n">
        <v>50</v>
      </c>
      <c r="J3121" s="0" t="n">
        <f aca="false">F3121*E3121</f>
        <v>180</v>
      </c>
      <c r="K3121" s="0" t="str">
        <f aca="false">IF(G3121&lt;1000,"1-Low",IF(G3121&lt;5000,"2-Medium","3-Bulk"))</f>
        <v>1-Low</v>
      </c>
      <c r="L3121" s="0" t="str">
        <f aca="false">IF(H3121="TRUE","Out of stock","In stock")</f>
        <v>In stock</v>
      </c>
      <c r="M3121" s="0" t="str">
        <f aca="false">IF(D3121&lt;5,"1) Under 5%",IF(D3121&lt;10,"2) 5-9%",IF(D3121&lt;15,"3) 10-14%",IF(D3121&lt;25,"4) 15-24%","5) 25%+"))))</f>
        <v>3) 10-14%</v>
      </c>
      <c r="N3121" s="0" t="str">
        <f aca="false">IF(F3121&lt;50,"1) Under Rs 50",IF(F3121&lt;100,"2) Rs 50-99",IF(F3121&lt;200,"3) Rs 100-199",IF(F3121&lt;500,"4) Rs 200-499","5) Rs 500+"))))</f>
        <v>1) Under Rs 50</v>
      </c>
      <c r="O3121" s="0" t="n">
        <f aca="false">G3121*E3121/1000</f>
        <v>0.2</v>
      </c>
    </row>
    <row r="3122" customFormat="false" ht="15" hidden="false" customHeight="false" outlineLevel="0" collapsed="false">
      <c r="A3122" s="0" t="s">
        <v>119</v>
      </c>
      <c r="B3122" s="0" t="s">
        <v>1277</v>
      </c>
      <c r="C3122" s="0" t="n">
        <v>30</v>
      </c>
      <c r="D3122" s="0" t="n">
        <v>0</v>
      </c>
      <c r="E3122" s="0" t="n">
        <v>6</v>
      </c>
      <c r="F3122" s="0" t="n">
        <v>30</v>
      </c>
      <c r="G3122" s="0" t="n">
        <v>20</v>
      </c>
      <c r="H3122" s="0" t="s">
        <v>145</v>
      </c>
      <c r="I3122" s="0" t="n">
        <v>20</v>
      </c>
      <c r="J3122" s="0" t="n">
        <f aca="false">F3122*E3122</f>
        <v>180</v>
      </c>
      <c r="K3122" s="0" t="str">
        <f aca="false">IF(G3122&lt;1000,"1-Low",IF(G3122&lt;5000,"2-Medium","3-Bulk"))</f>
        <v>1-Low</v>
      </c>
      <c r="L3122" s="0" t="str">
        <f aca="false">IF(H3122="TRUE","Out of stock","In stock")</f>
        <v>In stock</v>
      </c>
      <c r="M3122" s="0" t="str">
        <f aca="false">IF(D3122&lt;5,"1) Under 5%",IF(D3122&lt;10,"2) 5-9%",IF(D3122&lt;15,"3) 10-14%",IF(D3122&lt;25,"4) 15-24%","5) 25%+"))))</f>
        <v>1) Under 5%</v>
      </c>
      <c r="N3122" s="0" t="str">
        <f aca="false">IF(F3122&lt;50,"1) Under Rs 50",IF(F3122&lt;100,"2) Rs 50-99",IF(F3122&lt;200,"3) Rs 100-199",IF(F3122&lt;500,"4) Rs 200-499","5) Rs 500+"))))</f>
        <v>1) Under Rs 50</v>
      </c>
      <c r="O3122" s="0" t="n">
        <f aca="false">G3122*E3122/1000</f>
        <v>0.12</v>
      </c>
    </row>
    <row r="3123" customFormat="false" ht="15" hidden="false" customHeight="false" outlineLevel="0" collapsed="false">
      <c r="A3123" s="0" t="s">
        <v>119</v>
      </c>
      <c r="B3123" s="0" t="s">
        <v>1278</v>
      </c>
      <c r="C3123" s="0" t="n">
        <v>130</v>
      </c>
      <c r="D3123" s="0" t="n">
        <v>8</v>
      </c>
      <c r="E3123" s="0" t="n">
        <v>1</v>
      </c>
      <c r="F3123" s="0" t="n">
        <v>119</v>
      </c>
      <c r="G3123" s="0" t="n">
        <v>150</v>
      </c>
      <c r="H3123" s="0" t="s">
        <v>145</v>
      </c>
      <c r="I3123" s="0" t="n">
        <v>200</v>
      </c>
      <c r="J3123" s="0" t="n">
        <f aca="false">F3123*E3123</f>
        <v>119</v>
      </c>
      <c r="K3123" s="0" t="str">
        <f aca="false">IF(G3123&lt;1000,"1-Low",IF(G3123&lt;5000,"2-Medium","3-Bulk"))</f>
        <v>1-Low</v>
      </c>
      <c r="L3123" s="0" t="str">
        <f aca="false">IF(H3123="TRUE","Out of stock","In stock")</f>
        <v>In stock</v>
      </c>
      <c r="M3123" s="0" t="str">
        <f aca="false">IF(D3123&lt;5,"1) Under 5%",IF(D3123&lt;10,"2) 5-9%",IF(D3123&lt;15,"3) 10-14%",IF(D3123&lt;25,"4) 15-24%","5) 25%+"))))</f>
        <v>2) 5-9%</v>
      </c>
      <c r="N3123" s="0" t="str">
        <f aca="false">IF(F3123&lt;50,"1) Under Rs 50",IF(F3123&lt;100,"2) Rs 50-99",IF(F3123&lt;200,"3) Rs 100-199",IF(F3123&lt;500,"4) Rs 200-499","5) Rs 500+"))))</f>
        <v>3) Rs 100-199</v>
      </c>
      <c r="O3123" s="0" t="n">
        <f aca="false">G3123*E3123/1000</f>
        <v>0.15</v>
      </c>
    </row>
    <row r="3124" customFormat="false" ht="15" hidden="false" customHeight="false" outlineLevel="0" collapsed="false">
      <c r="A3124" s="0" t="s">
        <v>119</v>
      </c>
      <c r="B3124" s="0" t="s">
        <v>1279</v>
      </c>
      <c r="C3124" s="0" t="n">
        <v>30</v>
      </c>
      <c r="D3124" s="0" t="n">
        <v>0</v>
      </c>
      <c r="E3124" s="0" t="n">
        <v>6</v>
      </c>
      <c r="F3124" s="0" t="n">
        <v>30</v>
      </c>
      <c r="G3124" s="0" t="n">
        <v>20</v>
      </c>
      <c r="H3124" s="0" t="s">
        <v>145</v>
      </c>
      <c r="I3124" s="0" t="n">
        <v>20</v>
      </c>
      <c r="J3124" s="0" t="n">
        <f aca="false">F3124*E3124</f>
        <v>180</v>
      </c>
      <c r="K3124" s="0" t="str">
        <f aca="false">IF(G3124&lt;1000,"1-Low",IF(G3124&lt;5000,"2-Medium","3-Bulk"))</f>
        <v>1-Low</v>
      </c>
      <c r="L3124" s="0" t="str">
        <f aca="false">IF(H3124="TRUE","Out of stock","In stock")</f>
        <v>In stock</v>
      </c>
      <c r="M3124" s="0" t="str">
        <f aca="false">IF(D3124&lt;5,"1) Under 5%",IF(D3124&lt;10,"2) 5-9%",IF(D3124&lt;15,"3) 10-14%",IF(D3124&lt;25,"4) 15-24%","5) 25%+"))))</f>
        <v>1) Under 5%</v>
      </c>
      <c r="N3124" s="0" t="str">
        <f aca="false">IF(F3124&lt;50,"1) Under Rs 50",IF(F3124&lt;100,"2) Rs 50-99",IF(F3124&lt;200,"3) Rs 100-199",IF(F3124&lt;500,"4) Rs 200-499","5) Rs 500+"))))</f>
        <v>1) Under Rs 50</v>
      </c>
      <c r="O3124" s="0" t="n">
        <f aca="false">G3124*E3124/1000</f>
        <v>0.12</v>
      </c>
    </row>
    <row r="3125" customFormat="false" ht="15" hidden="false" customHeight="false" outlineLevel="0" collapsed="false">
      <c r="A3125" s="0" t="s">
        <v>119</v>
      </c>
      <c r="B3125" s="0" t="s">
        <v>1280</v>
      </c>
      <c r="C3125" s="0" t="n">
        <v>135</v>
      </c>
      <c r="D3125" s="0" t="n">
        <v>5</v>
      </c>
      <c r="E3125" s="0" t="n">
        <v>6</v>
      </c>
      <c r="F3125" s="0" t="n">
        <v>128</v>
      </c>
      <c r="G3125" s="0" t="n">
        <v>50</v>
      </c>
      <c r="H3125" s="0" t="s">
        <v>145</v>
      </c>
      <c r="I3125" s="0" t="n">
        <v>50</v>
      </c>
      <c r="J3125" s="0" t="n">
        <f aca="false">F3125*E3125</f>
        <v>768</v>
      </c>
      <c r="K3125" s="0" t="str">
        <f aca="false">IF(G3125&lt;1000,"1-Low",IF(G3125&lt;5000,"2-Medium","3-Bulk"))</f>
        <v>1-Low</v>
      </c>
      <c r="L3125" s="0" t="str">
        <f aca="false">IF(H3125="TRUE","Out of stock","In stock")</f>
        <v>In stock</v>
      </c>
      <c r="M3125" s="0" t="str">
        <f aca="false">IF(D3125&lt;5,"1) Under 5%",IF(D3125&lt;10,"2) 5-9%",IF(D3125&lt;15,"3) 10-14%",IF(D3125&lt;25,"4) 15-24%","5) 25%+"))))</f>
        <v>2) 5-9%</v>
      </c>
      <c r="N3125" s="0" t="str">
        <f aca="false">IF(F3125&lt;50,"1) Under Rs 50",IF(F3125&lt;100,"2) Rs 50-99",IF(F3125&lt;200,"3) Rs 100-199",IF(F3125&lt;500,"4) Rs 200-499","5) Rs 500+"))))</f>
        <v>3) Rs 100-199</v>
      </c>
      <c r="O3125" s="0" t="n">
        <f aca="false">G3125*E3125/1000</f>
        <v>0.3</v>
      </c>
    </row>
    <row r="3126" customFormat="false" ht="15" hidden="false" customHeight="false" outlineLevel="0" collapsed="false">
      <c r="A3126" s="0" t="s">
        <v>119</v>
      </c>
      <c r="B3126" s="0" t="s">
        <v>1281</v>
      </c>
      <c r="C3126" s="0" t="n">
        <v>50</v>
      </c>
      <c r="D3126" s="0" t="n">
        <v>2</v>
      </c>
      <c r="E3126" s="0" t="n">
        <v>1</v>
      </c>
      <c r="F3126" s="0" t="n">
        <v>49</v>
      </c>
      <c r="G3126" s="0" t="n">
        <v>80</v>
      </c>
      <c r="H3126" s="0" t="s">
        <v>145</v>
      </c>
      <c r="I3126" s="0" t="n">
        <v>80</v>
      </c>
      <c r="J3126" s="0" t="n">
        <f aca="false">F3126*E3126</f>
        <v>49</v>
      </c>
      <c r="K3126" s="0" t="str">
        <f aca="false">IF(G3126&lt;1000,"1-Low",IF(G3126&lt;5000,"2-Medium","3-Bulk"))</f>
        <v>1-Low</v>
      </c>
      <c r="L3126" s="0" t="str">
        <f aca="false">IF(H3126="TRUE","Out of stock","In stock")</f>
        <v>In stock</v>
      </c>
      <c r="M3126" s="0" t="str">
        <f aca="false">IF(D3126&lt;5,"1) Under 5%",IF(D3126&lt;10,"2) 5-9%",IF(D3126&lt;15,"3) 10-14%",IF(D3126&lt;25,"4) 15-24%","5) 25%+"))))</f>
        <v>1) Under 5%</v>
      </c>
      <c r="N3126" s="0" t="str">
        <f aca="false">IF(F3126&lt;50,"1) Under Rs 50",IF(F3126&lt;100,"2) Rs 50-99",IF(F3126&lt;200,"3) Rs 100-199",IF(F3126&lt;500,"4) Rs 200-499","5) Rs 500+"))))</f>
        <v>1) Under Rs 50</v>
      </c>
      <c r="O3126" s="0" t="n">
        <f aca="false">G3126*E3126/1000</f>
        <v>0.08</v>
      </c>
    </row>
    <row r="3127" customFormat="false" ht="15" hidden="false" customHeight="false" outlineLevel="0" collapsed="false">
      <c r="A3127" s="0" t="s">
        <v>119</v>
      </c>
      <c r="B3127" s="0" t="s">
        <v>1282</v>
      </c>
      <c r="C3127" s="0" t="n">
        <v>199</v>
      </c>
      <c r="D3127" s="0" t="n">
        <v>6</v>
      </c>
      <c r="E3127" s="0" t="n">
        <v>5</v>
      </c>
      <c r="F3127" s="0" t="n">
        <v>186</v>
      </c>
      <c r="G3127" s="0" t="n">
        <v>375</v>
      </c>
      <c r="H3127" s="0" t="s">
        <v>145</v>
      </c>
      <c r="I3127" s="0" t="n">
        <v>375</v>
      </c>
      <c r="J3127" s="0" t="n">
        <f aca="false">F3127*E3127</f>
        <v>930</v>
      </c>
      <c r="K3127" s="0" t="str">
        <f aca="false">IF(G3127&lt;1000,"1-Low",IF(G3127&lt;5000,"2-Medium","3-Bulk"))</f>
        <v>1-Low</v>
      </c>
      <c r="L3127" s="0" t="str">
        <f aca="false">IF(H3127="TRUE","Out of stock","In stock")</f>
        <v>In stock</v>
      </c>
      <c r="M3127" s="0" t="str">
        <f aca="false">IF(D3127&lt;5,"1) Under 5%",IF(D3127&lt;10,"2) 5-9%",IF(D3127&lt;15,"3) 10-14%",IF(D3127&lt;25,"4) 15-24%","5) 25%+"))))</f>
        <v>2) 5-9%</v>
      </c>
      <c r="N3127" s="0" t="str">
        <f aca="false">IF(F3127&lt;50,"1) Under Rs 50",IF(F3127&lt;100,"2) Rs 50-99",IF(F3127&lt;200,"3) Rs 100-199",IF(F3127&lt;500,"4) Rs 200-499","5) Rs 500+"))))</f>
        <v>3) Rs 100-199</v>
      </c>
      <c r="O3127" s="0" t="n">
        <f aca="false">G3127*E3127/1000</f>
        <v>1.875</v>
      </c>
    </row>
    <row r="3128" customFormat="false" ht="15" hidden="false" customHeight="false" outlineLevel="0" collapsed="false">
      <c r="A3128" s="0" t="s">
        <v>119</v>
      </c>
      <c r="B3128" s="0" t="s">
        <v>1283</v>
      </c>
      <c r="C3128" s="0" t="n">
        <v>88</v>
      </c>
      <c r="D3128" s="0" t="n">
        <v>6</v>
      </c>
      <c r="E3128" s="0" t="n">
        <v>6</v>
      </c>
      <c r="F3128" s="0" t="n">
        <v>82</v>
      </c>
      <c r="G3128" s="0" t="n">
        <v>290</v>
      </c>
      <c r="H3128" s="0" t="s">
        <v>145</v>
      </c>
      <c r="I3128" s="0" t="n">
        <v>5</v>
      </c>
      <c r="J3128" s="0" t="n">
        <f aca="false">F3128*E3128</f>
        <v>492</v>
      </c>
      <c r="K3128" s="0" t="str">
        <f aca="false">IF(G3128&lt;1000,"1-Low",IF(G3128&lt;5000,"2-Medium","3-Bulk"))</f>
        <v>1-Low</v>
      </c>
      <c r="L3128" s="0" t="str">
        <f aca="false">IF(H3128="TRUE","Out of stock","In stock")</f>
        <v>In stock</v>
      </c>
      <c r="M3128" s="0" t="str">
        <f aca="false">IF(D3128&lt;5,"1) Under 5%",IF(D3128&lt;10,"2) 5-9%",IF(D3128&lt;15,"3) 10-14%",IF(D3128&lt;25,"4) 15-24%","5) 25%+"))))</f>
        <v>2) 5-9%</v>
      </c>
      <c r="N3128" s="0" t="str">
        <f aca="false">IF(F3128&lt;50,"1) Under Rs 50",IF(F3128&lt;100,"2) Rs 50-99",IF(F3128&lt;200,"3) Rs 100-199",IF(F3128&lt;500,"4) Rs 200-499","5) Rs 500+"))))</f>
        <v>2) Rs 50-99</v>
      </c>
      <c r="O3128" s="0" t="n">
        <f aca="false">G3128*E3128/1000</f>
        <v>1.74</v>
      </c>
    </row>
    <row r="3129" customFormat="false" ht="15" hidden="false" customHeight="false" outlineLevel="0" collapsed="false">
      <c r="A3129" s="0" t="s">
        <v>119</v>
      </c>
      <c r="B3129" s="0" t="s">
        <v>1281</v>
      </c>
      <c r="C3129" s="0" t="n">
        <v>160</v>
      </c>
      <c r="D3129" s="0" t="n">
        <v>10</v>
      </c>
      <c r="E3129" s="0" t="n">
        <v>4</v>
      </c>
      <c r="F3129" s="0" t="n">
        <v>144</v>
      </c>
      <c r="G3129" s="0" t="n">
        <v>300</v>
      </c>
      <c r="H3129" s="0" t="s">
        <v>145</v>
      </c>
      <c r="I3129" s="0" t="n">
        <v>300</v>
      </c>
      <c r="J3129" s="0" t="n">
        <f aca="false">F3129*E3129</f>
        <v>576</v>
      </c>
      <c r="K3129" s="0" t="str">
        <f aca="false">IF(G3129&lt;1000,"1-Low",IF(G3129&lt;5000,"2-Medium","3-Bulk"))</f>
        <v>1-Low</v>
      </c>
      <c r="L3129" s="0" t="str">
        <f aca="false">IF(H3129="TRUE","Out of stock","In stock")</f>
        <v>In stock</v>
      </c>
      <c r="M3129" s="0" t="str">
        <f aca="false">IF(D3129&lt;5,"1) Under 5%",IF(D3129&lt;10,"2) 5-9%",IF(D3129&lt;15,"3) 10-14%",IF(D3129&lt;25,"4) 15-24%","5) 25%+"))))</f>
        <v>3) 10-14%</v>
      </c>
      <c r="N3129" s="0" t="str">
        <f aca="false">IF(F3129&lt;50,"1) Under Rs 50",IF(F3129&lt;100,"2) Rs 50-99",IF(F3129&lt;200,"3) Rs 100-199",IF(F3129&lt;500,"4) Rs 200-499","5) Rs 500+"))))</f>
        <v>3) Rs 100-199</v>
      </c>
      <c r="O3129" s="0" t="n">
        <f aca="false">G3129*E3129/1000</f>
        <v>1.2</v>
      </c>
    </row>
    <row r="3130" customFormat="false" ht="15" hidden="false" customHeight="false" outlineLevel="0" collapsed="false">
      <c r="A3130" s="0" t="s">
        <v>119</v>
      </c>
      <c r="B3130" s="0" t="s">
        <v>1284</v>
      </c>
      <c r="C3130" s="0" t="n">
        <v>30</v>
      </c>
      <c r="D3130" s="0" t="n">
        <v>0</v>
      </c>
      <c r="E3130" s="0" t="n">
        <v>4</v>
      </c>
      <c r="F3130" s="0" t="n">
        <v>30</v>
      </c>
      <c r="G3130" s="0" t="n">
        <v>20</v>
      </c>
      <c r="H3130" s="0" t="s">
        <v>145</v>
      </c>
      <c r="I3130" s="0" t="n">
        <v>20</v>
      </c>
      <c r="J3130" s="0" t="n">
        <f aca="false">F3130*E3130</f>
        <v>120</v>
      </c>
      <c r="K3130" s="0" t="str">
        <f aca="false">IF(G3130&lt;1000,"1-Low",IF(G3130&lt;5000,"2-Medium","3-Bulk"))</f>
        <v>1-Low</v>
      </c>
      <c r="L3130" s="0" t="str">
        <f aca="false">IF(H3130="TRUE","Out of stock","In stock")</f>
        <v>In stock</v>
      </c>
      <c r="M3130" s="0" t="str">
        <f aca="false">IF(D3130&lt;5,"1) Under 5%",IF(D3130&lt;10,"2) 5-9%",IF(D3130&lt;15,"3) 10-14%",IF(D3130&lt;25,"4) 15-24%","5) 25%+"))))</f>
        <v>1) Under 5%</v>
      </c>
      <c r="N3130" s="0" t="str">
        <f aca="false">IF(F3130&lt;50,"1) Under Rs 50",IF(F3130&lt;100,"2) Rs 50-99",IF(F3130&lt;200,"3) Rs 100-199",IF(F3130&lt;500,"4) Rs 200-499","5) Rs 500+"))))</f>
        <v>1) Under Rs 50</v>
      </c>
      <c r="O3130" s="0" t="n">
        <f aca="false">G3130*E3130/1000</f>
        <v>0.08</v>
      </c>
    </row>
    <row r="3131" customFormat="false" ht="15" hidden="false" customHeight="false" outlineLevel="0" collapsed="false">
      <c r="A3131" s="0" t="s">
        <v>119</v>
      </c>
      <c r="B3131" s="0" t="s">
        <v>1285</v>
      </c>
      <c r="C3131" s="0" t="n">
        <v>185</v>
      </c>
      <c r="D3131" s="0" t="n">
        <v>15</v>
      </c>
      <c r="E3131" s="0" t="n">
        <v>3</v>
      </c>
      <c r="F3131" s="0" t="n">
        <v>157</v>
      </c>
      <c r="G3131" s="0" t="n">
        <v>100</v>
      </c>
      <c r="H3131" s="0" t="s">
        <v>145</v>
      </c>
      <c r="I3131" s="0" t="n">
        <v>100</v>
      </c>
      <c r="J3131" s="0" t="n">
        <f aca="false">F3131*E3131</f>
        <v>471</v>
      </c>
      <c r="K3131" s="0" t="str">
        <f aca="false">IF(G3131&lt;1000,"1-Low",IF(G3131&lt;5000,"2-Medium","3-Bulk"))</f>
        <v>1-Low</v>
      </c>
      <c r="L3131" s="0" t="str">
        <f aca="false">IF(H3131="TRUE","Out of stock","In stock")</f>
        <v>In stock</v>
      </c>
      <c r="M3131" s="0" t="str">
        <f aca="false">IF(D3131&lt;5,"1) Under 5%",IF(D3131&lt;10,"2) 5-9%",IF(D3131&lt;15,"3) 10-14%",IF(D3131&lt;25,"4) 15-24%","5) 25%+"))))</f>
        <v>4) 15-24%</v>
      </c>
      <c r="N3131" s="0" t="str">
        <f aca="false">IF(F3131&lt;50,"1) Under Rs 50",IF(F3131&lt;100,"2) Rs 50-99",IF(F3131&lt;200,"3) Rs 100-199",IF(F3131&lt;500,"4) Rs 200-499","5) Rs 500+"))))</f>
        <v>3) Rs 100-199</v>
      </c>
      <c r="O3131" s="0" t="n">
        <f aca="false">G3131*E3131/1000</f>
        <v>0.3</v>
      </c>
    </row>
    <row r="3132" customFormat="false" ht="15" hidden="false" customHeight="false" outlineLevel="0" collapsed="false">
      <c r="A3132" s="0" t="s">
        <v>119</v>
      </c>
      <c r="B3132" s="0" t="s">
        <v>1286</v>
      </c>
      <c r="C3132" s="0" t="n">
        <v>290</v>
      </c>
      <c r="D3132" s="0" t="n">
        <v>10</v>
      </c>
      <c r="E3132" s="0" t="n">
        <v>6</v>
      </c>
      <c r="F3132" s="0" t="n">
        <v>261</v>
      </c>
      <c r="G3132" s="0" t="n">
        <v>625</v>
      </c>
      <c r="H3132" s="0" t="s">
        <v>145</v>
      </c>
      <c r="I3132" s="0" t="n">
        <v>625</v>
      </c>
      <c r="J3132" s="0" t="n">
        <f aca="false">F3132*E3132</f>
        <v>1566</v>
      </c>
      <c r="K3132" s="0" t="str">
        <f aca="false">IF(G3132&lt;1000,"1-Low",IF(G3132&lt;5000,"2-Medium","3-Bulk"))</f>
        <v>1-Low</v>
      </c>
      <c r="L3132" s="0" t="str">
        <f aca="false">IF(H3132="TRUE","Out of stock","In stock")</f>
        <v>In stock</v>
      </c>
      <c r="M3132" s="0" t="str">
        <f aca="false">IF(D3132&lt;5,"1) Under 5%",IF(D3132&lt;10,"2) 5-9%",IF(D3132&lt;15,"3) 10-14%",IF(D3132&lt;25,"4) 15-24%","5) 25%+"))))</f>
        <v>3) 10-14%</v>
      </c>
      <c r="N3132" s="0" t="str">
        <f aca="false">IF(F3132&lt;50,"1) Under Rs 50",IF(F3132&lt;100,"2) Rs 50-99",IF(F3132&lt;200,"3) Rs 100-199",IF(F3132&lt;500,"4) Rs 200-499","5) Rs 500+"))))</f>
        <v>4) Rs 200-499</v>
      </c>
      <c r="O3132" s="0" t="n">
        <f aca="false">G3132*E3132/1000</f>
        <v>3.75</v>
      </c>
    </row>
    <row r="3133" customFormat="false" ht="15" hidden="false" customHeight="false" outlineLevel="0" collapsed="false">
      <c r="A3133" s="0" t="s">
        <v>119</v>
      </c>
      <c r="B3133" s="0" t="s">
        <v>1287</v>
      </c>
      <c r="C3133" s="0" t="n">
        <v>225</v>
      </c>
      <c r="D3133" s="0" t="n">
        <v>6</v>
      </c>
      <c r="E3133" s="0" t="n">
        <v>4</v>
      </c>
      <c r="F3133" s="0" t="n">
        <v>210</v>
      </c>
      <c r="G3133" s="0" t="n">
        <v>418</v>
      </c>
      <c r="H3133" s="0" t="s">
        <v>145</v>
      </c>
      <c r="I3133" s="0" t="n">
        <v>418</v>
      </c>
      <c r="J3133" s="0" t="n">
        <f aca="false">F3133*E3133</f>
        <v>840</v>
      </c>
      <c r="K3133" s="0" t="str">
        <f aca="false">IF(G3133&lt;1000,"1-Low",IF(G3133&lt;5000,"2-Medium","3-Bulk"))</f>
        <v>1-Low</v>
      </c>
      <c r="L3133" s="0" t="str">
        <f aca="false">IF(H3133="TRUE","Out of stock","In stock")</f>
        <v>In stock</v>
      </c>
      <c r="M3133" s="0" t="str">
        <f aca="false">IF(D3133&lt;5,"1) Under 5%",IF(D3133&lt;10,"2) 5-9%",IF(D3133&lt;15,"3) 10-14%",IF(D3133&lt;25,"4) 15-24%","5) 25%+"))))</f>
        <v>2) 5-9%</v>
      </c>
      <c r="N3133" s="0" t="str">
        <f aca="false">IF(F3133&lt;50,"1) Under Rs 50",IF(F3133&lt;100,"2) Rs 50-99",IF(F3133&lt;200,"3) Rs 100-199",IF(F3133&lt;500,"4) Rs 200-499","5) Rs 500+"))))</f>
        <v>4) Rs 200-499</v>
      </c>
      <c r="O3133" s="0" t="n">
        <f aca="false">G3133*E3133/1000</f>
        <v>1.672</v>
      </c>
    </row>
    <row r="3134" customFormat="false" ht="15" hidden="false" customHeight="false" outlineLevel="0" collapsed="false">
      <c r="A3134" s="0" t="s">
        <v>119</v>
      </c>
      <c r="B3134" s="0" t="s">
        <v>1288</v>
      </c>
      <c r="C3134" s="0" t="n">
        <v>150</v>
      </c>
      <c r="D3134" s="0" t="n">
        <v>6</v>
      </c>
      <c r="E3134" s="0" t="n">
        <v>5</v>
      </c>
      <c r="F3134" s="0" t="n">
        <v>141</v>
      </c>
      <c r="G3134" s="0" t="n">
        <v>180</v>
      </c>
      <c r="H3134" s="0" t="s">
        <v>145</v>
      </c>
      <c r="I3134" s="0" t="n">
        <v>180</v>
      </c>
      <c r="J3134" s="0" t="n">
        <f aca="false">F3134*E3134</f>
        <v>705</v>
      </c>
      <c r="K3134" s="0" t="str">
        <f aca="false">IF(G3134&lt;1000,"1-Low",IF(G3134&lt;5000,"2-Medium","3-Bulk"))</f>
        <v>1-Low</v>
      </c>
      <c r="L3134" s="0" t="str">
        <f aca="false">IF(H3134="TRUE","Out of stock","In stock")</f>
        <v>In stock</v>
      </c>
      <c r="M3134" s="0" t="str">
        <f aca="false">IF(D3134&lt;5,"1) Under 5%",IF(D3134&lt;10,"2) 5-9%",IF(D3134&lt;15,"3) 10-14%",IF(D3134&lt;25,"4) 15-24%","5) 25%+"))))</f>
        <v>2) 5-9%</v>
      </c>
      <c r="N3134" s="0" t="str">
        <f aca="false">IF(F3134&lt;50,"1) Under Rs 50",IF(F3134&lt;100,"2) Rs 50-99",IF(F3134&lt;200,"3) Rs 100-199",IF(F3134&lt;500,"4) Rs 200-499","5) Rs 500+"))))</f>
        <v>3) Rs 100-199</v>
      </c>
      <c r="O3134" s="0" t="n">
        <f aca="false">G3134*E3134/1000</f>
        <v>0.9</v>
      </c>
    </row>
    <row r="3135" customFormat="false" ht="15" hidden="false" customHeight="false" outlineLevel="0" collapsed="false">
      <c r="A3135" s="0" t="s">
        <v>119</v>
      </c>
      <c r="B3135" s="0" t="s">
        <v>1289</v>
      </c>
      <c r="C3135" s="0" t="n">
        <v>499</v>
      </c>
      <c r="D3135" s="0" t="n">
        <v>7</v>
      </c>
      <c r="E3135" s="0" t="n">
        <v>4</v>
      </c>
      <c r="F3135" s="0" t="n">
        <v>460</v>
      </c>
      <c r="G3135" s="0" t="n">
        <v>232</v>
      </c>
      <c r="H3135" s="0" t="s">
        <v>145</v>
      </c>
      <c r="I3135" s="0" t="n">
        <v>4</v>
      </c>
      <c r="J3135" s="0" t="n">
        <f aca="false">F3135*E3135</f>
        <v>1840</v>
      </c>
      <c r="K3135" s="0" t="str">
        <f aca="false">IF(G3135&lt;1000,"1-Low",IF(G3135&lt;5000,"2-Medium","3-Bulk"))</f>
        <v>1-Low</v>
      </c>
      <c r="L3135" s="0" t="str">
        <f aca="false">IF(H3135="TRUE","Out of stock","In stock")</f>
        <v>In stock</v>
      </c>
      <c r="M3135" s="0" t="str">
        <f aca="false">IF(D3135&lt;5,"1) Under 5%",IF(D3135&lt;10,"2) 5-9%",IF(D3135&lt;15,"3) 10-14%",IF(D3135&lt;25,"4) 15-24%","5) 25%+"))))</f>
        <v>2) 5-9%</v>
      </c>
      <c r="N3135" s="0" t="str">
        <f aca="false">IF(F3135&lt;50,"1) Under Rs 50",IF(F3135&lt;100,"2) Rs 50-99",IF(F3135&lt;200,"3) Rs 100-199",IF(F3135&lt;500,"4) Rs 200-499","5) Rs 500+"))))</f>
        <v>4) Rs 200-499</v>
      </c>
      <c r="O3135" s="0" t="n">
        <f aca="false">G3135*E3135/1000</f>
        <v>0.928</v>
      </c>
    </row>
    <row r="3136" customFormat="false" ht="15" hidden="false" customHeight="false" outlineLevel="0" collapsed="false">
      <c r="A3136" s="0" t="s">
        <v>119</v>
      </c>
      <c r="B3136" s="0" t="s">
        <v>1290</v>
      </c>
      <c r="C3136" s="0" t="n">
        <v>199</v>
      </c>
      <c r="D3136" s="0" t="n">
        <v>20</v>
      </c>
      <c r="E3136" s="0" t="n">
        <v>2</v>
      </c>
      <c r="F3136" s="0" t="n">
        <v>159</v>
      </c>
      <c r="G3136" s="0" t="n">
        <v>250</v>
      </c>
      <c r="H3136" s="0" t="s">
        <v>145</v>
      </c>
      <c r="I3136" s="0" t="n">
        <v>250</v>
      </c>
      <c r="J3136" s="0" t="n">
        <f aca="false">F3136*E3136</f>
        <v>318</v>
      </c>
      <c r="K3136" s="0" t="str">
        <f aca="false">IF(G3136&lt;1000,"1-Low",IF(G3136&lt;5000,"2-Medium","3-Bulk"))</f>
        <v>1-Low</v>
      </c>
      <c r="L3136" s="0" t="str">
        <f aca="false">IF(H3136="TRUE","Out of stock","In stock")</f>
        <v>In stock</v>
      </c>
      <c r="M3136" s="0" t="str">
        <f aca="false">IF(D3136&lt;5,"1) Under 5%",IF(D3136&lt;10,"2) 5-9%",IF(D3136&lt;15,"3) 10-14%",IF(D3136&lt;25,"4) 15-24%","5) 25%+"))))</f>
        <v>4) 15-24%</v>
      </c>
      <c r="N3136" s="0" t="str">
        <f aca="false">IF(F3136&lt;50,"1) Under Rs 50",IF(F3136&lt;100,"2) Rs 50-99",IF(F3136&lt;200,"3) Rs 100-199",IF(F3136&lt;500,"4) Rs 200-499","5) Rs 500+"))))</f>
        <v>3) Rs 100-199</v>
      </c>
      <c r="O3136" s="0" t="n">
        <f aca="false">G3136*E3136/1000</f>
        <v>0.5</v>
      </c>
    </row>
    <row r="3137" customFormat="false" ht="15" hidden="false" customHeight="false" outlineLevel="0" collapsed="false">
      <c r="A3137" s="0" t="s">
        <v>119</v>
      </c>
      <c r="B3137" s="0" t="s">
        <v>1291</v>
      </c>
      <c r="C3137" s="0" t="n">
        <v>99</v>
      </c>
      <c r="D3137" s="0" t="n">
        <v>0</v>
      </c>
      <c r="E3137" s="0" t="n">
        <v>6</v>
      </c>
      <c r="F3137" s="0" t="n">
        <v>99</v>
      </c>
      <c r="G3137" s="0" t="n">
        <v>750</v>
      </c>
      <c r="H3137" s="0" t="s">
        <v>145</v>
      </c>
      <c r="I3137" s="0" t="n">
        <v>750</v>
      </c>
      <c r="J3137" s="0" t="n">
        <f aca="false">F3137*E3137</f>
        <v>594</v>
      </c>
      <c r="K3137" s="0" t="str">
        <f aca="false">IF(G3137&lt;1000,"1-Low",IF(G3137&lt;5000,"2-Medium","3-Bulk"))</f>
        <v>1-Low</v>
      </c>
      <c r="L3137" s="0" t="str">
        <f aca="false">IF(H3137="TRUE","Out of stock","In stock")</f>
        <v>In stock</v>
      </c>
      <c r="M3137" s="0" t="str">
        <f aca="false">IF(D3137&lt;5,"1) Under 5%",IF(D3137&lt;10,"2) 5-9%",IF(D3137&lt;15,"3) 10-14%",IF(D3137&lt;25,"4) 15-24%","5) 25%+"))))</f>
        <v>1) Under 5%</v>
      </c>
      <c r="N3137" s="0" t="str">
        <f aca="false">IF(F3137&lt;50,"1) Under Rs 50",IF(F3137&lt;100,"2) Rs 50-99",IF(F3137&lt;200,"3) Rs 100-199",IF(F3137&lt;500,"4) Rs 200-499","5) Rs 500+"))))</f>
        <v>2) Rs 50-99</v>
      </c>
      <c r="O3137" s="0" t="n">
        <f aca="false">G3137*E3137/1000</f>
        <v>4.5</v>
      </c>
    </row>
    <row r="3138" customFormat="false" ht="15" hidden="false" customHeight="false" outlineLevel="0" collapsed="false">
      <c r="A3138" s="0" t="s">
        <v>119</v>
      </c>
      <c r="B3138" s="0" t="s">
        <v>1292</v>
      </c>
      <c r="C3138" s="0" t="n">
        <v>100</v>
      </c>
      <c r="D3138" s="0" t="n">
        <v>5</v>
      </c>
      <c r="E3138" s="0" t="n">
        <v>6</v>
      </c>
      <c r="F3138" s="0" t="n">
        <v>95</v>
      </c>
      <c r="G3138" s="0" t="n">
        <v>200</v>
      </c>
      <c r="H3138" s="0" t="s">
        <v>145</v>
      </c>
      <c r="I3138" s="0" t="n">
        <v>200</v>
      </c>
      <c r="J3138" s="0" t="n">
        <f aca="false">F3138*E3138</f>
        <v>570</v>
      </c>
      <c r="K3138" s="0" t="str">
        <f aca="false">IF(G3138&lt;1000,"1-Low",IF(G3138&lt;5000,"2-Medium","3-Bulk"))</f>
        <v>1-Low</v>
      </c>
      <c r="L3138" s="0" t="str">
        <f aca="false">IF(H3138="TRUE","Out of stock","In stock")</f>
        <v>In stock</v>
      </c>
      <c r="M3138" s="0" t="str">
        <f aca="false">IF(D3138&lt;5,"1) Under 5%",IF(D3138&lt;10,"2) 5-9%",IF(D3138&lt;15,"3) 10-14%",IF(D3138&lt;25,"4) 15-24%","5) 25%+"))))</f>
        <v>2) 5-9%</v>
      </c>
      <c r="N3138" s="0" t="str">
        <f aca="false">IF(F3138&lt;50,"1) Under Rs 50",IF(F3138&lt;100,"2) Rs 50-99",IF(F3138&lt;200,"3) Rs 100-199",IF(F3138&lt;500,"4) Rs 200-499","5) Rs 500+"))))</f>
        <v>2) Rs 50-99</v>
      </c>
      <c r="O3138" s="0" t="n">
        <f aca="false">G3138*E3138/1000</f>
        <v>1.2</v>
      </c>
    </row>
    <row r="3139" customFormat="false" ht="15" hidden="false" customHeight="false" outlineLevel="0" collapsed="false">
      <c r="A3139" s="0" t="s">
        <v>119</v>
      </c>
      <c r="B3139" s="0" t="s">
        <v>1293</v>
      </c>
      <c r="C3139" s="0" t="n">
        <v>88</v>
      </c>
      <c r="D3139" s="0" t="n">
        <v>0</v>
      </c>
      <c r="E3139" s="0" t="n">
        <v>2</v>
      </c>
      <c r="F3139" s="0" t="n">
        <v>88</v>
      </c>
      <c r="G3139" s="0" t="n">
        <v>180</v>
      </c>
      <c r="H3139" s="0" t="s">
        <v>145</v>
      </c>
      <c r="I3139" s="0" t="n">
        <v>180</v>
      </c>
      <c r="J3139" s="0" t="n">
        <f aca="false">F3139*E3139</f>
        <v>176</v>
      </c>
      <c r="K3139" s="0" t="str">
        <f aca="false">IF(G3139&lt;1000,"1-Low",IF(G3139&lt;5000,"2-Medium","3-Bulk"))</f>
        <v>1-Low</v>
      </c>
      <c r="L3139" s="0" t="str">
        <f aca="false">IF(H3139="TRUE","Out of stock","In stock")</f>
        <v>In stock</v>
      </c>
      <c r="M3139" s="0" t="str">
        <f aca="false">IF(D3139&lt;5,"1) Under 5%",IF(D3139&lt;10,"2) 5-9%",IF(D3139&lt;15,"3) 10-14%",IF(D3139&lt;25,"4) 15-24%","5) 25%+"))))</f>
        <v>1) Under 5%</v>
      </c>
      <c r="N3139" s="0" t="str">
        <f aca="false">IF(F3139&lt;50,"1) Under Rs 50",IF(F3139&lt;100,"2) Rs 50-99",IF(F3139&lt;200,"3) Rs 100-199",IF(F3139&lt;500,"4) Rs 200-499","5) Rs 500+"))))</f>
        <v>2) Rs 50-99</v>
      </c>
      <c r="O3139" s="0" t="n">
        <f aca="false">G3139*E3139/1000</f>
        <v>0.36</v>
      </c>
    </row>
    <row r="3140" customFormat="false" ht="15" hidden="false" customHeight="false" outlineLevel="0" collapsed="false">
      <c r="A3140" s="0" t="s">
        <v>119</v>
      </c>
      <c r="B3140" s="0" t="s">
        <v>1294</v>
      </c>
      <c r="C3140" s="0" t="n">
        <v>89</v>
      </c>
      <c r="D3140" s="0" t="n">
        <v>4</v>
      </c>
      <c r="E3140" s="0" t="n">
        <v>6</v>
      </c>
      <c r="F3140" s="0" t="n">
        <v>85</v>
      </c>
      <c r="G3140" s="0" t="n">
        <v>200</v>
      </c>
      <c r="H3140" s="0" t="s">
        <v>145</v>
      </c>
      <c r="I3140" s="0" t="n">
        <v>200</v>
      </c>
      <c r="J3140" s="0" t="n">
        <f aca="false">F3140*E3140</f>
        <v>510</v>
      </c>
      <c r="K3140" s="0" t="str">
        <f aca="false">IF(G3140&lt;1000,"1-Low",IF(G3140&lt;5000,"2-Medium","3-Bulk"))</f>
        <v>1-Low</v>
      </c>
      <c r="L3140" s="0" t="str">
        <f aca="false">IF(H3140="TRUE","Out of stock","In stock")</f>
        <v>In stock</v>
      </c>
      <c r="M3140" s="0" t="str">
        <f aca="false">IF(D3140&lt;5,"1) Under 5%",IF(D3140&lt;10,"2) 5-9%",IF(D3140&lt;15,"3) 10-14%",IF(D3140&lt;25,"4) 15-24%","5) 25%+"))))</f>
        <v>1) Under 5%</v>
      </c>
      <c r="N3140" s="0" t="str">
        <f aca="false">IF(F3140&lt;50,"1) Under Rs 50",IF(F3140&lt;100,"2) Rs 50-99",IF(F3140&lt;200,"3) Rs 100-199",IF(F3140&lt;500,"4) Rs 200-499","5) Rs 500+"))))</f>
        <v>2) Rs 50-99</v>
      </c>
      <c r="O3140" s="0" t="n">
        <f aca="false">G3140*E3140/1000</f>
        <v>1.2</v>
      </c>
    </row>
    <row r="3141" customFormat="false" ht="15" hidden="false" customHeight="false" outlineLevel="0" collapsed="false">
      <c r="A3141" s="0" t="s">
        <v>119</v>
      </c>
      <c r="B3141" s="0" t="s">
        <v>1295</v>
      </c>
      <c r="C3141" s="0" t="n">
        <v>199</v>
      </c>
      <c r="D3141" s="0" t="n">
        <v>0</v>
      </c>
      <c r="E3141" s="0" t="n">
        <v>6</v>
      </c>
      <c r="F3141" s="0" t="n">
        <v>199</v>
      </c>
      <c r="G3141" s="0" t="n">
        <v>192</v>
      </c>
      <c r="H3141" s="0" t="s">
        <v>145</v>
      </c>
      <c r="I3141" s="0" t="n">
        <v>180</v>
      </c>
      <c r="J3141" s="0" t="n">
        <f aca="false">F3141*E3141</f>
        <v>1194</v>
      </c>
      <c r="K3141" s="0" t="str">
        <f aca="false">IF(G3141&lt;1000,"1-Low",IF(G3141&lt;5000,"2-Medium","3-Bulk"))</f>
        <v>1-Low</v>
      </c>
      <c r="L3141" s="0" t="str">
        <f aca="false">IF(H3141="TRUE","Out of stock","In stock")</f>
        <v>In stock</v>
      </c>
      <c r="M3141" s="0" t="str">
        <f aca="false">IF(D3141&lt;5,"1) Under 5%",IF(D3141&lt;10,"2) 5-9%",IF(D3141&lt;15,"3) 10-14%",IF(D3141&lt;25,"4) 15-24%","5) 25%+"))))</f>
        <v>1) Under 5%</v>
      </c>
      <c r="N3141" s="0" t="str">
        <f aca="false">IF(F3141&lt;50,"1) Under Rs 50",IF(F3141&lt;100,"2) Rs 50-99",IF(F3141&lt;200,"3) Rs 100-199",IF(F3141&lt;500,"4) Rs 200-499","5) Rs 500+"))))</f>
        <v>3) Rs 100-199</v>
      </c>
      <c r="O3141" s="0" t="n">
        <f aca="false">G3141*E3141/1000</f>
        <v>1.152</v>
      </c>
    </row>
    <row r="3142" customFormat="false" ht="15" hidden="false" customHeight="false" outlineLevel="0" collapsed="false">
      <c r="A3142" s="0" t="s">
        <v>119</v>
      </c>
      <c r="B3142" s="0" t="s">
        <v>1296</v>
      </c>
      <c r="C3142" s="0" t="n">
        <v>90</v>
      </c>
      <c r="D3142" s="0" t="n">
        <v>0</v>
      </c>
      <c r="E3142" s="0" t="n">
        <v>5</v>
      </c>
      <c r="F3142" s="0" t="n">
        <v>90</v>
      </c>
      <c r="G3142" s="0" t="n">
        <v>150</v>
      </c>
      <c r="H3142" s="0" t="s">
        <v>145</v>
      </c>
      <c r="I3142" s="0" t="n">
        <v>150</v>
      </c>
      <c r="J3142" s="0" t="n">
        <f aca="false">F3142*E3142</f>
        <v>450</v>
      </c>
      <c r="K3142" s="0" t="str">
        <f aca="false">IF(G3142&lt;1000,"1-Low",IF(G3142&lt;5000,"2-Medium","3-Bulk"))</f>
        <v>1-Low</v>
      </c>
      <c r="L3142" s="0" t="str">
        <f aca="false">IF(H3142="TRUE","Out of stock","In stock")</f>
        <v>In stock</v>
      </c>
      <c r="M3142" s="0" t="str">
        <f aca="false">IF(D3142&lt;5,"1) Under 5%",IF(D3142&lt;10,"2) 5-9%",IF(D3142&lt;15,"3) 10-14%",IF(D3142&lt;25,"4) 15-24%","5) 25%+"))))</f>
        <v>1) Under 5%</v>
      </c>
      <c r="N3142" s="0" t="str">
        <f aca="false">IF(F3142&lt;50,"1) Under Rs 50",IF(F3142&lt;100,"2) Rs 50-99",IF(F3142&lt;200,"3) Rs 100-199",IF(F3142&lt;500,"4) Rs 200-499","5) Rs 500+"))))</f>
        <v>2) Rs 50-99</v>
      </c>
      <c r="O3142" s="0" t="n">
        <f aca="false">G3142*E3142/1000</f>
        <v>0.75</v>
      </c>
    </row>
    <row r="3143" customFormat="false" ht="15" hidden="false" customHeight="false" outlineLevel="0" collapsed="false">
      <c r="A3143" s="0" t="s">
        <v>119</v>
      </c>
      <c r="B3143" s="0" t="s">
        <v>1297</v>
      </c>
      <c r="C3143" s="0" t="n">
        <v>195</v>
      </c>
      <c r="D3143" s="0" t="n">
        <v>10</v>
      </c>
      <c r="E3143" s="0" t="n">
        <v>4</v>
      </c>
      <c r="F3143" s="0" t="n">
        <v>174</v>
      </c>
      <c r="G3143" s="0" t="n">
        <v>180</v>
      </c>
      <c r="H3143" s="0" t="s">
        <v>145</v>
      </c>
      <c r="I3143" s="0" t="n">
        <v>180</v>
      </c>
      <c r="J3143" s="0" t="n">
        <f aca="false">F3143*E3143</f>
        <v>696</v>
      </c>
      <c r="K3143" s="0" t="str">
        <f aca="false">IF(G3143&lt;1000,"1-Low",IF(G3143&lt;5000,"2-Medium","3-Bulk"))</f>
        <v>1-Low</v>
      </c>
      <c r="L3143" s="0" t="str">
        <f aca="false">IF(H3143="TRUE","Out of stock","In stock")</f>
        <v>In stock</v>
      </c>
      <c r="M3143" s="0" t="str">
        <f aca="false">IF(D3143&lt;5,"1) Under 5%",IF(D3143&lt;10,"2) 5-9%",IF(D3143&lt;15,"3) 10-14%",IF(D3143&lt;25,"4) 15-24%","5) 25%+"))))</f>
        <v>3) 10-14%</v>
      </c>
      <c r="N3143" s="0" t="str">
        <f aca="false">IF(F3143&lt;50,"1) Under Rs 50",IF(F3143&lt;100,"2) Rs 50-99",IF(F3143&lt;200,"3) Rs 100-199",IF(F3143&lt;500,"4) Rs 200-499","5) Rs 500+"))))</f>
        <v>3) Rs 100-199</v>
      </c>
      <c r="O3143" s="0" t="n">
        <f aca="false">G3143*E3143/1000</f>
        <v>0.72</v>
      </c>
    </row>
    <row r="3144" customFormat="false" ht="15" hidden="false" customHeight="false" outlineLevel="0" collapsed="false">
      <c r="A3144" s="0" t="s">
        <v>119</v>
      </c>
      <c r="B3144" s="0" t="s">
        <v>1298</v>
      </c>
      <c r="C3144" s="0" t="n">
        <v>130</v>
      </c>
      <c r="D3144" s="0" t="n">
        <v>10</v>
      </c>
      <c r="E3144" s="0" t="n">
        <v>2</v>
      </c>
      <c r="F3144" s="0" t="n">
        <v>117</v>
      </c>
      <c r="G3144" s="0" t="n">
        <v>80</v>
      </c>
      <c r="H3144" s="0" t="s">
        <v>145</v>
      </c>
      <c r="I3144" s="0" t="n">
        <v>80</v>
      </c>
      <c r="J3144" s="0" t="n">
        <f aca="false">F3144*E3144</f>
        <v>234</v>
      </c>
      <c r="K3144" s="0" t="str">
        <f aca="false">IF(G3144&lt;1000,"1-Low",IF(G3144&lt;5000,"2-Medium","3-Bulk"))</f>
        <v>1-Low</v>
      </c>
      <c r="L3144" s="0" t="str">
        <f aca="false">IF(H3144="TRUE","Out of stock","In stock")</f>
        <v>In stock</v>
      </c>
      <c r="M3144" s="0" t="str">
        <f aca="false">IF(D3144&lt;5,"1) Under 5%",IF(D3144&lt;10,"2) 5-9%",IF(D3144&lt;15,"3) 10-14%",IF(D3144&lt;25,"4) 15-24%","5) 25%+"))))</f>
        <v>3) 10-14%</v>
      </c>
      <c r="N3144" s="0" t="str">
        <f aca="false">IF(F3144&lt;50,"1) Under Rs 50",IF(F3144&lt;100,"2) Rs 50-99",IF(F3144&lt;200,"3) Rs 100-199",IF(F3144&lt;500,"4) Rs 200-499","5) Rs 500+"))))</f>
        <v>3) Rs 100-199</v>
      </c>
      <c r="O3144" s="0" t="n">
        <f aca="false">G3144*E3144/1000</f>
        <v>0.16</v>
      </c>
    </row>
    <row r="3145" customFormat="false" ht="15" hidden="false" customHeight="false" outlineLevel="0" collapsed="false">
      <c r="A3145" s="0" t="s">
        <v>119</v>
      </c>
      <c r="B3145" s="0" t="s">
        <v>1299</v>
      </c>
      <c r="C3145" s="0" t="n">
        <v>140</v>
      </c>
      <c r="D3145" s="0" t="n">
        <v>8</v>
      </c>
      <c r="E3145" s="0" t="n">
        <v>2</v>
      </c>
      <c r="F3145" s="0" t="n">
        <v>128</v>
      </c>
      <c r="G3145" s="0" t="n">
        <v>200</v>
      </c>
      <c r="H3145" s="0" t="s">
        <v>145</v>
      </c>
      <c r="I3145" s="0" t="n">
        <v>200</v>
      </c>
      <c r="J3145" s="0" t="n">
        <f aca="false">F3145*E3145</f>
        <v>256</v>
      </c>
      <c r="K3145" s="0" t="str">
        <f aca="false">IF(G3145&lt;1000,"1-Low",IF(G3145&lt;5000,"2-Medium","3-Bulk"))</f>
        <v>1-Low</v>
      </c>
      <c r="L3145" s="0" t="str">
        <f aca="false">IF(H3145="TRUE","Out of stock","In stock")</f>
        <v>In stock</v>
      </c>
      <c r="M3145" s="0" t="str">
        <f aca="false">IF(D3145&lt;5,"1) Under 5%",IF(D3145&lt;10,"2) 5-9%",IF(D3145&lt;15,"3) 10-14%",IF(D3145&lt;25,"4) 15-24%","5) 25%+"))))</f>
        <v>2) 5-9%</v>
      </c>
      <c r="N3145" s="0" t="str">
        <f aca="false">IF(F3145&lt;50,"1) Under Rs 50",IF(F3145&lt;100,"2) Rs 50-99",IF(F3145&lt;200,"3) Rs 100-199",IF(F3145&lt;500,"4) Rs 200-499","5) Rs 500+"))))</f>
        <v>3) Rs 100-199</v>
      </c>
      <c r="O3145" s="0" t="n">
        <f aca="false">G3145*E3145/1000</f>
        <v>0.4</v>
      </c>
    </row>
    <row r="3146" customFormat="false" ht="15" hidden="false" customHeight="false" outlineLevel="0" collapsed="false">
      <c r="A3146" s="0" t="s">
        <v>119</v>
      </c>
      <c r="B3146" s="0" t="s">
        <v>1300</v>
      </c>
      <c r="C3146" s="0" t="n">
        <v>30</v>
      </c>
      <c r="D3146" s="0" t="n">
        <v>3</v>
      </c>
      <c r="E3146" s="0" t="n">
        <v>6</v>
      </c>
      <c r="F3146" s="0" t="n">
        <v>29</v>
      </c>
      <c r="G3146" s="0" t="n">
        <v>406</v>
      </c>
      <c r="H3146" s="0" t="s">
        <v>145</v>
      </c>
      <c r="I3146" s="0" t="n">
        <v>7</v>
      </c>
      <c r="J3146" s="0" t="n">
        <f aca="false">F3146*E3146</f>
        <v>174</v>
      </c>
      <c r="K3146" s="0" t="str">
        <f aca="false">IF(G3146&lt;1000,"1-Low",IF(G3146&lt;5000,"2-Medium","3-Bulk"))</f>
        <v>1-Low</v>
      </c>
      <c r="L3146" s="0" t="str">
        <f aca="false">IF(H3146="TRUE","Out of stock","In stock")</f>
        <v>In stock</v>
      </c>
      <c r="M3146" s="0" t="str">
        <f aca="false">IF(D3146&lt;5,"1) Under 5%",IF(D3146&lt;10,"2) 5-9%",IF(D3146&lt;15,"3) 10-14%",IF(D3146&lt;25,"4) 15-24%","5) 25%+"))))</f>
        <v>1) Under 5%</v>
      </c>
      <c r="N3146" s="0" t="str">
        <f aca="false">IF(F3146&lt;50,"1) Under Rs 50",IF(F3146&lt;100,"2) Rs 50-99",IF(F3146&lt;200,"3) Rs 100-199",IF(F3146&lt;500,"4) Rs 200-499","5) Rs 500+"))))</f>
        <v>1) Under Rs 50</v>
      </c>
      <c r="O3146" s="0" t="n">
        <f aca="false">G3146*E3146/1000</f>
        <v>2.436</v>
      </c>
    </row>
    <row r="3147" customFormat="false" ht="15" hidden="false" customHeight="false" outlineLevel="0" collapsed="false">
      <c r="A3147" s="0" t="s">
        <v>119</v>
      </c>
      <c r="B3147" s="0" t="s">
        <v>1301</v>
      </c>
      <c r="C3147" s="0" t="n">
        <v>99</v>
      </c>
      <c r="D3147" s="0" t="n">
        <v>4</v>
      </c>
      <c r="E3147" s="0" t="n">
        <v>6</v>
      </c>
      <c r="F3147" s="0" t="n">
        <v>95</v>
      </c>
      <c r="G3147" s="0" t="n">
        <v>750</v>
      </c>
      <c r="H3147" s="0" t="s">
        <v>145</v>
      </c>
      <c r="I3147" s="0" t="n">
        <v>750</v>
      </c>
      <c r="J3147" s="0" t="n">
        <f aca="false">F3147*E3147</f>
        <v>570</v>
      </c>
      <c r="K3147" s="0" t="str">
        <f aca="false">IF(G3147&lt;1000,"1-Low",IF(G3147&lt;5000,"2-Medium","3-Bulk"))</f>
        <v>1-Low</v>
      </c>
      <c r="L3147" s="0" t="str">
        <f aca="false">IF(H3147="TRUE","Out of stock","In stock")</f>
        <v>In stock</v>
      </c>
      <c r="M3147" s="0" t="str">
        <f aca="false">IF(D3147&lt;5,"1) Under 5%",IF(D3147&lt;10,"2) 5-9%",IF(D3147&lt;15,"3) 10-14%",IF(D3147&lt;25,"4) 15-24%","5) 25%+"))))</f>
        <v>1) Under 5%</v>
      </c>
      <c r="N3147" s="0" t="str">
        <f aca="false">IF(F3147&lt;50,"1) Under Rs 50",IF(F3147&lt;100,"2) Rs 50-99",IF(F3147&lt;200,"3) Rs 100-199",IF(F3147&lt;500,"4) Rs 200-499","5) Rs 500+"))))</f>
        <v>2) Rs 50-99</v>
      </c>
      <c r="O3147" s="0" t="n">
        <f aca="false">G3147*E3147/1000</f>
        <v>4.5</v>
      </c>
    </row>
    <row r="3148" customFormat="false" ht="15" hidden="false" customHeight="false" outlineLevel="0" collapsed="false">
      <c r="A3148" s="0" t="s">
        <v>119</v>
      </c>
      <c r="B3148" s="0" t="s">
        <v>1302</v>
      </c>
      <c r="C3148" s="0" t="n">
        <v>190</v>
      </c>
      <c r="D3148" s="0" t="n">
        <v>14</v>
      </c>
      <c r="E3148" s="0" t="n">
        <v>6</v>
      </c>
      <c r="F3148" s="0" t="n">
        <v>162</v>
      </c>
      <c r="G3148" s="0" t="n">
        <v>175</v>
      </c>
      <c r="H3148" s="0" t="s">
        <v>145</v>
      </c>
      <c r="I3148" s="0" t="n">
        <v>80</v>
      </c>
      <c r="J3148" s="0" t="n">
        <f aca="false">F3148*E3148</f>
        <v>972</v>
      </c>
      <c r="K3148" s="0" t="str">
        <f aca="false">IF(G3148&lt;1000,"1-Low",IF(G3148&lt;5000,"2-Medium","3-Bulk"))</f>
        <v>1-Low</v>
      </c>
      <c r="L3148" s="0" t="str">
        <f aca="false">IF(H3148="TRUE","Out of stock","In stock")</f>
        <v>In stock</v>
      </c>
      <c r="M3148" s="0" t="str">
        <f aca="false">IF(D3148&lt;5,"1) Under 5%",IF(D3148&lt;10,"2) 5-9%",IF(D3148&lt;15,"3) 10-14%",IF(D3148&lt;25,"4) 15-24%","5) 25%+"))))</f>
        <v>3) 10-14%</v>
      </c>
      <c r="N3148" s="0" t="str">
        <f aca="false">IF(F3148&lt;50,"1) Under Rs 50",IF(F3148&lt;100,"2) Rs 50-99",IF(F3148&lt;200,"3) Rs 100-199",IF(F3148&lt;500,"4) Rs 200-499","5) Rs 500+"))))</f>
        <v>3) Rs 100-199</v>
      </c>
      <c r="O3148" s="0" t="n">
        <f aca="false">G3148*E3148/1000</f>
        <v>1.05</v>
      </c>
    </row>
    <row r="3149" customFormat="false" ht="15" hidden="false" customHeight="false" outlineLevel="0" collapsed="false">
      <c r="A3149" s="0" t="s">
        <v>119</v>
      </c>
      <c r="B3149" s="0" t="s">
        <v>1303</v>
      </c>
      <c r="C3149" s="0" t="n">
        <v>75</v>
      </c>
      <c r="D3149" s="0" t="n">
        <v>5</v>
      </c>
      <c r="E3149" s="0" t="n">
        <v>4</v>
      </c>
      <c r="F3149" s="0" t="n">
        <v>71</v>
      </c>
      <c r="G3149" s="0" t="n">
        <v>100</v>
      </c>
      <c r="H3149" s="0" t="s">
        <v>145</v>
      </c>
      <c r="I3149" s="0" t="n">
        <v>100</v>
      </c>
      <c r="J3149" s="0" t="n">
        <f aca="false">F3149*E3149</f>
        <v>284</v>
      </c>
      <c r="K3149" s="0" t="str">
        <f aca="false">IF(G3149&lt;1000,"1-Low",IF(G3149&lt;5000,"2-Medium","3-Bulk"))</f>
        <v>1-Low</v>
      </c>
      <c r="L3149" s="0" t="str">
        <f aca="false">IF(H3149="TRUE","Out of stock","In stock")</f>
        <v>In stock</v>
      </c>
      <c r="M3149" s="0" t="str">
        <f aca="false">IF(D3149&lt;5,"1) Under 5%",IF(D3149&lt;10,"2) 5-9%",IF(D3149&lt;15,"3) 10-14%",IF(D3149&lt;25,"4) 15-24%","5) 25%+"))))</f>
        <v>2) 5-9%</v>
      </c>
      <c r="N3149" s="0" t="str">
        <f aca="false">IF(F3149&lt;50,"1) Under Rs 50",IF(F3149&lt;100,"2) Rs 50-99",IF(F3149&lt;200,"3) Rs 100-199",IF(F3149&lt;500,"4) Rs 200-499","5) Rs 500+"))))</f>
        <v>2) Rs 50-99</v>
      </c>
      <c r="O3149" s="0" t="n">
        <f aca="false">G3149*E3149/1000</f>
        <v>0.4</v>
      </c>
    </row>
    <row r="3150" customFormat="false" ht="15" hidden="false" customHeight="false" outlineLevel="0" collapsed="false">
      <c r="A3150" s="0" t="s">
        <v>119</v>
      </c>
      <c r="B3150" s="0" t="s">
        <v>1304</v>
      </c>
      <c r="C3150" s="0" t="n">
        <v>82</v>
      </c>
      <c r="D3150" s="0" t="n">
        <v>9</v>
      </c>
      <c r="E3150" s="0" t="n">
        <v>6</v>
      </c>
      <c r="F3150" s="0" t="n">
        <v>74</v>
      </c>
      <c r="G3150" s="0" t="n">
        <v>190</v>
      </c>
      <c r="H3150" s="0" t="s">
        <v>145</v>
      </c>
      <c r="I3150" s="0" t="n">
        <v>190</v>
      </c>
      <c r="J3150" s="0" t="n">
        <f aca="false">F3150*E3150</f>
        <v>444</v>
      </c>
      <c r="K3150" s="0" t="str">
        <f aca="false">IF(G3150&lt;1000,"1-Low",IF(G3150&lt;5000,"2-Medium","3-Bulk"))</f>
        <v>1-Low</v>
      </c>
      <c r="L3150" s="0" t="str">
        <f aca="false">IF(H3150="TRUE","Out of stock","In stock")</f>
        <v>In stock</v>
      </c>
      <c r="M3150" s="0" t="str">
        <f aca="false">IF(D3150&lt;5,"1) Under 5%",IF(D3150&lt;10,"2) 5-9%",IF(D3150&lt;15,"3) 10-14%",IF(D3150&lt;25,"4) 15-24%","5) 25%+"))))</f>
        <v>2) 5-9%</v>
      </c>
      <c r="N3150" s="0" t="str">
        <f aca="false">IF(F3150&lt;50,"1) Under Rs 50",IF(F3150&lt;100,"2) Rs 50-99",IF(F3150&lt;200,"3) Rs 100-199",IF(F3150&lt;500,"4) Rs 200-499","5) Rs 500+"))))</f>
        <v>2) Rs 50-99</v>
      </c>
      <c r="O3150" s="0" t="n">
        <f aca="false">G3150*E3150/1000</f>
        <v>1.14</v>
      </c>
    </row>
    <row r="3151" customFormat="false" ht="15" hidden="false" customHeight="false" outlineLevel="0" collapsed="false">
      <c r="A3151" s="0" t="s">
        <v>119</v>
      </c>
      <c r="B3151" s="0" t="s">
        <v>1305</v>
      </c>
      <c r="C3151" s="0" t="n">
        <v>79</v>
      </c>
      <c r="D3151" s="0" t="n">
        <v>6</v>
      </c>
      <c r="E3151" s="0" t="n">
        <v>6</v>
      </c>
      <c r="F3151" s="0" t="n">
        <v>74</v>
      </c>
      <c r="G3151" s="0" t="n">
        <v>1160</v>
      </c>
      <c r="H3151" s="0" t="s">
        <v>145</v>
      </c>
      <c r="I3151" s="0" t="n">
        <v>20</v>
      </c>
      <c r="J3151" s="0" t="n">
        <f aca="false">F3151*E3151</f>
        <v>444</v>
      </c>
      <c r="K3151" s="0" t="str">
        <f aca="false">IF(G3151&lt;1000,"1-Low",IF(G3151&lt;5000,"2-Medium","3-Bulk"))</f>
        <v>2-Medium</v>
      </c>
      <c r="L3151" s="0" t="str">
        <f aca="false">IF(H3151="TRUE","Out of stock","In stock")</f>
        <v>In stock</v>
      </c>
      <c r="M3151" s="0" t="str">
        <f aca="false">IF(D3151&lt;5,"1) Under 5%",IF(D3151&lt;10,"2) 5-9%",IF(D3151&lt;15,"3) 10-14%",IF(D3151&lt;25,"4) 15-24%","5) 25%+"))))</f>
        <v>2) 5-9%</v>
      </c>
      <c r="N3151" s="0" t="str">
        <f aca="false">IF(F3151&lt;50,"1) Under Rs 50",IF(F3151&lt;100,"2) Rs 50-99",IF(F3151&lt;200,"3) Rs 100-199",IF(F3151&lt;500,"4) Rs 200-499","5) Rs 500+"))))</f>
        <v>2) Rs 50-99</v>
      </c>
      <c r="O3151" s="0" t="n">
        <f aca="false">G3151*E3151/1000</f>
        <v>6.96</v>
      </c>
    </row>
    <row r="3152" customFormat="false" ht="15" hidden="false" customHeight="false" outlineLevel="0" collapsed="false">
      <c r="A3152" s="0" t="s">
        <v>119</v>
      </c>
      <c r="B3152" s="0" t="s">
        <v>1306</v>
      </c>
      <c r="C3152" s="0" t="n">
        <v>79</v>
      </c>
      <c r="D3152" s="0" t="n">
        <v>0</v>
      </c>
      <c r="E3152" s="0" t="n">
        <v>6</v>
      </c>
      <c r="F3152" s="0" t="n">
        <v>79</v>
      </c>
      <c r="G3152" s="0" t="n">
        <v>200</v>
      </c>
      <c r="H3152" s="0" t="s">
        <v>145</v>
      </c>
      <c r="I3152" s="0" t="n">
        <v>200</v>
      </c>
      <c r="J3152" s="0" t="n">
        <f aca="false">F3152*E3152</f>
        <v>474</v>
      </c>
      <c r="K3152" s="0" t="str">
        <f aca="false">IF(G3152&lt;1000,"1-Low",IF(G3152&lt;5000,"2-Medium","3-Bulk"))</f>
        <v>1-Low</v>
      </c>
      <c r="L3152" s="0" t="str">
        <f aca="false">IF(H3152="TRUE","Out of stock","In stock")</f>
        <v>In stock</v>
      </c>
      <c r="M3152" s="0" t="str">
        <f aca="false">IF(D3152&lt;5,"1) Under 5%",IF(D3152&lt;10,"2) 5-9%",IF(D3152&lt;15,"3) 10-14%",IF(D3152&lt;25,"4) 15-24%","5) 25%+"))))</f>
        <v>1) Under 5%</v>
      </c>
      <c r="N3152" s="0" t="str">
        <f aca="false">IF(F3152&lt;50,"1) Under Rs 50",IF(F3152&lt;100,"2) Rs 50-99",IF(F3152&lt;200,"3) Rs 100-199",IF(F3152&lt;500,"4) Rs 200-499","5) Rs 500+"))))</f>
        <v>2) Rs 50-99</v>
      </c>
      <c r="O3152" s="0" t="n">
        <f aca="false">G3152*E3152/1000</f>
        <v>1.2</v>
      </c>
    </row>
    <row r="3153" customFormat="false" ht="15" hidden="false" customHeight="false" outlineLevel="0" collapsed="false">
      <c r="A3153" s="0" t="s">
        <v>119</v>
      </c>
      <c r="B3153" s="0" t="s">
        <v>1307</v>
      </c>
      <c r="C3153" s="0" t="n">
        <v>75</v>
      </c>
      <c r="D3153" s="0" t="n">
        <v>9</v>
      </c>
      <c r="E3153" s="0" t="n">
        <v>6</v>
      </c>
      <c r="F3153" s="0" t="n">
        <v>68</v>
      </c>
      <c r="G3153" s="0" t="n">
        <v>70</v>
      </c>
      <c r="H3153" s="0" t="s">
        <v>145</v>
      </c>
      <c r="I3153" s="0" t="n">
        <v>70</v>
      </c>
      <c r="J3153" s="0" t="n">
        <f aca="false">F3153*E3153</f>
        <v>408</v>
      </c>
      <c r="K3153" s="0" t="str">
        <f aca="false">IF(G3153&lt;1000,"1-Low",IF(G3153&lt;5000,"2-Medium","3-Bulk"))</f>
        <v>1-Low</v>
      </c>
      <c r="L3153" s="0" t="str">
        <f aca="false">IF(H3153="TRUE","Out of stock","In stock")</f>
        <v>In stock</v>
      </c>
      <c r="M3153" s="0" t="str">
        <f aca="false">IF(D3153&lt;5,"1) Under 5%",IF(D3153&lt;10,"2) 5-9%",IF(D3153&lt;15,"3) 10-14%",IF(D3153&lt;25,"4) 15-24%","5) 25%+"))))</f>
        <v>2) 5-9%</v>
      </c>
      <c r="N3153" s="0" t="str">
        <f aca="false">IF(F3153&lt;50,"1) Under Rs 50",IF(F3153&lt;100,"2) Rs 50-99",IF(F3153&lt;200,"3) Rs 100-199",IF(F3153&lt;500,"4) Rs 200-499","5) Rs 500+"))))</f>
        <v>2) Rs 50-99</v>
      </c>
      <c r="O3153" s="0" t="n">
        <f aca="false">G3153*E3153/1000</f>
        <v>0.42</v>
      </c>
    </row>
    <row r="3154" customFormat="false" ht="15" hidden="false" customHeight="false" outlineLevel="0" collapsed="false">
      <c r="A3154" s="0" t="s">
        <v>119</v>
      </c>
      <c r="B3154" s="0" t="s">
        <v>1308</v>
      </c>
      <c r="C3154" s="0" t="n">
        <v>135</v>
      </c>
      <c r="D3154" s="0" t="n">
        <v>5</v>
      </c>
      <c r="E3154" s="0" t="n">
        <v>5</v>
      </c>
      <c r="F3154" s="0" t="n">
        <v>128</v>
      </c>
      <c r="G3154" s="0" t="n">
        <v>50</v>
      </c>
      <c r="H3154" s="0" t="s">
        <v>145</v>
      </c>
      <c r="I3154" s="0" t="n">
        <v>50</v>
      </c>
      <c r="J3154" s="0" t="n">
        <f aca="false">F3154*E3154</f>
        <v>640</v>
      </c>
      <c r="K3154" s="0" t="str">
        <f aca="false">IF(G3154&lt;1000,"1-Low",IF(G3154&lt;5000,"2-Medium","3-Bulk"))</f>
        <v>1-Low</v>
      </c>
      <c r="L3154" s="0" t="str">
        <f aca="false">IF(H3154="TRUE","Out of stock","In stock")</f>
        <v>In stock</v>
      </c>
      <c r="M3154" s="0" t="str">
        <f aca="false">IF(D3154&lt;5,"1) Under 5%",IF(D3154&lt;10,"2) 5-9%",IF(D3154&lt;15,"3) 10-14%",IF(D3154&lt;25,"4) 15-24%","5) 25%+"))))</f>
        <v>2) 5-9%</v>
      </c>
      <c r="N3154" s="0" t="str">
        <f aca="false">IF(F3154&lt;50,"1) Under Rs 50",IF(F3154&lt;100,"2) Rs 50-99",IF(F3154&lt;200,"3) Rs 100-199",IF(F3154&lt;500,"4) Rs 200-499","5) Rs 500+"))))</f>
        <v>3) Rs 100-199</v>
      </c>
      <c r="O3154" s="0" t="n">
        <f aca="false">G3154*E3154/1000</f>
        <v>0.25</v>
      </c>
    </row>
    <row r="3155" customFormat="false" ht="15" hidden="false" customHeight="false" outlineLevel="0" collapsed="false">
      <c r="A3155" s="0" t="s">
        <v>119</v>
      </c>
      <c r="B3155" s="0" t="s">
        <v>1309</v>
      </c>
      <c r="C3155" s="0" t="n">
        <v>265</v>
      </c>
      <c r="D3155" s="0" t="n">
        <v>0</v>
      </c>
      <c r="E3155" s="0" t="n">
        <v>2</v>
      </c>
      <c r="F3155" s="0" t="n">
        <v>265</v>
      </c>
      <c r="G3155" s="0" t="n">
        <v>396</v>
      </c>
      <c r="H3155" s="0" t="s">
        <v>145</v>
      </c>
      <c r="I3155" s="0" t="n">
        <v>360</v>
      </c>
      <c r="J3155" s="0" t="n">
        <f aca="false">F3155*E3155</f>
        <v>530</v>
      </c>
      <c r="K3155" s="0" t="str">
        <f aca="false">IF(G3155&lt;1000,"1-Low",IF(G3155&lt;5000,"2-Medium","3-Bulk"))</f>
        <v>1-Low</v>
      </c>
      <c r="L3155" s="0" t="str">
        <f aca="false">IF(H3155="TRUE","Out of stock","In stock")</f>
        <v>In stock</v>
      </c>
      <c r="M3155" s="0" t="str">
        <f aca="false">IF(D3155&lt;5,"1) Under 5%",IF(D3155&lt;10,"2) 5-9%",IF(D3155&lt;15,"3) 10-14%",IF(D3155&lt;25,"4) 15-24%","5) 25%+"))))</f>
        <v>1) Under 5%</v>
      </c>
      <c r="N3155" s="0" t="str">
        <f aca="false">IF(F3155&lt;50,"1) Under Rs 50",IF(F3155&lt;100,"2) Rs 50-99",IF(F3155&lt;200,"3) Rs 100-199",IF(F3155&lt;500,"4) Rs 200-499","5) Rs 500+"))))</f>
        <v>4) Rs 200-499</v>
      </c>
      <c r="O3155" s="0" t="n">
        <f aca="false">G3155*E3155/1000</f>
        <v>0.792</v>
      </c>
    </row>
    <row r="3156" customFormat="false" ht="15" hidden="false" customHeight="false" outlineLevel="0" collapsed="false">
      <c r="A3156" s="0" t="s">
        <v>119</v>
      </c>
      <c r="B3156" s="0" t="s">
        <v>1310</v>
      </c>
      <c r="C3156" s="0" t="n">
        <v>160</v>
      </c>
      <c r="D3156" s="0" t="n">
        <v>11</v>
      </c>
      <c r="E3156" s="0" t="n">
        <v>6</v>
      </c>
      <c r="F3156" s="0" t="n">
        <v>141</v>
      </c>
      <c r="G3156" s="0" t="n">
        <v>375</v>
      </c>
      <c r="H3156" s="0" t="s">
        <v>145</v>
      </c>
      <c r="I3156" s="0" t="n">
        <v>375</v>
      </c>
      <c r="J3156" s="0" t="n">
        <f aca="false">F3156*E3156</f>
        <v>846</v>
      </c>
      <c r="K3156" s="0" t="str">
        <f aca="false">IF(G3156&lt;1000,"1-Low",IF(G3156&lt;5000,"2-Medium","3-Bulk"))</f>
        <v>1-Low</v>
      </c>
      <c r="L3156" s="0" t="str">
        <f aca="false">IF(H3156="TRUE","Out of stock","In stock")</f>
        <v>In stock</v>
      </c>
      <c r="M3156" s="0" t="str">
        <f aca="false">IF(D3156&lt;5,"1) Under 5%",IF(D3156&lt;10,"2) 5-9%",IF(D3156&lt;15,"3) 10-14%",IF(D3156&lt;25,"4) 15-24%","5) 25%+"))))</f>
        <v>3) 10-14%</v>
      </c>
      <c r="N3156" s="0" t="str">
        <f aca="false">IF(F3156&lt;50,"1) Under Rs 50",IF(F3156&lt;100,"2) Rs 50-99",IF(F3156&lt;200,"3) Rs 100-199",IF(F3156&lt;500,"4) Rs 200-499","5) Rs 500+"))))</f>
        <v>3) Rs 100-199</v>
      </c>
      <c r="O3156" s="0" t="n">
        <f aca="false">G3156*E3156/1000</f>
        <v>2.25</v>
      </c>
    </row>
    <row r="3157" customFormat="false" ht="15" hidden="false" customHeight="false" outlineLevel="0" collapsed="false">
      <c r="A3157" s="0" t="s">
        <v>119</v>
      </c>
      <c r="B3157" s="0" t="s">
        <v>1311</v>
      </c>
      <c r="C3157" s="0" t="n">
        <v>140</v>
      </c>
      <c r="D3157" s="0" t="n">
        <v>15</v>
      </c>
      <c r="E3157" s="0" t="n">
        <v>6</v>
      </c>
      <c r="F3157" s="0" t="n">
        <v>119</v>
      </c>
      <c r="G3157" s="0" t="n">
        <v>5</v>
      </c>
      <c r="H3157" s="0" t="s">
        <v>145</v>
      </c>
      <c r="I3157" s="0" t="n">
        <v>4</v>
      </c>
      <c r="J3157" s="0" t="n">
        <f aca="false">F3157*E3157</f>
        <v>714</v>
      </c>
      <c r="K3157" s="0" t="str">
        <f aca="false">IF(G3157&lt;1000,"1-Low",IF(G3157&lt;5000,"2-Medium","3-Bulk"))</f>
        <v>1-Low</v>
      </c>
      <c r="L3157" s="0" t="str">
        <f aca="false">IF(H3157="TRUE","Out of stock","In stock")</f>
        <v>In stock</v>
      </c>
      <c r="M3157" s="0" t="str">
        <f aca="false">IF(D3157&lt;5,"1) Under 5%",IF(D3157&lt;10,"2) 5-9%",IF(D3157&lt;15,"3) 10-14%",IF(D3157&lt;25,"4) 15-24%","5) 25%+"))))</f>
        <v>4) 15-24%</v>
      </c>
      <c r="N3157" s="0" t="str">
        <f aca="false">IF(F3157&lt;50,"1) Under Rs 50",IF(F3157&lt;100,"2) Rs 50-99",IF(F3157&lt;200,"3) Rs 100-199",IF(F3157&lt;500,"4) Rs 200-499","5) Rs 500+"))))</f>
        <v>3) Rs 100-199</v>
      </c>
      <c r="O3157" s="0" t="n">
        <f aca="false">G3157*E3157/1000</f>
        <v>0.03</v>
      </c>
    </row>
    <row r="3158" customFormat="false" ht="15" hidden="false" customHeight="false" outlineLevel="0" collapsed="false">
      <c r="A3158" s="0" t="s">
        <v>119</v>
      </c>
      <c r="B3158" s="0" t="s">
        <v>1312</v>
      </c>
      <c r="C3158" s="0" t="n">
        <v>99</v>
      </c>
      <c r="D3158" s="0" t="n">
        <v>0</v>
      </c>
      <c r="E3158" s="0" t="n">
        <v>3</v>
      </c>
      <c r="F3158" s="0" t="n">
        <v>99</v>
      </c>
      <c r="G3158" s="0" t="n">
        <v>232</v>
      </c>
      <c r="H3158" s="0" t="s">
        <v>145</v>
      </c>
      <c r="I3158" s="0" t="n">
        <v>4</v>
      </c>
      <c r="J3158" s="0" t="n">
        <f aca="false">F3158*E3158</f>
        <v>297</v>
      </c>
      <c r="K3158" s="0" t="str">
        <f aca="false">IF(G3158&lt;1000,"1-Low",IF(G3158&lt;5000,"2-Medium","3-Bulk"))</f>
        <v>1-Low</v>
      </c>
      <c r="L3158" s="0" t="str">
        <f aca="false">IF(H3158="TRUE","Out of stock","In stock")</f>
        <v>In stock</v>
      </c>
      <c r="M3158" s="0" t="str">
        <f aca="false">IF(D3158&lt;5,"1) Under 5%",IF(D3158&lt;10,"2) 5-9%",IF(D3158&lt;15,"3) 10-14%",IF(D3158&lt;25,"4) 15-24%","5) 25%+"))))</f>
        <v>1) Under 5%</v>
      </c>
      <c r="N3158" s="0" t="str">
        <f aca="false">IF(F3158&lt;50,"1) Under Rs 50",IF(F3158&lt;100,"2) Rs 50-99",IF(F3158&lt;200,"3) Rs 100-199",IF(F3158&lt;500,"4) Rs 200-499","5) Rs 500+"))))</f>
        <v>2) Rs 50-99</v>
      </c>
      <c r="O3158" s="0" t="n">
        <f aca="false">G3158*E3158/1000</f>
        <v>0.696</v>
      </c>
    </row>
    <row r="3159" customFormat="false" ht="15" hidden="false" customHeight="false" outlineLevel="0" collapsed="false">
      <c r="A3159" s="0" t="s">
        <v>119</v>
      </c>
      <c r="B3159" s="0" t="s">
        <v>1313</v>
      </c>
      <c r="C3159" s="0" t="n">
        <v>250</v>
      </c>
      <c r="D3159" s="0" t="n">
        <v>10</v>
      </c>
      <c r="E3159" s="0" t="n">
        <v>3</v>
      </c>
      <c r="F3159" s="0" t="n">
        <v>225</v>
      </c>
      <c r="G3159" s="0" t="n">
        <v>30</v>
      </c>
      <c r="H3159" s="0" t="s">
        <v>145</v>
      </c>
      <c r="I3159" s="0" t="n">
        <v>30</v>
      </c>
      <c r="J3159" s="0" t="n">
        <f aca="false">F3159*E3159</f>
        <v>675</v>
      </c>
      <c r="K3159" s="0" t="str">
        <f aca="false">IF(G3159&lt;1000,"1-Low",IF(G3159&lt;5000,"2-Medium","3-Bulk"))</f>
        <v>1-Low</v>
      </c>
      <c r="L3159" s="0" t="str">
        <f aca="false">IF(H3159="TRUE","Out of stock","In stock")</f>
        <v>In stock</v>
      </c>
      <c r="M3159" s="0" t="str">
        <f aca="false">IF(D3159&lt;5,"1) Under 5%",IF(D3159&lt;10,"2) 5-9%",IF(D3159&lt;15,"3) 10-14%",IF(D3159&lt;25,"4) 15-24%","5) 25%+"))))</f>
        <v>3) 10-14%</v>
      </c>
      <c r="N3159" s="0" t="str">
        <f aca="false">IF(F3159&lt;50,"1) Under Rs 50",IF(F3159&lt;100,"2) Rs 50-99",IF(F3159&lt;200,"3) Rs 100-199",IF(F3159&lt;500,"4) Rs 200-499","5) Rs 500+"))))</f>
        <v>4) Rs 200-499</v>
      </c>
      <c r="O3159" s="0" t="n">
        <f aca="false">G3159*E3159/1000</f>
        <v>0.09</v>
      </c>
    </row>
    <row r="3160" customFormat="false" ht="15" hidden="false" customHeight="false" outlineLevel="0" collapsed="false">
      <c r="A3160" s="0" t="s">
        <v>119</v>
      </c>
      <c r="B3160" s="0" t="s">
        <v>1314</v>
      </c>
      <c r="C3160" s="0" t="n">
        <v>499</v>
      </c>
      <c r="D3160" s="0" t="n">
        <v>10</v>
      </c>
      <c r="E3160" s="0" t="n">
        <v>3</v>
      </c>
      <c r="F3160" s="0" t="n">
        <v>449</v>
      </c>
      <c r="G3160" s="0" t="n">
        <v>650</v>
      </c>
      <c r="H3160" s="0" t="s">
        <v>145</v>
      </c>
      <c r="I3160" s="0" t="n">
        <v>650</v>
      </c>
      <c r="J3160" s="0" t="n">
        <f aca="false">F3160*E3160</f>
        <v>1347</v>
      </c>
      <c r="K3160" s="0" t="str">
        <f aca="false">IF(G3160&lt;1000,"1-Low",IF(G3160&lt;5000,"2-Medium","3-Bulk"))</f>
        <v>1-Low</v>
      </c>
      <c r="L3160" s="0" t="str">
        <f aca="false">IF(H3160="TRUE","Out of stock","In stock")</f>
        <v>In stock</v>
      </c>
      <c r="M3160" s="0" t="str">
        <f aca="false">IF(D3160&lt;5,"1) Under 5%",IF(D3160&lt;10,"2) 5-9%",IF(D3160&lt;15,"3) 10-14%",IF(D3160&lt;25,"4) 15-24%","5) 25%+"))))</f>
        <v>3) 10-14%</v>
      </c>
      <c r="N3160" s="0" t="str">
        <f aca="false">IF(F3160&lt;50,"1) Under Rs 50",IF(F3160&lt;100,"2) Rs 50-99",IF(F3160&lt;200,"3) Rs 100-199",IF(F3160&lt;500,"4) Rs 200-499","5) Rs 500+"))))</f>
        <v>4) Rs 200-499</v>
      </c>
      <c r="O3160" s="0" t="n">
        <f aca="false">G3160*E3160/1000</f>
        <v>1.95</v>
      </c>
    </row>
    <row r="3161" customFormat="false" ht="15" hidden="false" customHeight="false" outlineLevel="0" collapsed="false">
      <c r="A3161" s="0" t="s">
        <v>119</v>
      </c>
      <c r="B3161" s="0" t="s">
        <v>1315</v>
      </c>
      <c r="C3161" s="0" t="n">
        <v>98</v>
      </c>
      <c r="D3161" s="0" t="n">
        <v>0</v>
      </c>
      <c r="E3161" s="0" t="n">
        <v>5</v>
      </c>
      <c r="F3161" s="0" t="n">
        <v>98</v>
      </c>
      <c r="G3161" s="0" t="n">
        <v>100</v>
      </c>
      <c r="H3161" s="0" t="s">
        <v>145</v>
      </c>
      <c r="I3161" s="0" t="n">
        <v>100</v>
      </c>
      <c r="J3161" s="0" t="n">
        <f aca="false">F3161*E3161</f>
        <v>490</v>
      </c>
      <c r="K3161" s="0" t="str">
        <f aca="false">IF(G3161&lt;1000,"1-Low",IF(G3161&lt;5000,"2-Medium","3-Bulk"))</f>
        <v>1-Low</v>
      </c>
      <c r="L3161" s="0" t="str">
        <f aca="false">IF(H3161="TRUE","Out of stock","In stock")</f>
        <v>In stock</v>
      </c>
      <c r="M3161" s="0" t="str">
        <f aca="false">IF(D3161&lt;5,"1) Under 5%",IF(D3161&lt;10,"2) 5-9%",IF(D3161&lt;15,"3) 10-14%",IF(D3161&lt;25,"4) 15-24%","5) 25%+"))))</f>
        <v>1) Under 5%</v>
      </c>
      <c r="N3161" s="0" t="str">
        <f aca="false">IF(F3161&lt;50,"1) Under Rs 50",IF(F3161&lt;100,"2) Rs 50-99",IF(F3161&lt;200,"3) Rs 100-199",IF(F3161&lt;500,"4) Rs 200-499","5) Rs 500+"))))</f>
        <v>2) Rs 50-99</v>
      </c>
      <c r="O3161" s="0" t="n">
        <f aca="false">G3161*E3161/1000</f>
        <v>0.5</v>
      </c>
    </row>
    <row r="3162" customFormat="false" ht="15" hidden="false" customHeight="false" outlineLevel="0" collapsed="false">
      <c r="A3162" s="0" t="s">
        <v>119</v>
      </c>
      <c r="B3162" s="0" t="s">
        <v>1316</v>
      </c>
      <c r="C3162" s="0" t="n">
        <v>120</v>
      </c>
      <c r="D3162" s="0" t="n">
        <v>0</v>
      </c>
      <c r="E3162" s="0" t="n">
        <v>3</v>
      </c>
      <c r="F3162" s="0" t="n">
        <v>120</v>
      </c>
      <c r="G3162" s="0" t="n">
        <v>348</v>
      </c>
      <c r="H3162" s="0" t="s">
        <v>145</v>
      </c>
      <c r="I3162" s="0" t="n">
        <v>6</v>
      </c>
      <c r="J3162" s="0" t="n">
        <f aca="false">F3162*E3162</f>
        <v>360</v>
      </c>
      <c r="K3162" s="0" t="str">
        <f aca="false">IF(G3162&lt;1000,"1-Low",IF(G3162&lt;5000,"2-Medium","3-Bulk"))</f>
        <v>1-Low</v>
      </c>
      <c r="L3162" s="0" t="str">
        <f aca="false">IF(H3162="TRUE","Out of stock","In stock")</f>
        <v>In stock</v>
      </c>
      <c r="M3162" s="0" t="str">
        <f aca="false">IF(D3162&lt;5,"1) Under 5%",IF(D3162&lt;10,"2) 5-9%",IF(D3162&lt;15,"3) 10-14%",IF(D3162&lt;25,"4) 15-24%","5) 25%+"))))</f>
        <v>1) Under 5%</v>
      </c>
      <c r="N3162" s="0" t="str">
        <f aca="false">IF(F3162&lt;50,"1) Under Rs 50",IF(F3162&lt;100,"2) Rs 50-99",IF(F3162&lt;200,"3) Rs 100-199",IF(F3162&lt;500,"4) Rs 200-499","5) Rs 500+"))))</f>
        <v>3) Rs 100-199</v>
      </c>
      <c r="O3162" s="0" t="n">
        <f aca="false">G3162*E3162/1000</f>
        <v>1.044</v>
      </c>
    </row>
    <row r="3163" customFormat="false" ht="15" hidden="false" customHeight="false" outlineLevel="0" collapsed="false">
      <c r="A3163" s="0" t="s">
        <v>119</v>
      </c>
      <c r="B3163" s="0" t="s">
        <v>1317</v>
      </c>
      <c r="C3163" s="0" t="n">
        <v>189</v>
      </c>
      <c r="D3163" s="0" t="n">
        <v>0</v>
      </c>
      <c r="E3163" s="0" t="n">
        <v>6</v>
      </c>
      <c r="F3163" s="0" t="n">
        <v>189</v>
      </c>
      <c r="G3163" s="0" t="n">
        <v>1500</v>
      </c>
      <c r="H3163" s="0" t="s">
        <v>145</v>
      </c>
      <c r="I3163" s="0" t="n">
        <v>1500</v>
      </c>
      <c r="J3163" s="0" t="n">
        <f aca="false">F3163*E3163</f>
        <v>1134</v>
      </c>
      <c r="K3163" s="0" t="str">
        <f aca="false">IF(G3163&lt;1000,"1-Low",IF(G3163&lt;5000,"2-Medium","3-Bulk"))</f>
        <v>2-Medium</v>
      </c>
      <c r="L3163" s="0" t="str">
        <f aca="false">IF(H3163="TRUE","Out of stock","In stock")</f>
        <v>In stock</v>
      </c>
      <c r="M3163" s="0" t="str">
        <f aca="false">IF(D3163&lt;5,"1) Under 5%",IF(D3163&lt;10,"2) 5-9%",IF(D3163&lt;15,"3) 10-14%",IF(D3163&lt;25,"4) 15-24%","5) 25%+"))))</f>
        <v>1) Under 5%</v>
      </c>
      <c r="N3163" s="0" t="str">
        <f aca="false">IF(F3163&lt;50,"1) Under Rs 50",IF(F3163&lt;100,"2) Rs 50-99",IF(F3163&lt;200,"3) Rs 100-199",IF(F3163&lt;500,"4) Rs 200-499","5) Rs 500+"))))</f>
        <v>3) Rs 100-199</v>
      </c>
      <c r="O3163" s="0" t="n">
        <f aca="false">G3163*E3163/1000</f>
        <v>9</v>
      </c>
    </row>
    <row r="3164" customFormat="false" ht="15" hidden="false" customHeight="false" outlineLevel="0" collapsed="false">
      <c r="A3164" s="0" t="s">
        <v>119</v>
      </c>
      <c r="B3164" s="0" t="s">
        <v>1318</v>
      </c>
      <c r="C3164" s="0" t="n">
        <v>75</v>
      </c>
      <c r="D3164" s="0" t="n">
        <v>0</v>
      </c>
      <c r="E3164" s="0" t="n">
        <v>6</v>
      </c>
      <c r="F3164" s="0" t="n">
        <v>75</v>
      </c>
      <c r="G3164" s="0" t="n">
        <v>40</v>
      </c>
      <c r="H3164" s="0" t="s">
        <v>145</v>
      </c>
      <c r="I3164" s="0" t="n">
        <v>40</v>
      </c>
      <c r="J3164" s="0" t="n">
        <f aca="false">F3164*E3164</f>
        <v>450</v>
      </c>
      <c r="K3164" s="0" t="str">
        <f aca="false">IF(G3164&lt;1000,"1-Low",IF(G3164&lt;5000,"2-Medium","3-Bulk"))</f>
        <v>1-Low</v>
      </c>
      <c r="L3164" s="0" t="str">
        <f aca="false">IF(H3164="TRUE","Out of stock","In stock")</f>
        <v>In stock</v>
      </c>
      <c r="M3164" s="0" t="str">
        <f aca="false">IF(D3164&lt;5,"1) Under 5%",IF(D3164&lt;10,"2) 5-9%",IF(D3164&lt;15,"3) 10-14%",IF(D3164&lt;25,"4) 15-24%","5) 25%+"))))</f>
        <v>1) Under 5%</v>
      </c>
      <c r="N3164" s="0" t="str">
        <f aca="false">IF(F3164&lt;50,"1) Under Rs 50",IF(F3164&lt;100,"2) Rs 50-99",IF(F3164&lt;200,"3) Rs 100-199",IF(F3164&lt;500,"4) Rs 200-499","5) Rs 500+"))))</f>
        <v>2) Rs 50-99</v>
      </c>
      <c r="O3164" s="0" t="n">
        <f aca="false">G3164*E3164/1000</f>
        <v>0.24</v>
      </c>
    </row>
    <row r="3165" customFormat="false" ht="15" hidden="false" customHeight="false" outlineLevel="0" collapsed="false">
      <c r="A3165" s="0" t="s">
        <v>119</v>
      </c>
      <c r="B3165" s="0" t="s">
        <v>1319</v>
      </c>
      <c r="C3165" s="0" t="n">
        <v>330</v>
      </c>
      <c r="D3165" s="0" t="n">
        <v>2</v>
      </c>
      <c r="E3165" s="0" t="n">
        <v>6</v>
      </c>
      <c r="F3165" s="0" t="n">
        <v>323</v>
      </c>
      <c r="G3165" s="0" t="n">
        <v>30</v>
      </c>
      <c r="H3165" s="0" t="s">
        <v>145</v>
      </c>
      <c r="I3165" s="0" t="n">
        <v>30</v>
      </c>
      <c r="J3165" s="0" t="n">
        <f aca="false">F3165*E3165</f>
        <v>1938</v>
      </c>
      <c r="K3165" s="0" t="str">
        <f aca="false">IF(G3165&lt;1000,"1-Low",IF(G3165&lt;5000,"2-Medium","3-Bulk"))</f>
        <v>1-Low</v>
      </c>
      <c r="L3165" s="0" t="str">
        <f aca="false">IF(H3165="TRUE","Out of stock","In stock")</f>
        <v>In stock</v>
      </c>
      <c r="M3165" s="0" t="str">
        <f aca="false">IF(D3165&lt;5,"1) Under 5%",IF(D3165&lt;10,"2) 5-9%",IF(D3165&lt;15,"3) 10-14%",IF(D3165&lt;25,"4) 15-24%","5) 25%+"))))</f>
        <v>1) Under 5%</v>
      </c>
      <c r="N3165" s="0" t="str">
        <f aca="false">IF(F3165&lt;50,"1) Under Rs 50",IF(F3165&lt;100,"2) Rs 50-99",IF(F3165&lt;200,"3) Rs 100-199",IF(F3165&lt;500,"4) Rs 200-499","5) Rs 500+"))))</f>
        <v>4) Rs 200-499</v>
      </c>
      <c r="O3165" s="0" t="n">
        <f aca="false">G3165*E3165/1000</f>
        <v>0.18</v>
      </c>
    </row>
    <row r="3166" customFormat="false" ht="15" hidden="false" customHeight="false" outlineLevel="0" collapsed="false">
      <c r="A3166" s="0" t="s">
        <v>119</v>
      </c>
      <c r="B3166" s="0" t="s">
        <v>1320</v>
      </c>
      <c r="C3166" s="0" t="n">
        <v>80</v>
      </c>
      <c r="D3166" s="0" t="n">
        <v>0</v>
      </c>
      <c r="E3166" s="0" t="n">
        <v>1</v>
      </c>
      <c r="F3166" s="0" t="n">
        <v>80</v>
      </c>
      <c r="G3166" s="0" t="n">
        <v>60</v>
      </c>
      <c r="H3166" s="0" t="s">
        <v>145</v>
      </c>
      <c r="I3166" s="0" t="n">
        <v>60</v>
      </c>
      <c r="J3166" s="0" t="n">
        <f aca="false">F3166*E3166</f>
        <v>80</v>
      </c>
      <c r="K3166" s="0" t="str">
        <f aca="false">IF(G3166&lt;1000,"1-Low",IF(G3166&lt;5000,"2-Medium","3-Bulk"))</f>
        <v>1-Low</v>
      </c>
      <c r="L3166" s="0" t="str">
        <f aca="false">IF(H3166="TRUE","Out of stock","In stock")</f>
        <v>In stock</v>
      </c>
      <c r="M3166" s="0" t="str">
        <f aca="false">IF(D3166&lt;5,"1) Under 5%",IF(D3166&lt;10,"2) 5-9%",IF(D3166&lt;15,"3) 10-14%",IF(D3166&lt;25,"4) 15-24%","5) 25%+"))))</f>
        <v>1) Under 5%</v>
      </c>
      <c r="N3166" s="0" t="str">
        <f aca="false">IF(F3166&lt;50,"1) Under Rs 50",IF(F3166&lt;100,"2) Rs 50-99",IF(F3166&lt;200,"3) Rs 100-199",IF(F3166&lt;500,"4) Rs 200-499","5) Rs 500+"))))</f>
        <v>2) Rs 50-99</v>
      </c>
      <c r="O3166" s="0" t="n">
        <f aca="false">G3166*E3166/1000</f>
        <v>0.06</v>
      </c>
    </row>
    <row r="3167" customFormat="false" ht="15" hidden="false" customHeight="false" outlineLevel="0" collapsed="false">
      <c r="A3167" s="0" t="s">
        <v>119</v>
      </c>
      <c r="B3167" s="0" t="s">
        <v>1321</v>
      </c>
      <c r="C3167" s="0" t="n">
        <v>210</v>
      </c>
      <c r="D3167" s="0" t="n">
        <v>0</v>
      </c>
      <c r="E3167" s="0" t="n">
        <v>6</v>
      </c>
      <c r="F3167" s="0" t="n">
        <v>210</v>
      </c>
      <c r="G3167" s="0" t="n">
        <v>150</v>
      </c>
      <c r="H3167" s="0" t="s">
        <v>145</v>
      </c>
      <c r="I3167" s="0" t="n">
        <v>150</v>
      </c>
      <c r="J3167" s="0" t="n">
        <f aca="false">F3167*E3167</f>
        <v>1260</v>
      </c>
      <c r="K3167" s="0" t="str">
        <f aca="false">IF(G3167&lt;1000,"1-Low",IF(G3167&lt;5000,"2-Medium","3-Bulk"))</f>
        <v>1-Low</v>
      </c>
      <c r="L3167" s="0" t="str">
        <f aca="false">IF(H3167="TRUE","Out of stock","In stock")</f>
        <v>In stock</v>
      </c>
      <c r="M3167" s="0" t="str">
        <f aca="false">IF(D3167&lt;5,"1) Under 5%",IF(D3167&lt;10,"2) 5-9%",IF(D3167&lt;15,"3) 10-14%",IF(D3167&lt;25,"4) 15-24%","5) 25%+"))))</f>
        <v>1) Under 5%</v>
      </c>
      <c r="N3167" s="0" t="str">
        <f aca="false">IF(F3167&lt;50,"1) Under Rs 50",IF(F3167&lt;100,"2) Rs 50-99",IF(F3167&lt;200,"3) Rs 100-199",IF(F3167&lt;500,"4) Rs 200-499","5) Rs 500+"))))</f>
        <v>4) Rs 200-499</v>
      </c>
      <c r="O3167" s="0" t="n">
        <f aca="false">G3167*E3167/1000</f>
        <v>0.9</v>
      </c>
    </row>
    <row r="3168" customFormat="false" ht="15" hidden="false" customHeight="false" outlineLevel="0" collapsed="false">
      <c r="A3168" s="0" t="s">
        <v>119</v>
      </c>
      <c r="B3168" s="0" t="s">
        <v>1322</v>
      </c>
      <c r="C3168" s="0" t="n">
        <v>99</v>
      </c>
      <c r="D3168" s="0" t="n">
        <v>0</v>
      </c>
      <c r="E3168" s="0" t="n">
        <v>6</v>
      </c>
      <c r="F3168" s="0" t="n">
        <v>99</v>
      </c>
      <c r="G3168" s="0" t="n">
        <v>232</v>
      </c>
      <c r="H3168" s="0" t="s">
        <v>145</v>
      </c>
      <c r="I3168" s="0" t="n">
        <v>4</v>
      </c>
      <c r="J3168" s="0" t="n">
        <f aca="false">F3168*E3168</f>
        <v>594</v>
      </c>
      <c r="K3168" s="0" t="str">
        <f aca="false">IF(G3168&lt;1000,"1-Low",IF(G3168&lt;5000,"2-Medium","3-Bulk"))</f>
        <v>1-Low</v>
      </c>
      <c r="L3168" s="0" t="str">
        <f aca="false">IF(H3168="TRUE","Out of stock","In stock")</f>
        <v>In stock</v>
      </c>
      <c r="M3168" s="0" t="str">
        <f aca="false">IF(D3168&lt;5,"1) Under 5%",IF(D3168&lt;10,"2) 5-9%",IF(D3168&lt;15,"3) 10-14%",IF(D3168&lt;25,"4) 15-24%","5) 25%+"))))</f>
        <v>1) Under 5%</v>
      </c>
      <c r="N3168" s="0" t="str">
        <f aca="false">IF(F3168&lt;50,"1) Under Rs 50",IF(F3168&lt;100,"2) Rs 50-99",IF(F3168&lt;200,"3) Rs 100-199",IF(F3168&lt;500,"4) Rs 200-499","5) Rs 500+"))))</f>
        <v>2) Rs 50-99</v>
      </c>
      <c r="O3168" s="0" t="n">
        <f aca="false">G3168*E3168/1000</f>
        <v>1.392</v>
      </c>
    </row>
    <row r="3169" customFormat="false" ht="15" hidden="false" customHeight="false" outlineLevel="0" collapsed="false">
      <c r="A3169" s="0" t="s">
        <v>119</v>
      </c>
      <c r="B3169" s="0" t="s">
        <v>1323</v>
      </c>
      <c r="C3169" s="0" t="n">
        <v>449</v>
      </c>
      <c r="D3169" s="0" t="n">
        <v>7</v>
      </c>
      <c r="E3169" s="0" t="n">
        <v>6</v>
      </c>
      <c r="F3169" s="0" t="n">
        <v>415</v>
      </c>
      <c r="G3169" s="0" t="n">
        <v>44</v>
      </c>
      <c r="H3169" s="0" t="s">
        <v>145</v>
      </c>
      <c r="I3169" s="0" t="n">
        <v>44</v>
      </c>
      <c r="J3169" s="0" t="n">
        <f aca="false">F3169*E3169</f>
        <v>2490</v>
      </c>
      <c r="K3169" s="0" t="str">
        <f aca="false">IF(G3169&lt;1000,"1-Low",IF(G3169&lt;5000,"2-Medium","3-Bulk"))</f>
        <v>1-Low</v>
      </c>
      <c r="L3169" s="0" t="str">
        <f aca="false">IF(H3169="TRUE","Out of stock","In stock")</f>
        <v>In stock</v>
      </c>
      <c r="M3169" s="0" t="str">
        <f aca="false">IF(D3169&lt;5,"1) Under 5%",IF(D3169&lt;10,"2) 5-9%",IF(D3169&lt;15,"3) 10-14%",IF(D3169&lt;25,"4) 15-24%","5) 25%+"))))</f>
        <v>2) 5-9%</v>
      </c>
      <c r="N3169" s="0" t="str">
        <f aca="false">IF(F3169&lt;50,"1) Under Rs 50",IF(F3169&lt;100,"2) Rs 50-99",IF(F3169&lt;200,"3) Rs 100-199",IF(F3169&lt;500,"4) Rs 200-499","5) Rs 500+"))))</f>
        <v>4) Rs 200-499</v>
      </c>
      <c r="O3169" s="0" t="n">
        <f aca="false">G3169*E3169/1000</f>
        <v>0.264</v>
      </c>
    </row>
    <row r="3170" customFormat="false" ht="15" hidden="false" customHeight="false" outlineLevel="0" collapsed="false">
      <c r="A3170" s="0" t="s">
        <v>119</v>
      </c>
      <c r="B3170" s="0" t="s">
        <v>1324</v>
      </c>
      <c r="C3170" s="0" t="n">
        <v>90</v>
      </c>
      <c r="D3170" s="0" t="n">
        <v>0</v>
      </c>
      <c r="E3170" s="0" t="n">
        <v>6</v>
      </c>
      <c r="F3170" s="0" t="n">
        <v>90</v>
      </c>
      <c r="G3170" s="0" t="n">
        <v>1160</v>
      </c>
      <c r="H3170" s="0" t="s">
        <v>145</v>
      </c>
      <c r="I3170" s="0" t="n">
        <v>20</v>
      </c>
      <c r="J3170" s="0" t="n">
        <f aca="false">F3170*E3170</f>
        <v>540</v>
      </c>
      <c r="K3170" s="0" t="str">
        <f aca="false">IF(G3170&lt;1000,"1-Low",IF(G3170&lt;5000,"2-Medium","3-Bulk"))</f>
        <v>2-Medium</v>
      </c>
      <c r="L3170" s="0" t="str">
        <f aca="false">IF(H3170="TRUE","Out of stock","In stock")</f>
        <v>In stock</v>
      </c>
      <c r="M3170" s="0" t="str">
        <f aca="false">IF(D3170&lt;5,"1) Under 5%",IF(D3170&lt;10,"2) 5-9%",IF(D3170&lt;15,"3) 10-14%",IF(D3170&lt;25,"4) 15-24%","5) 25%+"))))</f>
        <v>1) Under 5%</v>
      </c>
      <c r="N3170" s="0" t="str">
        <f aca="false">IF(F3170&lt;50,"1) Under Rs 50",IF(F3170&lt;100,"2) Rs 50-99",IF(F3170&lt;200,"3) Rs 100-199",IF(F3170&lt;500,"4) Rs 200-499","5) Rs 500+"))))</f>
        <v>2) Rs 50-99</v>
      </c>
      <c r="O3170" s="0" t="n">
        <f aca="false">G3170*E3170/1000</f>
        <v>6.96</v>
      </c>
    </row>
    <row r="3171" customFormat="false" ht="15" hidden="false" customHeight="false" outlineLevel="0" collapsed="false">
      <c r="A3171" s="0" t="s">
        <v>119</v>
      </c>
      <c r="B3171" s="0" t="s">
        <v>1325</v>
      </c>
      <c r="C3171" s="0" t="n">
        <v>210</v>
      </c>
      <c r="D3171" s="0" t="n">
        <v>7</v>
      </c>
      <c r="E3171" s="0" t="n">
        <v>5</v>
      </c>
      <c r="F3171" s="0" t="n">
        <v>194</v>
      </c>
      <c r="G3171" s="0" t="n">
        <v>150</v>
      </c>
      <c r="H3171" s="0" t="s">
        <v>145</v>
      </c>
      <c r="I3171" s="0" t="n">
        <v>150</v>
      </c>
      <c r="J3171" s="0" t="n">
        <f aca="false">F3171*E3171</f>
        <v>970</v>
      </c>
      <c r="K3171" s="0" t="str">
        <f aca="false">IF(G3171&lt;1000,"1-Low",IF(G3171&lt;5000,"2-Medium","3-Bulk"))</f>
        <v>1-Low</v>
      </c>
      <c r="L3171" s="0" t="str">
        <f aca="false">IF(H3171="TRUE","Out of stock","In stock")</f>
        <v>In stock</v>
      </c>
      <c r="M3171" s="0" t="str">
        <f aca="false">IF(D3171&lt;5,"1) Under 5%",IF(D3171&lt;10,"2) 5-9%",IF(D3171&lt;15,"3) 10-14%",IF(D3171&lt;25,"4) 15-24%","5) 25%+"))))</f>
        <v>2) 5-9%</v>
      </c>
      <c r="N3171" s="0" t="str">
        <f aca="false">IF(F3171&lt;50,"1) Under Rs 50",IF(F3171&lt;100,"2) Rs 50-99",IF(F3171&lt;200,"3) Rs 100-199",IF(F3171&lt;500,"4) Rs 200-499","5) Rs 500+"))))</f>
        <v>3) Rs 100-199</v>
      </c>
      <c r="O3171" s="0" t="n">
        <f aca="false">G3171*E3171/1000</f>
        <v>0.75</v>
      </c>
    </row>
    <row r="3172" customFormat="false" ht="15" hidden="false" customHeight="false" outlineLevel="0" collapsed="false">
      <c r="A3172" s="0" t="s">
        <v>119</v>
      </c>
      <c r="B3172" s="0" t="s">
        <v>1326</v>
      </c>
      <c r="C3172" s="0" t="n">
        <v>150</v>
      </c>
      <c r="D3172" s="0" t="n">
        <v>0</v>
      </c>
      <c r="E3172" s="0" t="n">
        <v>4</v>
      </c>
      <c r="F3172" s="0" t="n">
        <v>150</v>
      </c>
      <c r="G3172" s="0" t="n">
        <v>180</v>
      </c>
      <c r="H3172" s="0" t="s">
        <v>145</v>
      </c>
      <c r="I3172" s="0" t="n">
        <v>180</v>
      </c>
      <c r="J3172" s="0" t="n">
        <f aca="false">F3172*E3172</f>
        <v>600</v>
      </c>
      <c r="K3172" s="0" t="str">
        <f aca="false">IF(G3172&lt;1000,"1-Low",IF(G3172&lt;5000,"2-Medium","3-Bulk"))</f>
        <v>1-Low</v>
      </c>
      <c r="L3172" s="0" t="str">
        <f aca="false">IF(H3172="TRUE","Out of stock","In stock")</f>
        <v>In stock</v>
      </c>
      <c r="M3172" s="0" t="str">
        <f aca="false">IF(D3172&lt;5,"1) Under 5%",IF(D3172&lt;10,"2) 5-9%",IF(D3172&lt;15,"3) 10-14%",IF(D3172&lt;25,"4) 15-24%","5) 25%+"))))</f>
        <v>1) Under 5%</v>
      </c>
      <c r="N3172" s="0" t="str">
        <f aca="false">IF(F3172&lt;50,"1) Under Rs 50",IF(F3172&lt;100,"2) Rs 50-99",IF(F3172&lt;200,"3) Rs 100-199",IF(F3172&lt;500,"4) Rs 200-499","5) Rs 500+"))))</f>
        <v>3) Rs 100-199</v>
      </c>
      <c r="O3172" s="0" t="n">
        <f aca="false">G3172*E3172/1000</f>
        <v>0.72</v>
      </c>
    </row>
    <row r="3173" customFormat="false" ht="15" hidden="false" customHeight="false" outlineLevel="0" collapsed="false">
      <c r="A3173" s="0" t="s">
        <v>119</v>
      </c>
      <c r="B3173" s="0" t="s">
        <v>1327</v>
      </c>
      <c r="C3173" s="0" t="n">
        <v>105</v>
      </c>
      <c r="D3173" s="0" t="n">
        <v>0</v>
      </c>
      <c r="E3173" s="0" t="n">
        <v>2</v>
      </c>
      <c r="F3173" s="0" t="n">
        <v>105</v>
      </c>
      <c r="G3173" s="0" t="n">
        <v>175</v>
      </c>
      <c r="H3173" s="0" t="s">
        <v>145</v>
      </c>
      <c r="I3173" s="0" t="n">
        <v>175</v>
      </c>
      <c r="J3173" s="0" t="n">
        <f aca="false">F3173*E3173</f>
        <v>210</v>
      </c>
      <c r="K3173" s="0" t="str">
        <f aca="false">IF(G3173&lt;1000,"1-Low",IF(G3173&lt;5000,"2-Medium","3-Bulk"))</f>
        <v>1-Low</v>
      </c>
      <c r="L3173" s="0" t="str">
        <f aca="false">IF(H3173="TRUE","Out of stock","In stock")</f>
        <v>In stock</v>
      </c>
      <c r="M3173" s="0" t="str">
        <f aca="false">IF(D3173&lt;5,"1) Under 5%",IF(D3173&lt;10,"2) 5-9%",IF(D3173&lt;15,"3) 10-14%",IF(D3173&lt;25,"4) 15-24%","5) 25%+"))))</f>
        <v>1) Under 5%</v>
      </c>
      <c r="N3173" s="0" t="str">
        <f aca="false">IF(F3173&lt;50,"1) Under Rs 50",IF(F3173&lt;100,"2) Rs 50-99",IF(F3173&lt;200,"3) Rs 100-199",IF(F3173&lt;500,"4) Rs 200-499","5) Rs 500+"))))</f>
        <v>3) Rs 100-199</v>
      </c>
      <c r="O3173" s="0" t="n">
        <f aca="false">G3173*E3173/1000</f>
        <v>0.35</v>
      </c>
    </row>
    <row r="3174" customFormat="false" ht="15" hidden="false" customHeight="false" outlineLevel="0" collapsed="false">
      <c r="A3174" s="0" t="s">
        <v>119</v>
      </c>
      <c r="B3174" s="0" t="s">
        <v>1328</v>
      </c>
      <c r="C3174" s="0" t="n">
        <v>210</v>
      </c>
      <c r="D3174" s="0" t="n">
        <v>7</v>
      </c>
      <c r="E3174" s="0" t="n">
        <v>6</v>
      </c>
      <c r="F3174" s="0" t="n">
        <v>194</v>
      </c>
      <c r="G3174" s="0" t="n">
        <v>120</v>
      </c>
      <c r="H3174" s="0" t="s">
        <v>145</v>
      </c>
      <c r="I3174" s="0" t="n">
        <v>120</v>
      </c>
      <c r="J3174" s="0" t="n">
        <f aca="false">F3174*E3174</f>
        <v>1164</v>
      </c>
      <c r="K3174" s="0" t="str">
        <f aca="false">IF(G3174&lt;1000,"1-Low",IF(G3174&lt;5000,"2-Medium","3-Bulk"))</f>
        <v>1-Low</v>
      </c>
      <c r="L3174" s="0" t="str">
        <f aca="false">IF(H3174="TRUE","Out of stock","In stock")</f>
        <v>In stock</v>
      </c>
      <c r="M3174" s="0" t="str">
        <f aca="false">IF(D3174&lt;5,"1) Under 5%",IF(D3174&lt;10,"2) 5-9%",IF(D3174&lt;15,"3) 10-14%",IF(D3174&lt;25,"4) 15-24%","5) 25%+"))))</f>
        <v>2) 5-9%</v>
      </c>
      <c r="N3174" s="0" t="str">
        <f aca="false">IF(F3174&lt;50,"1) Under Rs 50",IF(F3174&lt;100,"2) Rs 50-99",IF(F3174&lt;200,"3) Rs 100-199",IF(F3174&lt;500,"4) Rs 200-499","5) Rs 500+"))))</f>
        <v>3) Rs 100-199</v>
      </c>
      <c r="O3174" s="0" t="n">
        <f aca="false">G3174*E3174/1000</f>
        <v>0.72</v>
      </c>
    </row>
    <row r="3175" customFormat="false" ht="15" hidden="false" customHeight="false" outlineLevel="0" collapsed="false">
      <c r="A3175" s="0" t="s">
        <v>119</v>
      </c>
      <c r="B3175" s="0" t="s">
        <v>1329</v>
      </c>
      <c r="C3175" s="0" t="n">
        <v>380</v>
      </c>
      <c r="D3175" s="0" t="n">
        <v>0</v>
      </c>
      <c r="E3175" s="0" t="n">
        <v>3</v>
      </c>
      <c r="F3175" s="0" t="n">
        <v>380</v>
      </c>
      <c r="G3175" s="0" t="n">
        <v>340</v>
      </c>
      <c r="H3175" s="0" t="s">
        <v>145</v>
      </c>
      <c r="I3175" s="0" t="n">
        <v>340</v>
      </c>
      <c r="J3175" s="0" t="n">
        <f aca="false">F3175*E3175</f>
        <v>1140</v>
      </c>
      <c r="K3175" s="0" t="str">
        <f aca="false">IF(G3175&lt;1000,"1-Low",IF(G3175&lt;5000,"2-Medium","3-Bulk"))</f>
        <v>1-Low</v>
      </c>
      <c r="L3175" s="0" t="str">
        <f aca="false">IF(H3175="TRUE","Out of stock","In stock")</f>
        <v>In stock</v>
      </c>
      <c r="M3175" s="0" t="str">
        <f aca="false">IF(D3175&lt;5,"1) Under 5%",IF(D3175&lt;10,"2) 5-9%",IF(D3175&lt;15,"3) 10-14%",IF(D3175&lt;25,"4) 15-24%","5) 25%+"))))</f>
        <v>1) Under 5%</v>
      </c>
      <c r="N3175" s="0" t="str">
        <f aca="false">IF(F3175&lt;50,"1) Under Rs 50",IF(F3175&lt;100,"2) Rs 50-99",IF(F3175&lt;200,"3) Rs 100-199",IF(F3175&lt;500,"4) Rs 200-499","5) Rs 500+"))))</f>
        <v>4) Rs 200-499</v>
      </c>
      <c r="O3175" s="0" t="n">
        <f aca="false">G3175*E3175/1000</f>
        <v>1.02</v>
      </c>
    </row>
    <row r="3176" customFormat="false" ht="15" hidden="false" customHeight="false" outlineLevel="0" collapsed="false">
      <c r="A3176" s="0" t="s">
        <v>119</v>
      </c>
      <c r="B3176" s="0" t="s">
        <v>1330</v>
      </c>
      <c r="C3176" s="0" t="n">
        <v>180</v>
      </c>
      <c r="D3176" s="0" t="n">
        <v>0</v>
      </c>
      <c r="E3176" s="0" t="n">
        <v>1</v>
      </c>
      <c r="F3176" s="0" t="n">
        <v>180</v>
      </c>
      <c r="G3176" s="0" t="n">
        <v>100</v>
      </c>
      <c r="H3176" s="0" t="s">
        <v>145</v>
      </c>
      <c r="I3176" s="0" t="n">
        <v>100</v>
      </c>
      <c r="J3176" s="0" t="n">
        <f aca="false">F3176*E3176</f>
        <v>180</v>
      </c>
      <c r="K3176" s="0" t="str">
        <f aca="false">IF(G3176&lt;1000,"1-Low",IF(G3176&lt;5000,"2-Medium","3-Bulk"))</f>
        <v>1-Low</v>
      </c>
      <c r="L3176" s="0" t="str">
        <f aca="false">IF(H3176="TRUE","Out of stock","In stock")</f>
        <v>In stock</v>
      </c>
      <c r="M3176" s="0" t="str">
        <f aca="false">IF(D3176&lt;5,"1) Under 5%",IF(D3176&lt;10,"2) 5-9%",IF(D3176&lt;15,"3) 10-14%",IF(D3176&lt;25,"4) 15-24%","5) 25%+"))))</f>
        <v>1) Under 5%</v>
      </c>
      <c r="N3176" s="0" t="str">
        <f aca="false">IF(F3176&lt;50,"1) Under Rs 50",IF(F3176&lt;100,"2) Rs 50-99",IF(F3176&lt;200,"3) Rs 100-199",IF(F3176&lt;500,"4) Rs 200-499","5) Rs 500+"))))</f>
        <v>3) Rs 100-199</v>
      </c>
      <c r="O3176" s="0" t="n">
        <f aca="false">G3176*E3176/1000</f>
        <v>0.1</v>
      </c>
    </row>
    <row r="3177" customFormat="false" ht="15" hidden="false" customHeight="false" outlineLevel="0" collapsed="false">
      <c r="A3177" s="0" t="s">
        <v>119</v>
      </c>
      <c r="B3177" s="0" t="s">
        <v>1331</v>
      </c>
      <c r="C3177" s="0" t="n">
        <v>75</v>
      </c>
      <c r="D3177" s="0" t="n">
        <v>13</v>
      </c>
      <c r="E3177" s="0" t="n">
        <v>4</v>
      </c>
      <c r="F3177" s="0" t="n">
        <v>65</v>
      </c>
      <c r="G3177" s="0" t="n">
        <v>25</v>
      </c>
      <c r="H3177" s="0" t="s">
        <v>145</v>
      </c>
      <c r="I3177" s="0" t="n">
        <v>25</v>
      </c>
      <c r="J3177" s="0" t="n">
        <f aca="false">F3177*E3177</f>
        <v>260</v>
      </c>
      <c r="K3177" s="0" t="str">
        <f aca="false">IF(G3177&lt;1000,"1-Low",IF(G3177&lt;5000,"2-Medium","3-Bulk"))</f>
        <v>1-Low</v>
      </c>
      <c r="L3177" s="0" t="str">
        <f aca="false">IF(H3177="TRUE","Out of stock","In stock")</f>
        <v>In stock</v>
      </c>
      <c r="M3177" s="0" t="str">
        <f aca="false">IF(D3177&lt;5,"1) Under 5%",IF(D3177&lt;10,"2) 5-9%",IF(D3177&lt;15,"3) 10-14%",IF(D3177&lt;25,"4) 15-24%","5) 25%+"))))</f>
        <v>3) 10-14%</v>
      </c>
      <c r="N3177" s="0" t="str">
        <f aca="false">IF(F3177&lt;50,"1) Under Rs 50",IF(F3177&lt;100,"2) Rs 50-99",IF(F3177&lt;200,"3) Rs 100-199",IF(F3177&lt;500,"4) Rs 200-499","5) Rs 500+"))))</f>
        <v>2) Rs 50-99</v>
      </c>
      <c r="O3177" s="0" t="n">
        <f aca="false">G3177*E3177/1000</f>
        <v>0.1</v>
      </c>
    </row>
    <row r="3178" customFormat="false" ht="15" hidden="false" customHeight="false" outlineLevel="0" collapsed="false">
      <c r="A3178" s="0" t="s">
        <v>119</v>
      </c>
      <c r="B3178" s="0" t="s">
        <v>1332</v>
      </c>
      <c r="C3178" s="0" t="n">
        <v>195</v>
      </c>
      <c r="D3178" s="0" t="n">
        <v>10</v>
      </c>
      <c r="E3178" s="0" t="n">
        <v>6</v>
      </c>
      <c r="F3178" s="0" t="n">
        <v>174</v>
      </c>
      <c r="G3178" s="0" t="n">
        <v>150</v>
      </c>
      <c r="H3178" s="0" t="s">
        <v>145</v>
      </c>
      <c r="I3178" s="0" t="n">
        <v>150</v>
      </c>
      <c r="J3178" s="0" t="n">
        <f aca="false">F3178*E3178</f>
        <v>1044</v>
      </c>
      <c r="K3178" s="0" t="str">
        <f aca="false">IF(G3178&lt;1000,"1-Low",IF(G3178&lt;5000,"2-Medium","3-Bulk"))</f>
        <v>1-Low</v>
      </c>
      <c r="L3178" s="0" t="str">
        <f aca="false">IF(H3178="TRUE","Out of stock","In stock")</f>
        <v>In stock</v>
      </c>
      <c r="M3178" s="0" t="str">
        <f aca="false">IF(D3178&lt;5,"1) Under 5%",IF(D3178&lt;10,"2) 5-9%",IF(D3178&lt;15,"3) 10-14%",IF(D3178&lt;25,"4) 15-24%","5) 25%+"))))</f>
        <v>3) 10-14%</v>
      </c>
      <c r="N3178" s="0" t="str">
        <f aca="false">IF(F3178&lt;50,"1) Under Rs 50",IF(F3178&lt;100,"2) Rs 50-99",IF(F3178&lt;200,"3) Rs 100-199",IF(F3178&lt;500,"4) Rs 200-499","5) Rs 500+"))))</f>
        <v>3) Rs 100-199</v>
      </c>
      <c r="O3178" s="0" t="n">
        <f aca="false">G3178*E3178/1000</f>
        <v>0.9</v>
      </c>
    </row>
    <row r="3179" customFormat="false" ht="15" hidden="false" customHeight="false" outlineLevel="0" collapsed="false">
      <c r="A3179" s="0" t="s">
        <v>119</v>
      </c>
      <c r="B3179" s="0" t="s">
        <v>1333</v>
      </c>
      <c r="C3179" s="0" t="n">
        <v>20</v>
      </c>
      <c r="D3179" s="0" t="n">
        <v>0</v>
      </c>
      <c r="E3179" s="0" t="n">
        <v>1</v>
      </c>
      <c r="F3179" s="0" t="n">
        <v>20</v>
      </c>
      <c r="G3179" s="0" t="n">
        <v>58</v>
      </c>
      <c r="H3179" s="0" t="s">
        <v>145</v>
      </c>
      <c r="I3179" s="0" t="n">
        <v>1</v>
      </c>
      <c r="J3179" s="0" t="n">
        <f aca="false">F3179*E3179</f>
        <v>20</v>
      </c>
      <c r="K3179" s="0" t="str">
        <f aca="false">IF(G3179&lt;1000,"1-Low",IF(G3179&lt;5000,"2-Medium","3-Bulk"))</f>
        <v>1-Low</v>
      </c>
      <c r="L3179" s="0" t="str">
        <f aca="false">IF(H3179="TRUE","Out of stock","In stock")</f>
        <v>In stock</v>
      </c>
      <c r="M3179" s="0" t="str">
        <f aca="false">IF(D3179&lt;5,"1) Under 5%",IF(D3179&lt;10,"2) 5-9%",IF(D3179&lt;15,"3) 10-14%",IF(D3179&lt;25,"4) 15-24%","5) 25%+"))))</f>
        <v>1) Under 5%</v>
      </c>
      <c r="N3179" s="0" t="str">
        <f aca="false">IF(F3179&lt;50,"1) Under Rs 50",IF(F3179&lt;100,"2) Rs 50-99",IF(F3179&lt;200,"3) Rs 100-199",IF(F3179&lt;500,"4) Rs 200-499","5) Rs 500+"))))</f>
        <v>1) Under Rs 50</v>
      </c>
      <c r="O3179" s="0" t="n">
        <f aca="false">G3179*E3179/1000</f>
        <v>0.058</v>
      </c>
    </row>
    <row r="3180" customFormat="false" ht="15" hidden="false" customHeight="false" outlineLevel="0" collapsed="false">
      <c r="A3180" s="0" t="s">
        <v>119</v>
      </c>
      <c r="B3180" s="0" t="s">
        <v>1334</v>
      </c>
      <c r="C3180" s="0" t="n">
        <v>150</v>
      </c>
      <c r="D3180" s="0" t="n">
        <v>20</v>
      </c>
      <c r="E3180" s="0" t="n">
        <v>5</v>
      </c>
      <c r="F3180" s="0" t="n">
        <v>120</v>
      </c>
      <c r="G3180" s="0" t="n">
        <v>250</v>
      </c>
      <c r="H3180" s="0" t="s">
        <v>145</v>
      </c>
      <c r="I3180" s="0" t="n">
        <v>250</v>
      </c>
      <c r="J3180" s="0" t="n">
        <f aca="false">F3180*E3180</f>
        <v>600</v>
      </c>
      <c r="K3180" s="0" t="str">
        <f aca="false">IF(G3180&lt;1000,"1-Low",IF(G3180&lt;5000,"2-Medium","3-Bulk"))</f>
        <v>1-Low</v>
      </c>
      <c r="L3180" s="0" t="str">
        <f aca="false">IF(H3180="TRUE","Out of stock","In stock")</f>
        <v>In stock</v>
      </c>
      <c r="M3180" s="0" t="str">
        <f aca="false">IF(D3180&lt;5,"1) Under 5%",IF(D3180&lt;10,"2) 5-9%",IF(D3180&lt;15,"3) 10-14%",IF(D3180&lt;25,"4) 15-24%","5) 25%+"))))</f>
        <v>4) 15-24%</v>
      </c>
      <c r="N3180" s="0" t="str">
        <f aca="false">IF(F3180&lt;50,"1) Under Rs 50",IF(F3180&lt;100,"2) Rs 50-99",IF(F3180&lt;200,"3) Rs 100-199",IF(F3180&lt;500,"4) Rs 200-499","5) Rs 500+"))))</f>
        <v>3) Rs 100-199</v>
      </c>
      <c r="O3180" s="0" t="n">
        <f aca="false">G3180*E3180/1000</f>
        <v>1.25</v>
      </c>
    </row>
    <row r="3181" customFormat="false" ht="15" hidden="false" customHeight="false" outlineLevel="0" collapsed="false">
      <c r="A3181" s="0" t="s">
        <v>119</v>
      </c>
      <c r="B3181" s="0" t="s">
        <v>1335</v>
      </c>
      <c r="C3181" s="0" t="n">
        <v>99</v>
      </c>
      <c r="D3181" s="0" t="n">
        <v>0</v>
      </c>
      <c r="E3181" s="0" t="n">
        <v>6</v>
      </c>
      <c r="F3181" s="0" t="n">
        <v>99</v>
      </c>
      <c r="G3181" s="0" t="n">
        <v>232</v>
      </c>
      <c r="H3181" s="0" t="s">
        <v>145</v>
      </c>
      <c r="I3181" s="0" t="n">
        <v>4</v>
      </c>
      <c r="J3181" s="0" t="n">
        <f aca="false">F3181*E3181</f>
        <v>594</v>
      </c>
      <c r="K3181" s="0" t="str">
        <f aca="false">IF(G3181&lt;1000,"1-Low",IF(G3181&lt;5000,"2-Medium","3-Bulk"))</f>
        <v>1-Low</v>
      </c>
      <c r="L3181" s="0" t="str">
        <f aca="false">IF(H3181="TRUE","Out of stock","In stock")</f>
        <v>In stock</v>
      </c>
      <c r="M3181" s="0" t="str">
        <f aca="false">IF(D3181&lt;5,"1) Under 5%",IF(D3181&lt;10,"2) 5-9%",IF(D3181&lt;15,"3) 10-14%",IF(D3181&lt;25,"4) 15-24%","5) 25%+"))))</f>
        <v>1) Under 5%</v>
      </c>
      <c r="N3181" s="0" t="str">
        <f aca="false">IF(F3181&lt;50,"1) Under Rs 50",IF(F3181&lt;100,"2) Rs 50-99",IF(F3181&lt;200,"3) Rs 100-199",IF(F3181&lt;500,"4) Rs 200-499","5) Rs 500+"))))</f>
        <v>2) Rs 50-99</v>
      </c>
      <c r="O3181" s="0" t="n">
        <f aca="false">G3181*E3181/1000</f>
        <v>1.392</v>
      </c>
    </row>
    <row r="3182" customFormat="false" ht="15" hidden="false" customHeight="false" outlineLevel="0" collapsed="false">
      <c r="A3182" s="0" t="s">
        <v>119</v>
      </c>
      <c r="B3182" s="0" t="s">
        <v>1336</v>
      </c>
      <c r="C3182" s="0" t="n">
        <v>99</v>
      </c>
      <c r="D3182" s="0" t="n">
        <v>0</v>
      </c>
      <c r="E3182" s="0" t="n">
        <v>3</v>
      </c>
      <c r="F3182" s="0" t="n">
        <v>99</v>
      </c>
      <c r="G3182" s="0" t="n">
        <v>750</v>
      </c>
      <c r="H3182" s="0" t="s">
        <v>145</v>
      </c>
      <c r="I3182" s="0" t="n">
        <v>750</v>
      </c>
      <c r="J3182" s="0" t="n">
        <f aca="false">F3182*E3182</f>
        <v>297</v>
      </c>
      <c r="K3182" s="0" t="str">
        <f aca="false">IF(G3182&lt;1000,"1-Low",IF(G3182&lt;5000,"2-Medium","3-Bulk"))</f>
        <v>1-Low</v>
      </c>
      <c r="L3182" s="0" t="str">
        <f aca="false">IF(H3182="TRUE","Out of stock","In stock")</f>
        <v>In stock</v>
      </c>
      <c r="M3182" s="0" t="str">
        <f aca="false">IF(D3182&lt;5,"1) Under 5%",IF(D3182&lt;10,"2) 5-9%",IF(D3182&lt;15,"3) 10-14%",IF(D3182&lt;25,"4) 15-24%","5) 25%+"))))</f>
        <v>1) Under 5%</v>
      </c>
      <c r="N3182" s="0" t="str">
        <f aca="false">IF(F3182&lt;50,"1) Under Rs 50",IF(F3182&lt;100,"2) Rs 50-99",IF(F3182&lt;200,"3) Rs 100-199",IF(F3182&lt;500,"4) Rs 200-499","5) Rs 500+"))))</f>
        <v>2) Rs 50-99</v>
      </c>
      <c r="O3182" s="0" t="n">
        <f aca="false">G3182*E3182/1000</f>
        <v>2.25</v>
      </c>
    </row>
    <row r="3183" customFormat="false" ht="15" hidden="false" customHeight="false" outlineLevel="0" collapsed="false">
      <c r="A3183" s="0" t="s">
        <v>119</v>
      </c>
      <c r="B3183" s="0" t="s">
        <v>1337</v>
      </c>
      <c r="C3183" s="0" t="n">
        <v>110</v>
      </c>
      <c r="D3183" s="0" t="n">
        <v>10</v>
      </c>
      <c r="E3183" s="0" t="n">
        <v>3</v>
      </c>
      <c r="F3183" s="0" t="n">
        <v>99</v>
      </c>
      <c r="G3183" s="0" t="n">
        <v>120</v>
      </c>
      <c r="H3183" s="0" t="s">
        <v>145</v>
      </c>
      <c r="I3183" s="0" t="n">
        <v>120</v>
      </c>
      <c r="J3183" s="0" t="n">
        <f aca="false">F3183*E3183</f>
        <v>297</v>
      </c>
      <c r="K3183" s="0" t="str">
        <f aca="false">IF(G3183&lt;1000,"1-Low",IF(G3183&lt;5000,"2-Medium","3-Bulk"))</f>
        <v>1-Low</v>
      </c>
      <c r="L3183" s="0" t="str">
        <f aca="false">IF(H3183="TRUE","Out of stock","In stock")</f>
        <v>In stock</v>
      </c>
      <c r="M3183" s="0" t="str">
        <f aca="false">IF(D3183&lt;5,"1) Under 5%",IF(D3183&lt;10,"2) 5-9%",IF(D3183&lt;15,"3) 10-14%",IF(D3183&lt;25,"4) 15-24%","5) 25%+"))))</f>
        <v>3) 10-14%</v>
      </c>
      <c r="N3183" s="0" t="str">
        <f aca="false">IF(F3183&lt;50,"1) Under Rs 50",IF(F3183&lt;100,"2) Rs 50-99",IF(F3183&lt;200,"3) Rs 100-199",IF(F3183&lt;500,"4) Rs 200-499","5) Rs 500+"))))</f>
        <v>2) Rs 50-99</v>
      </c>
      <c r="O3183" s="0" t="n">
        <f aca="false">G3183*E3183/1000</f>
        <v>0.36</v>
      </c>
    </row>
    <row r="3184" customFormat="false" ht="15" hidden="false" customHeight="false" outlineLevel="0" collapsed="false">
      <c r="A3184" s="0" t="s">
        <v>119</v>
      </c>
      <c r="B3184" s="0" t="s">
        <v>1338</v>
      </c>
      <c r="C3184" s="0" t="n">
        <v>30</v>
      </c>
      <c r="D3184" s="0" t="n">
        <v>16</v>
      </c>
      <c r="E3184" s="0" t="n">
        <v>6</v>
      </c>
      <c r="F3184" s="0" t="n">
        <v>25</v>
      </c>
      <c r="G3184" s="0" t="n">
        <v>58</v>
      </c>
      <c r="H3184" s="0" t="s">
        <v>145</v>
      </c>
      <c r="I3184" s="0" t="n">
        <v>1</v>
      </c>
      <c r="J3184" s="0" t="n">
        <f aca="false">F3184*E3184</f>
        <v>150</v>
      </c>
      <c r="K3184" s="0" t="str">
        <f aca="false">IF(G3184&lt;1000,"1-Low",IF(G3184&lt;5000,"2-Medium","3-Bulk"))</f>
        <v>1-Low</v>
      </c>
      <c r="L3184" s="0" t="str">
        <f aca="false">IF(H3184="TRUE","Out of stock","In stock")</f>
        <v>In stock</v>
      </c>
      <c r="M3184" s="0" t="str">
        <f aca="false">IF(D3184&lt;5,"1) Under 5%",IF(D3184&lt;10,"2) 5-9%",IF(D3184&lt;15,"3) 10-14%",IF(D3184&lt;25,"4) 15-24%","5) 25%+"))))</f>
        <v>4) 15-24%</v>
      </c>
      <c r="N3184" s="0" t="str">
        <f aca="false">IF(F3184&lt;50,"1) Under Rs 50",IF(F3184&lt;100,"2) Rs 50-99",IF(F3184&lt;200,"3) Rs 100-199",IF(F3184&lt;500,"4) Rs 200-499","5) Rs 500+"))))</f>
        <v>1) Under Rs 50</v>
      </c>
      <c r="O3184" s="0" t="n">
        <f aca="false">G3184*E3184/1000</f>
        <v>0.348</v>
      </c>
    </row>
    <row r="3185" customFormat="false" ht="15" hidden="false" customHeight="false" outlineLevel="0" collapsed="false">
      <c r="A3185" s="0" t="s">
        <v>119</v>
      </c>
      <c r="B3185" s="0" t="s">
        <v>1339</v>
      </c>
      <c r="C3185" s="0" t="n">
        <v>260</v>
      </c>
      <c r="D3185" s="0" t="n">
        <v>10</v>
      </c>
      <c r="E3185" s="0" t="n">
        <v>6</v>
      </c>
      <c r="F3185" s="0" t="n">
        <v>234</v>
      </c>
      <c r="G3185" s="0" t="n">
        <v>116</v>
      </c>
      <c r="H3185" s="0" t="s">
        <v>145</v>
      </c>
      <c r="I3185" s="0" t="n">
        <v>2</v>
      </c>
      <c r="J3185" s="0" t="n">
        <f aca="false">F3185*E3185</f>
        <v>1404</v>
      </c>
      <c r="K3185" s="0" t="str">
        <f aca="false">IF(G3185&lt;1000,"1-Low",IF(G3185&lt;5000,"2-Medium","3-Bulk"))</f>
        <v>1-Low</v>
      </c>
      <c r="L3185" s="0" t="str">
        <f aca="false">IF(H3185="TRUE","Out of stock","In stock")</f>
        <v>In stock</v>
      </c>
      <c r="M3185" s="0" t="str">
        <f aca="false">IF(D3185&lt;5,"1) Under 5%",IF(D3185&lt;10,"2) 5-9%",IF(D3185&lt;15,"3) 10-14%",IF(D3185&lt;25,"4) 15-24%","5) 25%+"))))</f>
        <v>3) 10-14%</v>
      </c>
      <c r="N3185" s="0" t="str">
        <f aca="false">IF(F3185&lt;50,"1) Under Rs 50",IF(F3185&lt;100,"2) Rs 50-99",IF(F3185&lt;200,"3) Rs 100-199",IF(F3185&lt;500,"4) Rs 200-499","5) Rs 500+"))))</f>
        <v>4) Rs 200-499</v>
      </c>
      <c r="O3185" s="0" t="n">
        <f aca="false">G3185*E3185/1000</f>
        <v>0.696</v>
      </c>
    </row>
    <row r="3186" customFormat="false" ht="15" hidden="false" customHeight="false" outlineLevel="0" collapsed="false">
      <c r="A3186" s="0" t="s">
        <v>119</v>
      </c>
      <c r="B3186" s="0" t="s">
        <v>1340</v>
      </c>
      <c r="C3186" s="0" t="n">
        <v>149</v>
      </c>
      <c r="D3186" s="0" t="n">
        <v>0</v>
      </c>
      <c r="E3186" s="0" t="n">
        <v>2</v>
      </c>
      <c r="F3186" s="0" t="n">
        <v>149</v>
      </c>
      <c r="G3186" s="0" t="n">
        <v>0</v>
      </c>
      <c r="H3186" s="0" t="s">
        <v>145</v>
      </c>
      <c r="I3186" s="0" t="n">
        <v>0</v>
      </c>
      <c r="J3186" s="0" t="n">
        <f aca="false">F3186*E3186</f>
        <v>298</v>
      </c>
      <c r="K3186" s="0" t="str">
        <f aca="false">IF(G3186&lt;1000,"1-Low",IF(G3186&lt;5000,"2-Medium","3-Bulk"))</f>
        <v>1-Low</v>
      </c>
      <c r="L3186" s="0" t="str">
        <f aca="false">IF(H3186="TRUE","Out of stock","In stock")</f>
        <v>In stock</v>
      </c>
      <c r="M3186" s="0" t="str">
        <f aca="false">IF(D3186&lt;5,"1) Under 5%",IF(D3186&lt;10,"2) 5-9%",IF(D3186&lt;15,"3) 10-14%",IF(D3186&lt;25,"4) 15-24%","5) 25%+"))))</f>
        <v>1) Under 5%</v>
      </c>
      <c r="N3186" s="0" t="str">
        <f aca="false">IF(F3186&lt;50,"1) Under Rs 50",IF(F3186&lt;100,"2) Rs 50-99",IF(F3186&lt;200,"3) Rs 100-199",IF(F3186&lt;500,"4) Rs 200-499","5) Rs 500+"))))</f>
        <v>3) Rs 100-199</v>
      </c>
      <c r="O3186" s="0" t="n">
        <f aca="false">G3186*E3186/1000</f>
        <v>0</v>
      </c>
    </row>
    <row r="3187" customFormat="false" ht="15" hidden="false" customHeight="false" outlineLevel="0" collapsed="false">
      <c r="A3187" s="0" t="s">
        <v>119</v>
      </c>
      <c r="B3187" s="0" t="s">
        <v>1341</v>
      </c>
      <c r="C3187" s="0" t="n">
        <v>55</v>
      </c>
      <c r="D3187" s="0" t="n">
        <v>0</v>
      </c>
      <c r="E3187" s="0" t="n">
        <v>3</v>
      </c>
      <c r="F3187" s="0" t="n">
        <v>55</v>
      </c>
      <c r="G3187" s="0" t="n">
        <v>100</v>
      </c>
      <c r="H3187" s="0" t="s">
        <v>145</v>
      </c>
      <c r="I3187" s="0" t="n">
        <v>100</v>
      </c>
      <c r="J3187" s="0" t="n">
        <f aca="false">F3187*E3187</f>
        <v>165</v>
      </c>
      <c r="K3187" s="0" t="str">
        <f aca="false">IF(G3187&lt;1000,"1-Low",IF(G3187&lt;5000,"2-Medium","3-Bulk"))</f>
        <v>1-Low</v>
      </c>
      <c r="L3187" s="0" t="str">
        <f aca="false">IF(H3187="TRUE","Out of stock","In stock")</f>
        <v>In stock</v>
      </c>
      <c r="M3187" s="0" t="str">
        <f aca="false">IF(D3187&lt;5,"1) Under 5%",IF(D3187&lt;10,"2) 5-9%",IF(D3187&lt;15,"3) 10-14%",IF(D3187&lt;25,"4) 15-24%","5) 25%+"))))</f>
        <v>1) Under 5%</v>
      </c>
      <c r="N3187" s="0" t="str">
        <f aca="false">IF(F3187&lt;50,"1) Under Rs 50",IF(F3187&lt;100,"2) Rs 50-99",IF(F3187&lt;200,"3) Rs 100-199",IF(F3187&lt;500,"4) Rs 200-499","5) Rs 500+"))))</f>
        <v>2) Rs 50-99</v>
      </c>
      <c r="O3187" s="0" t="n">
        <f aca="false">G3187*E3187/1000</f>
        <v>0.3</v>
      </c>
    </row>
    <row r="3188" customFormat="false" ht="15" hidden="false" customHeight="false" outlineLevel="0" collapsed="false">
      <c r="A3188" s="0" t="s">
        <v>119</v>
      </c>
      <c r="B3188" s="0" t="s">
        <v>1342</v>
      </c>
      <c r="C3188" s="0" t="n">
        <v>58</v>
      </c>
      <c r="D3188" s="0" t="n">
        <v>0</v>
      </c>
      <c r="E3188" s="0" t="n">
        <v>6</v>
      </c>
      <c r="F3188" s="0" t="n">
        <v>58</v>
      </c>
      <c r="G3188" s="0" t="n">
        <v>150</v>
      </c>
      <c r="H3188" s="0" t="s">
        <v>145</v>
      </c>
      <c r="I3188" s="0" t="n">
        <v>150</v>
      </c>
      <c r="J3188" s="0" t="n">
        <f aca="false">F3188*E3188</f>
        <v>348</v>
      </c>
      <c r="K3188" s="0" t="str">
        <f aca="false">IF(G3188&lt;1000,"1-Low",IF(G3188&lt;5000,"2-Medium","3-Bulk"))</f>
        <v>1-Low</v>
      </c>
      <c r="L3188" s="0" t="str">
        <f aca="false">IF(H3188="TRUE","Out of stock","In stock")</f>
        <v>In stock</v>
      </c>
      <c r="M3188" s="0" t="str">
        <f aca="false">IF(D3188&lt;5,"1) Under 5%",IF(D3188&lt;10,"2) 5-9%",IF(D3188&lt;15,"3) 10-14%",IF(D3188&lt;25,"4) 15-24%","5) 25%+"))))</f>
        <v>1) Under 5%</v>
      </c>
      <c r="N3188" s="0" t="str">
        <f aca="false">IF(F3188&lt;50,"1) Under Rs 50",IF(F3188&lt;100,"2) Rs 50-99",IF(F3188&lt;200,"3) Rs 100-199",IF(F3188&lt;500,"4) Rs 200-499","5) Rs 500+"))))</f>
        <v>2) Rs 50-99</v>
      </c>
      <c r="O3188" s="0" t="n">
        <f aca="false">G3188*E3188/1000</f>
        <v>0.9</v>
      </c>
    </row>
    <row r="3189" customFormat="false" ht="15" hidden="false" customHeight="false" outlineLevel="0" collapsed="false">
      <c r="A3189" s="0" t="s">
        <v>119</v>
      </c>
      <c r="B3189" s="0" t="s">
        <v>1343</v>
      </c>
      <c r="C3189" s="0" t="n">
        <v>33</v>
      </c>
      <c r="D3189" s="0" t="n">
        <v>0</v>
      </c>
      <c r="E3189" s="0" t="n">
        <v>6</v>
      </c>
      <c r="F3189" s="0" t="n">
        <v>33</v>
      </c>
      <c r="G3189" s="0" t="n">
        <v>20</v>
      </c>
      <c r="H3189" s="0" t="s">
        <v>145</v>
      </c>
      <c r="I3189" s="0" t="n">
        <v>20</v>
      </c>
      <c r="J3189" s="0" t="n">
        <f aca="false">F3189*E3189</f>
        <v>198</v>
      </c>
      <c r="K3189" s="0" t="str">
        <f aca="false">IF(G3189&lt;1000,"1-Low",IF(G3189&lt;5000,"2-Medium","3-Bulk"))</f>
        <v>1-Low</v>
      </c>
      <c r="L3189" s="0" t="str">
        <f aca="false">IF(H3189="TRUE","Out of stock","In stock")</f>
        <v>In stock</v>
      </c>
      <c r="M3189" s="0" t="str">
        <f aca="false">IF(D3189&lt;5,"1) Under 5%",IF(D3189&lt;10,"2) 5-9%",IF(D3189&lt;15,"3) 10-14%",IF(D3189&lt;25,"4) 15-24%","5) 25%+"))))</f>
        <v>1) Under 5%</v>
      </c>
      <c r="N3189" s="0" t="str">
        <f aca="false">IF(F3189&lt;50,"1) Under Rs 50",IF(F3189&lt;100,"2) Rs 50-99",IF(F3189&lt;200,"3) Rs 100-199",IF(F3189&lt;500,"4) Rs 200-499","5) Rs 500+"))))</f>
        <v>1) Under Rs 50</v>
      </c>
      <c r="O3189" s="0" t="n">
        <f aca="false">G3189*E3189/1000</f>
        <v>0.12</v>
      </c>
    </row>
    <row r="3190" customFormat="false" ht="15" hidden="false" customHeight="false" outlineLevel="0" collapsed="false">
      <c r="A3190" s="0" t="s">
        <v>119</v>
      </c>
      <c r="B3190" s="0" t="s">
        <v>1344</v>
      </c>
      <c r="C3190" s="0" t="n">
        <v>120</v>
      </c>
      <c r="D3190" s="0" t="n">
        <v>10</v>
      </c>
      <c r="E3190" s="0" t="n">
        <v>4</v>
      </c>
      <c r="F3190" s="0" t="n">
        <v>108</v>
      </c>
      <c r="G3190" s="0" t="n">
        <v>232</v>
      </c>
      <c r="H3190" s="0" t="s">
        <v>145</v>
      </c>
      <c r="I3190" s="0" t="n">
        <v>4</v>
      </c>
      <c r="J3190" s="0" t="n">
        <f aca="false">F3190*E3190</f>
        <v>432</v>
      </c>
      <c r="K3190" s="0" t="str">
        <f aca="false">IF(G3190&lt;1000,"1-Low",IF(G3190&lt;5000,"2-Medium","3-Bulk"))</f>
        <v>1-Low</v>
      </c>
      <c r="L3190" s="0" t="str">
        <f aca="false">IF(H3190="TRUE","Out of stock","In stock")</f>
        <v>In stock</v>
      </c>
      <c r="M3190" s="0" t="str">
        <f aca="false">IF(D3190&lt;5,"1) Under 5%",IF(D3190&lt;10,"2) 5-9%",IF(D3190&lt;15,"3) 10-14%",IF(D3190&lt;25,"4) 15-24%","5) 25%+"))))</f>
        <v>3) 10-14%</v>
      </c>
      <c r="N3190" s="0" t="str">
        <f aca="false">IF(F3190&lt;50,"1) Under Rs 50",IF(F3190&lt;100,"2) Rs 50-99",IF(F3190&lt;200,"3) Rs 100-199",IF(F3190&lt;500,"4) Rs 200-499","5) Rs 500+"))))</f>
        <v>3) Rs 100-199</v>
      </c>
      <c r="O3190" s="0" t="n">
        <f aca="false">G3190*E3190/1000</f>
        <v>0.928</v>
      </c>
    </row>
    <row r="3191" customFormat="false" ht="15" hidden="false" customHeight="false" outlineLevel="0" collapsed="false">
      <c r="A3191" s="0" t="s">
        <v>119</v>
      </c>
      <c r="B3191" s="0" t="s">
        <v>1345</v>
      </c>
      <c r="C3191" s="0" t="n">
        <v>175</v>
      </c>
      <c r="D3191" s="0" t="n">
        <v>10</v>
      </c>
      <c r="E3191" s="0" t="n">
        <v>4</v>
      </c>
      <c r="F3191" s="0" t="n">
        <v>157</v>
      </c>
      <c r="G3191" s="0" t="n">
        <v>100</v>
      </c>
      <c r="H3191" s="0" t="s">
        <v>145</v>
      </c>
      <c r="I3191" s="0" t="n">
        <v>100</v>
      </c>
      <c r="J3191" s="0" t="n">
        <f aca="false">F3191*E3191</f>
        <v>628</v>
      </c>
      <c r="K3191" s="0" t="str">
        <f aca="false">IF(G3191&lt;1000,"1-Low",IF(G3191&lt;5000,"2-Medium","3-Bulk"))</f>
        <v>1-Low</v>
      </c>
      <c r="L3191" s="0" t="str">
        <f aca="false">IF(H3191="TRUE","Out of stock","In stock")</f>
        <v>In stock</v>
      </c>
      <c r="M3191" s="0" t="str">
        <f aca="false">IF(D3191&lt;5,"1) Under 5%",IF(D3191&lt;10,"2) 5-9%",IF(D3191&lt;15,"3) 10-14%",IF(D3191&lt;25,"4) 15-24%","5) 25%+"))))</f>
        <v>3) 10-14%</v>
      </c>
      <c r="N3191" s="0" t="str">
        <f aca="false">IF(F3191&lt;50,"1) Under Rs 50",IF(F3191&lt;100,"2) Rs 50-99",IF(F3191&lt;200,"3) Rs 100-199",IF(F3191&lt;500,"4) Rs 200-499","5) Rs 500+"))))</f>
        <v>3) Rs 100-199</v>
      </c>
      <c r="O3191" s="0" t="n">
        <f aca="false">G3191*E3191/1000</f>
        <v>0.4</v>
      </c>
    </row>
    <row r="3192" customFormat="false" ht="15" hidden="false" customHeight="false" outlineLevel="0" collapsed="false">
      <c r="A3192" s="0" t="s">
        <v>119</v>
      </c>
      <c r="B3192" s="0" t="s">
        <v>1346</v>
      </c>
      <c r="C3192" s="0" t="n">
        <v>99</v>
      </c>
      <c r="D3192" s="0" t="n">
        <v>0</v>
      </c>
      <c r="E3192" s="0" t="n">
        <v>1</v>
      </c>
      <c r="F3192" s="0" t="n">
        <v>99</v>
      </c>
      <c r="G3192" s="0" t="n">
        <v>232</v>
      </c>
      <c r="H3192" s="0" t="s">
        <v>145</v>
      </c>
      <c r="I3192" s="0" t="n">
        <v>4</v>
      </c>
      <c r="J3192" s="0" t="n">
        <f aca="false">F3192*E3192</f>
        <v>99</v>
      </c>
      <c r="K3192" s="0" t="str">
        <f aca="false">IF(G3192&lt;1000,"1-Low",IF(G3192&lt;5000,"2-Medium","3-Bulk"))</f>
        <v>1-Low</v>
      </c>
      <c r="L3192" s="0" t="str">
        <f aca="false">IF(H3192="TRUE","Out of stock","In stock")</f>
        <v>In stock</v>
      </c>
      <c r="M3192" s="0" t="str">
        <f aca="false">IF(D3192&lt;5,"1) Under 5%",IF(D3192&lt;10,"2) 5-9%",IF(D3192&lt;15,"3) 10-14%",IF(D3192&lt;25,"4) 15-24%","5) 25%+"))))</f>
        <v>1) Under 5%</v>
      </c>
      <c r="N3192" s="0" t="str">
        <f aca="false">IF(F3192&lt;50,"1) Under Rs 50",IF(F3192&lt;100,"2) Rs 50-99",IF(F3192&lt;200,"3) Rs 100-199",IF(F3192&lt;500,"4) Rs 200-499","5) Rs 500+"))))</f>
        <v>2) Rs 50-99</v>
      </c>
      <c r="O3192" s="0" t="n">
        <f aca="false">G3192*E3192/1000</f>
        <v>0.232</v>
      </c>
    </row>
    <row r="3193" customFormat="false" ht="15" hidden="false" customHeight="false" outlineLevel="0" collapsed="false">
      <c r="A3193" s="0" t="s">
        <v>119</v>
      </c>
      <c r="B3193" s="0" t="s">
        <v>1347</v>
      </c>
      <c r="C3193" s="0" t="n">
        <v>149</v>
      </c>
      <c r="D3193" s="0" t="n">
        <v>10</v>
      </c>
      <c r="E3193" s="0" t="n">
        <v>4</v>
      </c>
      <c r="F3193" s="0" t="n">
        <v>134</v>
      </c>
      <c r="G3193" s="0" t="n">
        <v>50</v>
      </c>
      <c r="H3193" s="0" t="s">
        <v>145</v>
      </c>
      <c r="I3193" s="0" t="n">
        <v>50</v>
      </c>
      <c r="J3193" s="0" t="n">
        <f aca="false">F3193*E3193</f>
        <v>536</v>
      </c>
      <c r="K3193" s="0" t="str">
        <f aca="false">IF(G3193&lt;1000,"1-Low",IF(G3193&lt;5000,"2-Medium","3-Bulk"))</f>
        <v>1-Low</v>
      </c>
      <c r="L3193" s="0" t="str">
        <f aca="false">IF(H3193="TRUE","Out of stock","In stock")</f>
        <v>In stock</v>
      </c>
      <c r="M3193" s="0" t="str">
        <f aca="false">IF(D3193&lt;5,"1) Under 5%",IF(D3193&lt;10,"2) 5-9%",IF(D3193&lt;15,"3) 10-14%",IF(D3193&lt;25,"4) 15-24%","5) 25%+"))))</f>
        <v>3) 10-14%</v>
      </c>
      <c r="N3193" s="0" t="str">
        <f aca="false">IF(F3193&lt;50,"1) Under Rs 50",IF(F3193&lt;100,"2) Rs 50-99",IF(F3193&lt;200,"3) Rs 100-199",IF(F3193&lt;500,"4) Rs 200-499","5) Rs 500+"))))</f>
        <v>3) Rs 100-199</v>
      </c>
      <c r="O3193" s="0" t="n">
        <f aca="false">G3193*E3193/1000</f>
        <v>0.2</v>
      </c>
    </row>
    <row r="3194" customFormat="false" ht="15" hidden="false" customHeight="false" outlineLevel="0" collapsed="false">
      <c r="A3194" s="0" t="s">
        <v>119</v>
      </c>
      <c r="B3194" s="0" t="s">
        <v>1348</v>
      </c>
      <c r="C3194" s="0" t="n">
        <v>200</v>
      </c>
      <c r="D3194" s="0" t="n">
        <v>10</v>
      </c>
      <c r="E3194" s="0" t="n">
        <v>3</v>
      </c>
      <c r="F3194" s="0" t="n">
        <v>180</v>
      </c>
      <c r="G3194" s="0" t="n">
        <v>72</v>
      </c>
      <c r="H3194" s="0" t="s">
        <v>145</v>
      </c>
      <c r="I3194" s="0" t="n">
        <v>72</v>
      </c>
      <c r="J3194" s="0" t="n">
        <f aca="false">F3194*E3194</f>
        <v>540</v>
      </c>
      <c r="K3194" s="0" t="str">
        <f aca="false">IF(G3194&lt;1000,"1-Low",IF(G3194&lt;5000,"2-Medium","3-Bulk"))</f>
        <v>1-Low</v>
      </c>
      <c r="L3194" s="0" t="str">
        <f aca="false">IF(H3194="TRUE","Out of stock","In stock")</f>
        <v>In stock</v>
      </c>
      <c r="M3194" s="0" t="str">
        <f aca="false">IF(D3194&lt;5,"1) Under 5%",IF(D3194&lt;10,"2) 5-9%",IF(D3194&lt;15,"3) 10-14%",IF(D3194&lt;25,"4) 15-24%","5) 25%+"))))</f>
        <v>3) 10-14%</v>
      </c>
      <c r="N3194" s="0" t="str">
        <f aca="false">IF(F3194&lt;50,"1) Under Rs 50",IF(F3194&lt;100,"2) Rs 50-99",IF(F3194&lt;200,"3) Rs 100-199",IF(F3194&lt;500,"4) Rs 200-499","5) Rs 500+"))))</f>
        <v>3) Rs 100-199</v>
      </c>
      <c r="O3194" s="0" t="n">
        <f aca="false">G3194*E3194/1000</f>
        <v>0.216</v>
      </c>
    </row>
    <row r="3195" customFormat="false" ht="15" hidden="false" customHeight="false" outlineLevel="0" collapsed="false">
      <c r="A3195" s="0" t="s">
        <v>119</v>
      </c>
      <c r="B3195" s="0" t="s">
        <v>1349</v>
      </c>
      <c r="C3195" s="0" t="n">
        <v>340</v>
      </c>
      <c r="D3195" s="0" t="n">
        <v>12</v>
      </c>
      <c r="E3195" s="0" t="n">
        <v>6</v>
      </c>
      <c r="F3195" s="0" t="n">
        <v>298</v>
      </c>
      <c r="G3195" s="0" t="n">
        <v>28</v>
      </c>
      <c r="H3195" s="0" t="s">
        <v>145</v>
      </c>
      <c r="I3195" s="0" t="n">
        <v>28</v>
      </c>
      <c r="J3195" s="0" t="n">
        <f aca="false">F3195*E3195</f>
        <v>1788</v>
      </c>
      <c r="K3195" s="0" t="str">
        <f aca="false">IF(G3195&lt;1000,"1-Low",IF(G3195&lt;5000,"2-Medium","3-Bulk"))</f>
        <v>1-Low</v>
      </c>
      <c r="L3195" s="0" t="str">
        <f aca="false">IF(H3195="TRUE","Out of stock","In stock")</f>
        <v>In stock</v>
      </c>
      <c r="M3195" s="0" t="str">
        <f aca="false">IF(D3195&lt;5,"1) Under 5%",IF(D3195&lt;10,"2) 5-9%",IF(D3195&lt;15,"3) 10-14%",IF(D3195&lt;25,"4) 15-24%","5) 25%+"))))</f>
        <v>3) 10-14%</v>
      </c>
      <c r="N3195" s="0" t="str">
        <f aca="false">IF(F3195&lt;50,"1) Under Rs 50",IF(F3195&lt;100,"2) Rs 50-99",IF(F3195&lt;200,"3) Rs 100-199",IF(F3195&lt;500,"4) Rs 200-499","5) Rs 500+"))))</f>
        <v>4) Rs 200-499</v>
      </c>
      <c r="O3195" s="0" t="n">
        <f aca="false">G3195*E3195/1000</f>
        <v>0.168</v>
      </c>
    </row>
    <row r="3196" customFormat="false" ht="15" hidden="false" customHeight="false" outlineLevel="0" collapsed="false">
      <c r="A3196" s="0" t="s">
        <v>119</v>
      </c>
      <c r="B3196" s="0" t="s">
        <v>1350</v>
      </c>
      <c r="C3196" s="0" t="n">
        <v>620</v>
      </c>
      <c r="D3196" s="0" t="n">
        <v>0</v>
      </c>
      <c r="E3196" s="0" t="n">
        <v>1</v>
      </c>
      <c r="F3196" s="0" t="n">
        <v>620</v>
      </c>
      <c r="G3196" s="0" t="n">
        <v>172</v>
      </c>
      <c r="H3196" s="0" t="s">
        <v>145</v>
      </c>
      <c r="I3196" s="0" t="n">
        <v>172</v>
      </c>
      <c r="J3196" s="0" t="n">
        <f aca="false">F3196*E3196</f>
        <v>620</v>
      </c>
      <c r="K3196" s="0" t="str">
        <f aca="false">IF(G3196&lt;1000,"1-Low",IF(G3196&lt;5000,"2-Medium","3-Bulk"))</f>
        <v>1-Low</v>
      </c>
      <c r="L3196" s="0" t="str">
        <f aca="false">IF(H3196="TRUE","Out of stock","In stock")</f>
        <v>In stock</v>
      </c>
      <c r="M3196" s="0" t="str">
        <f aca="false">IF(D3196&lt;5,"1) Under 5%",IF(D3196&lt;10,"2) 5-9%",IF(D3196&lt;15,"3) 10-14%",IF(D3196&lt;25,"4) 15-24%","5) 25%+"))))</f>
        <v>1) Under 5%</v>
      </c>
      <c r="N3196" s="0" t="str">
        <f aca="false">IF(F3196&lt;50,"1) Under Rs 50",IF(F3196&lt;100,"2) Rs 50-99",IF(F3196&lt;200,"3) Rs 100-199",IF(F3196&lt;500,"4) Rs 200-499","5) Rs 500+"))))</f>
        <v>5) Rs 500+</v>
      </c>
      <c r="O3196" s="0" t="n">
        <f aca="false">G3196*E3196/1000</f>
        <v>0.172</v>
      </c>
    </row>
    <row r="3197" customFormat="false" ht="15" hidden="false" customHeight="false" outlineLevel="0" collapsed="false">
      <c r="A3197" s="0" t="s">
        <v>119</v>
      </c>
      <c r="B3197" s="0" t="s">
        <v>1351</v>
      </c>
      <c r="C3197" s="0" t="n">
        <v>85</v>
      </c>
      <c r="D3197" s="0" t="n">
        <v>15</v>
      </c>
      <c r="E3197" s="0" t="n">
        <v>4</v>
      </c>
      <c r="F3197" s="0" t="n">
        <v>72</v>
      </c>
      <c r="G3197" s="0" t="n">
        <v>64</v>
      </c>
      <c r="H3197" s="0" t="s">
        <v>145</v>
      </c>
      <c r="I3197" s="0" t="n">
        <v>64</v>
      </c>
      <c r="J3197" s="0" t="n">
        <f aca="false">F3197*E3197</f>
        <v>288</v>
      </c>
      <c r="K3197" s="0" t="str">
        <f aca="false">IF(G3197&lt;1000,"1-Low",IF(G3197&lt;5000,"2-Medium","3-Bulk"))</f>
        <v>1-Low</v>
      </c>
      <c r="L3197" s="0" t="str">
        <f aca="false">IF(H3197="TRUE","Out of stock","In stock")</f>
        <v>In stock</v>
      </c>
      <c r="M3197" s="0" t="str">
        <f aca="false">IF(D3197&lt;5,"1) Under 5%",IF(D3197&lt;10,"2) 5-9%",IF(D3197&lt;15,"3) 10-14%",IF(D3197&lt;25,"4) 15-24%","5) 25%+"))))</f>
        <v>4) 15-24%</v>
      </c>
      <c r="N3197" s="0" t="str">
        <f aca="false">IF(F3197&lt;50,"1) Under Rs 50",IF(F3197&lt;100,"2) Rs 50-99",IF(F3197&lt;200,"3) Rs 100-199",IF(F3197&lt;500,"4) Rs 200-499","5) Rs 500+"))))</f>
        <v>2) Rs 50-99</v>
      </c>
      <c r="O3197" s="0" t="n">
        <f aca="false">G3197*E3197/1000</f>
        <v>0.256</v>
      </c>
    </row>
    <row r="3198" customFormat="false" ht="15" hidden="false" customHeight="false" outlineLevel="0" collapsed="false">
      <c r="A3198" s="0" t="s">
        <v>119</v>
      </c>
      <c r="B3198" s="0" t="s">
        <v>1352</v>
      </c>
      <c r="C3198" s="0" t="n">
        <v>195</v>
      </c>
      <c r="D3198" s="0" t="n">
        <v>10</v>
      </c>
      <c r="E3198" s="0" t="n">
        <v>5</v>
      </c>
      <c r="F3198" s="0" t="n">
        <v>174</v>
      </c>
      <c r="G3198" s="0" t="n">
        <v>150</v>
      </c>
      <c r="H3198" s="0" t="s">
        <v>145</v>
      </c>
      <c r="I3198" s="0" t="n">
        <v>150</v>
      </c>
      <c r="J3198" s="0" t="n">
        <f aca="false">F3198*E3198</f>
        <v>870</v>
      </c>
      <c r="K3198" s="0" t="str">
        <f aca="false">IF(G3198&lt;1000,"1-Low",IF(G3198&lt;5000,"2-Medium","3-Bulk"))</f>
        <v>1-Low</v>
      </c>
      <c r="L3198" s="0" t="str">
        <f aca="false">IF(H3198="TRUE","Out of stock","In stock")</f>
        <v>In stock</v>
      </c>
      <c r="M3198" s="0" t="str">
        <f aca="false">IF(D3198&lt;5,"1) Under 5%",IF(D3198&lt;10,"2) 5-9%",IF(D3198&lt;15,"3) 10-14%",IF(D3198&lt;25,"4) 15-24%","5) 25%+"))))</f>
        <v>3) 10-14%</v>
      </c>
      <c r="N3198" s="0" t="str">
        <f aca="false">IF(F3198&lt;50,"1) Under Rs 50",IF(F3198&lt;100,"2) Rs 50-99",IF(F3198&lt;200,"3) Rs 100-199",IF(F3198&lt;500,"4) Rs 200-499","5) Rs 500+"))))</f>
        <v>3) Rs 100-199</v>
      </c>
      <c r="O3198" s="0" t="n">
        <f aca="false">G3198*E3198/1000</f>
        <v>0.75</v>
      </c>
    </row>
    <row r="3199" customFormat="false" ht="15" hidden="false" customHeight="false" outlineLevel="0" collapsed="false">
      <c r="A3199" s="0" t="s">
        <v>119</v>
      </c>
      <c r="B3199" s="0" t="s">
        <v>1353</v>
      </c>
      <c r="C3199" s="0" t="n">
        <v>60</v>
      </c>
      <c r="D3199" s="0" t="n">
        <v>0</v>
      </c>
      <c r="E3199" s="0" t="n">
        <v>6</v>
      </c>
      <c r="F3199" s="0" t="n">
        <v>60</v>
      </c>
      <c r="G3199" s="0" t="n">
        <v>100</v>
      </c>
      <c r="H3199" s="0" t="s">
        <v>145</v>
      </c>
      <c r="I3199" s="0" t="n">
        <v>100</v>
      </c>
      <c r="J3199" s="0" t="n">
        <f aca="false">F3199*E3199</f>
        <v>360</v>
      </c>
      <c r="K3199" s="0" t="str">
        <f aca="false">IF(G3199&lt;1000,"1-Low",IF(G3199&lt;5000,"2-Medium","3-Bulk"))</f>
        <v>1-Low</v>
      </c>
      <c r="L3199" s="0" t="str">
        <f aca="false">IF(H3199="TRUE","Out of stock","In stock")</f>
        <v>In stock</v>
      </c>
      <c r="M3199" s="0" t="str">
        <f aca="false">IF(D3199&lt;5,"1) Under 5%",IF(D3199&lt;10,"2) 5-9%",IF(D3199&lt;15,"3) 10-14%",IF(D3199&lt;25,"4) 15-24%","5) 25%+"))))</f>
        <v>1) Under 5%</v>
      </c>
      <c r="N3199" s="0" t="str">
        <f aca="false">IF(F3199&lt;50,"1) Under Rs 50",IF(F3199&lt;100,"2) Rs 50-99",IF(F3199&lt;200,"3) Rs 100-199",IF(F3199&lt;500,"4) Rs 200-499","5) Rs 500+"))))</f>
        <v>2) Rs 50-99</v>
      </c>
      <c r="O3199" s="0" t="n">
        <f aca="false">G3199*E3199/1000</f>
        <v>0.6</v>
      </c>
    </row>
    <row r="3200" customFormat="false" ht="15" hidden="false" customHeight="false" outlineLevel="0" collapsed="false">
      <c r="A3200" s="0" t="s">
        <v>119</v>
      </c>
      <c r="B3200" s="0" t="s">
        <v>1354</v>
      </c>
      <c r="C3200" s="0" t="n">
        <v>99</v>
      </c>
      <c r="D3200" s="0" t="n">
        <v>10</v>
      </c>
      <c r="E3200" s="0" t="n">
        <v>4</v>
      </c>
      <c r="F3200" s="0" t="n">
        <v>89</v>
      </c>
      <c r="G3200" s="0" t="n">
        <v>100</v>
      </c>
      <c r="H3200" s="0" t="s">
        <v>145</v>
      </c>
      <c r="I3200" s="0" t="n">
        <v>100</v>
      </c>
      <c r="J3200" s="0" t="n">
        <f aca="false">F3200*E3200</f>
        <v>356</v>
      </c>
      <c r="K3200" s="0" t="str">
        <f aca="false">IF(G3200&lt;1000,"1-Low",IF(G3200&lt;5000,"2-Medium","3-Bulk"))</f>
        <v>1-Low</v>
      </c>
      <c r="L3200" s="0" t="str">
        <f aca="false">IF(H3200="TRUE","Out of stock","In stock")</f>
        <v>In stock</v>
      </c>
      <c r="M3200" s="0" t="str">
        <f aca="false">IF(D3200&lt;5,"1) Under 5%",IF(D3200&lt;10,"2) 5-9%",IF(D3200&lt;15,"3) 10-14%",IF(D3200&lt;25,"4) 15-24%","5) 25%+"))))</f>
        <v>3) 10-14%</v>
      </c>
      <c r="N3200" s="0" t="str">
        <f aca="false">IF(F3200&lt;50,"1) Under Rs 50",IF(F3200&lt;100,"2) Rs 50-99",IF(F3200&lt;200,"3) Rs 100-199",IF(F3200&lt;500,"4) Rs 200-499","5) Rs 500+"))))</f>
        <v>2) Rs 50-99</v>
      </c>
      <c r="O3200" s="0" t="n">
        <f aca="false">G3200*E3200/1000</f>
        <v>0.4</v>
      </c>
    </row>
    <row r="3201" customFormat="false" ht="15" hidden="false" customHeight="false" outlineLevel="0" collapsed="false">
      <c r="A3201" s="0" t="s">
        <v>119</v>
      </c>
      <c r="B3201" s="0" t="s">
        <v>1355</v>
      </c>
      <c r="C3201" s="0" t="n">
        <v>1099</v>
      </c>
      <c r="D3201" s="0" t="n">
        <v>18</v>
      </c>
      <c r="E3201" s="0" t="n">
        <v>2</v>
      </c>
      <c r="F3201" s="0" t="n">
        <v>899</v>
      </c>
      <c r="G3201" s="0" t="n">
        <v>44</v>
      </c>
      <c r="H3201" s="0" t="s">
        <v>145</v>
      </c>
      <c r="I3201" s="0" t="n">
        <v>44</v>
      </c>
      <c r="J3201" s="0" t="n">
        <f aca="false">F3201*E3201</f>
        <v>1798</v>
      </c>
      <c r="K3201" s="0" t="str">
        <f aca="false">IF(G3201&lt;1000,"1-Low",IF(G3201&lt;5000,"2-Medium","3-Bulk"))</f>
        <v>1-Low</v>
      </c>
      <c r="L3201" s="0" t="str">
        <f aca="false">IF(H3201="TRUE","Out of stock","In stock")</f>
        <v>In stock</v>
      </c>
      <c r="M3201" s="0" t="str">
        <f aca="false">IF(D3201&lt;5,"1) Under 5%",IF(D3201&lt;10,"2) 5-9%",IF(D3201&lt;15,"3) 10-14%",IF(D3201&lt;25,"4) 15-24%","5) 25%+"))))</f>
        <v>4) 15-24%</v>
      </c>
      <c r="N3201" s="0" t="str">
        <f aca="false">IF(F3201&lt;50,"1) Under Rs 50",IF(F3201&lt;100,"2) Rs 50-99",IF(F3201&lt;200,"3) Rs 100-199",IF(F3201&lt;500,"4) Rs 200-499","5) Rs 500+"))))</f>
        <v>5) Rs 500+</v>
      </c>
      <c r="O3201" s="0" t="n">
        <f aca="false">G3201*E3201/1000</f>
        <v>0.088</v>
      </c>
    </row>
    <row r="3202" customFormat="false" ht="15" hidden="false" customHeight="false" outlineLevel="0" collapsed="false">
      <c r="A3202" s="0" t="s">
        <v>119</v>
      </c>
      <c r="B3202" s="0" t="s">
        <v>1356</v>
      </c>
      <c r="C3202" s="0" t="n">
        <v>199</v>
      </c>
      <c r="D3202" s="0" t="n">
        <v>20</v>
      </c>
      <c r="E3202" s="0" t="n">
        <v>2</v>
      </c>
      <c r="F3202" s="0" t="n">
        <v>159</v>
      </c>
      <c r="G3202" s="0" t="n">
        <v>150</v>
      </c>
      <c r="H3202" s="0" t="s">
        <v>145</v>
      </c>
      <c r="I3202" s="0" t="n">
        <v>150</v>
      </c>
      <c r="J3202" s="0" t="n">
        <f aca="false">F3202*E3202</f>
        <v>318</v>
      </c>
      <c r="K3202" s="0" t="str">
        <f aca="false">IF(G3202&lt;1000,"1-Low",IF(G3202&lt;5000,"2-Medium","3-Bulk"))</f>
        <v>1-Low</v>
      </c>
      <c r="L3202" s="0" t="str">
        <f aca="false">IF(H3202="TRUE","Out of stock","In stock")</f>
        <v>In stock</v>
      </c>
      <c r="M3202" s="0" t="str">
        <f aca="false">IF(D3202&lt;5,"1) Under 5%",IF(D3202&lt;10,"2) 5-9%",IF(D3202&lt;15,"3) 10-14%",IF(D3202&lt;25,"4) 15-24%","5) 25%+"))))</f>
        <v>4) 15-24%</v>
      </c>
      <c r="N3202" s="0" t="str">
        <f aca="false">IF(F3202&lt;50,"1) Under Rs 50",IF(F3202&lt;100,"2) Rs 50-99",IF(F3202&lt;200,"3) Rs 100-199",IF(F3202&lt;500,"4) Rs 200-499","5) Rs 500+"))))</f>
        <v>3) Rs 100-199</v>
      </c>
      <c r="O3202" s="0" t="n">
        <f aca="false">G3202*E3202/1000</f>
        <v>0.3</v>
      </c>
    </row>
    <row r="3203" customFormat="false" ht="15" hidden="false" customHeight="false" outlineLevel="0" collapsed="false">
      <c r="A3203" s="0" t="s">
        <v>119</v>
      </c>
      <c r="B3203" s="0" t="s">
        <v>1357</v>
      </c>
      <c r="C3203" s="0" t="n">
        <v>620</v>
      </c>
      <c r="D3203" s="0" t="n">
        <v>0</v>
      </c>
      <c r="E3203" s="0" t="n">
        <v>6</v>
      </c>
      <c r="F3203" s="0" t="n">
        <v>620</v>
      </c>
      <c r="G3203" s="0" t="n">
        <v>172</v>
      </c>
      <c r="H3203" s="0" t="s">
        <v>145</v>
      </c>
      <c r="I3203" s="0" t="n">
        <v>172</v>
      </c>
      <c r="J3203" s="0" t="n">
        <f aca="false">F3203*E3203</f>
        <v>3720</v>
      </c>
      <c r="K3203" s="0" t="str">
        <f aca="false">IF(G3203&lt;1000,"1-Low",IF(G3203&lt;5000,"2-Medium","3-Bulk"))</f>
        <v>1-Low</v>
      </c>
      <c r="L3203" s="0" t="str">
        <f aca="false">IF(H3203="TRUE","Out of stock","In stock")</f>
        <v>In stock</v>
      </c>
      <c r="M3203" s="0" t="str">
        <f aca="false">IF(D3203&lt;5,"1) Under 5%",IF(D3203&lt;10,"2) 5-9%",IF(D3203&lt;15,"3) 10-14%",IF(D3203&lt;25,"4) 15-24%","5) 25%+"))))</f>
        <v>1) Under 5%</v>
      </c>
      <c r="N3203" s="0" t="str">
        <f aca="false">IF(F3203&lt;50,"1) Under Rs 50",IF(F3203&lt;100,"2) Rs 50-99",IF(F3203&lt;200,"3) Rs 100-199",IF(F3203&lt;500,"4) Rs 200-499","5) Rs 500+"))))</f>
        <v>5) Rs 500+</v>
      </c>
      <c r="O3203" s="0" t="n">
        <f aca="false">G3203*E3203/1000</f>
        <v>1.032</v>
      </c>
    </row>
    <row r="3204" customFormat="false" ht="15" hidden="false" customHeight="false" outlineLevel="0" collapsed="false">
      <c r="A3204" s="0" t="s">
        <v>119</v>
      </c>
      <c r="B3204" s="0" t="s">
        <v>1358</v>
      </c>
      <c r="C3204" s="0" t="n">
        <v>75</v>
      </c>
      <c r="D3204" s="0" t="n">
        <v>9</v>
      </c>
      <c r="E3204" s="0" t="n">
        <v>4</v>
      </c>
      <c r="F3204" s="0" t="n">
        <v>68</v>
      </c>
      <c r="G3204" s="0" t="n">
        <v>200</v>
      </c>
      <c r="H3204" s="0" t="s">
        <v>145</v>
      </c>
      <c r="I3204" s="0" t="n">
        <v>200</v>
      </c>
      <c r="J3204" s="0" t="n">
        <f aca="false">F3204*E3204</f>
        <v>272</v>
      </c>
      <c r="K3204" s="0" t="str">
        <f aca="false">IF(G3204&lt;1000,"1-Low",IF(G3204&lt;5000,"2-Medium","3-Bulk"))</f>
        <v>1-Low</v>
      </c>
      <c r="L3204" s="0" t="str">
        <f aca="false">IF(H3204="TRUE","Out of stock","In stock")</f>
        <v>In stock</v>
      </c>
      <c r="M3204" s="0" t="str">
        <f aca="false">IF(D3204&lt;5,"1) Under 5%",IF(D3204&lt;10,"2) 5-9%",IF(D3204&lt;15,"3) 10-14%",IF(D3204&lt;25,"4) 15-24%","5) 25%+"))))</f>
        <v>2) 5-9%</v>
      </c>
      <c r="N3204" s="0" t="str">
        <f aca="false">IF(F3204&lt;50,"1) Under Rs 50",IF(F3204&lt;100,"2) Rs 50-99",IF(F3204&lt;200,"3) Rs 100-199",IF(F3204&lt;500,"4) Rs 200-499","5) Rs 500+"))))</f>
        <v>2) Rs 50-99</v>
      </c>
      <c r="O3204" s="0" t="n">
        <f aca="false">G3204*E3204/1000</f>
        <v>0.8</v>
      </c>
    </row>
    <row r="3205" customFormat="false" ht="15" hidden="false" customHeight="false" outlineLevel="0" collapsed="false">
      <c r="A3205" s="0" t="s">
        <v>119</v>
      </c>
      <c r="B3205" s="0" t="s">
        <v>1359</v>
      </c>
      <c r="C3205" s="0" t="n">
        <v>149</v>
      </c>
      <c r="D3205" s="0" t="n">
        <v>0</v>
      </c>
      <c r="E3205" s="0" t="n">
        <v>6</v>
      </c>
      <c r="F3205" s="0" t="n">
        <v>149</v>
      </c>
      <c r="G3205" s="0" t="n">
        <v>600</v>
      </c>
      <c r="H3205" s="0" t="s">
        <v>145</v>
      </c>
      <c r="I3205" s="0" t="n">
        <v>600</v>
      </c>
      <c r="J3205" s="0" t="n">
        <f aca="false">F3205*E3205</f>
        <v>894</v>
      </c>
      <c r="K3205" s="0" t="str">
        <f aca="false">IF(G3205&lt;1000,"1-Low",IF(G3205&lt;5000,"2-Medium","3-Bulk"))</f>
        <v>1-Low</v>
      </c>
      <c r="L3205" s="0" t="str">
        <f aca="false">IF(H3205="TRUE","Out of stock","In stock")</f>
        <v>In stock</v>
      </c>
      <c r="M3205" s="0" t="str">
        <f aca="false">IF(D3205&lt;5,"1) Under 5%",IF(D3205&lt;10,"2) 5-9%",IF(D3205&lt;15,"3) 10-14%",IF(D3205&lt;25,"4) 15-24%","5) 25%+"))))</f>
        <v>1) Under 5%</v>
      </c>
      <c r="N3205" s="0" t="str">
        <f aca="false">IF(F3205&lt;50,"1) Under Rs 50",IF(F3205&lt;100,"2) Rs 50-99",IF(F3205&lt;200,"3) Rs 100-199",IF(F3205&lt;500,"4) Rs 200-499","5) Rs 500+"))))</f>
        <v>3) Rs 100-199</v>
      </c>
      <c r="O3205" s="0" t="n">
        <f aca="false">G3205*E3205/1000</f>
        <v>3.6</v>
      </c>
    </row>
    <row r="3206" customFormat="false" ht="15" hidden="false" customHeight="false" outlineLevel="0" collapsed="false">
      <c r="A3206" s="0" t="s">
        <v>119</v>
      </c>
      <c r="B3206" s="0" t="s">
        <v>1360</v>
      </c>
      <c r="C3206" s="0" t="n">
        <v>120</v>
      </c>
      <c r="D3206" s="0" t="n">
        <v>6</v>
      </c>
      <c r="E3206" s="0" t="n">
        <v>5</v>
      </c>
      <c r="F3206" s="0" t="n">
        <v>112</v>
      </c>
      <c r="G3206" s="0" t="n">
        <v>180</v>
      </c>
      <c r="H3206" s="0" t="s">
        <v>145</v>
      </c>
      <c r="I3206" s="0" t="n">
        <v>180</v>
      </c>
      <c r="J3206" s="0" t="n">
        <f aca="false">F3206*E3206</f>
        <v>560</v>
      </c>
      <c r="K3206" s="0" t="str">
        <f aca="false">IF(G3206&lt;1000,"1-Low",IF(G3206&lt;5000,"2-Medium","3-Bulk"))</f>
        <v>1-Low</v>
      </c>
      <c r="L3206" s="0" t="str">
        <f aca="false">IF(H3206="TRUE","Out of stock","In stock")</f>
        <v>In stock</v>
      </c>
      <c r="M3206" s="0" t="str">
        <f aca="false">IF(D3206&lt;5,"1) Under 5%",IF(D3206&lt;10,"2) 5-9%",IF(D3206&lt;15,"3) 10-14%",IF(D3206&lt;25,"4) 15-24%","5) 25%+"))))</f>
        <v>2) 5-9%</v>
      </c>
      <c r="N3206" s="0" t="str">
        <f aca="false">IF(F3206&lt;50,"1) Under Rs 50",IF(F3206&lt;100,"2) Rs 50-99",IF(F3206&lt;200,"3) Rs 100-199",IF(F3206&lt;500,"4) Rs 200-499","5) Rs 500+"))))</f>
        <v>3) Rs 100-199</v>
      </c>
      <c r="O3206" s="0" t="n">
        <f aca="false">G3206*E3206/1000</f>
        <v>0.9</v>
      </c>
    </row>
    <row r="3207" customFormat="false" ht="15" hidden="false" customHeight="false" outlineLevel="0" collapsed="false">
      <c r="A3207" s="0" t="s">
        <v>119</v>
      </c>
      <c r="B3207" s="0" t="s">
        <v>1361</v>
      </c>
      <c r="C3207" s="0" t="n">
        <v>235</v>
      </c>
      <c r="D3207" s="0" t="n">
        <v>7</v>
      </c>
      <c r="E3207" s="0" t="n">
        <v>6</v>
      </c>
      <c r="F3207" s="0" t="n">
        <v>218</v>
      </c>
      <c r="G3207" s="0" t="n">
        <v>1160</v>
      </c>
      <c r="H3207" s="0" t="s">
        <v>145</v>
      </c>
      <c r="I3207" s="0" t="n">
        <v>20</v>
      </c>
      <c r="J3207" s="0" t="n">
        <f aca="false">F3207*E3207</f>
        <v>1308</v>
      </c>
      <c r="K3207" s="0" t="str">
        <f aca="false">IF(G3207&lt;1000,"1-Low",IF(G3207&lt;5000,"2-Medium","3-Bulk"))</f>
        <v>2-Medium</v>
      </c>
      <c r="L3207" s="0" t="str">
        <f aca="false">IF(H3207="TRUE","Out of stock","In stock")</f>
        <v>In stock</v>
      </c>
      <c r="M3207" s="0" t="str">
        <f aca="false">IF(D3207&lt;5,"1) Under 5%",IF(D3207&lt;10,"2) 5-9%",IF(D3207&lt;15,"3) 10-14%",IF(D3207&lt;25,"4) 15-24%","5) 25%+"))))</f>
        <v>2) 5-9%</v>
      </c>
      <c r="N3207" s="0" t="str">
        <f aca="false">IF(F3207&lt;50,"1) Under Rs 50",IF(F3207&lt;100,"2) Rs 50-99",IF(F3207&lt;200,"3) Rs 100-199",IF(F3207&lt;500,"4) Rs 200-499","5) Rs 500+"))))</f>
        <v>4) Rs 200-499</v>
      </c>
      <c r="O3207" s="0" t="n">
        <f aca="false">G3207*E3207/1000</f>
        <v>6.96</v>
      </c>
    </row>
    <row r="3208" customFormat="false" ht="15" hidden="false" customHeight="false" outlineLevel="0" collapsed="false">
      <c r="A3208" s="0" t="s">
        <v>119</v>
      </c>
      <c r="B3208" s="0" t="s">
        <v>1305</v>
      </c>
      <c r="C3208" s="0" t="n">
        <v>245</v>
      </c>
      <c r="D3208" s="0" t="n">
        <v>9</v>
      </c>
      <c r="E3208" s="0" t="n">
        <v>6</v>
      </c>
      <c r="F3208" s="0" t="n">
        <v>221</v>
      </c>
      <c r="G3208" s="0" t="n">
        <v>72</v>
      </c>
      <c r="H3208" s="0" t="s">
        <v>145</v>
      </c>
      <c r="I3208" s="0" t="n">
        <v>72</v>
      </c>
      <c r="J3208" s="0" t="n">
        <f aca="false">F3208*E3208</f>
        <v>1326</v>
      </c>
      <c r="K3208" s="0" t="str">
        <f aca="false">IF(G3208&lt;1000,"1-Low",IF(G3208&lt;5000,"2-Medium","3-Bulk"))</f>
        <v>1-Low</v>
      </c>
      <c r="L3208" s="0" t="str">
        <f aca="false">IF(H3208="TRUE","Out of stock","In stock")</f>
        <v>In stock</v>
      </c>
      <c r="M3208" s="0" t="str">
        <f aca="false">IF(D3208&lt;5,"1) Under 5%",IF(D3208&lt;10,"2) 5-9%",IF(D3208&lt;15,"3) 10-14%",IF(D3208&lt;25,"4) 15-24%","5) 25%+"))))</f>
        <v>2) 5-9%</v>
      </c>
      <c r="N3208" s="0" t="str">
        <f aca="false">IF(F3208&lt;50,"1) Under Rs 50",IF(F3208&lt;100,"2) Rs 50-99",IF(F3208&lt;200,"3) Rs 100-199",IF(F3208&lt;500,"4) Rs 200-499","5) Rs 500+"))))</f>
        <v>4) Rs 200-499</v>
      </c>
      <c r="O3208" s="0" t="n">
        <f aca="false">G3208*E3208/1000</f>
        <v>0.432</v>
      </c>
    </row>
    <row r="3209" customFormat="false" ht="15" hidden="false" customHeight="false" outlineLevel="0" collapsed="false">
      <c r="A3209" s="0" t="s">
        <v>119</v>
      </c>
      <c r="B3209" s="0" t="s">
        <v>1362</v>
      </c>
      <c r="C3209" s="0" t="n">
        <v>199</v>
      </c>
      <c r="D3209" s="0" t="n">
        <v>11</v>
      </c>
      <c r="E3209" s="0" t="n">
        <v>4</v>
      </c>
      <c r="F3209" s="0" t="n">
        <v>177</v>
      </c>
      <c r="G3209" s="0" t="n">
        <v>196</v>
      </c>
      <c r="H3209" s="0" t="s">
        <v>145</v>
      </c>
      <c r="I3209" s="0" t="n">
        <v>196</v>
      </c>
      <c r="J3209" s="0" t="n">
        <f aca="false">F3209*E3209</f>
        <v>708</v>
      </c>
      <c r="K3209" s="0" t="str">
        <f aca="false">IF(G3209&lt;1000,"1-Low",IF(G3209&lt;5000,"2-Medium","3-Bulk"))</f>
        <v>1-Low</v>
      </c>
      <c r="L3209" s="0" t="str">
        <f aca="false">IF(H3209="TRUE","Out of stock","In stock")</f>
        <v>In stock</v>
      </c>
      <c r="M3209" s="0" t="str">
        <f aca="false">IF(D3209&lt;5,"1) Under 5%",IF(D3209&lt;10,"2) 5-9%",IF(D3209&lt;15,"3) 10-14%",IF(D3209&lt;25,"4) 15-24%","5) 25%+"))))</f>
        <v>3) 10-14%</v>
      </c>
      <c r="N3209" s="0" t="str">
        <f aca="false">IF(F3209&lt;50,"1) Under Rs 50",IF(F3209&lt;100,"2) Rs 50-99",IF(F3209&lt;200,"3) Rs 100-199",IF(F3209&lt;500,"4) Rs 200-499","5) Rs 500+"))))</f>
        <v>3) Rs 100-199</v>
      </c>
      <c r="O3209" s="0" t="n">
        <f aca="false">G3209*E3209/1000</f>
        <v>0.784</v>
      </c>
    </row>
    <row r="3210" customFormat="false" ht="15" hidden="false" customHeight="false" outlineLevel="0" collapsed="false">
      <c r="A3210" s="0" t="s">
        <v>119</v>
      </c>
      <c r="B3210" s="0" t="s">
        <v>1363</v>
      </c>
      <c r="C3210" s="0" t="n">
        <v>215</v>
      </c>
      <c r="D3210" s="0" t="n">
        <v>6</v>
      </c>
      <c r="E3210" s="0" t="n">
        <v>3</v>
      </c>
      <c r="F3210" s="0" t="n">
        <v>200</v>
      </c>
      <c r="G3210" s="0" t="n">
        <v>100</v>
      </c>
      <c r="H3210" s="0" t="s">
        <v>145</v>
      </c>
      <c r="I3210" s="0" t="n">
        <v>100</v>
      </c>
      <c r="J3210" s="0" t="n">
        <f aca="false">F3210*E3210</f>
        <v>600</v>
      </c>
      <c r="K3210" s="0" t="str">
        <f aca="false">IF(G3210&lt;1000,"1-Low",IF(G3210&lt;5000,"2-Medium","3-Bulk"))</f>
        <v>1-Low</v>
      </c>
      <c r="L3210" s="0" t="str">
        <f aca="false">IF(H3210="TRUE","Out of stock","In stock")</f>
        <v>In stock</v>
      </c>
      <c r="M3210" s="0" t="str">
        <f aca="false">IF(D3210&lt;5,"1) Under 5%",IF(D3210&lt;10,"2) 5-9%",IF(D3210&lt;15,"3) 10-14%",IF(D3210&lt;25,"4) 15-24%","5) 25%+"))))</f>
        <v>2) 5-9%</v>
      </c>
      <c r="N3210" s="0" t="str">
        <f aca="false">IF(F3210&lt;50,"1) Under Rs 50",IF(F3210&lt;100,"2) Rs 50-99",IF(F3210&lt;200,"3) Rs 100-199",IF(F3210&lt;500,"4) Rs 200-499","5) Rs 500+"))))</f>
        <v>4) Rs 200-499</v>
      </c>
      <c r="O3210" s="0" t="n">
        <f aca="false">G3210*E3210/1000</f>
        <v>0.3</v>
      </c>
    </row>
    <row r="3211" customFormat="false" ht="15" hidden="false" customHeight="false" outlineLevel="0" collapsed="false">
      <c r="A3211" s="0" t="s">
        <v>119</v>
      </c>
      <c r="B3211" s="0" t="s">
        <v>1364</v>
      </c>
      <c r="C3211" s="0" t="n">
        <v>315</v>
      </c>
      <c r="D3211" s="0" t="n">
        <v>0</v>
      </c>
      <c r="E3211" s="0" t="n">
        <v>4</v>
      </c>
      <c r="F3211" s="0" t="n">
        <v>315</v>
      </c>
      <c r="G3211" s="0" t="n">
        <v>30</v>
      </c>
      <c r="H3211" s="0" t="s">
        <v>145</v>
      </c>
      <c r="I3211" s="0" t="n">
        <v>30</v>
      </c>
      <c r="J3211" s="0" t="n">
        <f aca="false">F3211*E3211</f>
        <v>1260</v>
      </c>
      <c r="K3211" s="0" t="str">
        <f aca="false">IF(G3211&lt;1000,"1-Low",IF(G3211&lt;5000,"2-Medium","3-Bulk"))</f>
        <v>1-Low</v>
      </c>
      <c r="L3211" s="0" t="str">
        <f aca="false">IF(H3211="TRUE","Out of stock","In stock")</f>
        <v>In stock</v>
      </c>
      <c r="M3211" s="0" t="str">
        <f aca="false">IF(D3211&lt;5,"1) Under 5%",IF(D3211&lt;10,"2) 5-9%",IF(D3211&lt;15,"3) 10-14%",IF(D3211&lt;25,"4) 15-24%","5) 25%+"))))</f>
        <v>1) Under 5%</v>
      </c>
      <c r="N3211" s="0" t="str">
        <f aca="false">IF(F3211&lt;50,"1) Under Rs 50",IF(F3211&lt;100,"2) Rs 50-99",IF(F3211&lt;200,"3) Rs 100-199",IF(F3211&lt;500,"4) Rs 200-499","5) Rs 500+"))))</f>
        <v>4) Rs 200-499</v>
      </c>
      <c r="O3211" s="0" t="n">
        <f aca="false">G3211*E3211/1000</f>
        <v>0.12</v>
      </c>
    </row>
    <row r="3212" customFormat="false" ht="15" hidden="false" customHeight="false" outlineLevel="0" collapsed="false">
      <c r="A3212" s="0" t="s">
        <v>119</v>
      </c>
      <c r="B3212" s="0" t="s">
        <v>1365</v>
      </c>
      <c r="C3212" s="0" t="n">
        <v>80</v>
      </c>
      <c r="D3212" s="0" t="n">
        <v>8</v>
      </c>
      <c r="E3212" s="0" t="n">
        <v>4</v>
      </c>
      <c r="F3212" s="0" t="n">
        <v>73</v>
      </c>
      <c r="G3212" s="0" t="n">
        <v>100</v>
      </c>
      <c r="H3212" s="0" t="s">
        <v>145</v>
      </c>
      <c r="I3212" s="0" t="n">
        <v>100</v>
      </c>
      <c r="J3212" s="0" t="n">
        <f aca="false">F3212*E3212</f>
        <v>292</v>
      </c>
      <c r="K3212" s="0" t="str">
        <f aca="false">IF(G3212&lt;1000,"1-Low",IF(G3212&lt;5000,"2-Medium","3-Bulk"))</f>
        <v>1-Low</v>
      </c>
      <c r="L3212" s="0" t="str">
        <f aca="false">IF(H3212="TRUE","Out of stock","In stock")</f>
        <v>In stock</v>
      </c>
      <c r="M3212" s="0" t="str">
        <f aca="false">IF(D3212&lt;5,"1) Under 5%",IF(D3212&lt;10,"2) 5-9%",IF(D3212&lt;15,"3) 10-14%",IF(D3212&lt;25,"4) 15-24%","5) 25%+"))))</f>
        <v>2) 5-9%</v>
      </c>
      <c r="N3212" s="0" t="str">
        <f aca="false">IF(F3212&lt;50,"1) Under Rs 50",IF(F3212&lt;100,"2) Rs 50-99",IF(F3212&lt;200,"3) Rs 100-199",IF(F3212&lt;500,"4) Rs 200-499","5) Rs 500+"))))</f>
        <v>2) Rs 50-99</v>
      </c>
      <c r="O3212" s="0" t="n">
        <f aca="false">G3212*E3212/1000</f>
        <v>0.4</v>
      </c>
    </row>
    <row r="3213" customFormat="false" ht="15" hidden="false" customHeight="false" outlineLevel="0" collapsed="false">
      <c r="A3213" s="0" t="s">
        <v>119</v>
      </c>
      <c r="B3213" s="0" t="s">
        <v>1366</v>
      </c>
      <c r="C3213" s="0" t="n">
        <v>225</v>
      </c>
      <c r="D3213" s="0" t="n">
        <v>20</v>
      </c>
      <c r="E3213" s="0" t="n">
        <v>4</v>
      </c>
      <c r="F3213" s="0" t="n">
        <v>180</v>
      </c>
      <c r="G3213" s="0" t="n">
        <v>250</v>
      </c>
      <c r="H3213" s="0" t="s">
        <v>145</v>
      </c>
      <c r="I3213" s="0" t="n">
        <v>250</v>
      </c>
      <c r="J3213" s="0" t="n">
        <f aca="false">F3213*E3213</f>
        <v>720</v>
      </c>
      <c r="K3213" s="0" t="str">
        <f aca="false">IF(G3213&lt;1000,"1-Low",IF(G3213&lt;5000,"2-Medium","3-Bulk"))</f>
        <v>1-Low</v>
      </c>
      <c r="L3213" s="0" t="str">
        <f aca="false">IF(H3213="TRUE","Out of stock","In stock")</f>
        <v>In stock</v>
      </c>
      <c r="M3213" s="0" t="str">
        <f aca="false">IF(D3213&lt;5,"1) Under 5%",IF(D3213&lt;10,"2) 5-9%",IF(D3213&lt;15,"3) 10-14%",IF(D3213&lt;25,"4) 15-24%","5) 25%+"))))</f>
        <v>4) 15-24%</v>
      </c>
      <c r="N3213" s="0" t="str">
        <f aca="false">IF(F3213&lt;50,"1) Under Rs 50",IF(F3213&lt;100,"2) Rs 50-99",IF(F3213&lt;200,"3) Rs 100-199",IF(F3213&lt;500,"4) Rs 200-499","5) Rs 500+"))))</f>
        <v>3) Rs 100-199</v>
      </c>
      <c r="O3213" s="0" t="n">
        <f aca="false">G3213*E3213/1000</f>
        <v>1</v>
      </c>
    </row>
    <row r="3214" customFormat="false" ht="15" hidden="false" customHeight="false" outlineLevel="0" collapsed="false">
      <c r="A3214" s="0" t="s">
        <v>119</v>
      </c>
      <c r="B3214" s="0" t="s">
        <v>1367</v>
      </c>
      <c r="C3214" s="0" t="n">
        <v>175</v>
      </c>
      <c r="D3214" s="0" t="n">
        <v>0</v>
      </c>
      <c r="E3214" s="0" t="n">
        <v>5</v>
      </c>
      <c r="F3214" s="0" t="n">
        <v>175</v>
      </c>
      <c r="G3214" s="0" t="n">
        <v>870</v>
      </c>
      <c r="H3214" s="0" t="s">
        <v>145</v>
      </c>
      <c r="I3214" s="0" t="n">
        <v>15</v>
      </c>
      <c r="J3214" s="0" t="n">
        <f aca="false">F3214*E3214</f>
        <v>875</v>
      </c>
      <c r="K3214" s="0" t="str">
        <f aca="false">IF(G3214&lt;1000,"1-Low",IF(G3214&lt;5000,"2-Medium","3-Bulk"))</f>
        <v>1-Low</v>
      </c>
      <c r="L3214" s="0" t="str">
        <f aca="false">IF(H3214="TRUE","Out of stock","In stock")</f>
        <v>In stock</v>
      </c>
      <c r="M3214" s="0" t="str">
        <f aca="false">IF(D3214&lt;5,"1) Under 5%",IF(D3214&lt;10,"2) 5-9%",IF(D3214&lt;15,"3) 10-14%",IF(D3214&lt;25,"4) 15-24%","5) 25%+"))))</f>
        <v>1) Under 5%</v>
      </c>
      <c r="N3214" s="0" t="str">
        <f aca="false">IF(F3214&lt;50,"1) Under Rs 50",IF(F3214&lt;100,"2) Rs 50-99",IF(F3214&lt;200,"3) Rs 100-199",IF(F3214&lt;500,"4) Rs 200-499","5) Rs 500+"))))</f>
        <v>3) Rs 100-199</v>
      </c>
      <c r="O3214" s="0" t="n">
        <f aca="false">G3214*E3214/1000</f>
        <v>4.35</v>
      </c>
    </row>
    <row r="3215" customFormat="false" ht="15" hidden="false" customHeight="false" outlineLevel="0" collapsed="false">
      <c r="A3215" s="0" t="s">
        <v>119</v>
      </c>
      <c r="B3215" s="0" t="s">
        <v>1368</v>
      </c>
      <c r="C3215" s="0" t="n">
        <v>143</v>
      </c>
      <c r="D3215" s="0" t="n">
        <v>0</v>
      </c>
      <c r="E3215" s="0" t="n">
        <v>6</v>
      </c>
      <c r="F3215" s="0" t="n">
        <v>143</v>
      </c>
      <c r="G3215" s="0" t="n">
        <v>200</v>
      </c>
      <c r="H3215" s="0" t="s">
        <v>145</v>
      </c>
      <c r="I3215" s="0" t="n">
        <v>200</v>
      </c>
      <c r="J3215" s="0" t="n">
        <f aca="false">F3215*E3215</f>
        <v>858</v>
      </c>
      <c r="K3215" s="0" t="str">
        <f aca="false">IF(G3215&lt;1000,"1-Low",IF(G3215&lt;5000,"2-Medium","3-Bulk"))</f>
        <v>1-Low</v>
      </c>
      <c r="L3215" s="0" t="str">
        <f aca="false">IF(H3215="TRUE","Out of stock","In stock")</f>
        <v>In stock</v>
      </c>
      <c r="M3215" s="0" t="str">
        <f aca="false">IF(D3215&lt;5,"1) Under 5%",IF(D3215&lt;10,"2) 5-9%",IF(D3215&lt;15,"3) 10-14%",IF(D3215&lt;25,"4) 15-24%","5) 25%+"))))</f>
        <v>1) Under 5%</v>
      </c>
      <c r="N3215" s="0" t="str">
        <f aca="false">IF(F3215&lt;50,"1) Under Rs 50",IF(F3215&lt;100,"2) Rs 50-99",IF(F3215&lt;200,"3) Rs 100-199",IF(F3215&lt;500,"4) Rs 200-499","5) Rs 500+"))))</f>
        <v>3) Rs 100-199</v>
      </c>
      <c r="O3215" s="0" t="n">
        <f aca="false">G3215*E3215/1000</f>
        <v>1.2</v>
      </c>
    </row>
    <row r="3216" customFormat="false" ht="15" hidden="false" customHeight="false" outlineLevel="0" collapsed="false">
      <c r="A3216" s="0" t="s">
        <v>119</v>
      </c>
      <c r="B3216" s="0" t="s">
        <v>1369</v>
      </c>
      <c r="C3216" s="0" t="n">
        <v>235</v>
      </c>
      <c r="D3216" s="0" t="n">
        <v>9</v>
      </c>
      <c r="E3216" s="0" t="n">
        <v>6</v>
      </c>
      <c r="F3216" s="0" t="n">
        <v>212</v>
      </c>
      <c r="G3216" s="0" t="n">
        <v>125</v>
      </c>
      <c r="H3216" s="0" t="s">
        <v>145</v>
      </c>
      <c r="I3216" s="0" t="n">
        <v>125</v>
      </c>
      <c r="J3216" s="0" t="n">
        <f aca="false">F3216*E3216</f>
        <v>1272</v>
      </c>
      <c r="K3216" s="0" t="str">
        <f aca="false">IF(G3216&lt;1000,"1-Low",IF(G3216&lt;5000,"2-Medium","3-Bulk"))</f>
        <v>1-Low</v>
      </c>
      <c r="L3216" s="0" t="str">
        <f aca="false">IF(H3216="TRUE","Out of stock","In stock")</f>
        <v>In stock</v>
      </c>
      <c r="M3216" s="0" t="str">
        <f aca="false">IF(D3216&lt;5,"1) Under 5%",IF(D3216&lt;10,"2) 5-9%",IF(D3216&lt;15,"3) 10-14%",IF(D3216&lt;25,"4) 15-24%","5) 25%+"))))</f>
        <v>2) 5-9%</v>
      </c>
      <c r="N3216" s="0" t="str">
        <f aca="false">IF(F3216&lt;50,"1) Under Rs 50",IF(F3216&lt;100,"2) Rs 50-99",IF(F3216&lt;200,"3) Rs 100-199",IF(F3216&lt;500,"4) Rs 200-499","5) Rs 500+"))))</f>
        <v>4) Rs 200-499</v>
      </c>
      <c r="O3216" s="0" t="n">
        <f aca="false">G3216*E3216/1000</f>
        <v>0.75</v>
      </c>
    </row>
    <row r="3217" customFormat="false" ht="15" hidden="false" customHeight="false" outlineLevel="0" collapsed="false">
      <c r="A3217" s="0" t="s">
        <v>119</v>
      </c>
      <c r="B3217" s="0" t="s">
        <v>1370</v>
      </c>
      <c r="C3217" s="0" t="n">
        <v>95</v>
      </c>
      <c r="D3217" s="0" t="n">
        <v>0</v>
      </c>
      <c r="E3217" s="0" t="n">
        <v>4</v>
      </c>
      <c r="F3217" s="0" t="n">
        <v>95</v>
      </c>
      <c r="G3217" s="0" t="n">
        <v>200</v>
      </c>
      <c r="H3217" s="0" t="s">
        <v>145</v>
      </c>
      <c r="I3217" s="0" t="n">
        <v>200</v>
      </c>
      <c r="J3217" s="0" t="n">
        <f aca="false">F3217*E3217</f>
        <v>380</v>
      </c>
      <c r="K3217" s="0" t="str">
        <f aca="false">IF(G3217&lt;1000,"1-Low",IF(G3217&lt;5000,"2-Medium","3-Bulk"))</f>
        <v>1-Low</v>
      </c>
      <c r="L3217" s="0" t="str">
        <f aca="false">IF(H3217="TRUE","Out of stock","In stock")</f>
        <v>In stock</v>
      </c>
      <c r="M3217" s="0" t="str">
        <f aca="false">IF(D3217&lt;5,"1) Under 5%",IF(D3217&lt;10,"2) 5-9%",IF(D3217&lt;15,"3) 10-14%",IF(D3217&lt;25,"4) 15-24%","5) 25%+"))))</f>
        <v>1) Under 5%</v>
      </c>
      <c r="N3217" s="0" t="str">
        <f aca="false">IF(F3217&lt;50,"1) Under Rs 50",IF(F3217&lt;100,"2) Rs 50-99",IF(F3217&lt;200,"3) Rs 100-199",IF(F3217&lt;500,"4) Rs 200-499","5) Rs 500+"))))</f>
        <v>2) Rs 50-99</v>
      </c>
      <c r="O3217" s="0" t="n">
        <f aca="false">G3217*E3217/1000</f>
        <v>0.8</v>
      </c>
    </row>
    <row r="3218" customFormat="false" ht="15" hidden="false" customHeight="false" outlineLevel="0" collapsed="false">
      <c r="A3218" s="0" t="s">
        <v>119</v>
      </c>
      <c r="B3218" s="0" t="s">
        <v>1371</v>
      </c>
      <c r="C3218" s="0" t="n">
        <v>199</v>
      </c>
      <c r="D3218" s="0" t="n">
        <v>0</v>
      </c>
      <c r="E3218" s="0" t="n">
        <v>3</v>
      </c>
      <c r="F3218" s="0" t="n">
        <v>199</v>
      </c>
      <c r="G3218" s="0" t="n">
        <v>192</v>
      </c>
      <c r="H3218" s="0" t="s">
        <v>145</v>
      </c>
      <c r="I3218" s="0" t="n">
        <v>192</v>
      </c>
      <c r="J3218" s="0" t="n">
        <f aca="false">F3218*E3218</f>
        <v>597</v>
      </c>
      <c r="K3218" s="0" t="str">
        <f aca="false">IF(G3218&lt;1000,"1-Low",IF(G3218&lt;5000,"2-Medium","3-Bulk"))</f>
        <v>1-Low</v>
      </c>
      <c r="L3218" s="0" t="str">
        <f aca="false">IF(H3218="TRUE","Out of stock","In stock")</f>
        <v>In stock</v>
      </c>
      <c r="M3218" s="0" t="str">
        <f aca="false">IF(D3218&lt;5,"1) Under 5%",IF(D3218&lt;10,"2) 5-9%",IF(D3218&lt;15,"3) 10-14%",IF(D3218&lt;25,"4) 15-24%","5) 25%+"))))</f>
        <v>1) Under 5%</v>
      </c>
      <c r="N3218" s="0" t="str">
        <f aca="false">IF(F3218&lt;50,"1) Under Rs 50",IF(F3218&lt;100,"2) Rs 50-99",IF(F3218&lt;200,"3) Rs 100-199",IF(F3218&lt;500,"4) Rs 200-499","5) Rs 500+"))))</f>
        <v>3) Rs 100-199</v>
      </c>
      <c r="O3218" s="0" t="n">
        <f aca="false">G3218*E3218/1000</f>
        <v>0.576</v>
      </c>
    </row>
    <row r="3219" customFormat="false" ht="15" hidden="false" customHeight="false" outlineLevel="0" collapsed="false">
      <c r="A3219" s="0" t="s">
        <v>119</v>
      </c>
      <c r="B3219" s="0" t="s">
        <v>1372</v>
      </c>
      <c r="C3219" s="0" t="n">
        <v>199</v>
      </c>
      <c r="D3219" s="0" t="n">
        <v>4</v>
      </c>
      <c r="E3219" s="0" t="n">
        <v>5</v>
      </c>
      <c r="F3219" s="0" t="n">
        <v>191</v>
      </c>
      <c r="G3219" s="0" t="n">
        <v>250</v>
      </c>
      <c r="H3219" s="0" t="s">
        <v>145</v>
      </c>
      <c r="I3219" s="0" t="n">
        <v>250</v>
      </c>
      <c r="J3219" s="0" t="n">
        <f aca="false">F3219*E3219</f>
        <v>955</v>
      </c>
      <c r="K3219" s="0" t="str">
        <f aca="false">IF(G3219&lt;1000,"1-Low",IF(G3219&lt;5000,"2-Medium","3-Bulk"))</f>
        <v>1-Low</v>
      </c>
      <c r="L3219" s="0" t="str">
        <f aca="false">IF(H3219="TRUE","Out of stock","In stock")</f>
        <v>In stock</v>
      </c>
      <c r="M3219" s="0" t="str">
        <f aca="false">IF(D3219&lt;5,"1) Under 5%",IF(D3219&lt;10,"2) 5-9%",IF(D3219&lt;15,"3) 10-14%",IF(D3219&lt;25,"4) 15-24%","5) 25%+"))))</f>
        <v>1) Under 5%</v>
      </c>
      <c r="N3219" s="0" t="str">
        <f aca="false">IF(F3219&lt;50,"1) Under Rs 50",IF(F3219&lt;100,"2) Rs 50-99",IF(F3219&lt;200,"3) Rs 100-199",IF(F3219&lt;500,"4) Rs 200-499","5) Rs 500+"))))</f>
        <v>3) Rs 100-199</v>
      </c>
      <c r="O3219" s="0" t="n">
        <f aca="false">G3219*E3219/1000</f>
        <v>1.25</v>
      </c>
    </row>
    <row r="3220" customFormat="false" ht="15" hidden="false" customHeight="false" outlineLevel="0" collapsed="false">
      <c r="A3220" s="0" t="s">
        <v>119</v>
      </c>
      <c r="B3220" s="0" t="s">
        <v>1373</v>
      </c>
      <c r="C3220" s="0" t="n">
        <v>135</v>
      </c>
      <c r="D3220" s="0" t="n">
        <v>0</v>
      </c>
      <c r="E3220" s="0" t="n">
        <v>1</v>
      </c>
      <c r="F3220" s="0" t="n">
        <v>135</v>
      </c>
      <c r="G3220" s="0" t="n">
        <v>192</v>
      </c>
      <c r="H3220" s="0" t="s">
        <v>145</v>
      </c>
      <c r="I3220" s="0" t="n">
        <v>192</v>
      </c>
      <c r="J3220" s="0" t="n">
        <f aca="false">F3220*E3220</f>
        <v>135</v>
      </c>
      <c r="K3220" s="0" t="str">
        <f aca="false">IF(G3220&lt;1000,"1-Low",IF(G3220&lt;5000,"2-Medium","3-Bulk"))</f>
        <v>1-Low</v>
      </c>
      <c r="L3220" s="0" t="str">
        <f aca="false">IF(H3220="TRUE","Out of stock","In stock")</f>
        <v>In stock</v>
      </c>
      <c r="M3220" s="0" t="str">
        <f aca="false">IF(D3220&lt;5,"1) Under 5%",IF(D3220&lt;10,"2) 5-9%",IF(D3220&lt;15,"3) 10-14%",IF(D3220&lt;25,"4) 15-24%","5) 25%+"))))</f>
        <v>1) Under 5%</v>
      </c>
      <c r="N3220" s="0" t="str">
        <f aca="false">IF(F3220&lt;50,"1) Under Rs 50",IF(F3220&lt;100,"2) Rs 50-99",IF(F3220&lt;200,"3) Rs 100-199",IF(F3220&lt;500,"4) Rs 200-499","5) Rs 500+"))))</f>
        <v>3) Rs 100-199</v>
      </c>
      <c r="O3220" s="0" t="n">
        <f aca="false">G3220*E3220/1000</f>
        <v>0.192</v>
      </c>
    </row>
    <row r="3221" customFormat="false" ht="15" hidden="false" customHeight="false" outlineLevel="0" collapsed="false">
      <c r="A3221" s="0" t="s">
        <v>119</v>
      </c>
      <c r="B3221" s="0" t="s">
        <v>1374</v>
      </c>
      <c r="C3221" s="0" t="n">
        <v>25</v>
      </c>
      <c r="D3221" s="0" t="n">
        <v>0</v>
      </c>
      <c r="E3221" s="0" t="n">
        <v>5</v>
      </c>
      <c r="F3221" s="0" t="n">
        <v>25</v>
      </c>
      <c r="G3221" s="0" t="n">
        <v>20</v>
      </c>
      <c r="H3221" s="0" t="s">
        <v>145</v>
      </c>
      <c r="I3221" s="0" t="n">
        <v>20</v>
      </c>
      <c r="J3221" s="0" t="n">
        <f aca="false">F3221*E3221</f>
        <v>125</v>
      </c>
      <c r="K3221" s="0" t="str">
        <f aca="false">IF(G3221&lt;1000,"1-Low",IF(G3221&lt;5000,"2-Medium","3-Bulk"))</f>
        <v>1-Low</v>
      </c>
      <c r="L3221" s="0" t="str">
        <f aca="false">IF(H3221="TRUE","Out of stock","In stock")</f>
        <v>In stock</v>
      </c>
      <c r="M3221" s="0" t="str">
        <f aca="false">IF(D3221&lt;5,"1) Under 5%",IF(D3221&lt;10,"2) 5-9%",IF(D3221&lt;15,"3) 10-14%",IF(D3221&lt;25,"4) 15-24%","5) 25%+"))))</f>
        <v>1) Under 5%</v>
      </c>
      <c r="N3221" s="0" t="str">
        <f aca="false">IF(F3221&lt;50,"1) Under Rs 50",IF(F3221&lt;100,"2) Rs 50-99",IF(F3221&lt;200,"3) Rs 100-199",IF(F3221&lt;500,"4) Rs 200-499","5) Rs 500+"))))</f>
        <v>1) Under Rs 50</v>
      </c>
      <c r="O3221" s="0" t="n">
        <f aca="false">G3221*E3221/1000</f>
        <v>0.1</v>
      </c>
    </row>
    <row r="3222" customFormat="false" ht="15" hidden="false" customHeight="false" outlineLevel="0" collapsed="false">
      <c r="A3222" s="0" t="s">
        <v>119</v>
      </c>
      <c r="B3222" s="0" t="s">
        <v>1375</v>
      </c>
      <c r="C3222" s="0" t="n">
        <v>80</v>
      </c>
      <c r="D3222" s="0" t="n">
        <v>6</v>
      </c>
      <c r="E3222" s="0" t="n">
        <v>2</v>
      </c>
      <c r="F3222" s="0" t="n">
        <v>75</v>
      </c>
      <c r="G3222" s="0" t="n">
        <v>250</v>
      </c>
      <c r="H3222" s="0" t="s">
        <v>145</v>
      </c>
      <c r="I3222" s="0" t="n">
        <v>250</v>
      </c>
      <c r="J3222" s="0" t="n">
        <f aca="false">F3222*E3222</f>
        <v>150</v>
      </c>
      <c r="K3222" s="0" t="str">
        <f aca="false">IF(G3222&lt;1000,"1-Low",IF(G3222&lt;5000,"2-Medium","3-Bulk"))</f>
        <v>1-Low</v>
      </c>
      <c r="L3222" s="0" t="str">
        <f aca="false">IF(H3222="TRUE","Out of stock","In stock")</f>
        <v>In stock</v>
      </c>
      <c r="M3222" s="0" t="str">
        <f aca="false">IF(D3222&lt;5,"1) Under 5%",IF(D3222&lt;10,"2) 5-9%",IF(D3222&lt;15,"3) 10-14%",IF(D3222&lt;25,"4) 15-24%","5) 25%+"))))</f>
        <v>2) 5-9%</v>
      </c>
      <c r="N3222" s="0" t="str">
        <f aca="false">IF(F3222&lt;50,"1) Under Rs 50",IF(F3222&lt;100,"2) Rs 50-99",IF(F3222&lt;200,"3) Rs 100-199",IF(F3222&lt;500,"4) Rs 200-499","5) Rs 500+"))))</f>
        <v>2) Rs 50-99</v>
      </c>
      <c r="O3222" s="0" t="n">
        <f aca="false">G3222*E3222/1000</f>
        <v>0.5</v>
      </c>
    </row>
    <row r="3223" customFormat="false" ht="15" hidden="false" customHeight="false" outlineLevel="0" collapsed="false">
      <c r="A3223" s="0" t="s">
        <v>119</v>
      </c>
      <c r="B3223" s="0" t="s">
        <v>1376</v>
      </c>
      <c r="C3223" s="0" t="n">
        <v>170</v>
      </c>
      <c r="D3223" s="0" t="n">
        <v>10</v>
      </c>
      <c r="E3223" s="0" t="n">
        <v>6</v>
      </c>
      <c r="F3223" s="0" t="n">
        <v>153</v>
      </c>
      <c r="G3223" s="0" t="n">
        <v>150</v>
      </c>
      <c r="H3223" s="0" t="s">
        <v>145</v>
      </c>
      <c r="I3223" s="0" t="n">
        <v>150</v>
      </c>
      <c r="J3223" s="0" t="n">
        <f aca="false">F3223*E3223</f>
        <v>918</v>
      </c>
      <c r="K3223" s="0" t="str">
        <f aca="false">IF(G3223&lt;1000,"1-Low",IF(G3223&lt;5000,"2-Medium","3-Bulk"))</f>
        <v>1-Low</v>
      </c>
      <c r="L3223" s="0" t="str">
        <f aca="false">IF(H3223="TRUE","Out of stock","In stock")</f>
        <v>In stock</v>
      </c>
      <c r="M3223" s="0" t="str">
        <f aca="false">IF(D3223&lt;5,"1) Under 5%",IF(D3223&lt;10,"2) 5-9%",IF(D3223&lt;15,"3) 10-14%",IF(D3223&lt;25,"4) 15-24%","5) 25%+"))))</f>
        <v>3) 10-14%</v>
      </c>
      <c r="N3223" s="0" t="str">
        <f aca="false">IF(F3223&lt;50,"1) Under Rs 50",IF(F3223&lt;100,"2) Rs 50-99",IF(F3223&lt;200,"3) Rs 100-199",IF(F3223&lt;500,"4) Rs 200-499","5) Rs 500+"))))</f>
        <v>3) Rs 100-199</v>
      </c>
      <c r="O3223" s="0" t="n">
        <f aca="false">G3223*E3223/1000</f>
        <v>0.9</v>
      </c>
    </row>
    <row r="3224" customFormat="false" ht="15" hidden="false" customHeight="false" outlineLevel="0" collapsed="false">
      <c r="A3224" s="0" t="s">
        <v>119</v>
      </c>
      <c r="B3224" s="0" t="s">
        <v>1377</v>
      </c>
      <c r="C3224" s="0" t="n">
        <v>65</v>
      </c>
      <c r="D3224" s="0" t="n">
        <v>9</v>
      </c>
      <c r="E3224" s="0" t="n">
        <v>3</v>
      </c>
      <c r="F3224" s="0" t="n">
        <v>59</v>
      </c>
      <c r="G3224" s="0" t="n">
        <v>24</v>
      </c>
      <c r="H3224" s="0" t="s">
        <v>145</v>
      </c>
      <c r="I3224" s="0" t="n">
        <v>24</v>
      </c>
      <c r="J3224" s="0" t="n">
        <f aca="false">F3224*E3224</f>
        <v>177</v>
      </c>
      <c r="K3224" s="0" t="str">
        <f aca="false">IF(G3224&lt;1000,"1-Low",IF(G3224&lt;5000,"2-Medium","3-Bulk"))</f>
        <v>1-Low</v>
      </c>
      <c r="L3224" s="0" t="str">
        <f aca="false">IF(H3224="TRUE","Out of stock","In stock")</f>
        <v>In stock</v>
      </c>
      <c r="M3224" s="0" t="str">
        <f aca="false">IF(D3224&lt;5,"1) Under 5%",IF(D3224&lt;10,"2) 5-9%",IF(D3224&lt;15,"3) 10-14%",IF(D3224&lt;25,"4) 15-24%","5) 25%+"))))</f>
        <v>2) 5-9%</v>
      </c>
      <c r="N3224" s="0" t="str">
        <f aca="false">IF(F3224&lt;50,"1) Under Rs 50",IF(F3224&lt;100,"2) Rs 50-99",IF(F3224&lt;200,"3) Rs 100-199",IF(F3224&lt;500,"4) Rs 200-499","5) Rs 500+"))))</f>
        <v>2) Rs 50-99</v>
      </c>
      <c r="O3224" s="0" t="n">
        <f aca="false">G3224*E3224/1000</f>
        <v>0.072</v>
      </c>
    </row>
    <row r="3225" customFormat="false" ht="15" hidden="false" customHeight="false" outlineLevel="0" collapsed="false">
      <c r="A3225" s="0" t="s">
        <v>119</v>
      </c>
      <c r="B3225" s="0" t="s">
        <v>1378</v>
      </c>
      <c r="C3225" s="0" t="n">
        <v>133</v>
      </c>
      <c r="D3225" s="0" t="n">
        <v>2</v>
      </c>
      <c r="E3225" s="0" t="n">
        <v>5</v>
      </c>
      <c r="F3225" s="0" t="n">
        <v>130</v>
      </c>
      <c r="G3225" s="0" t="n">
        <v>1160</v>
      </c>
      <c r="H3225" s="0" t="s">
        <v>145</v>
      </c>
      <c r="I3225" s="0" t="n">
        <v>20</v>
      </c>
      <c r="J3225" s="0" t="n">
        <f aca="false">F3225*E3225</f>
        <v>650</v>
      </c>
      <c r="K3225" s="0" t="str">
        <f aca="false">IF(G3225&lt;1000,"1-Low",IF(G3225&lt;5000,"2-Medium","3-Bulk"))</f>
        <v>2-Medium</v>
      </c>
      <c r="L3225" s="0" t="str">
        <f aca="false">IF(H3225="TRUE","Out of stock","In stock")</f>
        <v>In stock</v>
      </c>
      <c r="M3225" s="0" t="str">
        <f aca="false">IF(D3225&lt;5,"1) Under 5%",IF(D3225&lt;10,"2) 5-9%",IF(D3225&lt;15,"3) 10-14%",IF(D3225&lt;25,"4) 15-24%","5) 25%+"))))</f>
        <v>1) Under 5%</v>
      </c>
      <c r="N3225" s="0" t="str">
        <f aca="false">IF(F3225&lt;50,"1) Under Rs 50",IF(F3225&lt;100,"2) Rs 50-99",IF(F3225&lt;200,"3) Rs 100-199",IF(F3225&lt;500,"4) Rs 200-499","5) Rs 500+"))))</f>
        <v>3) Rs 100-199</v>
      </c>
      <c r="O3225" s="0" t="n">
        <f aca="false">G3225*E3225/1000</f>
        <v>5.8</v>
      </c>
    </row>
    <row r="3226" customFormat="false" ht="15" hidden="false" customHeight="false" outlineLevel="0" collapsed="false">
      <c r="A3226" s="0" t="s">
        <v>119</v>
      </c>
      <c r="B3226" s="0" t="s">
        <v>1379</v>
      </c>
      <c r="C3226" s="0" t="n">
        <v>158</v>
      </c>
      <c r="D3226" s="0" t="n">
        <v>6</v>
      </c>
      <c r="E3226" s="0" t="n">
        <v>5</v>
      </c>
      <c r="F3226" s="0" t="n">
        <v>147</v>
      </c>
      <c r="G3226" s="0" t="n">
        <v>180</v>
      </c>
      <c r="H3226" s="0" t="s">
        <v>145</v>
      </c>
      <c r="I3226" s="0" t="n">
        <v>180</v>
      </c>
      <c r="J3226" s="0" t="n">
        <f aca="false">F3226*E3226</f>
        <v>735</v>
      </c>
      <c r="K3226" s="0" t="str">
        <f aca="false">IF(G3226&lt;1000,"1-Low",IF(G3226&lt;5000,"2-Medium","3-Bulk"))</f>
        <v>1-Low</v>
      </c>
      <c r="L3226" s="0" t="str">
        <f aca="false">IF(H3226="TRUE","Out of stock","In stock")</f>
        <v>In stock</v>
      </c>
      <c r="M3226" s="0" t="str">
        <f aca="false">IF(D3226&lt;5,"1) Under 5%",IF(D3226&lt;10,"2) 5-9%",IF(D3226&lt;15,"3) 10-14%",IF(D3226&lt;25,"4) 15-24%","5) 25%+"))))</f>
        <v>2) 5-9%</v>
      </c>
      <c r="N3226" s="0" t="str">
        <f aca="false">IF(F3226&lt;50,"1) Under Rs 50",IF(F3226&lt;100,"2) Rs 50-99",IF(F3226&lt;200,"3) Rs 100-199",IF(F3226&lt;500,"4) Rs 200-499","5) Rs 500+"))))</f>
        <v>3) Rs 100-199</v>
      </c>
      <c r="O3226" s="0" t="n">
        <f aca="false">G3226*E3226/1000</f>
        <v>0.9</v>
      </c>
    </row>
    <row r="3227" customFormat="false" ht="15" hidden="false" customHeight="false" outlineLevel="0" collapsed="false">
      <c r="A3227" s="0" t="s">
        <v>119</v>
      </c>
      <c r="B3227" s="0" t="s">
        <v>1380</v>
      </c>
      <c r="C3227" s="0" t="n">
        <v>285</v>
      </c>
      <c r="D3227" s="0" t="n">
        <v>0</v>
      </c>
      <c r="E3227" s="0" t="n">
        <v>5</v>
      </c>
      <c r="F3227" s="0" t="n">
        <v>285</v>
      </c>
      <c r="G3227" s="0" t="n">
        <v>340</v>
      </c>
      <c r="H3227" s="0" t="s">
        <v>145</v>
      </c>
      <c r="I3227" s="0" t="n">
        <v>240</v>
      </c>
      <c r="J3227" s="0" t="n">
        <f aca="false">F3227*E3227</f>
        <v>1425</v>
      </c>
      <c r="K3227" s="0" t="str">
        <f aca="false">IF(G3227&lt;1000,"1-Low",IF(G3227&lt;5000,"2-Medium","3-Bulk"))</f>
        <v>1-Low</v>
      </c>
      <c r="L3227" s="0" t="str">
        <f aca="false">IF(H3227="TRUE","Out of stock","In stock")</f>
        <v>In stock</v>
      </c>
      <c r="M3227" s="0" t="str">
        <f aca="false">IF(D3227&lt;5,"1) Under 5%",IF(D3227&lt;10,"2) 5-9%",IF(D3227&lt;15,"3) 10-14%",IF(D3227&lt;25,"4) 15-24%","5) 25%+"))))</f>
        <v>1) Under 5%</v>
      </c>
      <c r="N3227" s="0" t="str">
        <f aca="false">IF(F3227&lt;50,"1) Under Rs 50",IF(F3227&lt;100,"2) Rs 50-99",IF(F3227&lt;200,"3) Rs 100-199",IF(F3227&lt;500,"4) Rs 200-499","5) Rs 500+"))))</f>
        <v>4) Rs 200-499</v>
      </c>
      <c r="O3227" s="0" t="n">
        <f aca="false">G3227*E3227/1000</f>
        <v>1.7</v>
      </c>
    </row>
    <row r="3228" customFormat="false" ht="15" hidden="false" customHeight="false" outlineLevel="0" collapsed="false">
      <c r="A3228" s="0" t="s">
        <v>119</v>
      </c>
      <c r="B3228" s="0" t="s">
        <v>1381</v>
      </c>
      <c r="C3228" s="0" t="n">
        <v>550</v>
      </c>
      <c r="D3228" s="0" t="n">
        <v>0</v>
      </c>
      <c r="E3228" s="0" t="n">
        <v>6</v>
      </c>
      <c r="F3228" s="0" t="n">
        <v>550</v>
      </c>
      <c r="G3228" s="0" t="n">
        <v>159</v>
      </c>
      <c r="H3228" s="0" t="s">
        <v>145</v>
      </c>
      <c r="I3228" s="0" t="n">
        <v>87</v>
      </c>
      <c r="J3228" s="0" t="n">
        <f aca="false">F3228*E3228</f>
        <v>3300</v>
      </c>
      <c r="K3228" s="0" t="str">
        <f aca="false">IF(G3228&lt;1000,"1-Low",IF(G3228&lt;5000,"2-Medium","3-Bulk"))</f>
        <v>1-Low</v>
      </c>
      <c r="L3228" s="0" t="str">
        <f aca="false">IF(H3228="TRUE","Out of stock","In stock")</f>
        <v>In stock</v>
      </c>
      <c r="M3228" s="0" t="str">
        <f aca="false">IF(D3228&lt;5,"1) Under 5%",IF(D3228&lt;10,"2) 5-9%",IF(D3228&lt;15,"3) 10-14%",IF(D3228&lt;25,"4) 15-24%","5) 25%+"))))</f>
        <v>1) Under 5%</v>
      </c>
      <c r="N3228" s="0" t="str">
        <f aca="false">IF(F3228&lt;50,"1) Under Rs 50",IF(F3228&lt;100,"2) Rs 50-99",IF(F3228&lt;200,"3) Rs 100-199",IF(F3228&lt;500,"4) Rs 200-499","5) Rs 500+"))))</f>
        <v>5) Rs 500+</v>
      </c>
      <c r="O3228" s="0" t="n">
        <f aca="false">G3228*E3228/1000</f>
        <v>0.954</v>
      </c>
    </row>
    <row r="3229" customFormat="false" ht="15" hidden="false" customHeight="false" outlineLevel="0" collapsed="false">
      <c r="A3229" s="0" t="s">
        <v>119</v>
      </c>
      <c r="B3229" s="0" t="s">
        <v>1382</v>
      </c>
      <c r="C3229" s="0" t="n">
        <v>399</v>
      </c>
      <c r="D3229" s="0" t="n">
        <v>10</v>
      </c>
      <c r="E3229" s="0" t="n">
        <v>6</v>
      </c>
      <c r="F3229" s="0" t="n">
        <v>359</v>
      </c>
      <c r="G3229" s="0" t="n">
        <v>150</v>
      </c>
      <c r="H3229" s="0" t="s">
        <v>145</v>
      </c>
      <c r="I3229" s="0" t="n">
        <v>150</v>
      </c>
      <c r="J3229" s="0" t="n">
        <f aca="false">F3229*E3229</f>
        <v>2154</v>
      </c>
      <c r="K3229" s="0" t="str">
        <f aca="false">IF(G3229&lt;1000,"1-Low",IF(G3229&lt;5000,"2-Medium","3-Bulk"))</f>
        <v>1-Low</v>
      </c>
      <c r="L3229" s="0" t="str">
        <f aca="false">IF(H3229="TRUE","Out of stock","In stock")</f>
        <v>In stock</v>
      </c>
      <c r="M3229" s="0" t="str">
        <f aca="false">IF(D3229&lt;5,"1) Under 5%",IF(D3229&lt;10,"2) 5-9%",IF(D3229&lt;15,"3) 10-14%",IF(D3229&lt;25,"4) 15-24%","5) 25%+"))))</f>
        <v>3) 10-14%</v>
      </c>
      <c r="N3229" s="0" t="str">
        <f aca="false">IF(F3229&lt;50,"1) Under Rs 50",IF(F3229&lt;100,"2) Rs 50-99",IF(F3229&lt;200,"3) Rs 100-199",IF(F3229&lt;500,"4) Rs 200-499","5) Rs 500+"))))</f>
        <v>4) Rs 200-499</v>
      </c>
      <c r="O3229" s="0" t="n">
        <f aca="false">G3229*E3229/1000</f>
        <v>0.9</v>
      </c>
    </row>
    <row r="3230" customFormat="false" ht="15" hidden="false" customHeight="false" outlineLevel="0" collapsed="false">
      <c r="A3230" s="0" t="s">
        <v>119</v>
      </c>
      <c r="B3230" s="0" t="s">
        <v>1383</v>
      </c>
      <c r="C3230" s="0" t="n">
        <v>550</v>
      </c>
      <c r="D3230" s="0" t="n">
        <v>0</v>
      </c>
      <c r="E3230" s="0" t="n">
        <v>4</v>
      </c>
      <c r="F3230" s="0" t="n">
        <v>550</v>
      </c>
      <c r="G3230" s="0" t="n">
        <v>159</v>
      </c>
      <c r="H3230" s="0" t="s">
        <v>145</v>
      </c>
      <c r="I3230" s="0" t="n">
        <v>159</v>
      </c>
      <c r="J3230" s="0" t="n">
        <f aca="false">F3230*E3230</f>
        <v>2200</v>
      </c>
      <c r="K3230" s="0" t="str">
        <f aca="false">IF(G3230&lt;1000,"1-Low",IF(G3230&lt;5000,"2-Medium","3-Bulk"))</f>
        <v>1-Low</v>
      </c>
      <c r="L3230" s="0" t="str">
        <f aca="false">IF(H3230="TRUE","Out of stock","In stock")</f>
        <v>In stock</v>
      </c>
      <c r="M3230" s="0" t="str">
        <f aca="false">IF(D3230&lt;5,"1) Under 5%",IF(D3230&lt;10,"2) 5-9%",IF(D3230&lt;15,"3) 10-14%",IF(D3230&lt;25,"4) 15-24%","5) 25%+"))))</f>
        <v>1) Under 5%</v>
      </c>
      <c r="N3230" s="0" t="str">
        <f aca="false">IF(F3230&lt;50,"1) Under Rs 50",IF(F3230&lt;100,"2) Rs 50-99",IF(F3230&lt;200,"3) Rs 100-199",IF(F3230&lt;500,"4) Rs 200-499","5) Rs 500+"))))</f>
        <v>5) Rs 500+</v>
      </c>
      <c r="O3230" s="0" t="n">
        <f aca="false">G3230*E3230/1000</f>
        <v>0.636</v>
      </c>
    </row>
    <row r="3231" customFormat="false" ht="15" hidden="false" customHeight="false" outlineLevel="0" collapsed="false">
      <c r="A3231" s="0" t="s">
        <v>119</v>
      </c>
      <c r="B3231" s="0" t="s">
        <v>1384</v>
      </c>
      <c r="C3231" s="0" t="n">
        <v>99</v>
      </c>
      <c r="D3231" s="0" t="n">
        <v>10</v>
      </c>
      <c r="E3231" s="0" t="n">
        <v>6</v>
      </c>
      <c r="F3231" s="0" t="n">
        <v>89</v>
      </c>
      <c r="G3231" s="0" t="n">
        <v>250</v>
      </c>
      <c r="H3231" s="0" t="s">
        <v>145</v>
      </c>
      <c r="I3231" s="0" t="n">
        <v>250</v>
      </c>
      <c r="J3231" s="0" t="n">
        <f aca="false">F3231*E3231</f>
        <v>534</v>
      </c>
      <c r="K3231" s="0" t="str">
        <f aca="false">IF(G3231&lt;1000,"1-Low",IF(G3231&lt;5000,"2-Medium","3-Bulk"))</f>
        <v>1-Low</v>
      </c>
      <c r="L3231" s="0" t="str">
        <f aca="false">IF(H3231="TRUE","Out of stock","In stock")</f>
        <v>In stock</v>
      </c>
      <c r="M3231" s="0" t="str">
        <f aca="false">IF(D3231&lt;5,"1) Under 5%",IF(D3231&lt;10,"2) 5-9%",IF(D3231&lt;15,"3) 10-14%",IF(D3231&lt;25,"4) 15-24%","5) 25%+"))))</f>
        <v>3) 10-14%</v>
      </c>
      <c r="N3231" s="0" t="str">
        <f aca="false">IF(F3231&lt;50,"1) Under Rs 50",IF(F3231&lt;100,"2) Rs 50-99",IF(F3231&lt;200,"3) Rs 100-199",IF(F3231&lt;500,"4) Rs 200-499","5) Rs 500+"))))</f>
        <v>2) Rs 50-99</v>
      </c>
      <c r="O3231" s="0" t="n">
        <f aca="false">G3231*E3231/1000</f>
        <v>1.5</v>
      </c>
    </row>
    <row r="3232" customFormat="false" ht="15" hidden="false" customHeight="false" outlineLevel="0" collapsed="false">
      <c r="A3232" s="0" t="s">
        <v>119</v>
      </c>
      <c r="B3232" s="0" t="s">
        <v>1385</v>
      </c>
      <c r="C3232" s="0" t="n">
        <v>98</v>
      </c>
      <c r="D3232" s="0" t="n">
        <v>0</v>
      </c>
      <c r="E3232" s="0" t="n">
        <v>4</v>
      </c>
      <c r="F3232" s="0" t="n">
        <v>98</v>
      </c>
      <c r="G3232" s="0" t="n">
        <v>232</v>
      </c>
      <c r="H3232" s="0" t="s">
        <v>145</v>
      </c>
      <c r="I3232" s="0" t="n">
        <v>4</v>
      </c>
      <c r="J3232" s="0" t="n">
        <f aca="false">F3232*E3232</f>
        <v>392</v>
      </c>
      <c r="K3232" s="0" t="str">
        <f aca="false">IF(G3232&lt;1000,"1-Low",IF(G3232&lt;5000,"2-Medium","3-Bulk"))</f>
        <v>1-Low</v>
      </c>
      <c r="L3232" s="0" t="str">
        <f aca="false">IF(H3232="TRUE","Out of stock","In stock")</f>
        <v>In stock</v>
      </c>
      <c r="M3232" s="0" t="str">
        <f aca="false">IF(D3232&lt;5,"1) Under 5%",IF(D3232&lt;10,"2) 5-9%",IF(D3232&lt;15,"3) 10-14%",IF(D3232&lt;25,"4) 15-24%","5) 25%+"))))</f>
        <v>1) Under 5%</v>
      </c>
      <c r="N3232" s="0" t="str">
        <f aca="false">IF(F3232&lt;50,"1) Under Rs 50",IF(F3232&lt;100,"2) Rs 50-99",IF(F3232&lt;200,"3) Rs 100-199",IF(F3232&lt;500,"4) Rs 200-499","5) Rs 500+"))))</f>
        <v>2) Rs 50-99</v>
      </c>
      <c r="O3232" s="0" t="n">
        <f aca="false">G3232*E3232/1000</f>
        <v>0.928</v>
      </c>
    </row>
    <row r="3233" customFormat="false" ht="15" hidden="false" customHeight="false" outlineLevel="0" collapsed="false">
      <c r="A3233" s="0" t="s">
        <v>119</v>
      </c>
      <c r="B3233" s="0" t="s">
        <v>1386</v>
      </c>
      <c r="C3233" s="0" t="n">
        <v>200</v>
      </c>
      <c r="D3233" s="0" t="n">
        <v>10</v>
      </c>
      <c r="E3233" s="0" t="n">
        <v>3</v>
      </c>
      <c r="F3233" s="0" t="n">
        <v>180</v>
      </c>
      <c r="G3233" s="0" t="n">
        <v>120</v>
      </c>
      <c r="H3233" s="0" t="s">
        <v>145</v>
      </c>
      <c r="I3233" s="0" t="n">
        <v>120</v>
      </c>
      <c r="J3233" s="0" t="n">
        <f aca="false">F3233*E3233</f>
        <v>540</v>
      </c>
      <c r="K3233" s="0" t="str">
        <f aca="false">IF(G3233&lt;1000,"1-Low",IF(G3233&lt;5000,"2-Medium","3-Bulk"))</f>
        <v>1-Low</v>
      </c>
      <c r="L3233" s="0" t="str">
        <f aca="false">IF(H3233="TRUE","Out of stock","In stock")</f>
        <v>In stock</v>
      </c>
      <c r="M3233" s="0" t="str">
        <f aca="false">IF(D3233&lt;5,"1) Under 5%",IF(D3233&lt;10,"2) 5-9%",IF(D3233&lt;15,"3) 10-14%",IF(D3233&lt;25,"4) 15-24%","5) 25%+"))))</f>
        <v>3) 10-14%</v>
      </c>
      <c r="N3233" s="0" t="str">
        <f aca="false">IF(F3233&lt;50,"1) Under Rs 50",IF(F3233&lt;100,"2) Rs 50-99",IF(F3233&lt;200,"3) Rs 100-199",IF(F3233&lt;500,"4) Rs 200-499","5) Rs 500+"))))</f>
        <v>3) Rs 100-199</v>
      </c>
      <c r="O3233" s="0" t="n">
        <f aca="false">G3233*E3233/1000</f>
        <v>0.36</v>
      </c>
    </row>
    <row r="3234" customFormat="false" ht="15" hidden="false" customHeight="false" outlineLevel="0" collapsed="false">
      <c r="A3234" s="0" t="s">
        <v>119</v>
      </c>
      <c r="B3234" s="0" t="s">
        <v>1387</v>
      </c>
      <c r="C3234" s="0" t="n">
        <v>199</v>
      </c>
      <c r="D3234" s="0" t="n">
        <v>0</v>
      </c>
      <c r="E3234" s="0" t="n">
        <v>4</v>
      </c>
      <c r="F3234" s="0" t="n">
        <v>199</v>
      </c>
      <c r="G3234" s="0" t="n">
        <v>200</v>
      </c>
      <c r="H3234" s="0" t="s">
        <v>145</v>
      </c>
      <c r="I3234" s="0" t="n">
        <v>200</v>
      </c>
      <c r="J3234" s="0" t="n">
        <f aca="false">F3234*E3234</f>
        <v>796</v>
      </c>
      <c r="K3234" s="0" t="str">
        <f aca="false">IF(G3234&lt;1000,"1-Low",IF(G3234&lt;5000,"2-Medium","3-Bulk"))</f>
        <v>1-Low</v>
      </c>
      <c r="L3234" s="0" t="str">
        <f aca="false">IF(H3234="TRUE","Out of stock","In stock")</f>
        <v>In stock</v>
      </c>
      <c r="M3234" s="0" t="str">
        <f aca="false">IF(D3234&lt;5,"1) Under 5%",IF(D3234&lt;10,"2) 5-9%",IF(D3234&lt;15,"3) 10-14%",IF(D3234&lt;25,"4) 15-24%","5) 25%+"))))</f>
        <v>1) Under 5%</v>
      </c>
      <c r="N3234" s="0" t="str">
        <f aca="false">IF(F3234&lt;50,"1) Under Rs 50",IF(F3234&lt;100,"2) Rs 50-99",IF(F3234&lt;200,"3) Rs 100-199",IF(F3234&lt;500,"4) Rs 200-499","5) Rs 500+"))))</f>
        <v>3) Rs 100-199</v>
      </c>
      <c r="O3234" s="0" t="n">
        <f aca="false">G3234*E3234/1000</f>
        <v>0.8</v>
      </c>
    </row>
    <row r="3235" customFormat="false" ht="15" hidden="false" customHeight="false" outlineLevel="0" collapsed="false">
      <c r="A3235" s="0" t="s">
        <v>119</v>
      </c>
      <c r="B3235" s="0" t="s">
        <v>1388</v>
      </c>
      <c r="C3235" s="0" t="n">
        <v>260</v>
      </c>
      <c r="D3235" s="0" t="n">
        <v>5</v>
      </c>
      <c r="E3235" s="0" t="n">
        <v>6</v>
      </c>
      <c r="F3235" s="0" t="n">
        <v>247</v>
      </c>
      <c r="G3235" s="0" t="n">
        <v>625</v>
      </c>
      <c r="H3235" s="0" t="s">
        <v>145</v>
      </c>
      <c r="I3235" s="0" t="n">
        <v>625</v>
      </c>
      <c r="J3235" s="0" t="n">
        <f aca="false">F3235*E3235</f>
        <v>1482</v>
      </c>
      <c r="K3235" s="0" t="str">
        <f aca="false">IF(G3235&lt;1000,"1-Low",IF(G3235&lt;5000,"2-Medium","3-Bulk"))</f>
        <v>1-Low</v>
      </c>
      <c r="L3235" s="0" t="str">
        <f aca="false">IF(H3235="TRUE","Out of stock","In stock")</f>
        <v>In stock</v>
      </c>
      <c r="M3235" s="0" t="str">
        <f aca="false">IF(D3235&lt;5,"1) Under 5%",IF(D3235&lt;10,"2) 5-9%",IF(D3235&lt;15,"3) 10-14%",IF(D3235&lt;25,"4) 15-24%","5) 25%+"))))</f>
        <v>2) 5-9%</v>
      </c>
      <c r="N3235" s="0" t="str">
        <f aca="false">IF(F3235&lt;50,"1) Under Rs 50",IF(F3235&lt;100,"2) Rs 50-99",IF(F3235&lt;200,"3) Rs 100-199",IF(F3235&lt;500,"4) Rs 200-499","5) Rs 500+"))))</f>
        <v>4) Rs 200-499</v>
      </c>
      <c r="O3235" s="0" t="n">
        <f aca="false">G3235*E3235/1000</f>
        <v>3.75</v>
      </c>
    </row>
    <row r="3236" customFormat="false" ht="15" hidden="false" customHeight="false" outlineLevel="0" collapsed="false">
      <c r="A3236" s="0" t="s">
        <v>119</v>
      </c>
      <c r="B3236" s="0" t="s">
        <v>1389</v>
      </c>
      <c r="C3236" s="0" t="n">
        <v>75</v>
      </c>
      <c r="D3236" s="0" t="n">
        <v>0</v>
      </c>
      <c r="E3236" s="0" t="n">
        <v>6</v>
      </c>
      <c r="F3236" s="0" t="n">
        <v>75</v>
      </c>
      <c r="G3236" s="0" t="n">
        <v>200</v>
      </c>
      <c r="H3236" s="0" t="s">
        <v>145</v>
      </c>
      <c r="I3236" s="0" t="n">
        <v>200</v>
      </c>
      <c r="J3236" s="0" t="n">
        <f aca="false">F3236*E3236</f>
        <v>450</v>
      </c>
      <c r="K3236" s="0" t="str">
        <f aca="false">IF(G3236&lt;1000,"1-Low",IF(G3236&lt;5000,"2-Medium","3-Bulk"))</f>
        <v>1-Low</v>
      </c>
      <c r="L3236" s="0" t="str">
        <f aca="false">IF(H3236="TRUE","Out of stock","In stock")</f>
        <v>In stock</v>
      </c>
      <c r="M3236" s="0" t="str">
        <f aca="false">IF(D3236&lt;5,"1) Under 5%",IF(D3236&lt;10,"2) 5-9%",IF(D3236&lt;15,"3) 10-14%",IF(D3236&lt;25,"4) 15-24%","5) 25%+"))))</f>
        <v>1) Under 5%</v>
      </c>
      <c r="N3236" s="0" t="str">
        <f aca="false">IF(F3236&lt;50,"1) Under Rs 50",IF(F3236&lt;100,"2) Rs 50-99",IF(F3236&lt;200,"3) Rs 100-199",IF(F3236&lt;500,"4) Rs 200-499","5) Rs 500+"))))</f>
        <v>2) Rs 50-99</v>
      </c>
      <c r="O3236" s="0" t="n">
        <f aca="false">G3236*E3236/1000</f>
        <v>1.2</v>
      </c>
    </row>
    <row r="3237" customFormat="false" ht="15" hidden="false" customHeight="false" outlineLevel="0" collapsed="false">
      <c r="A3237" s="0" t="s">
        <v>119</v>
      </c>
      <c r="B3237" s="0" t="s">
        <v>1390</v>
      </c>
      <c r="C3237" s="0" t="n">
        <v>299</v>
      </c>
      <c r="D3237" s="0" t="n">
        <v>6</v>
      </c>
      <c r="E3237" s="0" t="n">
        <v>5</v>
      </c>
      <c r="F3237" s="0" t="n">
        <v>279</v>
      </c>
      <c r="G3237" s="0" t="n">
        <v>28</v>
      </c>
      <c r="H3237" s="0" t="s">
        <v>145</v>
      </c>
      <c r="I3237" s="0" t="n">
        <v>28</v>
      </c>
      <c r="J3237" s="0" t="n">
        <f aca="false">F3237*E3237</f>
        <v>1395</v>
      </c>
      <c r="K3237" s="0" t="str">
        <f aca="false">IF(G3237&lt;1000,"1-Low",IF(G3237&lt;5000,"2-Medium","3-Bulk"))</f>
        <v>1-Low</v>
      </c>
      <c r="L3237" s="0" t="str">
        <f aca="false">IF(H3237="TRUE","Out of stock","In stock")</f>
        <v>In stock</v>
      </c>
      <c r="M3237" s="0" t="str">
        <f aca="false">IF(D3237&lt;5,"1) Under 5%",IF(D3237&lt;10,"2) 5-9%",IF(D3237&lt;15,"3) 10-14%",IF(D3237&lt;25,"4) 15-24%","5) 25%+"))))</f>
        <v>2) 5-9%</v>
      </c>
      <c r="N3237" s="0" t="str">
        <f aca="false">IF(F3237&lt;50,"1) Under Rs 50",IF(F3237&lt;100,"2) Rs 50-99",IF(F3237&lt;200,"3) Rs 100-199",IF(F3237&lt;500,"4) Rs 200-499","5) Rs 500+"))))</f>
        <v>4) Rs 200-499</v>
      </c>
      <c r="O3237" s="0" t="n">
        <f aca="false">G3237*E3237/1000</f>
        <v>0.14</v>
      </c>
    </row>
    <row r="3238" customFormat="false" ht="15" hidden="false" customHeight="false" outlineLevel="0" collapsed="false">
      <c r="A3238" s="0" t="s">
        <v>119</v>
      </c>
      <c r="B3238" s="0" t="s">
        <v>1391</v>
      </c>
      <c r="C3238" s="0" t="n">
        <v>70</v>
      </c>
      <c r="D3238" s="0" t="n">
        <v>0</v>
      </c>
      <c r="E3238" s="0" t="n">
        <v>6</v>
      </c>
      <c r="F3238" s="0" t="n">
        <v>70</v>
      </c>
      <c r="G3238" s="0" t="n">
        <v>100</v>
      </c>
      <c r="H3238" s="0" t="s">
        <v>145</v>
      </c>
      <c r="I3238" s="0" t="n">
        <v>100</v>
      </c>
      <c r="J3238" s="0" t="n">
        <f aca="false">F3238*E3238</f>
        <v>420</v>
      </c>
      <c r="K3238" s="0" t="str">
        <f aca="false">IF(G3238&lt;1000,"1-Low",IF(G3238&lt;5000,"2-Medium","3-Bulk"))</f>
        <v>1-Low</v>
      </c>
      <c r="L3238" s="0" t="str">
        <f aca="false">IF(H3238="TRUE","Out of stock","In stock")</f>
        <v>In stock</v>
      </c>
      <c r="M3238" s="0" t="str">
        <f aca="false">IF(D3238&lt;5,"1) Under 5%",IF(D3238&lt;10,"2) 5-9%",IF(D3238&lt;15,"3) 10-14%",IF(D3238&lt;25,"4) 15-24%","5) 25%+"))))</f>
        <v>1) Under 5%</v>
      </c>
      <c r="N3238" s="0" t="str">
        <f aca="false">IF(F3238&lt;50,"1) Under Rs 50",IF(F3238&lt;100,"2) Rs 50-99",IF(F3238&lt;200,"3) Rs 100-199",IF(F3238&lt;500,"4) Rs 200-499","5) Rs 500+"))))</f>
        <v>2) Rs 50-99</v>
      </c>
      <c r="O3238" s="0" t="n">
        <f aca="false">G3238*E3238/1000</f>
        <v>0.6</v>
      </c>
    </row>
    <row r="3239" customFormat="false" ht="15" hidden="false" customHeight="false" outlineLevel="0" collapsed="false">
      <c r="A3239" s="0" t="s">
        <v>119</v>
      </c>
      <c r="B3239" s="0" t="s">
        <v>1392</v>
      </c>
      <c r="C3239" s="0" t="n">
        <v>200</v>
      </c>
      <c r="D3239" s="0" t="n">
        <v>10</v>
      </c>
      <c r="E3239" s="0" t="n">
        <v>6</v>
      </c>
      <c r="F3239" s="0" t="n">
        <v>180</v>
      </c>
      <c r="G3239" s="0" t="n">
        <v>120</v>
      </c>
      <c r="H3239" s="0" t="s">
        <v>145</v>
      </c>
      <c r="I3239" s="0" t="n">
        <v>120</v>
      </c>
      <c r="J3239" s="0" t="n">
        <f aca="false">F3239*E3239</f>
        <v>1080</v>
      </c>
      <c r="K3239" s="0" t="str">
        <f aca="false">IF(G3239&lt;1000,"1-Low",IF(G3239&lt;5000,"2-Medium","3-Bulk"))</f>
        <v>1-Low</v>
      </c>
      <c r="L3239" s="0" t="str">
        <f aca="false">IF(H3239="TRUE","Out of stock","In stock")</f>
        <v>In stock</v>
      </c>
      <c r="M3239" s="0" t="str">
        <f aca="false">IF(D3239&lt;5,"1) Under 5%",IF(D3239&lt;10,"2) 5-9%",IF(D3239&lt;15,"3) 10-14%",IF(D3239&lt;25,"4) 15-24%","5) 25%+"))))</f>
        <v>3) 10-14%</v>
      </c>
      <c r="N3239" s="0" t="str">
        <f aca="false">IF(F3239&lt;50,"1) Under Rs 50",IF(F3239&lt;100,"2) Rs 50-99",IF(F3239&lt;200,"3) Rs 100-199",IF(F3239&lt;500,"4) Rs 200-499","5) Rs 500+"))))</f>
        <v>3) Rs 100-199</v>
      </c>
      <c r="O3239" s="0" t="n">
        <f aca="false">G3239*E3239/1000</f>
        <v>0.72</v>
      </c>
    </row>
    <row r="3240" customFormat="false" ht="15" hidden="false" customHeight="false" outlineLevel="0" collapsed="false">
      <c r="A3240" s="0" t="s">
        <v>119</v>
      </c>
      <c r="B3240" s="0" t="s">
        <v>1393</v>
      </c>
      <c r="C3240" s="0" t="n">
        <v>65</v>
      </c>
      <c r="D3240" s="0" t="n">
        <v>10</v>
      </c>
      <c r="E3240" s="0" t="n">
        <v>4</v>
      </c>
      <c r="F3240" s="0" t="n">
        <v>58</v>
      </c>
      <c r="G3240" s="0" t="n">
        <v>40</v>
      </c>
      <c r="H3240" s="0" t="s">
        <v>145</v>
      </c>
      <c r="I3240" s="0" t="n">
        <v>40</v>
      </c>
      <c r="J3240" s="0" t="n">
        <f aca="false">F3240*E3240</f>
        <v>232</v>
      </c>
      <c r="K3240" s="0" t="str">
        <f aca="false">IF(G3240&lt;1000,"1-Low",IF(G3240&lt;5000,"2-Medium","3-Bulk"))</f>
        <v>1-Low</v>
      </c>
      <c r="L3240" s="0" t="str">
        <f aca="false">IF(H3240="TRUE","Out of stock","In stock")</f>
        <v>In stock</v>
      </c>
      <c r="M3240" s="0" t="str">
        <f aca="false">IF(D3240&lt;5,"1) Under 5%",IF(D3240&lt;10,"2) 5-9%",IF(D3240&lt;15,"3) 10-14%",IF(D3240&lt;25,"4) 15-24%","5) 25%+"))))</f>
        <v>3) 10-14%</v>
      </c>
      <c r="N3240" s="0" t="str">
        <f aca="false">IF(F3240&lt;50,"1) Under Rs 50",IF(F3240&lt;100,"2) Rs 50-99",IF(F3240&lt;200,"3) Rs 100-199",IF(F3240&lt;500,"4) Rs 200-499","5) Rs 500+"))))</f>
        <v>2) Rs 50-99</v>
      </c>
      <c r="O3240" s="0" t="n">
        <f aca="false">G3240*E3240/1000</f>
        <v>0.16</v>
      </c>
    </row>
    <row r="3241" customFormat="false" ht="15" hidden="false" customHeight="false" outlineLevel="0" collapsed="false">
      <c r="A3241" s="0" t="s">
        <v>119</v>
      </c>
      <c r="B3241" s="0" t="s">
        <v>1394</v>
      </c>
      <c r="C3241" s="0" t="n">
        <v>190</v>
      </c>
      <c r="D3241" s="0" t="n">
        <v>0</v>
      </c>
      <c r="E3241" s="0" t="n">
        <v>4</v>
      </c>
      <c r="F3241" s="0" t="n">
        <v>190</v>
      </c>
      <c r="G3241" s="0" t="n">
        <v>175</v>
      </c>
      <c r="H3241" s="0" t="s">
        <v>145</v>
      </c>
      <c r="I3241" s="0" t="n">
        <v>175</v>
      </c>
      <c r="J3241" s="0" t="n">
        <f aca="false">F3241*E3241</f>
        <v>760</v>
      </c>
      <c r="K3241" s="0" t="str">
        <f aca="false">IF(G3241&lt;1000,"1-Low",IF(G3241&lt;5000,"2-Medium","3-Bulk"))</f>
        <v>1-Low</v>
      </c>
      <c r="L3241" s="0" t="str">
        <f aca="false">IF(H3241="TRUE","Out of stock","In stock")</f>
        <v>In stock</v>
      </c>
      <c r="M3241" s="0" t="str">
        <f aca="false">IF(D3241&lt;5,"1) Under 5%",IF(D3241&lt;10,"2) 5-9%",IF(D3241&lt;15,"3) 10-14%",IF(D3241&lt;25,"4) 15-24%","5) 25%+"))))</f>
        <v>1) Under 5%</v>
      </c>
      <c r="N3241" s="0" t="str">
        <f aca="false">IF(F3241&lt;50,"1) Under Rs 50",IF(F3241&lt;100,"2) Rs 50-99",IF(F3241&lt;200,"3) Rs 100-199",IF(F3241&lt;500,"4) Rs 200-499","5) Rs 500+"))))</f>
        <v>3) Rs 100-199</v>
      </c>
      <c r="O3241" s="0" t="n">
        <f aca="false">G3241*E3241/1000</f>
        <v>0.7</v>
      </c>
    </row>
    <row r="3242" customFormat="false" ht="15" hidden="false" customHeight="false" outlineLevel="0" collapsed="false">
      <c r="A3242" s="0" t="s">
        <v>119</v>
      </c>
      <c r="B3242" s="0" t="s">
        <v>1395</v>
      </c>
      <c r="C3242" s="0" t="n">
        <v>130</v>
      </c>
      <c r="D3242" s="0" t="n">
        <v>12</v>
      </c>
      <c r="E3242" s="0" t="n">
        <v>2</v>
      </c>
      <c r="F3242" s="0" t="n">
        <v>114</v>
      </c>
      <c r="G3242" s="0" t="n">
        <v>200</v>
      </c>
      <c r="H3242" s="0" t="s">
        <v>145</v>
      </c>
      <c r="I3242" s="0" t="n">
        <v>200</v>
      </c>
      <c r="J3242" s="0" t="n">
        <f aca="false">F3242*E3242</f>
        <v>228</v>
      </c>
      <c r="K3242" s="0" t="str">
        <f aca="false">IF(G3242&lt;1000,"1-Low",IF(G3242&lt;5000,"2-Medium","3-Bulk"))</f>
        <v>1-Low</v>
      </c>
      <c r="L3242" s="0" t="str">
        <f aca="false">IF(H3242="TRUE","Out of stock","In stock")</f>
        <v>In stock</v>
      </c>
      <c r="M3242" s="0" t="str">
        <f aca="false">IF(D3242&lt;5,"1) Under 5%",IF(D3242&lt;10,"2) 5-9%",IF(D3242&lt;15,"3) 10-14%",IF(D3242&lt;25,"4) 15-24%","5) 25%+"))))</f>
        <v>3) 10-14%</v>
      </c>
      <c r="N3242" s="0" t="str">
        <f aca="false">IF(F3242&lt;50,"1) Under Rs 50",IF(F3242&lt;100,"2) Rs 50-99",IF(F3242&lt;200,"3) Rs 100-199",IF(F3242&lt;500,"4) Rs 200-499","5) Rs 500+"))))</f>
        <v>3) Rs 100-199</v>
      </c>
      <c r="O3242" s="0" t="n">
        <f aca="false">G3242*E3242/1000</f>
        <v>0.4</v>
      </c>
    </row>
    <row r="3243" customFormat="false" ht="15" hidden="false" customHeight="false" outlineLevel="0" collapsed="false">
      <c r="A3243" s="0" t="s">
        <v>119</v>
      </c>
      <c r="B3243" s="0" t="s">
        <v>1396</v>
      </c>
      <c r="C3243" s="0" t="n">
        <v>176</v>
      </c>
      <c r="D3243" s="0" t="n">
        <v>10</v>
      </c>
      <c r="E3243" s="0" t="n">
        <v>3</v>
      </c>
      <c r="F3243" s="0" t="n">
        <v>158</v>
      </c>
      <c r="G3243" s="0" t="n">
        <v>375</v>
      </c>
      <c r="H3243" s="0" t="s">
        <v>145</v>
      </c>
      <c r="I3243" s="0" t="n">
        <v>375</v>
      </c>
      <c r="J3243" s="0" t="n">
        <f aca="false">F3243*E3243</f>
        <v>474</v>
      </c>
      <c r="K3243" s="0" t="str">
        <f aca="false">IF(G3243&lt;1000,"1-Low",IF(G3243&lt;5000,"2-Medium","3-Bulk"))</f>
        <v>1-Low</v>
      </c>
      <c r="L3243" s="0" t="str">
        <f aca="false">IF(H3243="TRUE","Out of stock","In stock")</f>
        <v>In stock</v>
      </c>
      <c r="M3243" s="0" t="str">
        <f aca="false">IF(D3243&lt;5,"1) Under 5%",IF(D3243&lt;10,"2) 5-9%",IF(D3243&lt;15,"3) 10-14%",IF(D3243&lt;25,"4) 15-24%","5) 25%+"))))</f>
        <v>3) 10-14%</v>
      </c>
      <c r="N3243" s="0" t="str">
        <f aca="false">IF(F3243&lt;50,"1) Under Rs 50",IF(F3243&lt;100,"2) Rs 50-99",IF(F3243&lt;200,"3) Rs 100-199",IF(F3243&lt;500,"4) Rs 200-499","5) Rs 500+"))))</f>
        <v>3) Rs 100-199</v>
      </c>
      <c r="O3243" s="0" t="n">
        <f aca="false">G3243*E3243/1000</f>
        <v>1.125</v>
      </c>
    </row>
    <row r="3244" customFormat="false" ht="15" hidden="false" customHeight="false" outlineLevel="0" collapsed="false">
      <c r="A3244" s="0" t="s">
        <v>119</v>
      </c>
      <c r="B3244" s="0" t="s">
        <v>1397</v>
      </c>
      <c r="C3244" s="0" t="n">
        <v>125</v>
      </c>
      <c r="D3244" s="0" t="n">
        <v>0</v>
      </c>
      <c r="E3244" s="0" t="n">
        <v>6</v>
      </c>
      <c r="F3244" s="0" t="n">
        <v>125</v>
      </c>
      <c r="G3244" s="0" t="n">
        <v>75</v>
      </c>
      <c r="H3244" s="0" t="s">
        <v>145</v>
      </c>
      <c r="I3244" s="0" t="n">
        <v>75</v>
      </c>
      <c r="J3244" s="0" t="n">
        <f aca="false">F3244*E3244</f>
        <v>750</v>
      </c>
      <c r="K3244" s="0" t="str">
        <f aca="false">IF(G3244&lt;1000,"1-Low",IF(G3244&lt;5000,"2-Medium","3-Bulk"))</f>
        <v>1-Low</v>
      </c>
      <c r="L3244" s="0" t="str">
        <f aca="false">IF(H3244="TRUE","Out of stock","In stock")</f>
        <v>In stock</v>
      </c>
      <c r="M3244" s="0" t="str">
        <f aca="false">IF(D3244&lt;5,"1) Under 5%",IF(D3244&lt;10,"2) 5-9%",IF(D3244&lt;15,"3) 10-14%",IF(D3244&lt;25,"4) 15-24%","5) 25%+"))))</f>
        <v>1) Under 5%</v>
      </c>
      <c r="N3244" s="0" t="str">
        <f aca="false">IF(F3244&lt;50,"1) Under Rs 50",IF(F3244&lt;100,"2) Rs 50-99",IF(F3244&lt;200,"3) Rs 100-199",IF(F3244&lt;500,"4) Rs 200-499","5) Rs 500+"))))</f>
        <v>3) Rs 100-199</v>
      </c>
      <c r="O3244" s="0" t="n">
        <f aca="false">G3244*E3244/1000</f>
        <v>0.45</v>
      </c>
    </row>
    <row r="3245" customFormat="false" ht="15" hidden="false" customHeight="false" outlineLevel="0" collapsed="false">
      <c r="A3245" s="0" t="s">
        <v>119</v>
      </c>
      <c r="B3245" s="0" t="s">
        <v>1398</v>
      </c>
      <c r="C3245" s="0" t="n">
        <v>150</v>
      </c>
      <c r="D3245" s="0" t="n">
        <v>6</v>
      </c>
      <c r="E3245" s="0" t="n">
        <v>3</v>
      </c>
      <c r="F3245" s="0" t="n">
        <v>140</v>
      </c>
      <c r="G3245" s="0" t="n">
        <v>400</v>
      </c>
      <c r="H3245" s="0" t="s">
        <v>145</v>
      </c>
      <c r="I3245" s="0" t="n">
        <v>400</v>
      </c>
      <c r="J3245" s="0" t="n">
        <f aca="false">F3245*E3245</f>
        <v>420</v>
      </c>
      <c r="K3245" s="0" t="str">
        <f aca="false">IF(G3245&lt;1000,"1-Low",IF(G3245&lt;5000,"2-Medium","3-Bulk"))</f>
        <v>1-Low</v>
      </c>
      <c r="L3245" s="0" t="str">
        <f aca="false">IF(H3245="TRUE","Out of stock","In stock")</f>
        <v>In stock</v>
      </c>
      <c r="M3245" s="0" t="str">
        <f aca="false">IF(D3245&lt;5,"1) Under 5%",IF(D3245&lt;10,"2) 5-9%",IF(D3245&lt;15,"3) 10-14%",IF(D3245&lt;25,"4) 15-24%","5) 25%+"))))</f>
        <v>2) 5-9%</v>
      </c>
      <c r="N3245" s="0" t="str">
        <f aca="false">IF(F3245&lt;50,"1) Under Rs 50",IF(F3245&lt;100,"2) Rs 50-99",IF(F3245&lt;200,"3) Rs 100-199",IF(F3245&lt;500,"4) Rs 200-499","5) Rs 500+"))))</f>
        <v>3) Rs 100-199</v>
      </c>
      <c r="O3245" s="0" t="n">
        <f aca="false">G3245*E3245/1000</f>
        <v>1.2</v>
      </c>
    </row>
    <row r="3246" customFormat="false" ht="15" hidden="false" customHeight="false" outlineLevel="0" collapsed="false">
      <c r="A3246" s="0" t="s">
        <v>119</v>
      </c>
      <c r="B3246" s="0" t="s">
        <v>1399</v>
      </c>
      <c r="C3246" s="0" t="n">
        <v>99</v>
      </c>
      <c r="D3246" s="0" t="n">
        <v>10</v>
      </c>
      <c r="E3246" s="0" t="n">
        <v>6</v>
      </c>
      <c r="F3246" s="0" t="n">
        <v>89</v>
      </c>
      <c r="G3246" s="0" t="n">
        <v>250</v>
      </c>
      <c r="H3246" s="0" t="s">
        <v>145</v>
      </c>
      <c r="I3246" s="0" t="n">
        <v>250</v>
      </c>
      <c r="J3246" s="0" t="n">
        <f aca="false">F3246*E3246</f>
        <v>534</v>
      </c>
      <c r="K3246" s="0" t="str">
        <f aca="false">IF(G3246&lt;1000,"1-Low",IF(G3246&lt;5000,"2-Medium","3-Bulk"))</f>
        <v>1-Low</v>
      </c>
      <c r="L3246" s="0" t="str">
        <f aca="false">IF(H3246="TRUE","Out of stock","In stock")</f>
        <v>In stock</v>
      </c>
      <c r="M3246" s="0" t="str">
        <f aca="false">IF(D3246&lt;5,"1) Under 5%",IF(D3246&lt;10,"2) 5-9%",IF(D3246&lt;15,"3) 10-14%",IF(D3246&lt;25,"4) 15-24%","5) 25%+"))))</f>
        <v>3) 10-14%</v>
      </c>
      <c r="N3246" s="0" t="str">
        <f aca="false">IF(F3246&lt;50,"1) Under Rs 50",IF(F3246&lt;100,"2) Rs 50-99",IF(F3246&lt;200,"3) Rs 100-199",IF(F3246&lt;500,"4) Rs 200-499","5) Rs 500+"))))</f>
        <v>2) Rs 50-99</v>
      </c>
      <c r="O3246" s="0" t="n">
        <f aca="false">G3246*E3246/1000</f>
        <v>1.5</v>
      </c>
    </row>
    <row r="3247" customFormat="false" ht="15" hidden="false" customHeight="false" outlineLevel="0" collapsed="false">
      <c r="A3247" s="0" t="s">
        <v>119</v>
      </c>
      <c r="B3247" s="0" t="s">
        <v>1400</v>
      </c>
      <c r="C3247" s="0" t="n">
        <v>160</v>
      </c>
      <c r="D3247" s="0" t="n">
        <v>0</v>
      </c>
      <c r="E3247" s="0" t="n">
        <v>5</v>
      </c>
      <c r="F3247" s="0" t="n">
        <v>160</v>
      </c>
      <c r="G3247" s="0" t="n">
        <v>232</v>
      </c>
      <c r="H3247" s="0" t="s">
        <v>145</v>
      </c>
      <c r="I3247" s="0" t="n">
        <v>4</v>
      </c>
      <c r="J3247" s="0" t="n">
        <f aca="false">F3247*E3247</f>
        <v>800</v>
      </c>
      <c r="K3247" s="0" t="str">
        <f aca="false">IF(G3247&lt;1000,"1-Low",IF(G3247&lt;5000,"2-Medium","3-Bulk"))</f>
        <v>1-Low</v>
      </c>
      <c r="L3247" s="0" t="str">
        <f aca="false">IF(H3247="TRUE","Out of stock","In stock")</f>
        <v>In stock</v>
      </c>
      <c r="M3247" s="0" t="str">
        <f aca="false">IF(D3247&lt;5,"1) Under 5%",IF(D3247&lt;10,"2) 5-9%",IF(D3247&lt;15,"3) 10-14%",IF(D3247&lt;25,"4) 15-24%","5) 25%+"))))</f>
        <v>1) Under 5%</v>
      </c>
      <c r="N3247" s="0" t="str">
        <f aca="false">IF(F3247&lt;50,"1) Under Rs 50",IF(F3247&lt;100,"2) Rs 50-99",IF(F3247&lt;200,"3) Rs 100-199",IF(F3247&lt;500,"4) Rs 200-499","5) Rs 500+"))))</f>
        <v>3) Rs 100-199</v>
      </c>
      <c r="O3247" s="0" t="n">
        <f aca="false">G3247*E3247/1000</f>
        <v>1.16</v>
      </c>
    </row>
    <row r="3248" customFormat="false" ht="15" hidden="false" customHeight="false" outlineLevel="0" collapsed="false">
      <c r="A3248" s="0" t="s">
        <v>119</v>
      </c>
      <c r="B3248" s="0" t="s">
        <v>1401</v>
      </c>
      <c r="C3248" s="0" t="n">
        <v>349</v>
      </c>
      <c r="D3248" s="0" t="n">
        <v>6</v>
      </c>
      <c r="E3248" s="0" t="n">
        <v>5</v>
      </c>
      <c r="F3248" s="0" t="n">
        <v>325</v>
      </c>
      <c r="G3248" s="0" t="n">
        <v>58</v>
      </c>
      <c r="H3248" s="0" t="s">
        <v>145</v>
      </c>
      <c r="I3248" s="0" t="n">
        <v>1</v>
      </c>
      <c r="J3248" s="0" t="n">
        <f aca="false">F3248*E3248</f>
        <v>1625</v>
      </c>
      <c r="K3248" s="0" t="str">
        <f aca="false">IF(G3248&lt;1000,"1-Low",IF(G3248&lt;5000,"2-Medium","3-Bulk"))</f>
        <v>1-Low</v>
      </c>
      <c r="L3248" s="0" t="str">
        <f aca="false">IF(H3248="TRUE","Out of stock","In stock")</f>
        <v>In stock</v>
      </c>
      <c r="M3248" s="0" t="str">
        <f aca="false">IF(D3248&lt;5,"1) Under 5%",IF(D3248&lt;10,"2) 5-9%",IF(D3248&lt;15,"3) 10-14%",IF(D3248&lt;25,"4) 15-24%","5) 25%+"))))</f>
        <v>2) 5-9%</v>
      </c>
      <c r="N3248" s="0" t="str">
        <f aca="false">IF(F3248&lt;50,"1) Under Rs 50",IF(F3248&lt;100,"2) Rs 50-99",IF(F3248&lt;200,"3) Rs 100-199",IF(F3248&lt;500,"4) Rs 200-499","5) Rs 500+"))))</f>
        <v>4) Rs 200-499</v>
      </c>
      <c r="O3248" s="0" t="n">
        <f aca="false">G3248*E3248/1000</f>
        <v>0.29</v>
      </c>
    </row>
    <row r="3249" customFormat="false" ht="15" hidden="false" customHeight="false" outlineLevel="0" collapsed="false">
      <c r="A3249" s="0" t="s">
        <v>119</v>
      </c>
      <c r="B3249" s="0" t="s">
        <v>1402</v>
      </c>
      <c r="C3249" s="0" t="n">
        <v>165</v>
      </c>
      <c r="D3249" s="0" t="n">
        <v>12</v>
      </c>
      <c r="E3249" s="0" t="n">
        <v>3</v>
      </c>
      <c r="F3249" s="0" t="n">
        <v>145</v>
      </c>
      <c r="G3249" s="0" t="n">
        <v>200</v>
      </c>
      <c r="H3249" s="0" t="s">
        <v>145</v>
      </c>
      <c r="I3249" s="0" t="n">
        <v>200</v>
      </c>
      <c r="J3249" s="0" t="n">
        <f aca="false">F3249*E3249</f>
        <v>435</v>
      </c>
      <c r="K3249" s="0" t="str">
        <f aca="false">IF(G3249&lt;1000,"1-Low",IF(G3249&lt;5000,"2-Medium","3-Bulk"))</f>
        <v>1-Low</v>
      </c>
      <c r="L3249" s="0" t="str">
        <f aca="false">IF(H3249="TRUE","Out of stock","In stock")</f>
        <v>In stock</v>
      </c>
      <c r="M3249" s="0" t="str">
        <f aca="false">IF(D3249&lt;5,"1) Under 5%",IF(D3249&lt;10,"2) 5-9%",IF(D3249&lt;15,"3) 10-14%",IF(D3249&lt;25,"4) 15-24%","5) 25%+"))))</f>
        <v>3) 10-14%</v>
      </c>
      <c r="N3249" s="0" t="str">
        <f aca="false">IF(F3249&lt;50,"1) Under Rs 50",IF(F3249&lt;100,"2) Rs 50-99",IF(F3249&lt;200,"3) Rs 100-199",IF(F3249&lt;500,"4) Rs 200-499","5) Rs 500+"))))</f>
        <v>3) Rs 100-199</v>
      </c>
      <c r="O3249" s="0" t="n">
        <f aca="false">G3249*E3249/1000</f>
        <v>0.6</v>
      </c>
    </row>
    <row r="3250" customFormat="false" ht="15" hidden="false" customHeight="false" outlineLevel="0" collapsed="false">
      <c r="A3250" s="0" t="s">
        <v>119</v>
      </c>
      <c r="B3250" s="0" t="s">
        <v>1403</v>
      </c>
      <c r="C3250" s="0" t="n">
        <v>375</v>
      </c>
      <c r="D3250" s="0" t="n">
        <v>0</v>
      </c>
      <c r="E3250" s="0" t="n">
        <v>1</v>
      </c>
      <c r="F3250" s="0" t="n">
        <v>375</v>
      </c>
      <c r="G3250" s="0" t="n">
        <v>340</v>
      </c>
      <c r="H3250" s="0" t="s">
        <v>145</v>
      </c>
      <c r="I3250" s="0" t="n">
        <v>180</v>
      </c>
      <c r="J3250" s="0" t="n">
        <f aca="false">F3250*E3250</f>
        <v>375</v>
      </c>
      <c r="K3250" s="0" t="str">
        <f aca="false">IF(G3250&lt;1000,"1-Low",IF(G3250&lt;5000,"2-Medium","3-Bulk"))</f>
        <v>1-Low</v>
      </c>
      <c r="L3250" s="0" t="str">
        <f aca="false">IF(H3250="TRUE","Out of stock","In stock")</f>
        <v>In stock</v>
      </c>
      <c r="M3250" s="0" t="str">
        <f aca="false">IF(D3250&lt;5,"1) Under 5%",IF(D3250&lt;10,"2) 5-9%",IF(D3250&lt;15,"3) 10-14%",IF(D3250&lt;25,"4) 15-24%","5) 25%+"))))</f>
        <v>1) Under 5%</v>
      </c>
      <c r="N3250" s="0" t="str">
        <f aca="false">IF(F3250&lt;50,"1) Under Rs 50",IF(F3250&lt;100,"2) Rs 50-99",IF(F3250&lt;200,"3) Rs 100-199",IF(F3250&lt;500,"4) Rs 200-499","5) Rs 500+"))))</f>
        <v>4) Rs 200-499</v>
      </c>
      <c r="O3250" s="0" t="n">
        <f aca="false">G3250*E3250/1000</f>
        <v>0.34</v>
      </c>
    </row>
    <row r="3251" customFormat="false" ht="15" hidden="false" customHeight="false" outlineLevel="0" collapsed="false">
      <c r="A3251" s="0" t="s">
        <v>119</v>
      </c>
      <c r="B3251" s="0" t="s">
        <v>124</v>
      </c>
      <c r="C3251" s="0" t="n">
        <v>249</v>
      </c>
      <c r="D3251" s="0" t="n">
        <v>6</v>
      </c>
      <c r="E3251" s="0" t="n">
        <v>6</v>
      </c>
      <c r="F3251" s="0" t="n">
        <v>234</v>
      </c>
      <c r="G3251" s="0" t="n">
        <v>340</v>
      </c>
      <c r="H3251" s="0" t="s">
        <v>145</v>
      </c>
      <c r="I3251" s="0" t="n">
        <v>340</v>
      </c>
      <c r="J3251" s="0" t="n">
        <f aca="false">F3251*E3251</f>
        <v>1404</v>
      </c>
      <c r="K3251" s="0" t="str">
        <f aca="false">IF(G3251&lt;1000,"1-Low",IF(G3251&lt;5000,"2-Medium","3-Bulk"))</f>
        <v>1-Low</v>
      </c>
      <c r="L3251" s="0" t="str">
        <f aca="false">IF(H3251="TRUE","Out of stock","In stock")</f>
        <v>In stock</v>
      </c>
      <c r="M3251" s="0" t="str">
        <f aca="false">IF(D3251&lt;5,"1) Under 5%",IF(D3251&lt;10,"2) 5-9%",IF(D3251&lt;15,"3) 10-14%",IF(D3251&lt;25,"4) 15-24%","5) 25%+"))))</f>
        <v>2) 5-9%</v>
      </c>
      <c r="N3251" s="0" t="str">
        <f aca="false">IF(F3251&lt;50,"1) Under Rs 50",IF(F3251&lt;100,"2) Rs 50-99",IF(F3251&lt;200,"3) Rs 100-199",IF(F3251&lt;500,"4) Rs 200-499","5) Rs 500+"))))</f>
        <v>4) Rs 200-499</v>
      </c>
      <c r="O3251" s="0" t="n">
        <f aca="false">G3251*E3251/1000</f>
        <v>2.04</v>
      </c>
    </row>
    <row r="3252" customFormat="false" ht="15" hidden="false" customHeight="false" outlineLevel="0" collapsed="false">
      <c r="A3252" s="0" t="s">
        <v>119</v>
      </c>
      <c r="B3252" s="0" t="s">
        <v>1404</v>
      </c>
      <c r="C3252" s="0" t="n">
        <v>225</v>
      </c>
      <c r="D3252" s="0" t="n">
        <v>4</v>
      </c>
      <c r="E3252" s="0" t="n">
        <v>3</v>
      </c>
      <c r="F3252" s="0" t="n">
        <v>214</v>
      </c>
      <c r="G3252" s="0" t="n">
        <v>250</v>
      </c>
      <c r="H3252" s="0" t="s">
        <v>145</v>
      </c>
      <c r="I3252" s="0" t="n">
        <v>250</v>
      </c>
      <c r="J3252" s="0" t="n">
        <f aca="false">F3252*E3252</f>
        <v>642</v>
      </c>
      <c r="K3252" s="0" t="str">
        <f aca="false">IF(G3252&lt;1000,"1-Low",IF(G3252&lt;5000,"2-Medium","3-Bulk"))</f>
        <v>1-Low</v>
      </c>
      <c r="L3252" s="0" t="str">
        <f aca="false">IF(H3252="TRUE","Out of stock","In stock")</f>
        <v>In stock</v>
      </c>
      <c r="M3252" s="0" t="str">
        <f aca="false">IF(D3252&lt;5,"1) Under 5%",IF(D3252&lt;10,"2) 5-9%",IF(D3252&lt;15,"3) 10-14%",IF(D3252&lt;25,"4) 15-24%","5) 25%+"))))</f>
        <v>1) Under 5%</v>
      </c>
      <c r="N3252" s="0" t="str">
        <f aca="false">IF(F3252&lt;50,"1) Under Rs 50",IF(F3252&lt;100,"2) Rs 50-99",IF(F3252&lt;200,"3) Rs 100-199",IF(F3252&lt;500,"4) Rs 200-499","5) Rs 500+"))))</f>
        <v>4) Rs 200-499</v>
      </c>
      <c r="O3252" s="0" t="n">
        <f aca="false">G3252*E3252/1000</f>
        <v>0.75</v>
      </c>
    </row>
    <row r="3253" customFormat="false" ht="15" hidden="false" customHeight="false" outlineLevel="0" collapsed="false">
      <c r="A3253" s="0" t="s">
        <v>119</v>
      </c>
      <c r="B3253" s="0" t="s">
        <v>1405</v>
      </c>
      <c r="C3253" s="0" t="n">
        <v>600</v>
      </c>
      <c r="D3253" s="0" t="n">
        <v>10</v>
      </c>
      <c r="E3253" s="0" t="n">
        <v>2</v>
      </c>
      <c r="F3253" s="0" t="n">
        <v>540</v>
      </c>
      <c r="G3253" s="0" t="n">
        <v>200</v>
      </c>
      <c r="H3253" s="0" t="s">
        <v>145</v>
      </c>
      <c r="I3253" s="0" t="n">
        <v>200</v>
      </c>
      <c r="J3253" s="0" t="n">
        <f aca="false">F3253*E3253</f>
        <v>1080</v>
      </c>
      <c r="K3253" s="0" t="str">
        <f aca="false">IF(G3253&lt;1000,"1-Low",IF(G3253&lt;5000,"2-Medium","3-Bulk"))</f>
        <v>1-Low</v>
      </c>
      <c r="L3253" s="0" t="str">
        <f aca="false">IF(H3253="TRUE","Out of stock","In stock")</f>
        <v>In stock</v>
      </c>
      <c r="M3253" s="0" t="str">
        <f aca="false">IF(D3253&lt;5,"1) Under 5%",IF(D3253&lt;10,"2) 5-9%",IF(D3253&lt;15,"3) 10-14%",IF(D3253&lt;25,"4) 15-24%","5) 25%+"))))</f>
        <v>3) 10-14%</v>
      </c>
      <c r="N3253" s="0" t="str">
        <f aca="false">IF(F3253&lt;50,"1) Under Rs 50",IF(F3253&lt;100,"2) Rs 50-99",IF(F3253&lt;200,"3) Rs 100-199",IF(F3253&lt;500,"4) Rs 200-499","5) Rs 500+"))))</f>
        <v>5) Rs 500+</v>
      </c>
      <c r="O3253" s="0" t="n">
        <f aca="false">G3253*E3253/1000</f>
        <v>0.4</v>
      </c>
    </row>
    <row r="3254" customFormat="false" ht="15" hidden="false" customHeight="false" outlineLevel="0" collapsed="false">
      <c r="A3254" s="0" t="s">
        <v>119</v>
      </c>
      <c r="B3254" s="0" t="s">
        <v>1406</v>
      </c>
      <c r="C3254" s="0" t="n">
        <v>150</v>
      </c>
      <c r="D3254" s="0" t="n">
        <v>10</v>
      </c>
      <c r="E3254" s="0" t="n">
        <v>6</v>
      </c>
      <c r="F3254" s="0" t="n">
        <v>135</v>
      </c>
      <c r="G3254" s="0" t="n">
        <v>250</v>
      </c>
      <c r="H3254" s="0" t="s">
        <v>145</v>
      </c>
      <c r="I3254" s="0" t="n">
        <v>250</v>
      </c>
      <c r="J3254" s="0" t="n">
        <f aca="false">F3254*E3254</f>
        <v>810</v>
      </c>
      <c r="K3254" s="0" t="str">
        <f aca="false">IF(G3254&lt;1000,"1-Low",IF(G3254&lt;5000,"2-Medium","3-Bulk"))</f>
        <v>1-Low</v>
      </c>
      <c r="L3254" s="0" t="str">
        <f aca="false">IF(H3254="TRUE","Out of stock","In stock")</f>
        <v>In stock</v>
      </c>
      <c r="M3254" s="0" t="str">
        <f aca="false">IF(D3254&lt;5,"1) Under 5%",IF(D3254&lt;10,"2) 5-9%",IF(D3254&lt;15,"3) 10-14%",IF(D3254&lt;25,"4) 15-24%","5) 25%+"))))</f>
        <v>3) 10-14%</v>
      </c>
      <c r="N3254" s="0" t="str">
        <f aca="false">IF(F3254&lt;50,"1) Under Rs 50",IF(F3254&lt;100,"2) Rs 50-99",IF(F3254&lt;200,"3) Rs 100-199",IF(F3254&lt;500,"4) Rs 200-499","5) Rs 500+"))))</f>
        <v>3) Rs 100-199</v>
      </c>
      <c r="O3254" s="0" t="n">
        <f aca="false">G3254*E3254/1000</f>
        <v>1.5</v>
      </c>
    </row>
    <row r="3255" customFormat="false" ht="15" hidden="false" customHeight="false" outlineLevel="0" collapsed="false">
      <c r="A3255" s="0" t="s">
        <v>119</v>
      </c>
      <c r="B3255" s="0" t="s">
        <v>1407</v>
      </c>
      <c r="C3255" s="0" t="n">
        <v>620</v>
      </c>
      <c r="D3255" s="0" t="n">
        <v>0</v>
      </c>
      <c r="E3255" s="0" t="n">
        <v>6</v>
      </c>
      <c r="F3255" s="0" t="n">
        <v>620</v>
      </c>
      <c r="G3255" s="0" t="n">
        <v>172</v>
      </c>
      <c r="H3255" s="0" t="s">
        <v>145</v>
      </c>
      <c r="I3255" s="0" t="n">
        <v>172</v>
      </c>
      <c r="J3255" s="0" t="n">
        <f aca="false">F3255*E3255</f>
        <v>3720</v>
      </c>
      <c r="K3255" s="0" t="str">
        <f aca="false">IF(G3255&lt;1000,"1-Low",IF(G3255&lt;5000,"2-Medium","3-Bulk"))</f>
        <v>1-Low</v>
      </c>
      <c r="L3255" s="0" t="str">
        <f aca="false">IF(H3255="TRUE","Out of stock","In stock")</f>
        <v>In stock</v>
      </c>
      <c r="M3255" s="0" t="str">
        <f aca="false">IF(D3255&lt;5,"1) Under 5%",IF(D3255&lt;10,"2) 5-9%",IF(D3255&lt;15,"3) 10-14%",IF(D3255&lt;25,"4) 15-24%","5) 25%+"))))</f>
        <v>1) Under 5%</v>
      </c>
      <c r="N3255" s="0" t="str">
        <f aca="false">IF(F3255&lt;50,"1) Under Rs 50",IF(F3255&lt;100,"2) Rs 50-99",IF(F3255&lt;200,"3) Rs 100-199",IF(F3255&lt;500,"4) Rs 200-499","5) Rs 500+"))))</f>
        <v>5) Rs 500+</v>
      </c>
      <c r="O3255" s="0" t="n">
        <f aca="false">G3255*E3255/1000</f>
        <v>1.032</v>
      </c>
    </row>
    <row r="3256" customFormat="false" ht="15" hidden="false" customHeight="false" outlineLevel="0" collapsed="false">
      <c r="A3256" s="0" t="s">
        <v>119</v>
      </c>
      <c r="B3256" s="0" t="s">
        <v>1408</v>
      </c>
      <c r="C3256" s="0" t="n">
        <v>165</v>
      </c>
      <c r="D3256" s="0" t="n">
        <v>9</v>
      </c>
      <c r="E3256" s="0" t="n">
        <v>6</v>
      </c>
      <c r="F3256" s="0" t="n">
        <v>150</v>
      </c>
      <c r="G3256" s="0" t="n">
        <v>200</v>
      </c>
      <c r="H3256" s="0" t="s">
        <v>145</v>
      </c>
      <c r="I3256" s="0" t="n">
        <v>200</v>
      </c>
      <c r="J3256" s="0" t="n">
        <f aca="false">F3256*E3256</f>
        <v>900</v>
      </c>
      <c r="K3256" s="0" t="str">
        <f aca="false">IF(G3256&lt;1000,"1-Low",IF(G3256&lt;5000,"2-Medium","3-Bulk"))</f>
        <v>1-Low</v>
      </c>
      <c r="L3256" s="0" t="str">
        <f aca="false">IF(H3256="TRUE","Out of stock","In stock")</f>
        <v>In stock</v>
      </c>
      <c r="M3256" s="0" t="str">
        <f aca="false">IF(D3256&lt;5,"1) Under 5%",IF(D3256&lt;10,"2) 5-9%",IF(D3256&lt;15,"3) 10-14%",IF(D3256&lt;25,"4) 15-24%","5) 25%+"))))</f>
        <v>2) 5-9%</v>
      </c>
      <c r="N3256" s="0" t="str">
        <f aca="false">IF(F3256&lt;50,"1) Under Rs 50",IF(F3256&lt;100,"2) Rs 50-99",IF(F3256&lt;200,"3) Rs 100-199",IF(F3256&lt;500,"4) Rs 200-499","5) Rs 500+"))))</f>
        <v>3) Rs 100-199</v>
      </c>
      <c r="O3256" s="0" t="n">
        <f aca="false">G3256*E3256/1000</f>
        <v>1.2</v>
      </c>
    </row>
    <row r="3257" customFormat="false" ht="15" hidden="false" customHeight="false" outlineLevel="0" collapsed="false">
      <c r="A3257" s="0" t="s">
        <v>119</v>
      </c>
      <c r="B3257" s="0" t="s">
        <v>1409</v>
      </c>
      <c r="C3257" s="0" t="n">
        <v>550</v>
      </c>
      <c r="D3257" s="0" t="n">
        <v>0</v>
      </c>
      <c r="E3257" s="0" t="n">
        <v>4</v>
      </c>
      <c r="F3257" s="0" t="n">
        <v>550</v>
      </c>
      <c r="G3257" s="0" t="n">
        <v>160</v>
      </c>
      <c r="H3257" s="0" t="s">
        <v>145</v>
      </c>
      <c r="I3257" s="0" t="n">
        <v>159</v>
      </c>
      <c r="J3257" s="0" t="n">
        <f aca="false">F3257*E3257</f>
        <v>2200</v>
      </c>
      <c r="K3257" s="0" t="str">
        <f aca="false">IF(G3257&lt;1000,"1-Low",IF(G3257&lt;5000,"2-Medium","3-Bulk"))</f>
        <v>1-Low</v>
      </c>
      <c r="L3257" s="0" t="str">
        <f aca="false">IF(H3257="TRUE","Out of stock","In stock")</f>
        <v>In stock</v>
      </c>
      <c r="M3257" s="0" t="str">
        <f aca="false">IF(D3257&lt;5,"1) Under 5%",IF(D3257&lt;10,"2) 5-9%",IF(D3257&lt;15,"3) 10-14%",IF(D3257&lt;25,"4) 15-24%","5) 25%+"))))</f>
        <v>1) Under 5%</v>
      </c>
      <c r="N3257" s="0" t="str">
        <f aca="false">IF(F3257&lt;50,"1) Under Rs 50",IF(F3257&lt;100,"2) Rs 50-99",IF(F3257&lt;200,"3) Rs 100-199",IF(F3257&lt;500,"4) Rs 200-499","5) Rs 500+"))))</f>
        <v>5) Rs 500+</v>
      </c>
      <c r="O3257" s="0" t="n">
        <f aca="false">G3257*E3257/1000</f>
        <v>0.64</v>
      </c>
    </row>
    <row r="3258" customFormat="false" ht="15" hidden="false" customHeight="false" outlineLevel="0" collapsed="false">
      <c r="A3258" s="0" t="s">
        <v>119</v>
      </c>
      <c r="B3258" s="0" t="s">
        <v>1410</v>
      </c>
      <c r="C3258" s="0" t="n">
        <v>282</v>
      </c>
      <c r="D3258" s="0" t="n">
        <v>0</v>
      </c>
      <c r="E3258" s="0" t="n">
        <v>3</v>
      </c>
      <c r="F3258" s="0" t="n">
        <v>282</v>
      </c>
      <c r="G3258" s="0" t="n">
        <v>360</v>
      </c>
      <c r="H3258" s="0" t="s">
        <v>145</v>
      </c>
      <c r="I3258" s="0" t="n">
        <v>360</v>
      </c>
      <c r="J3258" s="0" t="n">
        <f aca="false">F3258*E3258</f>
        <v>846</v>
      </c>
      <c r="K3258" s="0" t="str">
        <f aca="false">IF(G3258&lt;1000,"1-Low",IF(G3258&lt;5000,"2-Medium","3-Bulk"))</f>
        <v>1-Low</v>
      </c>
      <c r="L3258" s="0" t="str">
        <f aca="false">IF(H3258="TRUE","Out of stock","In stock")</f>
        <v>In stock</v>
      </c>
      <c r="M3258" s="0" t="str">
        <f aca="false">IF(D3258&lt;5,"1) Under 5%",IF(D3258&lt;10,"2) 5-9%",IF(D3258&lt;15,"3) 10-14%",IF(D3258&lt;25,"4) 15-24%","5) 25%+"))))</f>
        <v>1) Under 5%</v>
      </c>
      <c r="N3258" s="0" t="str">
        <f aca="false">IF(F3258&lt;50,"1) Under Rs 50",IF(F3258&lt;100,"2) Rs 50-99",IF(F3258&lt;200,"3) Rs 100-199",IF(F3258&lt;500,"4) Rs 200-499","5) Rs 500+"))))</f>
        <v>4) Rs 200-499</v>
      </c>
      <c r="O3258" s="0" t="n">
        <f aca="false">G3258*E3258/1000</f>
        <v>1.08</v>
      </c>
    </row>
    <row r="3259" customFormat="false" ht="15" hidden="false" customHeight="false" outlineLevel="0" collapsed="false">
      <c r="A3259" s="0" t="s">
        <v>119</v>
      </c>
      <c r="B3259" s="0" t="s">
        <v>1411</v>
      </c>
      <c r="C3259" s="0" t="n">
        <v>176</v>
      </c>
      <c r="D3259" s="0" t="n">
        <v>10</v>
      </c>
      <c r="E3259" s="0" t="n">
        <v>6</v>
      </c>
      <c r="F3259" s="0" t="n">
        <v>158</v>
      </c>
      <c r="G3259" s="0" t="n">
        <v>375</v>
      </c>
      <c r="H3259" s="0" t="s">
        <v>145</v>
      </c>
      <c r="I3259" s="0" t="n">
        <v>375</v>
      </c>
      <c r="J3259" s="0" t="n">
        <f aca="false">F3259*E3259</f>
        <v>948</v>
      </c>
      <c r="K3259" s="0" t="str">
        <f aca="false">IF(G3259&lt;1000,"1-Low",IF(G3259&lt;5000,"2-Medium","3-Bulk"))</f>
        <v>1-Low</v>
      </c>
      <c r="L3259" s="0" t="str">
        <f aca="false">IF(H3259="TRUE","Out of stock","In stock")</f>
        <v>In stock</v>
      </c>
      <c r="M3259" s="0" t="str">
        <f aca="false">IF(D3259&lt;5,"1) Under 5%",IF(D3259&lt;10,"2) 5-9%",IF(D3259&lt;15,"3) 10-14%",IF(D3259&lt;25,"4) 15-24%","5) 25%+"))))</f>
        <v>3) 10-14%</v>
      </c>
      <c r="N3259" s="0" t="str">
        <f aca="false">IF(F3259&lt;50,"1) Under Rs 50",IF(F3259&lt;100,"2) Rs 50-99",IF(F3259&lt;200,"3) Rs 100-199",IF(F3259&lt;500,"4) Rs 200-499","5) Rs 500+"))))</f>
        <v>3) Rs 100-199</v>
      </c>
      <c r="O3259" s="0" t="n">
        <f aca="false">G3259*E3259/1000</f>
        <v>2.25</v>
      </c>
    </row>
    <row r="3260" customFormat="false" ht="15" hidden="false" customHeight="false" outlineLevel="0" collapsed="false">
      <c r="A3260" s="0" t="s">
        <v>119</v>
      </c>
      <c r="B3260" s="0" t="s">
        <v>1412</v>
      </c>
      <c r="C3260" s="0" t="n">
        <v>150</v>
      </c>
      <c r="D3260" s="0" t="n">
        <v>20</v>
      </c>
      <c r="E3260" s="0" t="n">
        <v>5</v>
      </c>
      <c r="F3260" s="0" t="n">
        <v>120</v>
      </c>
      <c r="G3260" s="0" t="n">
        <v>250</v>
      </c>
      <c r="H3260" s="0" t="s">
        <v>145</v>
      </c>
      <c r="I3260" s="0" t="n">
        <v>250</v>
      </c>
      <c r="J3260" s="0" t="n">
        <f aca="false">F3260*E3260</f>
        <v>600</v>
      </c>
      <c r="K3260" s="0" t="str">
        <f aca="false">IF(G3260&lt;1000,"1-Low",IF(G3260&lt;5000,"2-Medium","3-Bulk"))</f>
        <v>1-Low</v>
      </c>
      <c r="L3260" s="0" t="str">
        <f aca="false">IF(H3260="TRUE","Out of stock","In stock")</f>
        <v>In stock</v>
      </c>
      <c r="M3260" s="0" t="str">
        <f aca="false">IF(D3260&lt;5,"1) Under 5%",IF(D3260&lt;10,"2) 5-9%",IF(D3260&lt;15,"3) 10-14%",IF(D3260&lt;25,"4) 15-24%","5) 25%+"))))</f>
        <v>4) 15-24%</v>
      </c>
      <c r="N3260" s="0" t="str">
        <f aca="false">IF(F3260&lt;50,"1) Under Rs 50",IF(F3260&lt;100,"2) Rs 50-99",IF(F3260&lt;200,"3) Rs 100-199",IF(F3260&lt;500,"4) Rs 200-499","5) Rs 500+"))))</f>
        <v>3) Rs 100-199</v>
      </c>
      <c r="O3260" s="0" t="n">
        <f aca="false">G3260*E3260/1000</f>
        <v>1.25</v>
      </c>
    </row>
    <row r="3261" customFormat="false" ht="15" hidden="false" customHeight="false" outlineLevel="0" collapsed="false">
      <c r="A3261" s="0" t="s">
        <v>119</v>
      </c>
      <c r="B3261" s="0" t="s">
        <v>1413</v>
      </c>
      <c r="C3261" s="0" t="n">
        <v>90</v>
      </c>
      <c r="D3261" s="0" t="n">
        <v>10</v>
      </c>
      <c r="E3261" s="0" t="n">
        <v>1</v>
      </c>
      <c r="F3261" s="0" t="n">
        <v>81</v>
      </c>
      <c r="G3261" s="0" t="n">
        <v>80</v>
      </c>
      <c r="H3261" s="0" t="s">
        <v>145</v>
      </c>
      <c r="I3261" s="0" t="n">
        <v>80</v>
      </c>
      <c r="J3261" s="0" t="n">
        <f aca="false">F3261*E3261</f>
        <v>81</v>
      </c>
      <c r="K3261" s="0" t="str">
        <f aca="false">IF(G3261&lt;1000,"1-Low",IF(G3261&lt;5000,"2-Medium","3-Bulk"))</f>
        <v>1-Low</v>
      </c>
      <c r="L3261" s="0" t="str">
        <f aca="false">IF(H3261="TRUE","Out of stock","In stock")</f>
        <v>In stock</v>
      </c>
      <c r="M3261" s="0" t="str">
        <f aca="false">IF(D3261&lt;5,"1) Under 5%",IF(D3261&lt;10,"2) 5-9%",IF(D3261&lt;15,"3) 10-14%",IF(D3261&lt;25,"4) 15-24%","5) 25%+"))))</f>
        <v>3) 10-14%</v>
      </c>
      <c r="N3261" s="0" t="str">
        <f aca="false">IF(F3261&lt;50,"1) Under Rs 50",IF(F3261&lt;100,"2) Rs 50-99",IF(F3261&lt;200,"3) Rs 100-199",IF(F3261&lt;500,"4) Rs 200-499","5) Rs 500+"))))</f>
        <v>2) Rs 50-99</v>
      </c>
      <c r="O3261" s="0" t="n">
        <f aca="false">G3261*E3261/1000</f>
        <v>0.08</v>
      </c>
    </row>
    <row r="3262" customFormat="false" ht="15" hidden="false" customHeight="false" outlineLevel="0" collapsed="false">
      <c r="A3262" s="0" t="s">
        <v>119</v>
      </c>
      <c r="B3262" s="0" t="s">
        <v>1414</v>
      </c>
      <c r="C3262" s="0" t="n">
        <v>110</v>
      </c>
      <c r="D3262" s="0" t="n">
        <v>0</v>
      </c>
      <c r="E3262" s="0" t="n">
        <v>6</v>
      </c>
      <c r="F3262" s="0" t="n">
        <v>110</v>
      </c>
      <c r="G3262" s="0" t="n">
        <v>200</v>
      </c>
      <c r="H3262" s="0" t="s">
        <v>145</v>
      </c>
      <c r="I3262" s="0" t="n">
        <v>200</v>
      </c>
      <c r="J3262" s="0" t="n">
        <f aca="false">F3262*E3262</f>
        <v>660</v>
      </c>
      <c r="K3262" s="0" t="str">
        <f aca="false">IF(G3262&lt;1000,"1-Low",IF(G3262&lt;5000,"2-Medium","3-Bulk"))</f>
        <v>1-Low</v>
      </c>
      <c r="L3262" s="0" t="str">
        <f aca="false">IF(H3262="TRUE","Out of stock","In stock")</f>
        <v>In stock</v>
      </c>
      <c r="M3262" s="0" t="str">
        <f aca="false">IF(D3262&lt;5,"1) Under 5%",IF(D3262&lt;10,"2) 5-9%",IF(D3262&lt;15,"3) 10-14%",IF(D3262&lt;25,"4) 15-24%","5) 25%+"))))</f>
        <v>1) Under 5%</v>
      </c>
      <c r="N3262" s="0" t="str">
        <f aca="false">IF(F3262&lt;50,"1) Under Rs 50",IF(F3262&lt;100,"2) Rs 50-99",IF(F3262&lt;200,"3) Rs 100-199",IF(F3262&lt;500,"4) Rs 200-499","5) Rs 500+"))))</f>
        <v>3) Rs 100-199</v>
      </c>
      <c r="O3262" s="0" t="n">
        <f aca="false">G3262*E3262/1000</f>
        <v>1.2</v>
      </c>
    </row>
    <row r="3263" customFormat="false" ht="15" hidden="false" customHeight="false" outlineLevel="0" collapsed="false">
      <c r="A3263" s="0" t="s">
        <v>119</v>
      </c>
      <c r="B3263" s="0" t="s">
        <v>1415</v>
      </c>
      <c r="C3263" s="0" t="n">
        <v>250</v>
      </c>
      <c r="D3263" s="0" t="n">
        <v>0</v>
      </c>
      <c r="E3263" s="0" t="n">
        <v>1</v>
      </c>
      <c r="F3263" s="0" t="n">
        <v>250</v>
      </c>
      <c r="G3263" s="0" t="n">
        <v>150</v>
      </c>
      <c r="H3263" s="0" t="s">
        <v>145</v>
      </c>
      <c r="I3263" s="0" t="n">
        <v>150</v>
      </c>
      <c r="J3263" s="0" t="n">
        <f aca="false">F3263*E3263</f>
        <v>250</v>
      </c>
      <c r="K3263" s="0" t="str">
        <f aca="false">IF(G3263&lt;1000,"1-Low",IF(G3263&lt;5000,"2-Medium","3-Bulk"))</f>
        <v>1-Low</v>
      </c>
      <c r="L3263" s="0" t="str">
        <f aca="false">IF(H3263="TRUE","Out of stock","In stock")</f>
        <v>In stock</v>
      </c>
      <c r="M3263" s="0" t="str">
        <f aca="false">IF(D3263&lt;5,"1) Under 5%",IF(D3263&lt;10,"2) 5-9%",IF(D3263&lt;15,"3) 10-14%",IF(D3263&lt;25,"4) 15-24%","5) 25%+"))))</f>
        <v>1) Under 5%</v>
      </c>
      <c r="N3263" s="0" t="str">
        <f aca="false">IF(F3263&lt;50,"1) Under Rs 50",IF(F3263&lt;100,"2) Rs 50-99",IF(F3263&lt;200,"3) Rs 100-199",IF(F3263&lt;500,"4) Rs 200-499","5) Rs 500+"))))</f>
        <v>4) Rs 200-499</v>
      </c>
      <c r="O3263" s="0" t="n">
        <f aca="false">G3263*E3263/1000</f>
        <v>0.15</v>
      </c>
    </row>
    <row r="3264" customFormat="false" ht="15" hidden="false" customHeight="false" outlineLevel="0" collapsed="false">
      <c r="A3264" s="0" t="s">
        <v>119</v>
      </c>
      <c r="B3264" s="0" t="s">
        <v>1288</v>
      </c>
      <c r="C3264" s="0" t="n">
        <v>137</v>
      </c>
      <c r="D3264" s="0" t="n">
        <v>10</v>
      </c>
      <c r="E3264" s="0" t="n">
        <v>4</v>
      </c>
      <c r="F3264" s="0" t="n">
        <v>123</v>
      </c>
      <c r="G3264" s="0" t="n">
        <v>180</v>
      </c>
      <c r="H3264" s="0" t="s">
        <v>145</v>
      </c>
      <c r="I3264" s="0" t="n">
        <v>180</v>
      </c>
      <c r="J3264" s="0" t="n">
        <f aca="false">F3264*E3264</f>
        <v>492</v>
      </c>
      <c r="K3264" s="0" t="str">
        <f aca="false">IF(G3264&lt;1000,"1-Low",IF(G3264&lt;5000,"2-Medium","3-Bulk"))</f>
        <v>1-Low</v>
      </c>
      <c r="L3264" s="0" t="str">
        <f aca="false">IF(H3264="TRUE","Out of stock","In stock")</f>
        <v>In stock</v>
      </c>
      <c r="M3264" s="0" t="str">
        <f aca="false">IF(D3264&lt;5,"1) Under 5%",IF(D3264&lt;10,"2) 5-9%",IF(D3264&lt;15,"3) 10-14%",IF(D3264&lt;25,"4) 15-24%","5) 25%+"))))</f>
        <v>3) 10-14%</v>
      </c>
      <c r="N3264" s="0" t="str">
        <f aca="false">IF(F3264&lt;50,"1) Under Rs 50",IF(F3264&lt;100,"2) Rs 50-99",IF(F3264&lt;200,"3) Rs 100-199",IF(F3264&lt;500,"4) Rs 200-499","5) Rs 500+"))))</f>
        <v>3) Rs 100-199</v>
      </c>
      <c r="O3264" s="0" t="n">
        <f aca="false">G3264*E3264/1000</f>
        <v>0.72</v>
      </c>
    </row>
    <row r="3265" customFormat="false" ht="15" hidden="false" customHeight="false" outlineLevel="0" collapsed="false">
      <c r="A3265" s="0" t="s">
        <v>119</v>
      </c>
      <c r="B3265" s="0" t="s">
        <v>1416</v>
      </c>
      <c r="C3265" s="0" t="n">
        <v>250</v>
      </c>
      <c r="D3265" s="0" t="n">
        <v>10</v>
      </c>
      <c r="E3265" s="0" t="n">
        <v>6</v>
      </c>
      <c r="F3265" s="0" t="n">
        <v>225</v>
      </c>
      <c r="G3265" s="0" t="n">
        <v>500</v>
      </c>
      <c r="H3265" s="0" t="s">
        <v>145</v>
      </c>
      <c r="I3265" s="0" t="n">
        <v>500</v>
      </c>
      <c r="J3265" s="0" t="n">
        <f aca="false">F3265*E3265</f>
        <v>1350</v>
      </c>
      <c r="K3265" s="0" t="str">
        <f aca="false">IF(G3265&lt;1000,"1-Low",IF(G3265&lt;5000,"2-Medium","3-Bulk"))</f>
        <v>1-Low</v>
      </c>
      <c r="L3265" s="0" t="str">
        <f aca="false">IF(H3265="TRUE","Out of stock","In stock")</f>
        <v>In stock</v>
      </c>
      <c r="M3265" s="0" t="str">
        <f aca="false">IF(D3265&lt;5,"1) Under 5%",IF(D3265&lt;10,"2) 5-9%",IF(D3265&lt;15,"3) 10-14%",IF(D3265&lt;25,"4) 15-24%","5) 25%+"))))</f>
        <v>3) 10-14%</v>
      </c>
      <c r="N3265" s="0" t="str">
        <f aca="false">IF(F3265&lt;50,"1) Under Rs 50",IF(F3265&lt;100,"2) Rs 50-99",IF(F3265&lt;200,"3) Rs 100-199",IF(F3265&lt;500,"4) Rs 200-499","5) Rs 500+"))))</f>
        <v>4) Rs 200-499</v>
      </c>
      <c r="O3265" s="0" t="n">
        <f aca="false">G3265*E3265/1000</f>
        <v>3</v>
      </c>
    </row>
    <row r="3266" customFormat="false" ht="15" hidden="false" customHeight="false" outlineLevel="0" collapsed="false">
      <c r="A3266" s="0" t="s">
        <v>119</v>
      </c>
      <c r="B3266" s="0" t="s">
        <v>1417</v>
      </c>
      <c r="C3266" s="0" t="n">
        <v>399</v>
      </c>
      <c r="D3266" s="0" t="n">
        <v>20</v>
      </c>
      <c r="E3266" s="0" t="n">
        <v>3</v>
      </c>
      <c r="F3266" s="0" t="n">
        <v>319</v>
      </c>
      <c r="G3266" s="0" t="n">
        <v>300</v>
      </c>
      <c r="H3266" s="0" t="s">
        <v>145</v>
      </c>
      <c r="I3266" s="0" t="n">
        <v>300</v>
      </c>
      <c r="J3266" s="0" t="n">
        <f aca="false">F3266*E3266</f>
        <v>957</v>
      </c>
      <c r="K3266" s="0" t="str">
        <f aca="false">IF(G3266&lt;1000,"1-Low",IF(G3266&lt;5000,"2-Medium","3-Bulk"))</f>
        <v>1-Low</v>
      </c>
      <c r="L3266" s="0" t="str">
        <f aca="false">IF(H3266="TRUE","Out of stock","In stock")</f>
        <v>In stock</v>
      </c>
      <c r="M3266" s="0" t="str">
        <f aca="false">IF(D3266&lt;5,"1) Under 5%",IF(D3266&lt;10,"2) 5-9%",IF(D3266&lt;15,"3) 10-14%",IF(D3266&lt;25,"4) 15-24%","5) 25%+"))))</f>
        <v>4) 15-24%</v>
      </c>
      <c r="N3266" s="0" t="str">
        <f aca="false">IF(F3266&lt;50,"1) Under Rs 50",IF(F3266&lt;100,"2) Rs 50-99",IF(F3266&lt;200,"3) Rs 100-199",IF(F3266&lt;500,"4) Rs 200-499","5) Rs 500+"))))</f>
        <v>4) Rs 200-499</v>
      </c>
      <c r="O3266" s="0" t="n">
        <f aca="false">G3266*E3266/1000</f>
        <v>0.9</v>
      </c>
    </row>
    <row r="3267" customFormat="false" ht="15" hidden="false" customHeight="false" outlineLevel="0" collapsed="false">
      <c r="A3267" s="0" t="s">
        <v>119</v>
      </c>
      <c r="B3267" s="0" t="s">
        <v>1418</v>
      </c>
      <c r="C3267" s="0" t="n">
        <v>429</v>
      </c>
      <c r="D3267" s="0" t="n">
        <v>15</v>
      </c>
      <c r="E3267" s="0" t="n">
        <v>1</v>
      </c>
      <c r="F3267" s="0" t="n">
        <v>364</v>
      </c>
      <c r="G3267" s="0" t="n">
        <v>24</v>
      </c>
      <c r="H3267" s="0" t="s">
        <v>145</v>
      </c>
      <c r="I3267" s="0" t="n">
        <v>24</v>
      </c>
      <c r="J3267" s="0" t="n">
        <f aca="false">F3267*E3267</f>
        <v>364</v>
      </c>
      <c r="K3267" s="0" t="str">
        <f aca="false">IF(G3267&lt;1000,"1-Low",IF(G3267&lt;5000,"2-Medium","3-Bulk"))</f>
        <v>1-Low</v>
      </c>
      <c r="L3267" s="0" t="str">
        <f aca="false">IF(H3267="TRUE","Out of stock","In stock")</f>
        <v>In stock</v>
      </c>
      <c r="M3267" s="0" t="str">
        <f aca="false">IF(D3267&lt;5,"1) Under 5%",IF(D3267&lt;10,"2) 5-9%",IF(D3267&lt;15,"3) 10-14%",IF(D3267&lt;25,"4) 15-24%","5) 25%+"))))</f>
        <v>4) 15-24%</v>
      </c>
      <c r="N3267" s="0" t="str">
        <f aca="false">IF(F3267&lt;50,"1) Under Rs 50",IF(F3267&lt;100,"2) Rs 50-99",IF(F3267&lt;200,"3) Rs 100-199",IF(F3267&lt;500,"4) Rs 200-499","5) Rs 500+"))))</f>
        <v>4) Rs 200-499</v>
      </c>
      <c r="O3267" s="0" t="n">
        <f aca="false">G3267*E3267/1000</f>
        <v>0.024</v>
      </c>
    </row>
    <row r="3268" customFormat="false" ht="15" hidden="false" customHeight="false" outlineLevel="0" collapsed="false">
      <c r="A3268" s="0" t="s">
        <v>119</v>
      </c>
      <c r="B3268" s="0" t="s">
        <v>1419</v>
      </c>
      <c r="C3268" s="0" t="n">
        <v>99</v>
      </c>
      <c r="D3268" s="0" t="n">
        <v>0</v>
      </c>
      <c r="E3268" s="0" t="n">
        <v>6</v>
      </c>
      <c r="F3268" s="0" t="n">
        <v>99</v>
      </c>
      <c r="G3268" s="0" t="n">
        <v>200</v>
      </c>
      <c r="H3268" s="0" t="s">
        <v>145</v>
      </c>
      <c r="I3268" s="0" t="n">
        <v>200</v>
      </c>
      <c r="J3268" s="0" t="n">
        <f aca="false">F3268*E3268</f>
        <v>594</v>
      </c>
      <c r="K3268" s="0" t="str">
        <f aca="false">IF(G3268&lt;1000,"1-Low",IF(G3268&lt;5000,"2-Medium","3-Bulk"))</f>
        <v>1-Low</v>
      </c>
      <c r="L3268" s="0" t="str">
        <f aca="false">IF(H3268="TRUE","Out of stock","In stock")</f>
        <v>In stock</v>
      </c>
      <c r="M3268" s="0" t="str">
        <f aca="false">IF(D3268&lt;5,"1) Under 5%",IF(D3268&lt;10,"2) 5-9%",IF(D3268&lt;15,"3) 10-14%",IF(D3268&lt;25,"4) 15-24%","5) 25%+"))))</f>
        <v>1) Under 5%</v>
      </c>
      <c r="N3268" s="0" t="str">
        <f aca="false">IF(F3268&lt;50,"1) Under Rs 50",IF(F3268&lt;100,"2) Rs 50-99",IF(F3268&lt;200,"3) Rs 100-199",IF(F3268&lt;500,"4) Rs 200-499","5) Rs 500+"))))</f>
        <v>2) Rs 50-99</v>
      </c>
      <c r="O3268" s="0" t="n">
        <f aca="false">G3268*E3268/1000</f>
        <v>1.2</v>
      </c>
    </row>
    <row r="3269" customFormat="false" ht="15" hidden="false" customHeight="false" outlineLevel="0" collapsed="false">
      <c r="A3269" s="0" t="s">
        <v>119</v>
      </c>
      <c r="B3269" s="0" t="s">
        <v>1420</v>
      </c>
      <c r="C3269" s="0" t="n">
        <v>399</v>
      </c>
      <c r="D3269" s="0" t="n">
        <v>20</v>
      </c>
      <c r="E3269" s="0" t="n">
        <v>6</v>
      </c>
      <c r="F3269" s="0" t="n">
        <v>319</v>
      </c>
      <c r="G3269" s="0" t="n">
        <v>400</v>
      </c>
      <c r="H3269" s="0" t="s">
        <v>145</v>
      </c>
      <c r="I3269" s="0" t="n">
        <v>400</v>
      </c>
      <c r="J3269" s="0" t="n">
        <f aca="false">F3269*E3269</f>
        <v>1914</v>
      </c>
      <c r="K3269" s="0" t="str">
        <f aca="false">IF(G3269&lt;1000,"1-Low",IF(G3269&lt;5000,"2-Medium","3-Bulk"))</f>
        <v>1-Low</v>
      </c>
      <c r="L3269" s="0" t="str">
        <f aca="false">IF(H3269="TRUE","Out of stock","In stock")</f>
        <v>In stock</v>
      </c>
      <c r="M3269" s="0" t="str">
        <f aca="false">IF(D3269&lt;5,"1) Under 5%",IF(D3269&lt;10,"2) 5-9%",IF(D3269&lt;15,"3) 10-14%",IF(D3269&lt;25,"4) 15-24%","5) 25%+"))))</f>
        <v>4) 15-24%</v>
      </c>
      <c r="N3269" s="0" t="str">
        <f aca="false">IF(F3269&lt;50,"1) Under Rs 50",IF(F3269&lt;100,"2) Rs 50-99",IF(F3269&lt;200,"3) Rs 100-199",IF(F3269&lt;500,"4) Rs 200-499","5) Rs 500+"))))</f>
        <v>4) Rs 200-499</v>
      </c>
      <c r="O3269" s="0" t="n">
        <f aca="false">G3269*E3269/1000</f>
        <v>2.4</v>
      </c>
    </row>
    <row r="3270" customFormat="false" ht="15" hidden="false" customHeight="false" outlineLevel="0" collapsed="false">
      <c r="A3270" s="0" t="s">
        <v>119</v>
      </c>
      <c r="B3270" s="0" t="s">
        <v>1421</v>
      </c>
      <c r="C3270" s="0" t="n">
        <v>225</v>
      </c>
      <c r="D3270" s="0" t="n">
        <v>0</v>
      </c>
      <c r="E3270" s="0" t="n">
        <v>6</v>
      </c>
      <c r="F3270" s="0" t="n">
        <v>225</v>
      </c>
      <c r="G3270" s="0" t="n">
        <v>60</v>
      </c>
      <c r="H3270" s="0" t="s">
        <v>145</v>
      </c>
      <c r="I3270" s="0" t="n">
        <v>60</v>
      </c>
      <c r="J3270" s="0" t="n">
        <f aca="false">F3270*E3270</f>
        <v>1350</v>
      </c>
      <c r="K3270" s="0" t="str">
        <f aca="false">IF(G3270&lt;1000,"1-Low",IF(G3270&lt;5000,"2-Medium","3-Bulk"))</f>
        <v>1-Low</v>
      </c>
      <c r="L3270" s="0" t="str">
        <f aca="false">IF(H3270="TRUE","Out of stock","In stock")</f>
        <v>In stock</v>
      </c>
      <c r="M3270" s="0" t="str">
        <f aca="false">IF(D3270&lt;5,"1) Under 5%",IF(D3270&lt;10,"2) 5-9%",IF(D3270&lt;15,"3) 10-14%",IF(D3270&lt;25,"4) 15-24%","5) 25%+"))))</f>
        <v>1) Under 5%</v>
      </c>
      <c r="N3270" s="0" t="str">
        <f aca="false">IF(F3270&lt;50,"1) Under Rs 50",IF(F3270&lt;100,"2) Rs 50-99",IF(F3270&lt;200,"3) Rs 100-199",IF(F3270&lt;500,"4) Rs 200-499","5) Rs 500+"))))</f>
        <v>4) Rs 200-499</v>
      </c>
      <c r="O3270" s="0" t="n">
        <f aca="false">G3270*E3270/1000</f>
        <v>0.36</v>
      </c>
    </row>
    <row r="3271" customFormat="false" ht="15" hidden="false" customHeight="false" outlineLevel="0" collapsed="false">
      <c r="A3271" s="0" t="s">
        <v>119</v>
      </c>
      <c r="B3271" s="0" t="s">
        <v>1422</v>
      </c>
      <c r="C3271" s="0" t="n">
        <v>170</v>
      </c>
      <c r="D3271" s="0" t="n">
        <v>0</v>
      </c>
      <c r="E3271" s="0" t="n">
        <v>6</v>
      </c>
      <c r="F3271" s="0" t="n">
        <v>170</v>
      </c>
      <c r="G3271" s="0" t="n">
        <v>180</v>
      </c>
      <c r="H3271" s="0" t="s">
        <v>145</v>
      </c>
      <c r="I3271" s="0" t="n">
        <v>180</v>
      </c>
      <c r="J3271" s="0" t="n">
        <f aca="false">F3271*E3271</f>
        <v>1020</v>
      </c>
      <c r="K3271" s="0" t="str">
        <f aca="false">IF(G3271&lt;1000,"1-Low",IF(G3271&lt;5000,"2-Medium","3-Bulk"))</f>
        <v>1-Low</v>
      </c>
      <c r="L3271" s="0" t="str">
        <f aca="false">IF(H3271="TRUE","Out of stock","In stock")</f>
        <v>In stock</v>
      </c>
      <c r="M3271" s="0" t="str">
        <f aca="false">IF(D3271&lt;5,"1) Under 5%",IF(D3271&lt;10,"2) 5-9%",IF(D3271&lt;15,"3) 10-14%",IF(D3271&lt;25,"4) 15-24%","5) 25%+"))))</f>
        <v>1) Under 5%</v>
      </c>
      <c r="N3271" s="0" t="str">
        <f aca="false">IF(F3271&lt;50,"1) Under Rs 50",IF(F3271&lt;100,"2) Rs 50-99",IF(F3271&lt;200,"3) Rs 100-199",IF(F3271&lt;500,"4) Rs 200-499","5) Rs 500+"))))</f>
        <v>3) Rs 100-199</v>
      </c>
      <c r="O3271" s="0" t="n">
        <f aca="false">G3271*E3271/1000</f>
        <v>1.08</v>
      </c>
    </row>
    <row r="3272" customFormat="false" ht="15" hidden="false" customHeight="false" outlineLevel="0" collapsed="false">
      <c r="A3272" s="0" t="s">
        <v>119</v>
      </c>
      <c r="B3272" s="0" t="s">
        <v>1423</v>
      </c>
      <c r="C3272" s="0" t="n">
        <v>75</v>
      </c>
      <c r="D3272" s="0" t="n">
        <v>0</v>
      </c>
      <c r="E3272" s="0" t="n">
        <v>5</v>
      </c>
      <c r="F3272" s="0" t="n">
        <v>75</v>
      </c>
      <c r="G3272" s="0" t="n">
        <v>150</v>
      </c>
      <c r="H3272" s="0" t="s">
        <v>145</v>
      </c>
      <c r="I3272" s="0" t="n">
        <v>120</v>
      </c>
      <c r="J3272" s="0" t="n">
        <f aca="false">F3272*E3272</f>
        <v>375</v>
      </c>
      <c r="K3272" s="0" t="str">
        <f aca="false">IF(G3272&lt;1000,"1-Low",IF(G3272&lt;5000,"2-Medium","3-Bulk"))</f>
        <v>1-Low</v>
      </c>
      <c r="L3272" s="0" t="str">
        <f aca="false">IF(H3272="TRUE","Out of stock","In stock")</f>
        <v>In stock</v>
      </c>
      <c r="M3272" s="0" t="str">
        <f aca="false">IF(D3272&lt;5,"1) Under 5%",IF(D3272&lt;10,"2) 5-9%",IF(D3272&lt;15,"3) 10-14%",IF(D3272&lt;25,"4) 15-24%","5) 25%+"))))</f>
        <v>1) Under 5%</v>
      </c>
      <c r="N3272" s="0" t="str">
        <f aca="false">IF(F3272&lt;50,"1) Under Rs 50",IF(F3272&lt;100,"2) Rs 50-99",IF(F3272&lt;200,"3) Rs 100-199",IF(F3272&lt;500,"4) Rs 200-499","5) Rs 500+"))))</f>
        <v>2) Rs 50-99</v>
      </c>
      <c r="O3272" s="0" t="n">
        <f aca="false">G3272*E3272/1000</f>
        <v>0.75</v>
      </c>
    </row>
    <row r="3273" customFormat="false" ht="15" hidden="false" customHeight="false" outlineLevel="0" collapsed="false">
      <c r="A3273" s="0" t="s">
        <v>119</v>
      </c>
      <c r="B3273" s="0" t="s">
        <v>1424</v>
      </c>
      <c r="C3273" s="0" t="n">
        <v>100</v>
      </c>
      <c r="D3273" s="0" t="n">
        <v>0</v>
      </c>
      <c r="E3273" s="0" t="n">
        <v>4</v>
      </c>
      <c r="F3273" s="0" t="n">
        <v>100</v>
      </c>
      <c r="G3273" s="0" t="n">
        <v>100</v>
      </c>
      <c r="H3273" s="0" t="s">
        <v>145</v>
      </c>
      <c r="I3273" s="0" t="n">
        <v>100</v>
      </c>
      <c r="J3273" s="0" t="n">
        <f aca="false">F3273*E3273</f>
        <v>400</v>
      </c>
      <c r="K3273" s="0" t="str">
        <f aca="false">IF(G3273&lt;1000,"1-Low",IF(G3273&lt;5000,"2-Medium","3-Bulk"))</f>
        <v>1-Low</v>
      </c>
      <c r="L3273" s="0" t="str">
        <f aca="false">IF(H3273="TRUE","Out of stock","In stock")</f>
        <v>In stock</v>
      </c>
      <c r="M3273" s="0" t="str">
        <f aca="false">IF(D3273&lt;5,"1) Under 5%",IF(D3273&lt;10,"2) 5-9%",IF(D3273&lt;15,"3) 10-14%",IF(D3273&lt;25,"4) 15-24%","5) 25%+"))))</f>
        <v>1) Under 5%</v>
      </c>
      <c r="N3273" s="0" t="str">
        <f aca="false">IF(F3273&lt;50,"1) Under Rs 50",IF(F3273&lt;100,"2) Rs 50-99",IF(F3273&lt;200,"3) Rs 100-199",IF(F3273&lt;500,"4) Rs 200-499","5) Rs 500+"))))</f>
        <v>3) Rs 100-199</v>
      </c>
      <c r="O3273" s="0" t="n">
        <f aca="false">G3273*E3273/1000</f>
        <v>0.4</v>
      </c>
    </row>
    <row r="3274" customFormat="false" ht="15" hidden="false" customHeight="false" outlineLevel="0" collapsed="false">
      <c r="A3274" s="0" t="s">
        <v>119</v>
      </c>
      <c r="B3274" s="0" t="s">
        <v>1299</v>
      </c>
      <c r="C3274" s="0" t="n">
        <v>140</v>
      </c>
      <c r="D3274" s="0" t="n">
        <v>10</v>
      </c>
      <c r="E3274" s="0" t="n">
        <v>1</v>
      </c>
      <c r="F3274" s="0" t="n">
        <v>126</v>
      </c>
      <c r="G3274" s="0" t="n">
        <v>200</v>
      </c>
      <c r="H3274" s="0" t="s">
        <v>145</v>
      </c>
      <c r="I3274" s="0" t="n">
        <v>200</v>
      </c>
      <c r="J3274" s="0" t="n">
        <f aca="false">F3274*E3274</f>
        <v>126</v>
      </c>
      <c r="K3274" s="0" t="str">
        <f aca="false">IF(G3274&lt;1000,"1-Low",IF(G3274&lt;5000,"2-Medium","3-Bulk"))</f>
        <v>1-Low</v>
      </c>
      <c r="L3274" s="0" t="str">
        <f aca="false">IF(H3274="TRUE","Out of stock","In stock")</f>
        <v>In stock</v>
      </c>
      <c r="M3274" s="0" t="str">
        <f aca="false">IF(D3274&lt;5,"1) Under 5%",IF(D3274&lt;10,"2) 5-9%",IF(D3274&lt;15,"3) 10-14%",IF(D3274&lt;25,"4) 15-24%","5) 25%+"))))</f>
        <v>3) 10-14%</v>
      </c>
      <c r="N3274" s="0" t="str">
        <f aca="false">IF(F3274&lt;50,"1) Under Rs 50",IF(F3274&lt;100,"2) Rs 50-99",IF(F3274&lt;200,"3) Rs 100-199",IF(F3274&lt;500,"4) Rs 200-499","5) Rs 500+"))))</f>
        <v>3) Rs 100-199</v>
      </c>
      <c r="O3274" s="0" t="n">
        <f aca="false">G3274*E3274/1000</f>
        <v>0.2</v>
      </c>
    </row>
    <row r="3275" customFormat="false" ht="15" hidden="false" customHeight="false" outlineLevel="0" collapsed="false">
      <c r="A3275" s="0" t="s">
        <v>119</v>
      </c>
      <c r="B3275" s="0" t="s">
        <v>1425</v>
      </c>
      <c r="C3275" s="0" t="n">
        <v>300</v>
      </c>
      <c r="D3275" s="0" t="n">
        <v>8</v>
      </c>
      <c r="E3275" s="0" t="n">
        <v>3</v>
      </c>
      <c r="F3275" s="0" t="n">
        <v>275</v>
      </c>
      <c r="G3275" s="0" t="n">
        <v>0</v>
      </c>
      <c r="H3275" s="0" t="s">
        <v>145</v>
      </c>
      <c r="I3275" s="0" t="n">
        <v>0</v>
      </c>
      <c r="J3275" s="0" t="n">
        <f aca="false">F3275*E3275</f>
        <v>825</v>
      </c>
      <c r="K3275" s="0" t="str">
        <f aca="false">IF(G3275&lt;1000,"1-Low",IF(G3275&lt;5000,"2-Medium","3-Bulk"))</f>
        <v>1-Low</v>
      </c>
      <c r="L3275" s="0" t="str">
        <f aca="false">IF(H3275="TRUE","Out of stock","In stock")</f>
        <v>In stock</v>
      </c>
      <c r="M3275" s="0" t="str">
        <f aca="false">IF(D3275&lt;5,"1) Under 5%",IF(D3275&lt;10,"2) 5-9%",IF(D3275&lt;15,"3) 10-14%",IF(D3275&lt;25,"4) 15-24%","5) 25%+"))))</f>
        <v>2) 5-9%</v>
      </c>
      <c r="N3275" s="0" t="str">
        <f aca="false">IF(F3275&lt;50,"1) Under Rs 50",IF(F3275&lt;100,"2) Rs 50-99",IF(F3275&lt;200,"3) Rs 100-199",IF(F3275&lt;500,"4) Rs 200-499","5) Rs 500+"))))</f>
        <v>4) Rs 200-499</v>
      </c>
      <c r="O3275" s="0" t="n">
        <f aca="false">G3275*E3275/1000</f>
        <v>0</v>
      </c>
    </row>
    <row r="3276" customFormat="false" ht="15" hidden="false" customHeight="false" outlineLevel="0" collapsed="false">
      <c r="A3276" s="0" t="s">
        <v>119</v>
      </c>
      <c r="B3276" s="0" t="s">
        <v>1426</v>
      </c>
      <c r="C3276" s="0" t="n">
        <v>90</v>
      </c>
      <c r="D3276" s="0" t="n">
        <v>10</v>
      </c>
      <c r="E3276" s="0" t="n">
        <v>6</v>
      </c>
      <c r="F3276" s="0" t="n">
        <v>81</v>
      </c>
      <c r="G3276" s="0" t="n">
        <v>406</v>
      </c>
      <c r="H3276" s="0" t="s">
        <v>145</v>
      </c>
      <c r="I3276" s="0" t="n">
        <v>7</v>
      </c>
      <c r="J3276" s="0" t="n">
        <f aca="false">F3276*E3276</f>
        <v>486</v>
      </c>
      <c r="K3276" s="0" t="str">
        <f aca="false">IF(G3276&lt;1000,"1-Low",IF(G3276&lt;5000,"2-Medium","3-Bulk"))</f>
        <v>1-Low</v>
      </c>
      <c r="L3276" s="0" t="str">
        <f aca="false">IF(H3276="TRUE","Out of stock","In stock")</f>
        <v>In stock</v>
      </c>
      <c r="M3276" s="0" t="str">
        <f aca="false">IF(D3276&lt;5,"1) Under 5%",IF(D3276&lt;10,"2) 5-9%",IF(D3276&lt;15,"3) 10-14%",IF(D3276&lt;25,"4) 15-24%","5) 25%+"))))</f>
        <v>3) 10-14%</v>
      </c>
      <c r="N3276" s="0" t="str">
        <f aca="false">IF(F3276&lt;50,"1) Under Rs 50",IF(F3276&lt;100,"2) Rs 50-99",IF(F3276&lt;200,"3) Rs 100-199",IF(F3276&lt;500,"4) Rs 200-499","5) Rs 500+"))))</f>
        <v>2) Rs 50-99</v>
      </c>
      <c r="O3276" s="0" t="n">
        <f aca="false">G3276*E3276/1000</f>
        <v>2.436</v>
      </c>
    </row>
    <row r="3277" customFormat="false" ht="15" hidden="false" customHeight="false" outlineLevel="0" collapsed="false">
      <c r="A3277" s="0" t="s">
        <v>119</v>
      </c>
      <c r="B3277" s="0" t="s">
        <v>1427</v>
      </c>
      <c r="C3277" s="0" t="n">
        <v>645</v>
      </c>
      <c r="D3277" s="0" t="n">
        <v>5</v>
      </c>
      <c r="E3277" s="0" t="n">
        <v>3</v>
      </c>
      <c r="F3277" s="0" t="n">
        <v>612</v>
      </c>
      <c r="G3277" s="0" t="n">
        <v>650</v>
      </c>
      <c r="H3277" s="0" t="s">
        <v>145</v>
      </c>
      <c r="I3277" s="0" t="n">
        <v>650</v>
      </c>
      <c r="J3277" s="0" t="n">
        <f aca="false">F3277*E3277</f>
        <v>1836</v>
      </c>
      <c r="K3277" s="0" t="str">
        <f aca="false">IF(G3277&lt;1000,"1-Low",IF(G3277&lt;5000,"2-Medium","3-Bulk"))</f>
        <v>1-Low</v>
      </c>
      <c r="L3277" s="0" t="str">
        <f aca="false">IF(H3277="TRUE","Out of stock","In stock")</f>
        <v>In stock</v>
      </c>
      <c r="M3277" s="0" t="str">
        <f aca="false">IF(D3277&lt;5,"1) Under 5%",IF(D3277&lt;10,"2) 5-9%",IF(D3277&lt;15,"3) 10-14%",IF(D3277&lt;25,"4) 15-24%","5) 25%+"))))</f>
        <v>2) 5-9%</v>
      </c>
      <c r="N3277" s="0" t="str">
        <f aca="false">IF(F3277&lt;50,"1) Under Rs 50",IF(F3277&lt;100,"2) Rs 50-99",IF(F3277&lt;200,"3) Rs 100-199",IF(F3277&lt;500,"4) Rs 200-499","5) Rs 500+"))))</f>
        <v>5) Rs 500+</v>
      </c>
      <c r="O3277" s="0" t="n">
        <f aca="false">G3277*E3277/1000</f>
        <v>1.95</v>
      </c>
    </row>
    <row r="3278" customFormat="false" ht="15" hidden="false" customHeight="false" outlineLevel="0" collapsed="false">
      <c r="A3278" s="0" t="s">
        <v>119</v>
      </c>
      <c r="B3278" s="0" t="s">
        <v>1428</v>
      </c>
      <c r="C3278" s="0" t="n">
        <v>29</v>
      </c>
      <c r="D3278" s="0" t="n">
        <v>0</v>
      </c>
      <c r="E3278" s="0" t="n">
        <v>5</v>
      </c>
      <c r="F3278" s="0" t="n">
        <v>29</v>
      </c>
      <c r="G3278" s="0" t="n">
        <v>20</v>
      </c>
      <c r="H3278" s="0" t="s">
        <v>145</v>
      </c>
      <c r="I3278" s="0" t="n">
        <v>20</v>
      </c>
      <c r="J3278" s="0" t="n">
        <f aca="false">F3278*E3278</f>
        <v>145</v>
      </c>
      <c r="K3278" s="0" t="str">
        <f aca="false">IF(G3278&lt;1000,"1-Low",IF(G3278&lt;5000,"2-Medium","3-Bulk"))</f>
        <v>1-Low</v>
      </c>
      <c r="L3278" s="0" t="str">
        <f aca="false">IF(H3278="TRUE","Out of stock","In stock")</f>
        <v>In stock</v>
      </c>
      <c r="M3278" s="0" t="str">
        <f aca="false">IF(D3278&lt;5,"1) Under 5%",IF(D3278&lt;10,"2) 5-9%",IF(D3278&lt;15,"3) 10-14%",IF(D3278&lt;25,"4) 15-24%","5) 25%+"))))</f>
        <v>1) Under 5%</v>
      </c>
      <c r="N3278" s="0" t="str">
        <f aca="false">IF(F3278&lt;50,"1) Under Rs 50",IF(F3278&lt;100,"2) Rs 50-99",IF(F3278&lt;200,"3) Rs 100-199",IF(F3278&lt;500,"4) Rs 200-499","5) Rs 500+"))))</f>
        <v>1) Under Rs 50</v>
      </c>
      <c r="O3278" s="0" t="n">
        <f aca="false">G3278*E3278/1000</f>
        <v>0.1</v>
      </c>
    </row>
    <row r="3279" customFormat="false" ht="15" hidden="false" customHeight="false" outlineLevel="0" collapsed="false">
      <c r="A3279" s="0" t="s">
        <v>119</v>
      </c>
      <c r="B3279" s="0" t="s">
        <v>1429</v>
      </c>
      <c r="C3279" s="0" t="n">
        <v>140</v>
      </c>
      <c r="D3279" s="0" t="n">
        <v>0</v>
      </c>
      <c r="E3279" s="0" t="n">
        <v>6</v>
      </c>
      <c r="F3279" s="0" t="n">
        <v>140</v>
      </c>
      <c r="G3279" s="0" t="n">
        <v>160</v>
      </c>
      <c r="H3279" s="0" t="s">
        <v>145</v>
      </c>
      <c r="I3279" s="0" t="n">
        <v>160</v>
      </c>
      <c r="J3279" s="0" t="n">
        <f aca="false">F3279*E3279</f>
        <v>840</v>
      </c>
      <c r="K3279" s="0" t="str">
        <f aca="false">IF(G3279&lt;1000,"1-Low",IF(G3279&lt;5000,"2-Medium","3-Bulk"))</f>
        <v>1-Low</v>
      </c>
      <c r="L3279" s="0" t="str">
        <f aca="false">IF(H3279="TRUE","Out of stock","In stock")</f>
        <v>In stock</v>
      </c>
      <c r="M3279" s="0" t="str">
        <f aca="false">IF(D3279&lt;5,"1) Under 5%",IF(D3279&lt;10,"2) 5-9%",IF(D3279&lt;15,"3) 10-14%",IF(D3279&lt;25,"4) 15-24%","5) 25%+"))))</f>
        <v>1) Under 5%</v>
      </c>
      <c r="N3279" s="0" t="str">
        <f aca="false">IF(F3279&lt;50,"1) Under Rs 50",IF(F3279&lt;100,"2) Rs 50-99",IF(F3279&lt;200,"3) Rs 100-199",IF(F3279&lt;500,"4) Rs 200-499","5) Rs 500+"))))</f>
        <v>3) Rs 100-199</v>
      </c>
      <c r="O3279" s="0" t="n">
        <f aca="false">G3279*E3279/1000</f>
        <v>0.96</v>
      </c>
    </row>
    <row r="3280" customFormat="false" ht="15" hidden="false" customHeight="false" outlineLevel="0" collapsed="false">
      <c r="A3280" s="0" t="s">
        <v>119</v>
      </c>
      <c r="B3280" s="0" t="s">
        <v>1430</v>
      </c>
      <c r="C3280" s="0" t="n">
        <v>182</v>
      </c>
      <c r="D3280" s="0" t="n">
        <v>15</v>
      </c>
      <c r="E3280" s="0" t="n">
        <v>6</v>
      </c>
      <c r="F3280" s="0" t="n">
        <v>154</v>
      </c>
      <c r="G3280" s="0" t="n">
        <v>300</v>
      </c>
      <c r="H3280" s="0" t="s">
        <v>145</v>
      </c>
      <c r="I3280" s="0" t="n">
        <v>300</v>
      </c>
      <c r="J3280" s="0" t="n">
        <f aca="false">F3280*E3280</f>
        <v>924</v>
      </c>
      <c r="K3280" s="0" t="str">
        <f aca="false">IF(G3280&lt;1000,"1-Low",IF(G3280&lt;5000,"2-Medium","3-Bulk"))</f>
        <v>1-Low</v>
      </c>
      <c r="L3280" s="0" t="str">
        <f aca="false">IF(H3280="TRUE","Out of stock","In stock")</f>
        <v>In stock</v>
      </c>
      <c r="M3280" s="0" t="str">
        <f aca="false">IF(D3280&lt;5,"1) Under 5%",IF(D3280&lt;10,"2) 5-9%",IF(D3280&lt;15,"3) 10-14%",IF(D3280&lt;25,"4) 15-24%","5) 25%+"))))</f>
        <v>4) 15-24%</v>
      </c>
      <c r="N3280" s="0" t="str">
        <f aca="false">IF(F3280&lt;50,"1) Under Rs 50",IF(F3280&lt;100,"2) Rs 50-99",IF(F3280&lt;200,"3) Rs 100-199",IF(F3280&lt;500,"4) Rs 200-499","5) Rs 500+"))))</f>
        <v>3) Rs 100-199</v>
      </c>
      <c r="O3280" s="0" t="n">
        <f aca="false">G3280*E3280/1000</f>
        <v>1.8</v>
      </c>
    </row>
    <row r="3281" customFormat="false" ht="15" hidden="false" customHeight="false" outlineLevel="0" collapsed="false">
      <c r="A3281" s="0" t="s">
        <v>119</v>
      </c>
      <c r="B3281" s="0" t="s">
        <v>1431</v>
      </c>
      <c r="C3281" s="0" t="n">
        <v>309</v>
      </c>
      <c r="D3281" s="0" t="n">
        <v>10</v>
      </c>
      <c r="E3281" s="0" t="n">
        <v>6</v>
      </c>
      <c r="F3281" s="0" t="n">
        <v>278</v>
      </c>
      <c r="G3281" s="0" t="n">
        <v>250</v>
      </c>
      <c r="H3281" s="0" t="s">
        <v>145</v>
      </c>
      <c r="I3281" s="0" t="n">
        <v>250</v>
      </c>
      <c r="J3281" s="0" t="n">
        <f aca="false">F3281*E3281</f>
        <v>1668</v>
      </c>
      <c r="K3281" s="0" t="str">
        <f aca="false">IF(G3281&lt;1000,"1-Low",IF(G3281&lt;5000,"2-Medium","3-Bulk"))</f>
        <v>1-Low</v>
      </c>
      <c r="L3281" s="0" t="str">
        <f aca="false">IF(H3281="TRUE","Out of stock","In stock")</f>
        <v>In stock</v>
      </c>
      <c r="M3281" s="0" t="str">
        <f aca="false">IF(D3281&lt;5,"1) Under 5%",IF(D3281&lt;10,"2) 5-9%",IF(D3281&lt;15,"3) 10-14%",IF(D3281&lt;25,"4) 15-24%","5) 25%+"))))</f>
        <v>3) 10-14%</v>
      </c>
      <c r="N3281" s="0" t="str">
        <f aca="false">IF(F3281&lt;50,"1) Under Rs 50",IF(F3281&lt;100,"2) Rs 50-99",IF(F3281&lt;200,"3) Rs 100-199",IF(F3281&lt;500,"4) Rs 200-499","5) Rs 500+"))))</f>
        <v>4) Rs 200-499</v>
      </c>
      <c r="O3281" s="0" t="n">
        <f aca="false">G3281*E3281/1000</f>
        <v>1.5</v>
      </c>
    </row>
    <row r="3282" customFormat="false" ht="15" hidden="false" customHeight="false" outlineLevel="0" collapsed="false">
      <c r="A3282" s="0" t="s">
        <v>119</v>
      </c>
      <c r="B3282" s="0" t="s">
        <v>1432</v>
      </c>
      <c r="C3282" s="0" t="n">
        <v>195</v>
      </c>
      <c r="D3282" s="0" t="n">
        <v>10</v>
      </c>
      <c r="E3282" s="0" t="n">
        <v>5</v>
      </c>
      <c r="F3282" s="0" t="n">
        <v>174</v>
      </c>
      <c r="G3282" s="0" t="n">
        <v>150</v>
      </c>
      <c r="H3282" s="0" t="s">
        <v>145</v>
      </c>
      <c r="I3282" s="0" t="n">
        <v>150</v>
      </c>
      <c r="J3282" s="0" t="n">
        <f aca="false">F3282*E3282</f>
        <v>870</v>
      </c>
      <c r="K3282" s="0" t="str">
        <f aca="false">IF(G3282&lt;1000,"1-Low",IF(G3282&lt;5000,"2-Medium","3-Bulk"))</f>
        <v>1-Low</v>
      </c>
      <c r="L3282" s="0" t="str">
        <f aca="false">IF(H3282="TRUE","Out of stock","In stock")</f>
        <v>In stock</v>
      </c>
      <c r="M3282" s="0" t="str">
        <f aca="false">IF(D3282&lt;5,"1) Under 5%",IF(D3282&lt;10,"2) 5-9%",IF(D3282&lt;15,"3) 10-14%",IF(D3282&lt;25,"4) 15-24%","5) 25%+"))))</f>
        <v>3) 10-14%</v>
      </c>
      <c r="N3282" s="0" t="str">
        <f aca="false">IF(F3282&lt;50,"1) Under Rs 50",IF(F3282&lt;100,"2) Rs 50-99",IF(F3282&lt;200,"3) Rs 100-199",IF(F3282&lt;500,"4) Rs 200-499","5) Rs 500+"))))</f>
        <v>3) Rs 100-199</v>
      </c>
      <c r="O3282" s="0" t="n">
        <f aca="false">G3282*E3282/1000</f>
        <v>0.75</v>
      </c>
    </row>
    <row r="3283" customFormat="false" ht="15" hidden="false" customHeight="false" outlineLevel="0" collapsed="false">
      <c r="A3283" s="0" t="s">
        <v>119</v>
      </c>
      <c r="B3283" s="0" t="s">
        <v>1433</v>
      </c>
      <c r="C3283" s="0" t="n">
        <v>120</v>
      </c>
      <c r="D3283" s="0" t="n">
        <v>0</v>
      </c>
      <c r="E3283" s="0" t="n">
        <v>5</v>
      </c>
      <c r="F3283" s="0" t="n">
        <v>120</v>
      </c>
      <c r="G3283" s="0" t="n">
        <v>180</v>
      </c>
      <c r="H3283" s="0" t="s">
        <v>145</v>
      </c>
      <c r="I3283" s="0" t="n">
        <v>180</v>
      </c>
      <c r="J3283" s="0" t="n">
        <f aca="false">F3283*E3283</f>
        <v>600</v>
      </c>
      <c r="K3283" s="0" t="str">
        <f aca="false">IF(G3283&lt;1000,"1-Low",IF(G3283&lt;5000,"2-Medium","3-Bulk"))</f>
        <v>1-Low</v>
      </c>
      <c r="L3283" s="0" t="str">
        <f aca="false">IF(H3283="TRUE","Out of stock","In stock")</f>
        <v>In stock</v>
      </c>
      <c r="M3283" s="0" t="str">
        <f aca="false">IF(D3283&lt;5,"1) Under 5%",IF(D3283&lt;10,"2) 5-9%",IF(D3283&lt;15,"3) 10-14%",IF(D3283&lt;25,"4) 15-24%","5) 25%+"))))</f>
        <v>1) Under 5%</v>
      </c>
      <c r="N3283" s="0" t="str">
        <f aca="false">IF(F3283&lt;50,"1) Under Rs 50",IF(F3283&lt;100,"2) Rs 50-99",IF(F3283&lt;200,"3) Rs 100-199",IF(F3283&lt;500,"4) Rs 200-499","5) Rs 500+"))))</f>
        <v>3) Rs 100-199</v>
      </c>
      <c r="O3283" s="0" t="n">
        <f aca="false">G3283*E3283/1000</f>
        <v>0.9</v>
      </c>
    </row>
    <row r="3284" customFormat="false" ht="15" hidden="false" customHeight="false" outlineLevel="0" collapsed="false">
      <c r="A3284" s="0" t="s">
        <v>119</v>
      </c>
      <c r="B3284" s="0" t="s">
        <v>1434</v>
      </c>
      <c r="C3284" s="0" t="n">
        <v>30</v>
      </c>
      <c r="D3284" s="0" t="n">
        <v>0</v>
      </c>
      <c r="E3284" s="0" t="n">
        <v>2</v>
      </c>
      <c r="F3284" s="0" t="n">
        <v>30</v>
      </c>
      <c r="G3284" s="0" t="n">
        <v>406</v>
      </c>
      <c r="H3284" s="0" t="s">
        <v>145</v>
      </c>
      <c r="I3284" s="0" t="n">
        <v>7</v>
      </c>
      <c r="J3284" s="0" t="n">
        <f aca="false">F3284*E3284</f>
        <v>60</v>
      </c>
      <c r="K3284" s="0" t="str">
        <f aca="false">IF(G3284&lt;1000,"1-Low",IF(G3284&lt;5000,"2-Medium","3-Bulk"))</f>
        <v>1-Low</v>
      </c>
      <c r="L3284" s="0" t="str">
        <f aca="false">IF(H3284="TRUE","Out of stock","In stock")</f>
        <v>In stock</v>
      </c>
      <c r="M3284" s="0" t="str">
        <f aca="false">IF(D3284&lt;5,"1) Under 5%",IF(D3284&lt;10,"2) 5-9%",IF(D3284&lt;15,"3) 10-14%",IF(D3284&lt;25,"4) 15-24%","5) 25%+"))))</f>
        <v>1) Under 5%</v>
      </c>
      <c r="N3284" s="0" t="str">
        <f aca="false">IF(F3284&lt;50,"1) Under Rs 50",IF(F3284&lt;100,"2) Rs 50-99",IF(F3284&lt;200,"3) Rs 100-199",IF(F3284&lt;500,"4) Rs 200-499","5) Rs 500+"))))</f>
        <v>1) Under Rs 50</v>
      </c>
      <c r="O3284" s="0" t="n">
        <f aca="false">G3284*E3284/1000</f>
        <v>0.812</v>
      </c>
    </row>
    <row r="3285" customFormat="false" ht="15" hidden="false" customHeight="false" outlineLevel="0" collapsed="false">
      <c r="A3285" s="0" t="s">
        <v>119</v>
      </c>
      <c r="B3285" s="0" t="s">
        <v>1435</v>
      </c>
      <c r="C3285" s="0" t="n">
        <v>150</v>
      </c>
      <c r="D3285" s="0" t="n">
        <v>18</v>
      </c>
      <c r="E3285" s="0" t="n">
        <v>4</v>
      </c>
      <c r="F3285" s="0" t="n">
        <v>123</v>
      </c>
      <c r="G3285" s="0" t="n">
        <v>232</v>
      </c>
      <c r="H3285" s="0" t="s">
        <v>145</v>
      </c>
      <c r="I3285" s="0" t="n">
        <v>4</v>
      </c>
      <c r="J3285" s="0" t="n">
        <f aca="false">F3285*E3285</f>
        <v>492</v>
      </c>
      <c r="K3285" s="0" t="str">
        <f aca="false">IF(G3285&lt;1000,"1-Low",IF(G3285&lt;5000,"2-Medium","3-Bulk"))</f>
        <v>1-Low</v>
      </c>
      <c r="L3285" s="0" t="str">
        <f aca="false">IF(H3285="TRUE","Out of stock","In stock")</f>
        <v>In stock</v>
      </c>
      <c r="M3285" s="0" t="str">
        <f aca="false">IF(D3285&lt;5,"1) Under 5%",IF(D3285&lt;10,"2) 5-9%",IF(D3285&lt;15,"3) 10-14%",IF(D3285&lt;25,"4) 15-24%","5) 25%+"))))</f>
        <v>4) 15-24%</v>
      </c>
      <c r="N3285" s="0" t="str">
        <f aca="false">IF(F3285&lt;50,"1) Under Rs 50",IF(F3285&lt;100,"2) Rs 50-99",IF(F3285&lt;200,"3) Rs 100-199",IF(F3285&lt;500,"4) Rs 200-499","5) Rs 500+"))))</f>
        <v>3) Rs 100-199</v>
      </c>
      <c r="O3285" s="0" t="n">
        <f aca="false">G3285*E3285/1000</f>
        <v>0.928</v>
      </c>
    </row>
    <row r="3286" customFormat="false" ht="15" hidden="false" customHeight="false" outlineLevel="0" collapsed="false">
      <c r="A3286" s="0" t="s">
        <v>119</v>
      </c>
      <c r="B3286" s="0" t="s">
        <v>1436</v>
      </c>
      <c r="C3286" s="0" t="n">
        <v>199</v>
      </c>
      <c r="D3286" s="0" t="n">
        <v>6</v>
      </c>
      <c r="E3286" s="0" t="n">
        <v>5</v>
      </c>
      <c r="F3286" s="0" t="n">
        <v>186</v>
      </c>
      <c r="G3286" s="0" t="n">
        <v>250</v>
      </c>
      <c r="H3286" s="0" t="s">
        <v>145</v>
      </c>
      <c r="I3286" s="0" t="n">
        <v>250</v>
      </c>
      <c r="J3286" s="0" t="n">
        <f aca="false">F3286*E3286</f>
        <v>930</v>
      </c>
      <c r="K3286" s="0" t="str">
        <f aca="false">IF(G3286&lt;1000,"1-Low",IF(G3286&lt;5000,"2-Medium","3-Bulk"))</f>
        <v>1-Low</v>
      </c>
      <c r="L3286" s="0" t="str">
        <f aca="false">IF(H3286="TRUE","Out of stock","In stock")</f>
        <v>In stock</v>
      </c>
      <c r="M3286" s="0" t="str">
        <f aca="false">IF(D3286&lt;5,"1) Under 5%",IF(D3286&lt;10,"2) 5-9%",IF(D3286&lt;15,"3) 10-14%",IF(D3286&lt;25,"4) 15-24%","5) 25%+"))))</f>
        <v>2) 5-9%</v>
      </c>
      <c r="N3286" s="0" t="str">
        <f aca="false">IF(F3286&lt;50,"1) Under Rs 50",IF(F3286&lt;100,"2) Rs 50-99",IF(F3286&lt;200,"3) Rs 100-199",IF(F3286&lt;500,"4) Rs 200-499","5) Rs 500+"))))</f>
        <v>3) Rs 100-199</v>
      </c>
      <c r="O3286" s="0" t="n">
        <f aca="false">G3286*E3286/1000</f>
        <v>1.25</v>
      </c>
    </row>
    <row r="3287" customFormat="false" ht="15" hidden="false" customHeight="false" outlineLevel="0" collapsed="false">
      <c r="A3287" s="0" t="s">
        <v>119</v>
      </c>
      <c r="B3287" s="0" t="s">
        <v>1437</v>
      </c>
      <c r="C3287" s="0" t="n">
        <v>399</v>
      </c>
      <c r="D3287" s="0" t="n">
        <v>15</v>
      </c>
      <c r="E3287" s="0" t="n">
        <v>4</v>
      </c>
      <c r="F3287" s="0" t="n">
        <v>339</v>
      </c>
      <c r="G3287" s="0" t="n">
        <v>400</v>
      </c>
      <c r="H3287" s="0" t="s">
        <v>145</v>
      </c>
      <c r="I3287" s="0" t="n">
        <v>400</v>
      </c>
      <c r="J3287" s="0" t="n">
        <f aca="false">F3287*E3287</f>
        <v>1356</v>
      </c>
      <c r="K3287" s="0" t="str">
        <f aca="false">IF(G3287&lt;1000,"1-Low",IF(G3287&lt;5000,"2-Medium","3-Bulk"))</f>
        <v>1-Low</v>
      </c>
      <c r="L3287" s="0" t="str">
        <f aca="false">IF(H3287="TRUE","Out of stock","In stock")</f>
        <v>In stock</v>
      </c>
      <c r="M3287" s="0" t="str">
        <f aca="false">IF(D3287&lt;5,"1) Under 5%",IF(D3287&lt;10,"2) 5-9%",IF(D3287&lt;15,"3) 10-14%",IF(D3287&lt;25,"4) 15-24%","5) 25%+"))))</f>
        <v>4) 15-24%</v>
      </c>
      <c r="N3287" s="0" t="str">
        <f aca="false">IF(F3287&lt;50,"1) Under Rs 50",IF(F3287&lt;100,"2) Rs 50-99",IF(F3287&lt;200,"3) Rs 100-199",IF(F3287&lt;500,"4) Rs 200-499","5) Rs 500+"))))</f>
        <v>4) Rs 200-499</v>
      </c>
      <c r="O3287" s="0" t="n">
        <f aca="false">G3287*E3287/1000</f>
        <v>1.6</v>
      </c>
    </row>
    <row r="3288" customFormat="false" ht="15" hidden="false" customHeight="false" outlineLevel="0" collapsed="false">
      <c r="A3288" s="0" t="s">
        <v>119</v>
      </c>
      <c r="B3288" s="0" t="s">
        <v>1438</v>
      </c>
      <c r="C3288" s="0" t="n">
        <v>55</v>
      </c>
      <c r="D3288" s="0" t="n">
        <v>0</v>
      </c>
      <c r="E3288" s="0" t="n">
        <v>6</v>
      </c>
      <c r="F3288" s="0" t="n">
        <v>55</v>
      </c>
      <c r="G3288" s="0" t="n">
        <v>10</v>
      </c>
      <c r="H3288" s="0" t="s">
        <v>145</v>
      </c>
      <c r="I3288" s="0" t="n">
        <v>10</v>
      </c>
      <c r="J3288" s="0" t="n">
        <f aca="false">F3288*E3288</f>
        <v>330</v>
      </c>
      <c r="K3288" s="0" t="str">
        <f aca="false">IF(G3288&lt;1000,"1-Low",IF(G3288&lt;5000,"2-Medium","3-Bulk"))</f>
        <v>1-Low</v>
      </c>
      <c r="L3288" s="0" t="str">
        <f aca="false">IF(H3288="TRUE","Out of stock","In stock")</f>
        <v>In stock</v>
      </c>
      <c r="M3288" s="0" t="str">
        <f aca="false">IF(D3288&lt;5,"1) Under 5%",IF(D3288&lt;10,"2) 5-9%",IF(D3288&lt;15,"3) 10-14%",IF(D3288&lt;25,"4) 15-24%","5) 25%+"))))</f>
        <v>1) Under 5%</v>
      </c>
      <c r="N3288" s="0" t="str">
        <f aca="false">IF(F3288&lt;50,"1) Under Rs 50",IF(F3288&lt;100,"2) Rs 50-99",IF(F3288&lt;200,"3) Rs 100-199",IF(F3288&lt;500,"4) Rs 200-499","5) Rs 500+"))))</f>
        <v>2) Rs 50-99</v>
      </c>
      <c r="O3288" s="0" t="n">
        <f aca="false">G3288*E3288/1000</f>
        <v>0.06</v>
      </c>
    </row>
    <row r="3289" customFormat="false" ht="15" hidden="false" customHeight="false" outlineLevel="0" collapsed="false">
      <c r="A3289" s="0" t="s">
        <v>119</v>
      </c>
      <c r="B3289" s="0" t="s">
        <v>1439</v>
      </c>
      <c r="C3289" s="0" t="n">
        <v>230</v>
      </c>
      <c r="D3289" s="0" t="n">
        <v>18</v>
      </c>
      <c r="E3289" s="0" t="n">
        <v>1</v>
      </c>
      <c r="F3289" s="0" t="n">
        <v>188</v>
      </c>
      <c r="G3289" s="0" t="n">
        <v>400</v>
      </c>
      <c r="H3289" s="0" t="s">
        <v>145</v>
      </c>
      <c r="I3289" s="0" t="n">
        <v>400</v>
      </c>
      <c r="J3289" s="0" t="n">
        <f aca="false">F3289*E3289</f>
        <v>188</v>
      </c>
      <c r="K3289" s="0" t="str">
        <f aca="false">IF(G3289&lt;1000,"1-Low",IF(G3289&lt;5000,"2-Medium","3-Bulk"))</f>
        <v>1-Low</v>
      </c>
      <c r="L3289" s="0" t="str">
        <f aca="false">IF(H3289="TRUE","Out of stock","In stock")</f>
        <v>In stock</v>
      </c>
      <c r="M3289" s="0" t="str">
        <f aca="false">IF(D3289&lt;5,"1) Under 5%",IF(D3289&lt;10,"2) 5-9%",IF(D3289&lt;15,"3) 10-14%",IF(D3289&lt;25,"4) 15-24%","5) 25%+"))))</f>
        <v>4) 15-24%</v>
      </c>
      <c r="N3289" s="0" t="str">
        <f aca="false">IF(F3289&lt;50,"1) Under Rs 50",IF(F3289&lt;100,"2) Rs 50-99",IF(F3289&lt;200,"3) Rs 100-199",IF(F3289&lt;500,"4) Rs 200-499","5) Rs 500+"))))</f>
        <v>3) Rs 100-199</v>
      </c>
      <c r="O3289" s="0" t="n">
        <f aca="false">G3289*E3289/1000</f>
        <v>0.4</v>
      </c>
    </row>
    <row r="3290" customFormat="false" ht="15" hidden="false" customHeight="false" outlineLevel="0" collapsed="false">
      <c r="A3290" s="0" t="s">
        <v>119</v>
      </c>
      <c r="B3290" s="0" t="s">
        <v>1417</v>
      </c>
      <c r="C3290" s="0" t="n">
        <v>310</v>
      </c>
      <c r="D3290" s="0" t="n">
        <v>15</v>
      </c>
      <c r="E3290" s="0" t="n">
        <v>6</v>
      </c>
      <c r="F3290" s="0" t="n">
        <v>263</v>
      </c>
      <c r="G3290" s="0" t="n">
        <v>200</v>
      </c>
      <c r="H3290" s="0" t="s">
        <v>145</v>
      </c>
      <c r="I3290" s="0" t="n">
        <v>200</v>
      </c>
      <c r="J3290" s="0" t="n">
        <f aca="false">F3290*E3290</f>
        <v>1578</v>
      </c>
      <c r="K3290" s="0" t="str">
        <f aca="false">IF(G3290&lt;1000,"1-Low",IF(G3290&lt;5000,"2-Medium","3-Bulk"))</f>
        <v>1-Low</v>
      </c>
      <c r="L3290" s="0" t="str">
        <f aca="false">IF(H3290="TRUE","Out of stock","In stock")</f>
        <v>In stock</v>
      </c>
      <c r="M3290" s="0" t="str">
        <f aca="false">IF(D3290&lt;5,"1) Under 5%",IF(D3290&lt;10,"2) 5-9%",IF(D3290&lt;15,"3) 10-14%",IF(D3290&lt;25,"4) 15-24%","5) 25%+"))))</f>
        <v>4) 15-24%</v>
      </c>
      <c r="N3290" s="0" t="str">
        <f aca="false">IF(F3290&lt;50,"1) Under Rs 50",IF(F3290&lt;100,"2) Rs 50-99",IF(F3290&lt;200,"3) Rs 100-199",IF(F3290&lt;500,"4) Rs 200-499","5) Rs 500+"))))</f>
        <v>4) Rs 200-499</v>
      </c>
      <c r="O3290" s="0" t="n">
        <f aca="false">G3290*E3290/1000</f>
        <v>1.2</v>
      </c>
    </row>
    <row r="3291" customFormat="false" ht="15" hidden="false" customHeight="false" outlineLevel="0" collapsed="false">
      <c r="A3291" s="0" t="s">
        <v>119</v>
      </c>
      <c r="B3291" s="0" t="s">
        <v>1440</v>
      </c>
      <c r="C3291" s="0" t="n">
        <v>200</v>
      </c>
      <c r="D3291" s="0" t="n">
        <v>10</v>
      </c>
      <c r="E3291" s="0" t="n">
        <v>6</v>
      </c>
      <c r="F3291" s="0" t="n">
        <v>180</v>
      </c>
      <c r="G3291" s="0" t="n">
        <v>120</v>
      </c>
      <c r="H3291" s="0" t="s">
        <v>145</v>
      </c>
      <c r="I3291" s="0" t="n">
        <v>120</v>
      </c>
      <c r="J3291" s="0" t="n">
        <f aca="false">F3291*E3291</f>
        <v>1080</v>
      </c>
      <c r="K3291" s="0" t="str">
        <f aca="false">IF(G3291&lt;1000,"1-Low",IF(G3291&lt;5000,"2-Medium","3-Bulk"))</f>
        <v>1-Low</v>
      </c>
      <c r="L3291" s="0" t="str">
        <f aca="false">IF(H3291="TRUE","Out of stock","In stock")</f>
        <v>In stock</v>
      </c>
      <c r="M3291" s="0" t="str">
        <f aca="false">IF(D3291&lt;5,"1) Under 5%",IF(D3291&lt;10,"2) 5-9%",IF(D3291&lt;15,"3) 10-14%",IF(D3291&lt;25,"4) 15-24%","5) 25%+"))))</f>
        <v>3) 10-14%</v>
      </c>
      <c r="N3291" s="0" t="str">
        <f aca="false">IF(F3291&lt;50,"1) Under Rs 50",IF(F3291&lt;100,"2) Rs 50-99",IF(F3291&lt;200,"3) Rs 100-199",IF(F3291&lt;500,"4) Rs 200-499","5) Rs 500+"))))</f>
        <v>3) Rs 100-199</v>
      </c>
      <c r="O3291" s="0" t="n">
        <f aca="false">G3291*E3291/1000</f>
        <v>0.72</v>
      </c>
    </row>
    <row r="3292" customFormat="false" ht="15" hidden="false" customHeight="false" outlineLevel="0" collapsed="false">
      <c r="A3292" s="0" t="s">
        <v>119</v>
      </c>
      <c r="B3292" s="0" t="s">
        <v>1406</v>
      </c>
      <c r="C3292" s="0" t="n">
        <v>150</v>
      </c>
      <c r="D3292" s="0" t="n">
        <v>10</v>
      </c>
      <c r="E3292" s="0" t="n">
        <v>6</v>
      </c>
      <c r="F3292" s="0" t="n">
        <v>135</v>
      </c>
      <c r="G3292" s="0" t="n">
        <v>250</v>
      </c>
      <c r="H3292" s="0" t="s">
        <v>145</v>
      </c>
      <c r="I3292" s="0" t="n">
        <v>250</v>
      </c>
      <c r="J3292" s="0" t="n">
        <f aca="false">F3292*E3292</f>
        <v>810</v>
      </c>
      <c r="K3292" s="0" t="str">
        <f aca="false">IF(G3292&lt;1000,"1-Low",IF(G3292&lt;5000,"2-Medium","3-Bulk"))</f>
        <v>1-Low</v>
      </c>
      <c r="L3292" s="0" t="str">
        <f aca="false">IF(H3292="TRUE","Out of stock","In stock")</f>
        <v>In stock</v>
      </c>
      <c r="M3292" s="0" t="str">
        <f aca="false">IF(D3292&lt;5,"1) Under 5%",IF(D3292&lt;10,"2) 5-9%",IF(D3292&lt;15,"3) 10-14%",IF(D3292&lt;25,"4) 15-24%","5) 25%+"))))</f>
        <v>3) 10-14%</v>
      </c>
      <c r="N3292" s="0" t="str">
        <f aca="false">IF(F3292&lt;50,"1) Under Rs 50",IF(F3292&lt;100,"2) Rs 50-99",IF(F3292&lt;200,"3) Rs 100-199",IF(F3292&lt;500,"4) Rs 200-499","5) Rs 500+"))))</f>
        <v>3) Rs 100-199</v>
      </c>
      <c r="O3292" s="0" t="n">
        <f aca="false">G3292*E3292/1000</f>
        <v>1.5</v>
      </c>
    </row>
    <row r="3293" customFormat="false" ht="15" hidden="false" customHeight="false" outlineLevel="0" collapsed="false">
      <c r="A3293" s="0" t="s">
        <v>119</v>
      </c>
      <c r="B3293" s="0" t="s">
        <v>1441</v>
      </c>
      <c r="C3293" s="0" t="n">
        <v>349</v>
      </c>
      <c r="D3293" s="0" t="n">
        <v>10</v>
      </c>
      <c r="E3293" s="0" t="n">
        <v>1</v>
      </c>
      <c r="F3293" s="0" t="n">
        <v>314</v>
      </c>
      <c r="G3293" s="0" t="n">
        <v>100</v>
      </c>
      <c r="H3293" s="0" t="s">
        <v>145</v>
      </c>
      <c r="I3293" s="0" t="n">
        <v>100</v>
      </c>
      <c r="J3293" s="0" t="n">
        <f aca="false">F3293*E3293</f>
        <v>314</v>
      </c>
      <c r="K3293" s="0" t="str">
        <f aca="false">IF(G3293&lt;1000,"1-Low",IF(G3293&lt;5000,"2-Medium","3-Bulk"))</f>
        <v>1-Low</v>
      </c>
      <c r="L3293" s="0" t="str">
        <f aca="false">IF(H3293="TRUE","Out of stock","In stock")</f>
        <v>In stock</v>
      </c>
      <c r="M3293" s="0" t="str">
        <f aca="false">IF(D3293&lt;5,"1) Under 5%",IF(D3293&lt;10,"2) 5-9%",IF(D3293&lt;15,"3) 10-14%",IF(D3293&lt;25,"4) 15-24%","5) 25%+"))))</f>
        <v>3) 10-14%</v>
      </c>
      <c r="N3293" s="0" t="str">
        <f aca="false">IF(F3293&lt;50,"1) Under Rs 50",IF(F3293&lt;100,"2) Rs 50-99",IF(F3293&lt;200,"3) Rs 100-199",IF(F3293&lt;500,"4) Rs 200-499","5) Rs 500+"))))</f>
        <v>4) Rs 200-499</v>
      </c>
      <c r="O3293" s="0" t="n">
        <f aca="false">G3293*E3293/1000</f>
        <v>0.1</v>
      </c>
    </row>
    <row r="3294" customFormat="false" ht="15" hidden="false" customHeight="false" outlineLevel="0" collapsed="false">
      <c r="A3294" s="0" t="s">
        <v>119</v>
      </c>
      <c r="B3294" s="0" t="s">
        <v>1442</v>
      </c>
      <c r="C3294" s="0" t="n">
        <v>270</v>
      </c>
      <c r="D3294" s="0" t="n">
        <v>15</v>
      </c>
      <c r="E3294" s="0" t="n">
        <v>6</v>
      </c>
      <c r="F3294" s="0" t="n">
        <v>229</v>
      </c>
      <c r="G3294" s="0" t="n">
        <v>300</v>
      </c>
      <c r="H3294" s="0" t="s">
        <v>145</v>
      </c>
      <c r="I3294" s="0" t="n">
        <v>300</v>
      </c>
      <c r="J3294" s="0" t="n">
        <f aca="false">F3294*E3294</f>
        <v>1374</v>
      </c>
      <c r="K3294" s="0" t="str">
        <f aca="false">IF(G3294&lt;1000,"1-Low",IF(G3294&lt;5000,"2-Medium","3-Bulk"))</f>
        <v>1-Low</v>
      </c>
      <c r="L3294" s="0" t="str">
        <f aca="false">IF(H3294="TRUE","Out of stock","In stock")</f>
        <v>In stock</v>
      </c>
      <c r="M3294" s="0" t="str">
        <f aca="false">IF(D3294&lt;5,"1) Under 5%",IF(D3294&lt;10,"2) 5-9%",IF(D3294&lt;15,"3) 10-14%",IF(D3294&lt;25,"4) 15-24%","5) 25%+"))))</f>
        <v>4) 15-24%</v>
      </c>
      <c r="N3294" s="0" t="str">
        <f aca="false">IF(F3294&lt;50,"1) Under Rs 50",IF(F3294&lt;100,"2) Rs 50-99",IF(F3294&lt;200,"3) Rs 100-199",IF(F3294&lt;500,"4) Rs 200-499","5) Rs 500+"))))</f>
        <v>4) Rs 200-499</v>
      </c>
      <c r="O3294" s="0" t="n">
        <f aca="false">G3294*E3294/1000</f>
        <v>1.8</v>
      </c>
    </row>
    <row r="3295" customFormat="false" ht="15" hidden="false" customHeight="false" outlineLevel="0" collapsed="false">
      <c r="A3295" s="0" t="s">
        <v>119</v>
      </c>
      <c r="B3295" s="0" t="s">
        <v>1443</v>
      </c>
      <c r="C3295" s="0" t="n">
        <v>165</v>
      </c>
      <c r="D3295" s="0" t="n">
        <v>0</v>
      </c>
      <c r="E3295" s="0" t="n">
        <v>4</v>
      </c>
      <c r="F3295" s="0" t="n">
        <v>165</v>
      </c>
      <c r="G3295" s="0" t="n">
        <v>210</v>
      </c>
      <c r="H3295" s="0" t="s">
        <v>145</v>
      </c>
      <c r="I3295" s="0" t="n">
        <v>210</v>
      </c>
      <c r="J3295" s="0" t="n">
        <f aca="false">F3295*E3295</f>
        <v>660</v>
      </c>
      <c r="K3295" s="0" t="str">
        <f aca="false">IF(G3295&lt;1000,"1-Low",IF(G3295&lt;5000,"2-Medium","3-Bulk"))</f>
        <v>1-Low</v>
      </c>
      <c r="L3295" s="0" t="str">
        <f aca="false">IF(H3295="TRUE","Out of stock","In stock")</f>
        <v>In stock</v>
      </c>
      <c r="M3295" s="0" t="str">
        <f aca="false">IF(D3295&lt;5,"1) Under 5%",IF(D3295&lt;10,"2) 5-9%",IF(D3295&lt;15,"3) 10-14%",IF(D3295&lt;25,"4) 15-24%","5) 25%+"))))</f>
        <v>1) Under 5%</v>
      </c>
      <c r="N3295" s="0" t="str">
        <f aca="false">IF(F3295&lt;50,"1) Under Rs 50",IF(F3295&lt;100,"2) Rs 50-99",IF(F3295&lt;200,"3) Rs 100-199",IF(F3295&lt;500,"4) Rs 200-499","5) Rs 500+"))))</f>
        <v>3) Rs 100-199</v>
      </c>
      <c r="O3295" s="0" t="n">
        <f aca="false">G3295*E3295/1000</f>
        <v>0.84</v>
      </c>
    </row>
    <row r="3296" customFormat="false" ht="15" hidden="false" customHeight="false" outlineLevel="0" collapsed="false">
      <c r="A3296" s="0" t="s">
        <v>119</v>
      </c>
      <c r="B3296" s="0" t="s">
        <v>1444</v>
      </c>
      <c r="C3296" s="0" t="n">
        <v>249</v>
      </c>
      <c r="D3296" s="0" t="n">
        <v>0</v>
      </c>
      <c r="E3296" s="0" t="n">
        <v>6</v>
      </c>
      <c r="F3296" s="0" t="n">
        <v>249</v>
      </c>
      <c r="G3296" s="0" t="n">
        <v>116</v>
      </c>
      <c r="H3296" s="0" t="s">
        <v>145</v>
      </c>
      <c r="I3296" s="0" t="n">
        <v>2</v>
      </c>
      <c r="J3296" s="0" t="n">
        <f aca="false">F3296*E3296</f>
        <v>1494</v>
      </c>
      <c r="K3296" s="0" t="str">
        <f aca="false">IF(G3296&lt;1000,"1-Low",IF(G3296&lt;5000,"2-Medium","3-Bulk"))</f>
        <v>1-Low</v>
      </c>
      <c r="L3296" s="0" t="str">
        <f aca="false">IF(H3296="TRUE","Out of stock","In stock")</f>
        <v>In stock</v>
      </c>
      <c r="M3296" s="0" t="str">
        <f aca="false">IF(D3296&lt;5,"1) Under 5%",IF(D3296&lt;10,"2) 5-9%",IF(D3296&lt;15,"3) 10-14%",IF(D3296&lt;25,"4) 15-24%","5) 25%+"))))</f>
        <v>1) Under 5%</v>
      </c>
      <c r="N3296" s="0" t="str">
        <f aca="false">IF(F3296&lt;50,"1) Under Rs 50",IF(F3296&lt;100,"2) Rs 50-99",IF(F3296&lt;200,"3) Rs 100-199",IF(F3296&lt;500,"4) Rs 200-499","5) Rs 500+"))))</f>
        <v>4) Rs 200-499</v>
      </c>
      <c r="O3296" s="0" t="n">
        <f aca="false">G3296*E3296/1000</f>
        <v>0.696</v>
      </c>
    </row>
    <row r="3297" customFormat="false" ht="15" hidden="false" customHeight="false" outlineLevel="0" collapsed="false">
      <c r="A3297" s="0" t="s">
        <v>119</v>
      </c>
      <c r="B3297" s="0" t="s">
        <v>1445</v>
      </c>
      <c r="C3297" s="0" t="n">
        <v>185</v>
      </c>
      <c r="D3297" s="0" t="n">
        <v>0</v>
      </c>
      <c r="E3297" s="0" t="n">
        <v>2</v>
      </c>
      <c r="F3297" s="0" t="n">
        <v>185</v>
      </c>
      <c r="G3297" s="0" t="n">
        <v>100</v>
      </c>
      <c r="H3297" s="0" t="s">
        <v>145</v>
      </c>
      <c r="I3297" s="0" t="n">
        <v>100</v>
      </c>
      <c r="J3297" s="0" t="n">
        <f aca="false">F3297*E3297</f>
        <v>370</v>
      </c>
      <c r="K3297" s="0" t="str">
        <f aca="false">IF(G3297&lt;1000,"1-Low",IF(G3297&lt;5000,"2-Medium","3-Bulk"))</f>
        <v>1-Low</v>
      </c>
      <c r="L3297" s="0" t="str">
        <f aca="false">IF(H3297="TRUE","Out of stock","In stock")</f>
        <v>In stock</v>
      </c>
      <c r="M3297" s="0" t="str">
        <f aca="false">IF(D3297&lt;5,"1) Under 5%",IF(D3297&lt;10,"2) 5-9%",IF(D3297&lt;15,"3) 10-14%",IF(D3297&lt;25,"4) 15-24%","5) 25%+"))))</f>
        <v>1) Under 5%</v>
      </c>
      <c r="N3297" s="0" t="str">
        <f aca="false">IF(F3297&lt;50,"1) Under Rs 50",IF(F3297&lt;100,"2) Rs 50-99",IF(F3297&lt;200,"3) Rs 100-199",IF(F3297&lt;500,"4) Rs 200-499","5) Rs 500+"))))</f>
        <v>3) Rs 100-199</v>
      </c>
      <c r="O3297" s="0" t="n">
        <f aca="false">G3297*E3297/1000</f>
        <v>0.2</v>
      </c>
    </row>
    <row r="3298" customFormat="false" ht="15" hidden="false" customHeight="false" outlineLevel="0" collapsed="false">
      <c r="A3298" s="0" t="s">
        <v>119</v>
      </c>
      <c r="B3298" s="0" t="s">
        <v>1446</v>
      </c>
      <c r="C3298" s="0" t="n">
        <v>150</v>
      </c>
      <c r="D3298" s="0" t="n">
        <v>0</v>
      </c>
      <c r="E3298" s="0" t="n">
        <v>6</v>
      </c>
      <c r="F3298" s="0" t="n">
        <v>150</v>
      </c>
      <c r="G3298" s="0" t="n">
        <v>100</v>
      </c>
      <c r="H3298" s="0" t="s">
        <v>145</v>
      </c>
      <c r="I3298" s="0" t="n">
        <v>100</v>
      </c>
      <c r="J3298" s="0" t="n">
        <f aca="false">F3298*E3298</f>
        <v>900</v>
      </c>
      <c r="K3298" s="0" t="str">
        <f aca="false">IF(G3298&lt;1000,"1-Low",IF(G3298&lt;5000,"2-Medium","3-Bulk"))</f>
        <v>1-Low</v>
      </c>
      <c r="L3298" s="0" t="str">
        <f aca="false">IF(H3298="TRUE","Out of stock","In stock")</f>
        <v>In stock</v>
      </c>
      <c r="M3298" s="0" t="str">
        <f aca="false">IF(D3298&lt;5,"1) Under 5%",IF(D3298&lt;10,"2) 5-9%",IF(D3298&lt;15,"3) 10-14%",IF(D3298&lt;25,"4) 15-24%","5) 25%+"))))</f>
        <v>1) Under 5%</v>
      </c>
      <c r="N3298" s="0" t="str">
        <f aca="false">IF(F3298&lt;50,"1) Under Rs 50",IF(F3298&lt;100,"2) Rs 50-99",IF(F3298&lt;200,"3) Rs 100-199",IF(F3298&lt;500,"4) Rs 200-499","5) Rs 500+"))))</f>
        <v>3) Rs 100-199</v>
      </c>
      <c r="O3298" s="0" t="n">
        <f aca="false">G3298*E3298/1000</f>
        <v>0.6</v>
      </c>
    </row>
    <row r="3299" customFormat="false" ht="15" hidden="false" customHeight="false" outlineLevel="0" collapsed="false">
      <c r="A3299" s="0" t="s">
        <v>119</v>
      </c>
      <c r="B3299" s="0" t="s">
        <v>1391</v>
      </c>
      <c r="C3299" s="0" t="n">
        <v>105</v>
      </c>
      <c r="D3299" s="0" t="n">
        <v>0</v>
      </c>
      <c r="E3299" s="0" t="n">
        <v>6</v>
      </c>
      <c r="F3299" s="0" t="n">
        <v>105</v>
      </c>
      <c r="G3299" s="0" t="n">
        <v>150</v>
      </c>
      <c r="H3299" s="0" t="s">
        <v>145</v>
      </c>
      <c r="I3299" s="0" t="n">
        <v>150</v>
      </c>
      <c r="J3299" s="0" t="n">
        <f aca="false">F3299*E3299</f>
        <v>630</v>
      </c>
      <c r="K3299" s="0" t="str">
        <f aca="false">IF(G3299&lt;1000,"1-Low",IF(G3299&lt;5000,"2-Medium","3-Bulk"))</f>
        <v>1-Low</v>
      </c>
      <c r="L3299" s="0" t="str">
        <f aca="false">IF(H3299="TRUE","Out of stock","In stock")</f>
        <v>In stock</v>
      </c>
      <c r="M3299" s="0" t="str">
        <f aca="false">IF(D3299&lt;5,"1) Under 5%",IF(D3299&lt;10,"2) 5-9%",IF(D3299&lt;15,"3) 10-14%",IF(D3299&lt;25,"4) 15-24%","5) 25%+"))))</f>
        <v>1) Under 5%</v>
      </c>
      <c r="N3299" s="0" t="str">
        <f aca="false">IF(F3299&lt;50,"1) Under Rs 50",IF(F3299&lt;100,"2) Rs 50-99",IF(F3299&lt;200,"3) Rs 100-199",IF(F3299&lt;500,"4) Rs 200-499","5) Rs 500+"))))</f>
        <v>3) Rs 100-199</v>
      </c>
      <c r="O3299" s="0" t="n">
        <f aca="false">G3299*E3299/1000</f>
        <v>0.9</v>
      </c>
    </row>
    <row r="3300" customFormat="false" ht="15" hidden="false" customHeight="false" outlineLevel="0" collapsed="false">
      <c r="A3300" s="0" t="s">
        <v>119</v>
      </c>
      <c r="B3300" s="0" t="s">
        <v>1447</v>
      </c>
      <c r="C3300" s="0" t="n">
        <v>320</v>
      </c>
      <c r="D3300" s="0" t="n">
        <v>17</v>
      </c>
      <c r="E3300" s="0" t="n">
        <v>6</v>
      </c>
      <c r="F3300" s="0" t="n">
        <v>265</v>
      </c>
      <c r="G3300" s="0" t="n">
        <v>400</v>
      </c>
      <c r="H3300" s="0" t="s">
        <v>145</v>
      </c>
      <c r="I3300" s="0" t="n">
        <v>400</v>
      </c>
      <c r="J3300" s="0" t="n">
        <f aca="false">F3300*E3300</f>
        <v>1590</v>
      </c>
      <c r="K3300" s="0" t="str">
        <f aca="false">IF(G3300&lt;1000,"1-Low",IF(G3300&lt;5000,"2-Medium","3-Bulk"))</f>
        <v>1-Low</v>
      </c>
      <c r="L3300" s="0" t="str">
        <f aca="false">IF(H3300="TRUE","Out of stock","In stock")</f>
        <v>In stock</v>
      </c>
      <c r="M3300" s="0" t="str">
        <f aca="false">IF(D3300&lt;5,"1) Under 5%",IF(D3300&lt;10,"2) 5-9%",IF(D3300&lt;15,"3) 10-14%",IF(D3300&lt;25,"4) 15-24%","5) 25%+"))))</f>
        <v>4) 15-24%</v>
      </c>
      <c r="N3300" s="0" t="str">
        <f aca="false">IF(F3300&lt;50,"1) Under Rs 50",IF(F3300&lt;100,"2) Rs 50-99",IF(F3300&lt;200,"3) Rs 100-199",IF(F3300&lt;500,"4) Rs 200-499","5) Rs 500+"))))</f>
        <v>4) Rs 200-499</v>
      </c>
      <c r="O3300" s="0" t="n">
        <f aca="false">G3300*E3300/1000</f>
        <v>2.4</v>
      </c>
    </row>
    <row r="3301" customFormat="false" ht="15" hidden="false" customHeight="false" outlineLevel="0" collapsed="false">
      <c r="A3301" s="0" t="s">
        <v>119</v>
      </c>
      <c r="B3301" s="0" t="s">
        <v>1448</v>
      </c>
      <c r="C3301" s="0" t="n">
        <v>550</v>
      </c>
      <c r="D3301" s="0" t="n">
        <v>0</v>
      </c>
      <c r="E3301" s="0" t="n">
        <v>3</v>
      </c>
      <c r="F3301" s="0" t="n">
        <v>550</v>
      </c>
      <c r="G3301" s="0" t="n">
        <v>88</v>
      </c>
      <c r="H3301" s="0" t="s">
        <v>145</v>
      </c>
      <c r="I3301" s="0" t="n">
        <v>87</v>
      </c>
      <c r="J3301" s="0" t="n">
        <f aca="false">F3301*E3301</f>
        <v>1650</v>
      </c>
      <c r="K3301" s="0" t="str">
        <f aca="false">IF(G3301&lt;1000,"1-Low",IF(G3301&lt;5000,"2-Medium","3-Bulk"))</f>
        <v>1-Low</v>
      </c>
      <c r="L3301" s="0" t="str">
        <f aca="false">IF(H3301="TRUE","Out of stock","In stock")</f>
        <v>In stock</v>
      </c>
      <c r="M3301" s="0" t="str">
        <f aca="false">IF(D3301&lt;5,"1) Under 5%",IF(D3301&lt;10,"2) 5-9%",IF(D3301&lt;15,"3) 10-14%",IF(D3301&lt;25,"4) 15-24%","5) 25%+"))))</f>
        <v>1) Under 5%</v>
      </c>
      <c r="N3301" s="0" t="str">
        <f aca="false">IF(F3301&lt;50,"1) Under Rs 50",IF(F3301&lt;100,"2) Rs 50-99",IF(F3301&lt;200,"3) Rs 100-199",IF(F3301&lt;500,"4) Rs 200-499","5) Rs 500+"))))</f>
        <v>5) Rs 500+</v>
      </c>
      <c r="O3301" s="0" t="n">
        <f aca="false">G3301*E3301/1000</f>
        <v>0.264</v>
      </c>
    </row>
    <row r="3302" customFormat="false" ht="15" hidden="false" customHeight="false" outlineLevel="0" collapsed="false">
      <c r="A3302" s="0" t="s">
        <v>119</v>
      </c>
      <c r="B3302" s="0" t="s">
        <v>1449</v>
      </c>
      <c r="C3302" s="0" t="n">
        <v>190</v>
      </c>
      <c r="D3302" s="0" t="n">
        <v>11</v>
      </c>
      <c r="E3302" s="0" t="n">
        <v>6</v>
      </c>
      <c r="F3302" s="0" t="n">
        <v>169</v>
      </c>
      <c r="G3302" s="0" t="n">
        <v>150</v>
      </c>
      <c r="H3302" s="0" t="s">
        <v>145</v>
      </c>
      <c r="I3302" s="0" t="n">
        <v>150</v>
      </c>
      <c r="J3302" s="0" t="n">
        <f aca="false">F3302*E3302</f>
        <v>1014</v>
      </c>
      <c r="K3302" s="0" t="str">
        <f aca="false">IF(G3302&lt;1000,"1-Low",IF(G3302&lt;5000,"2-Medium","3-Bulk"))</f>
        <v>1-Low</v>
      </c>
      <c r="L3302" s="0" t="str">
        <f aca="false">IF(H3302="TRUE","Out of stock","In stock")</f>
        <v>In stock</v>
      </c>
      <c r="M3302" s="0" t="str">
        <f aca="false">IF(D3302&lt;5,"1) Under 5%",IF(D3302&lt;10,"2) 5-9%",IF(D3302&lt;15,"3) 10-14%",IF(D3302&lt;25,"4) 15-24%","5) 25%+"))))</f>
        <v>3) 10-14%</v>
      </c>
      <c r="N3302" s="0" t="str">
        <f aca="false">IF(F3302&lt;50,"1) Under Rs 50",IF(F3302&lt;100,"2) Rs 50-99",IF(F3302&lt;200,"3) Rs 100-199",IF(F3302&lt;500,"4) Rs 200-499","5) Rs 500+"))))</f>
        <v>3) Rs 100-199</v>
      </c>
      <c r="O3302" s="0" t="n">
        <f aca="false">G3302*E3302/1000</f>
        <v>0.9</v>
      </c>
    </row>
    <row r="3303" customFormat="false" ht="15" hidden="false" customHeight="false" outlineLevel="0" collapsed="false">
      <c r="A3303" s="0" t="s">
        <v>119</v>
      </c>
      <c r="B3303" s="0" t="s">
        <v>1450</v>
      </c>
      <c r="C3303" s="0" t="n">
        <v>140</v>
      </c>
      <c r="D3303" s="0" t="n">
        <v>10</v>
      </c>
      <c r="E3303" s="0" t="n">
        <v>4</v>
      </c>
      <c r="F3303" s="0" t="n">
        <v>126</v>
      </c>
      <c r="G3303" s="0" t="n">
        <v>100</v>
      </c>
      <c r="H3303" s="0" t="s">
        <v>145</v>
      </c>
      <c r="I3303" s="0" t="n">
        <v>100</v>
      </c>
      <c r="J3303" s="0" t="n">
        <f aca="false">F3303*E3303</f>
        <v>504</v>
      </c>
      <c r="K3303" s="0" t="str">
        <f aca="false">IF(G3303&lt;1000,"1-Low",IF(G3303&lt;5000,"2-Medium","3-Bulk"))</f>
        <v>1-Low</v>
      </c>
      <c r="L3303" s="0" t="str">
        <f aca="false">IF(H3303="TRUE","Out of stock","In stock")</f>
        <v>In stock</v>
      </c>
      <c r="M3303" s="0" t="str">
        <f aca="false">IF(D3303&lt;5,"1) Under 5%",IF(D3303&lt;10,"2) 5-9%",IF(D3303&lt;15,"3) 10-14%",IF(D3303&lt;25,"4) 15-24%","5) 25%+"))))</f>
        <v>3) 10-14%</v>
      </c>
      <c r="N3303" s="0" t="str">
        <f aca="false">IF(F3303&lt;50,"1) Under Rs 50",IF(F3303&lt;100,"2) Rs 50-99",IF(F3303&lt;200,"3) Rs 100-199",IF(F3303&lt;500,"4) Rs 200-499","5) Rs 500+"))))</f>
        <v>3) Rs 100-199</v>
      </c>
      <c r="O3303" s="0" t="n">
        <f aca="false">G3303*E3303/1000</f>
        <v>0.4</v>
      </c>
    </row>
    <row r="3304" customFormat="false" ht="15" hidden="false" customHeight="false" outlineLevel="0" collapsed="false">
      <c r="A3304" s="0" t="s">
        <v>119</v>
      </c>
      <c r="B3304" s="0" t="s">
        <v>1451</v>
      </c>
      <c r="C3304" s="0" t="n">
        <v>75</v>
      </c>
      <c r="D3304" s="0" t="n">
        <v>5</v>
      </c>
      <c r="E3304" s="0" t="n">
        <v>6</v>
      </c>
      <c r="F3304" s="0" t="n">
        <v>71</v>
      </c>
      <c r="G3304" s="0" t="n">
        <v>78</v>
      </c>
      <c r="H3304" s="0" t="s">
        <v>145</v>
      </c>
      <c r="I3304" s="0" t="n">
        <v>78</v>
      </c>
      <c r="J3304" s="0" t="n">
        <f aca="false">F3304*E3304</f>
        <v>426</v>
      </c>
      <c r="K3304" s="0" t="str">
        <f aca="false">IF(G3304&lt;1000,"1-Low",IF(G3304&lt;5000,"2-Medium","3-Bulk"))</f>
        <v>1-Low</v>
      </c>
      <c r="L3304" s="0" t="str">
        <f aca="false">IF(H3304="TRUE","Out of stock","In stock")</f>
        <v>In stock</v>
      </c>
      <c r="M3304" s="0" t="str">
        <f aca="false">IF(D3304&lt;5,"1) Under 5%",IF(D3304&lt;10,"2) 5-9%",IF(D3304&lt;15,"3) 10-14%",IF(D3304&lt;25,"4) 15-24%","5) 25%+"))))</f>
        <v>2) 5-9%</v>
      </c>
      <c r="N3304" s="0" t="str">
        <f aca="false">IF(F3304&lt;50,"1) Under Rs 50",IF(F3304&lt;100,"2) Rs 50-99",IF(F3304&lt;200,"3) Rs 100-199",IF(F3304&lt;500,"4) Rs 200-499","5) Rs 500+"))))</f>
        <v>2) Rs 50-99</v>
      </c>
      <c r="O3304" s="0" t="n">
        <f aca="false">G3304*E3304/1000</f>
        <v>0.468</v>
      </c>
    </row>
    <row r="3305" customFormat="false" ht="15" hidden="false" customHeight="false" outlineLevel="0" collapsed="false">
      <c r="A3305" s="0" t="s">
        <v>119</v>
      </c>
      <c r="B3305" s="0" t="s">
        <v>1452</v>
      </c>
      <c r="C3305" s="0" t="n">
        <v>199</v>
      </c>
      <c r="D3305" s="0" t="n">
        <v>0</v>
      </c>
      <c r="E3305" s="0" t="n">
        <v>4</v>
      </c>
      <c r="F3305" s="0" t="n">
        <v>199</v>
      </c>
      <c r="G3305" s="0" t="n">
        <v>196</v>
      </c>
      <c r="H3305" s="0" t="s">
        <v>145</v>
      </c>
      <c r="I3305" s="0" t="n">
        <v>196</v>
      </c>
      <c r="J3305" s="0" t="n">
        <f aca="false">F3305*E3305</f>
        <v>796</v>
      </c>
      <c r="K3305" s="0" t="str">
        <f aca="false">IF(G3305&lt;1000,"1-Low",IF(G3305&lt;5000,"2-Medium","3-Bulk"))</f>
        <v>1-Low</v>
      </c>
      <c r="L3305" s="0" t="str">
        <f aca="false">IF(H3305="TRUE","Out of stock","In stock")</f>
        <v>In stock</v>
      </c>
      <c r="M3305" s="0" t="str">
        <f aca="false">IF(D3305&lt;5,"1) Under 5%",IF(D3305&lt;10,"2) 5-9%",IF(D3305&lt;15,"3) 10-14%",IF(D3305&lt;25,"4) 15-24%","5) 25%+"))))</f>
        <v>1) Under 5%</v>
      </c>
      <c r="N3305" s="0" t="str">
        <f aca="false">IF(F3305&lt;50,"1) Under Rs 50",IF(F3305&lt;100,"2) Rs 50-99",IF(F3305&lt;200,"3) Rs 100-199",IF(F3305&lt;500,"4) Rs 200-499","5) Rs 500+"))))</f>
        <v>3) Rs 100-199</v>
      </c>
      <c r="O3305" s="0" t="n">
        <f aca="false">G3305*E3305/1000</f>
        <v>0.784</v>
      </c>
    </row>
    <row r="3306" customFormat="false" ht="15" hidden="false" customHeight="false" outlineLevel="0" collapsed="false">
      <c r="A3306" s="0" t="s">
        <v>119</v>
      </c>
      <c r="B3306" s="0" t="s">
        <v>1413</v>
      </c>
      <c r="C3306" s="0" t="n">
        <v>190</v>
      </c>
      <c r="D3306" s="0" t="n">
        <v>0</v>
      </c>
      <c r="E3306" s="0" t="n">
        <v>6</v>
      </c>
      <c r="F3306" s="0" t="n">
        <v>190</v>
      </c>
      <c r="G3306" s="0" t="n">
        <v>175</v>
      </c>
      <c r="H3306" s="0" t="s">
        <v>145</v>
      </c>
      <c r="I3306" s="0" t="n">
        <v>180</v>
      </c>
      <c r="J3306" s="0" t="n">
        <f aca="false">F3306*E3306</f>
        <v>1140</v>
      </c>
      <c r="K3306" s="0" t="str">
        <f aca="false">IF(G3306&lt;1000,"1-Low",IF(G3306&lt;5000,"2-Medium","3-Bulk"))</f>
        <v>1-Low</v>
      </c>
      <c r="L3306" s="0" t="str">
        <f aca="false">IF(H3306="TRUE","Out of stock","In stock")</f>
        <v>In stock</v>
      </c>
      <c r="M3306" s="0" t="str">
        <f aca="false">IF(D3306&lt;5,"1) Under 5%",IF(D3306&lt;10,"2) 5-9%",IF(D3306&lt;15,"3) 10-14%",IF(D3306&lt;25,"4) 15-24%","5) 25%+"))))</f>
        <v>1) Under 5%</v>
      </c>
      <c r="N3306" s="0" t="str">
        <f aca="false">IF(F3306&lt;50,"1) Under Rs 50",IF(F3306&lt;100,"2) Rs 50-99",IF(F3306&lt;200,"3) Rs 100-199",IF(F3306&lt;500,"4) Rs 200-499","5) Rs 500+"))))</f>
        <v>3) Rs 100-199</v>
      </c>
      <c r="O3306" s="0" t="n">
        <f aca="false">G3306*E3306/1000</f>
        <v>1.05</v>
      </c>
    </row>
    <row r="3307" customFormat="false" ht="15" hidden="false" customHeight="false" outlineLevel="0" collapsed="false">
      <c r="A3307" s="0" t="s">
        <v>119</v>
      </c>
      <c r="B3307" s="0" t="s">
        <v>1453</v>
      </c>
      <c r="C3307" s="0" t="n">
        <v>180</v>
      </c>
      <c r="D3307" s="0" t="n">
        <v>0</v>
      </c>
      <c r="E3307" s="0" t="n">
        <v>6</v>
      </c>
      <c r="F3307" s="0" t="n">
        <v>180</v>
      </c>
      <c r="G3307" s="0" t="n">
        <v>200</v>
      </c>
      <c r="H3307" s="0" t="s">
        <v>145</v>
      </c>
      <c r="I3307" s="0" t="n">
        <v>200</v>
      </c>
      <c r="J3307" s="0" t="n">
        <f aca="false">F3307*E3307</f>
        <v>1080</v>
      </c>
      <c r="K3307" s="0" t="str">
        <f aca="false">IF(G3307&lt;1000,"1-Low",IF(G3307&lt;5000,"2-Medium","3-Bulk"))</f>
        <v>1-Low</v>
      </c>
      <c r="L3307" s="0" t="str">
        <f aca="false">IF(H3307="TRUE","Out of stock","In stock")</f>
        <v>In stock</v>
      </c>
      <c r="M3307" s="0" t="str">
        <f aca="false">IF(D3307&lt;5,"1) Under 5%",IF(D3307&lt;10,"2) 5-9%",IF(D3307&lt;15,"3) 10-14%",IF(D3307&lt;25,"4) 15-24%","5) 25%+"))))</f>
        <v>1) Under 5%</v>
      </c>
      <c r="N3307" s="0" t="str">
        <f aca="false">IF(F3307&lt;50,"1) Under Rs 50",IF(F3307&lt;100,"2) Rs 50-99",IF(F3307&lt;200,"3) Rs 100-199",IF(F3307&lt;500,"4) Rs 200-499","5) Rs 500+"))))</f>
        <v>3) Rs 100-199</v>
      </c>
      <c r="O3307" s="0" t="n">
        <f aca="false">G3307*E3307/1000</f>
        <v>1.2</v>
      </c>
    </row>
    <row r="3308" customFormat="false" ht="15" hidden="false" customHeight="false" outlineLevel="0" collapsed="false">
      <c r="A3308" s="0" t="s">
        <v>119</v>
      </c>
      <c r="B3308" s="0" t="s">
        <v>1454</v>
      </c>
      <c r="C3308" s="0" t="n">
        <v>155</v>
      </c>
      <c r="D3308" s="0" t="n">
        <v>9</v>
      </c>
      <c r="E3308" s="0" t="n">
        <v>4</v>
      </c>
      <c r="F3308" s="0" t="n">
        <v>140</v>
      </c>
      <c r="G3308" s="0" t="n">
        <v>180</v>
      </c>
      <c r="H3308" s="0" t="s">
        <v>145</v>
      </c>
      <c r="I3308" s="0" t="n">
        <v>180</v>
      </c>
      <c r="J3308" s="0" t="n">
        <f aca="false">F3308*E3308</f>
        <v>560</v>
      </c>
      <c r="K3308" s="0" t="str">
        <f aca="false">IF(G3308&lt;1000,"1-Low",IF(G3308&lt;5000,"2-Medium","3-Bulk"))</f>
        <v>1-Low</v>
      </c>
      <c r="L3308" s="0" t="str">
        <f aca="false">IF(H3308="TRUE","Out of stock","In stock")</f>
        <v>In stock</v>
      </c>
      <c r="M3308" s="0" t="str">
        <f aca="false">IF(D3308&lt;5,"1) Under 5%",IF(D3308&lt;10,"2) 5-9%",IF(D3308&lt;15,"3) 10-14%",IF(D3308&lt;25,"4) 15-24%","5) 25%+"))))</f>
        <v>2) 5-9%</v>
      </c>
      <c r="N3308" s="0" t="str">
        <f aca="false">IF(F3308&lt;50,"1) Under Rs 50",IF(F3308&lt;100,"2) Rs 50-99",IF(F3308&lt;200,"3) Rs 100-199",IF(F3308&lt;500,"4) Rs 200-499","5) Rs 500+"))))</f>
        <v>3) Rs 100-199</v>
      </c>
      <c r="O3308" s="0" t="n">
        <f aca="false">G3308*E3308/1000</f>
        <v>0.72</v>
      </c>
    </row>
    <row r="3309" customFormat="false" ht="15" hidden="false" customHeight="false" outlineLevel="0" collapsed="false">
      <c r="A3309" s="0" t="s">
        <v>119</v>
      </c>
      <c r="B3309" s="0" t="s">
        <v>1455</v>
      </c>
      <c r="C3309" s="0" t="n">
        <v>120</v>
      </c>
      <c r="D3309" s="0" t="n">
        <v>6</v>
      </c>
      <c r="E3309" s="0" t="n">
        <v>6</v>
      </c>
      <c r="F3309" s="0" t="n">
        <v>112</v>
      </c>
      <c r="G3309" s="0" t="n">
        <v>180</v>
      </c>
      <c r="H3309" s="0" t="s">
        <v>145</v>
      </c>
      <c r="I3309" s="0" t="n">
        <v>180</v>
      </c>
      <c r="J3309" s="0" t="n">
        <f aca="false">F3309*E3309</f>
        <v>672</v>
      </c>
      <c r="K3309" s="0" t="str">
        <f aca="false">IF(G3309&lt;1000,"1-Low",IF(G3309&lt;5000,"2-Medium","3-Bulk"))</f>
        <v>1-Low</v>
      </c>
      <c r="L3309" s="0" t="str">
        <f aca="false">IF(H3309="TRUE","Out of stock","In stock")</f>
        <v>In stock</v>
      </c>
      <c r="M3309" s="0" t="str">
        <f aca="false">IF(D3309&lt;5,"1) Under 5%",IF(D3309&lt;10,"2) 5-9%",IF(D3309&lt;15,"3) 10-14%",IF(D3309&lt;25,"4) 15-24%","5) 25%+"))))</f>
        <v>2) 5-9%</v>
      </c>
      <c r="N3309" s="0" t="str">
        <f aca="false">IF(F3309&lt;50,"1) Under Rs 50",IF(F3309&lt;100,"2) Rs 50-99",IF(F3309&lt;200,"3) Rs 100-199",IF(F3309&lt;500,"4) Rs 200-499","5) Rs 500+"))))</f>
        <v>3) Rs 100-199</v>
      </c>
      <c r="O3309" s="0" t="n">
        <f aca="false">G3309*E3309/1000</f>
        <v>1.08</v>
      </c>
    </row>
    <row r="3310" customFormat="false" ht="15" hidden="false" customHeight="false" outlineLevel="0" collapsed="false">
      <c r="A3310" s="0" t="s">
        <v>119</v>
      </c>
      <c r="B3310" s="0" t="s">
        <v>1456</v>
      </c>
      <c r="C3310" s="0" t="n">
        <v>65</v>
      </c>
      <c r="D3310" s="0" t="n">
        <v>10</v>
      </c>
      <c r="E3310" s="0" t="n">
        <v>6</v>
      </c>
      <c r="F3310" s="0" t="n">
        <v>58</v>
      </c>
      <c r="G3310" s="0" t="n">
        <v>40</v>
      </c>
      <c r="H3310" s="0" t="s">
        <v>145</v>
      </c>
      <c r="I3310" s="0" t="n">
        <v>40</v>
      </c>
      <c r="J3310" s="0" t="n">
        <f aca="false">F3310*E3310</f>
        <v>348</v>
      </c>
      <c r="K3310" s="0" t="str">
        <f aca="false">IF(G3310&lt;1000,"1-Low",IF(G3310&lt;5000,"2-Medium","3-Bulk"))</f>
        <v>1-Low</v>
      </c>
      <c r="L3310" s="0" t="str">
        <f aca="false">IF(H3310="TRUE","Out of stock","In stock")</f>
        <v>In stock</v>
      </c>
      <c r="M3310" s="0" t="str">
        <f aca="false">IF(D3310&lt;5,"1) Under 5%",IF(D3310&lt;10,"2) 5-9%",IF(D3310&lt;15,"3) 10-14%",IF(D3310&lt;25,"4) 15-24%","5) 25%+"))))</f>
        <v>3) 10-14%</v>
      </c>
      <c r="N3310" s="0" t="str">
        <f aca="false">IF(F3310&lt;50,"1) Under Rs 50",IF(F3310&lt;100,"2) Rs 50-99",IF(F3310&lt;200,"3) Rs 100-199",IF(F3310&lt;500,"4) Rs 200-499","5) Rs 500+"))))</f>
        <v>2) Rs 50-99</v>
      </c>
      <c r="O3310" s="0" t="n">
        <f aca="false">G3310*E3310/1000</f>
        <v>0.24</v>
      </c>
    </row>
    <row r="3311" customFormat="false" ht="15" hidden="false" customHeight="false" outlineLevel="0" collapsed="false">
      <c r="A3311" s="0" t="s">
        <v>119</v>
      </c>
      <c r="B3311" s="0" t="s">
        <v>1457</v>
      </c>
      <c r="C3311" s="0" t="n">
        <v>555</v>
      </c>
      <c r="D3311" s="0" t="n">
        <v>6</v>
      </c>
      <c r="E3311" s="0" t="n">
        <v>6</v>
      </c>
      <c r="F3311" s="0" t="n">
        <v>521</v>
      </c>
      <c r="G3311" s="0" t="n">
        <v>650</v>
      </c>
      <c r="H3311" s="0" t="s">
        <v>145</v>
      </c>
      <c r="I3311" s="0" t="n">
        <v>650</v>
      </c>
      <c r="J3311" s="0" t="n">
        <f aca="false">F3311*E3311</f>
        <v>3126</v>
      </c>
      <c r="K3311" s="0" t="str">
        <f aca="false">IF(G3311&lt;1000,"1-Low",IF(G3311&lt;5000,"2-Medium","3-Bulk"))</f>
        <v>1-Low</v>
      </c>
      <c r="L3311" s="0" t="str">
        <f aca="false">IF(H3311="TRUE","Out of stock","In stock")</f>
        <v>In stock</v>
      </c>
      <c r="M3311" s="0" t="str">
        <f aca="false">IF(D3311&lt;5,"1) Under 5%",IF(D3311&lt;10,"2) 5-9%",IF(D3311&lt;15,"3) 10-14%",IF(D3311&lt;25,"4) 15-24%","5) 25%+"))))</f>
        <v>2) 5-9%</v>
      </c>
      <c r="N3311" s="0" t="str">
        <f aca="false">IF(F3311&lt;50,"1) Under Rs 50",IF(F3311&lt;100,"2) Rs 50-99",IF(F3311&lt;200,"3) Rs 100-199",IF(F3311&lt;500,"4) Rs 200-499","5) Rs 500+"))))</f>
        <v>5) Rs 500+</v>
      </c>
      <c r="O3311" s="0" t="n">
        <f aca="false">G3311*E3311/1000</f>
        <v>3.9</v>
      </c>
    </row>
    <row r="3312" customFormat="false" ht="15" hidden="false" customHeight="false" outlineLevel="0" collapsed="false">
      <c r="A3312" s="0" t="s">
        <v>119</v>
      </c>
      <c r="B3312" s="0" t="s">
        <v>1264</v>
      </c>
      <c r="C3312" s="0" t="n">
        <v>100</v>
      </c>
      <c r="D3312" s="0" t="n">
        <v>0</v>
      </c>
      <c r="E3312" s="0" t="n">
        <v>1</v>
      </c>
      <c r="F3312" s="0" t="n">
        <v>100</v>
      </c>
      <c r="G3312" s="0" t="n">
        <v>200</v>
      </c>
      <c r="H3312" s="0" t="s">
        <v>145</v>
      </c>
      <c r="I3312" s="0" t="n">
        <v>200</v>
      </c>
      <c r="J3312" s="0" t="n">
        <f aca="false">F3312*E3312</f>
        <v>100</v>
      </c>
      <c r="K3312" s="0" t="str">
        <f aca="false">IF(G3312&lt;1000,"1-Low",IF(G3312&lt;5000,"2-Medium","3-Bulk"))</f>
        <v>1-Low</v>
      </c>
      <c r="L3312" s="0" t="str">
        <f aca="false">IF(H3312="TRUE","Out of stock","In stock")</f>
        <v>In stock</v>
      </c>
      <c r="M3312" s="0" t="str">
        <f aca="false">IF(D3312&lt;5,"1) Under 5%",IF(D3312&lt;10,"2) 5-9%",IF(D3312&lt;15,"3) 10-14%",IF(D3312&lt;25,"4) 15-24%","5) 25%+"))))</f>
        <v>1) Under 5%</v>
      </c>
      <c r="N3312" s="0" t="str">
        <f aca="false">IF(F3312&lt;50,"1) Under Rs 50",IF(F3312&lt;100,"2) Rs 50-99",IF(F3312&lt;200,"3) Rs 100-199",IF(F3312&lt;500,"4) Rs 200-499","5) Rs 500+"))))</f>
        <v>3) Rs 100-199</v>
      </c>
      <c r="O3312" s="0" t="n">
        <f aca="false">G3312*E3312/1000</f>
        <v>0.2</v>
      </c>
    </row>
    <row r="3313" customFormat="false" ht="15" hidden="false" customHeight="false" outlineLevel="0" collapsed="false">
      <c r="A3313" s="0" t="s">
        <v>119</v>
      </c>
      <c r="B3313" s="0" t="s">
        <v>1458</v>
      </c>
      <c r="C3313" s="0" t="n">
        <v>85</v>
      </c>
      <c r="D3313" s="0" t="n">
        <v>0</v>
      </c>
      <c r="E3313" s="0" t="n">
        <v>5</v>
      </c>
      <c r="F3313" s="0" t="n">
        <v>85</v>
      </c>
      <c r="G3313" s="0" t="n">
        <v>200</v>
      </c>
      <c r="H3313" s="0" t="s">
        <v>145</v>
      </c>
      <c r="I3313" s="0" t="n">
        <v>200</v>
      </c>
      <c r="J3313" s="0" t="n">
        <f aca="false">F3313*E3313</f>
        <v>425</v>
      </c>
      <c r="K3313" s="0" t="str">
        <f aca="false">IF(G3313&lt;1000,"1-Low",IF(G3313&lt;5000,"2-Medium","3-Bulk"))</f>
        <v>1-Low</v>
      </c>
      <c r="L3313" s="0" t="str">
        <f aca="false">IF(H3313="TRUE","Out of stock","In stock")</f>
        <v>In stock</v>
      </c>
      <c r="M3313" s="0" t="str">
        <f aca="false">IF(D3313&lt;5,"1) Under 5%",IF(D3313&lt;10,"2) 5-9%",IF(D3313&lt;15,"3) 10-14%",IF(D3313&lt;25,"4) 15-24%","5) 25%+"))))</f>
        <v>1) Under 5%</v>
      </c>
      <c r="N3313" s="0" t="str">
        <f aca="false">IF(F3313&lt;50,"1) Under Rs 50",IF(F3313&lt;100,"2) Rs 50-99",IF(F3313&lt;200,"3) Rs 100-199",IF(F3313&lt;500,"4) Rs 200-499","5) Rs 500+"))))</f>
        <v>2) Rs 50-99</v>
      </c>
      <c r="O3313" s="0" t="n">
        <f aca="false">G3313*E3313/1000</f>
        <v>1</v>
      </c>
    </row>
    <row r="3314" customFormat="false" ht="15" hidden="false" customHeight="false" outlineLevel="0" collapsed="false">
      <c r="A3314" s="0" t="s">
        <v>119</v>
      </c>
      <c r="B3314" s="0" t="s">
        <v>1459</v>
      </c>
      <c r="C3314" s="0" t="n">
        <v>185</v>
      </c>
      <c r="D3314" s="0" t="n">
        <v>8</v>
      </c>
      <c r="E3314" s="0" t="n">
        <v>6</v>
      </c>
      <c r="F3314" s="0" t="n">
        <v>169</v>
      </c>
      <c r="G3314" s="0" t="n">
        <v>5</v>
      </c>
      <c r="H3314" s="0" t="s">
        <v>145</v>
      </c>
      <c r="I3314" s="0" t="n">
        <v>4</v>
      </c>
      <c r="J3314" s="0" t="n">
        <f aca="false">F3314*E3314</f>
        <v>1014</v>
      </c>
      <c r="K3314" s="0" t="str">
        <f aca="false">IF(G3314&lt;1000,"1-Low",IF(G3314&lt;5000,"2-Medium","3-Bulk"))</f>
        <v>1-Low</v>
      </c>
      <c r="L3314" s="0" t="str">
        <f aca="false">IF(H3314="TRUE","Out of stock","In stock")</f>
        <v>In stock</v>
      </c>
      <c r="M3314" s="0" t="str">
        <f aca="false">IF(D3314&lt;5,"1) Under 5%",IF(D3314&lt;10,"2) 5-9%",IF(D3314&lt;15,"3) 10-14%",IF(D3314&lt;25,"4) 15-24%","5) 25%+"))))</f>
        <v>2) 5-9%</v>
      </c>
      <c r="N3314" s="0" t="str">
        <f aca="false">IF(F3314&lt;50,"1) Under Rs 50",IF(F3314&lt;100,"2) Rs 50-99",IF(F3314&lt;200,"3) Rs 100-199",IF(F3314&lt;500,"4) Rs 200-499","5) Rs 500+"))))</f>
        <v>3) Rs 100-199</v>
      </c>
      <c r="O3314" s="0" t="n">
        <f aca="false">G3314*E3314/1000</f>
        <v>0.03</v>
      </c>
    </row>
    <row r="3315" customFormat="false" ht="15" hidden="false" customHeight="false" outlineLevel="0" collapsed="false">
      <c r="A3315" s="0" t="s">
        <v>119</v>
      </c>
      <c r="B3315" s="0" t="s">
        <v>1460</v>
      </c>
      <c r="C3315" s="0" t="n">
        <v>180</v>
      </c>
      <c r="D3315" s="0" t="n">
        <v>0</v>
      </c>
      <c r="E3315" s="0" t="n">
        <v>6</v>
      </c>
      <c r="F3315" s="0" t="n">
        <v>180</v>
      </c>
      <c r="G3315" s="0" t="n">
        <v>600</v>
      </c>
      <c r="H3315" s="0" t="s">
        <v>145</v>
      </c>
      <c r="I3315" s="0" t="n">
        <v>600</v>
      </c>
      <c r="J3315" s="0" t="n">
        <f aca="false">F3315*E3315</f>
        <v>1080</v>
      </c>
      <c r="K3315" s="0" t="str">
        <f aca="false">IF(G3315&lt;1000,"1-Low",IF(G3315&lt;5000,"2-Medium","3-Bulk"))</f>
        <v>1-Low</v>
      </c>
      <c r="L3315" s="0" t="str">
        <f aca="false">IF(H3315="TRUE","Out of stock","In stock")</f>
        <v>In stock</v>
      </c>
      <c r="M3315" s="0" t="str">
        <f aca="false">IF(D3315&lt;5,"1) Under 5%",IF(D3315&lt;10,"2) 5-9%",IF(D3315&lt;15,"3) 10-14%",IF(D3315&lt;25,"4) 15-24%","5) 25%+"))))</f>
        <v>1) Under 5%</v>
      </c>
      <c r="N3315" s="0" t="str">
        <f aca="false">IF(F3315&lt;50,"1) Under Rs 50",IF(F3315&lt;100,"2) Rs 50-99",IF(F3315&lt;200,"3) Rs 100-199",IF(F3315&lt;500,"4) Rs 200-499","5) Rs 500+"))))</f>
        <v>3) Rs 100-199</v>
      </c>
      <c r="O3315" s="0" t="n">
        <f aca="false">G3315*E3315/1000</f>
        <v>3.6</v>
      </c>
    </row>
    <row r="3316" customFormat="false" ht="15" hidden="false" customHeight="false" outlineLevel="0" collapsed="false">
      <c r="A3316" s="0" t="s">
        <v>119</v>
      </c>
      <c r="B3316" s="0" t="s">
        <v>1461</v>
      </c>
      <c r="C3316" s="0" t="n">
        <v>620</v>
      </c>
      <c r="D3316" s="0" t="n">
        <v>0</v>
      </c>
      <c r="E3316" s="0" t="n">
        <v>1</v>
      </c>
      <c r="F3316" s="0" t="n">
        <v>620</v>
      </c>
      <c r="G3316" s="0" t="n">
        <v>172</v>
      </c>
      <c r="H3316" s="0" t="s">
        <v>145</v>
      </c>
      <c r="I3316" s="0" t="n">
        <v>172</v>
      </c>
      <c r="J3316" s="0" t="n">
        <f aca="false">F3316*E3316</f>
        <v>620</v>
      </c>
      <c r="K3316" s="0" t="str">
        <f aca="false">IF(G3316&lt;1000,"1-Low",IF(G3316&lt;5000,"2-Medium","3-Bulk"))</f>
        <v>1-Low</v>
      </c>
      <c r="L3316" s="0" t="str">
        <f aca="false">IF(H3316="TRUE","Out of stock","In stock")</f>
        <v>In stock</v>
      </c>
      <c r="M3316" s="0" t="str">
        <f aca="false">IF(D3316&lt;5,"1) Under 5%",IF(D3316&lt;10,"2) 5-9%",IF(D3316&lt;15,"3) 10-14%",IF(D3316&lt;25,"4) 15-24%","5) 25%+"))))</f>
        <v>1) Under 5%</v>
      </c>
      <c r="N3316" s="0" t="str">
        <f aca="false">IF(F3316&lt;50,"1) Under Rs 50",IF(F3316&lt;100,"2) Rs 50-99",IF(F3316&lt;200,"3) Rs 100-199",IF(F3316&lt;500,"4) Rs 200-499","5) Rs 500+"))))</f>
        <v>5) Rs 500+</v>
      </c>
      <c r="O3316" s="0" t="n">
        <f aca="false">G3316*E3316/1000</f>
        <v>0.172</v>
      </c>
    </row>
    <row r="3317" customFormat="false" ht="15" hidden="false" customHeight="false" outlineLevel="0" collapsed="false">
      <c r="A3317" s="0" t="s">
        <v>119</v>
      </c>
      <c r="B3317" s="0" t="s">
        <v>1462</v>
      </c>
      <c r="C3317" s="0" t="n">
        <v>225</v>
      </c>
      <c r="D3317" s="0" t="n">
        <v>0</v>
      </c>
      <c r="E3317" s="0" t="n">
        <v>6</v>
      </c>
      <c r="F3317" s="0" t="n">
        <v>225</v>
      </c>
      <c r="G3317" s="0" t="n">
        <v>418</v>
      </c>
      <c r="H3317" s="0" t="s">
        <v>145</v>
      </c>
      <c r="I3317" s="0" t="n">
        <v>418</v>
      </c>
      <c r="J3317" s="0" t="n">
        <f aca="false">F3317*E3317</f>
        <v>1350</v>
      </c>
      <c r="K3317" s="0" t="str">
        <f aca="false">IF(G3317&lt;1000,"1-Low",IF(G3317&lt;5000,"2-Medium","3-Bulk"))</f>
        <v>1-Low</v>
      </c>
      <c r="L3317" s="0" t="str">
        <f aca="false">IF(H3317="TRUE","Out of stock","In stock")</f>
        <v>In stock</v>
      </c>
      <c r="M3317" s="0" t="str">
        <f aca="false">IF(D3317&lt;5,"1) Under 5%",IF(D3317&lt;10,"2) 5-9%",IF(D3317&lt;15,"3) 10-14%",IF(D3317&lt;25,"4) 15-24%","5) 25%+"))))</f>
        <v>1) Under 5%</v>
      </c>
      <c r="N3317" s="0" t="str">
        <f aca="false">IF(F3317&lt;50,"1) Under Rs 50",IF(F3317&lt;100,"2) Rs 50-99",IF(F3317&lt;200,"3) Rs 100-199",IF(F3317&lt;500,"4) Rs 200-499","5) Rs 500+"))))</f>
        <v>4) Rs 200-499</v>
      </c>
      <c r="O3317" s="0" t="n">
        <f aca="false">G3317*E3317/1000</f>
        <v>2.508</v>
      </c>
    </row>
    <row r="3318" customFormat="false" ht="15" hidden="false" customHeight="false" outlineLevel="0" collapsed="false">
      <c r="A3318" s="0" t="s">
        <v>119</v>
      </c>
      <c r="B3318" s="0" t="s">
        <v>1463</v>
      </c>
      <c r="C3318" s="0" t="n">
        <v>199</v>
      </c>
      <c r="D3318" s="0" t="n">
        <v>10</v>
      </c>
      <c r="E3318" s="0" t="n">
        <v>6</v>
      </c>
      <c r="F3318" s="0" t="n">
        <v>179</v>
      </c>
      <c r="G3318" s="0" t="n">
        <v>250</v>
      </c>
      <c r="H3318" s="0" t="s">
        <v>145</v>
      </c>
      <c r="I3318" s="0" t="n">
        <v>250</v>
      </c>
      <c r="J3318" s="0" t="n">
        <f aca="false">F3318*E3318</f>
        <v>1074</v>
      </c>
      <c r="K3318" s="0" t="str">
        <f aca="false">IF(G3318&lt;1000,"1-Low",IF(G3318&lt;5000,"2-Medium","3-Bulk"))</f>
        <v>1-Low</v>
      </c>
      <c r="L3318" s="0" t="str">
        <f aca="false">IF(H3318="TRUE","Out of stock","In stock")</f>
        <v>In stock</v>
      </c>
      <c r="M3318" s="0" t="str">
        <f aca="false">IF(D3318&lt;5,"1) Under 5%",IF(D3318&lt;10,"2) 5-9%",IF(D3318&lt;15,"3) 10-14%",IF(D3318&lt;25,"4) 15-24%","5) 25%+"))))</f>
        <v>3) 10-14%</v>
      </c>
      <c r="N3318" s="0" t="str">
        <f aca="false">IF(F3318&lt;50,"1) Under Rs 50",IF(F3318&lt;100,"2) Rs 50-99",IF(F3318&lt;200,"3) Rs 100-199",IF(F3318&lt;500,"4) Rs 200-499","5) Rs 500+"))))</f>
        <v>3) Rs 100-199</v>
      </c>
      <c r="O3318" s="0" t="n">
        <f aca="false">G3318*E3318/1000</f>
        <v>1.5</v>
      </c>
    </row>
    <row r="3319" customFormat="false" ht="15" hidden="false" customHeight="false" outlineLevel="0" collapsed="false">
      <c r="A3319" s="0" t="s">
        <v>119</v>
      </c>
      <c r="B3319" s="0" t="s">
        <v>1464</v>
      </c>
      <c r="C3319" s="0" t="n">
        <v>140</v>
      </c>
      <c r="D3319" s="0" t="n">
        <v>10</v>
      </c>
      <c r="E3319" s="0" t="n">
        <v>4</v>
      </c>
      <c r="F3319" s="0" t="n">
        <v>126</v>
      </c>
      <c r="G3319" s="0" t="n">
        <v>250</v>
      </c>
      <c r="H3319" s="0" t="s">
        <v>145</v>
      </c>
      <c r="I3319" s="0" t="n">
        <v>250</v>
      </c>
      <c r="J3319" s="0" t="n">
        <f aca="false">F3319*E3319</f>
        <v>504</v>
      </c>
      <c r="K3319" s="0" t="str">
        <f aca="false">IF(G3319&lt;1000,"1-Low",IF(G3319&lt;5000,"2-Medium","3-Bulk"))</f>
        <v>1-Low</v>
      </c>
      <c r="L3319" s="0" t="str">
        <f aca="false">IF(H3319="TRUE","Out of stock","In stock")</f>
        <v>In stock</v>
      </c>
      <c r="M3319" s="0" t="str">
        <f aca="false">IF(D3319&lt;5,"1) Under 5%",IF(D3319&lt;10,"2) 5-9%",IF(D3319&lt;15,"3) 10-14%",IF(D3319&lt;25,"4) 15-24%","5) 25%+"))))</f>
        <v>3) 10-14%</v>
      </c>
      <c r="N3319" s="0" t="str">
        <f aca="false">IF(F3319&lt;50,"1) Under Rs 50",IF(F3319&lt;100,"2) Rs 50-99",IF(F3319&lt;200,"3) Rs 100-199",IF(F3319&lt;500,"4) Rs 200-499","5) Rs 500+"))))</f>
        <v>3) Rs 100-199</v>
      </c>
      <c r="O3319" s="0" t="n">
        <f aca="false">G3319*E3319/1000</f>
        <v>1</v>
      </c>
    </row>
    <row r="3320" customFormat="false" ht="15" hidden="false" customHeight="false" outlineLevel="0" collapsed="false">
      <c r="A3320" s="0" t="s">
        <v>119</v>
      </c>
      <c r="B3320" s="0" t="s">
        <v>1465</v>
      </c>
      <c r="C3320" s="0" t="n">
        <v>299</v>
      </c>
      <c r="D3320" s="0" t="n">
        <v>17</v>
      </c>
      <c r="E3320" s="0" t="n">
        <v>5</v>
      </c>
      <c r="F3320" s="0" t="n">
        <v>247</v>
      </c>
      <c r="G3320" s="0" t="n">
        <v>200</v>
      </c>
      <c r="H3320" s="0" t="s">
        <v>145</v>
      </c>
      <c r="I3320" s="0" t="n">
        <v>200</v>
      </c>
      <c r="J3320" s="0" t="n">
        <f aca="false">F3320*E3320</f>
        <v>1235</v>
      </c>
      <c r="K3320" s="0" t="str">
        <f aca="false">IF(G3320&lt;1000,"1-Low",IF(G3320&lt;5000,"2-Medium","3-Bulk"))</f>
        <v>1-Low</v>
      </c>
      <c r="L3320" s="0" t="str">
        <f aca="false">IF(H3320="TRUE","Out of stock","In stock")</f>
        <v>In stock</v>
      </c>
      <c r="M3320" s="0" t="str">
        <f aca="false">IF(D3320&lt;5,"1) Under 5%",IF(D3320&lt;10,"2) 5-9%",IF(D3320&lt;15,"3) 10-14%",IF(D3320&lt;25,"4) 15-24%","5) 25%+"))))</f>
        <v>4) 15-24%</v>
      </c>
      <c r="N3320" s="0" t="str">
        <f aca="false">IF(F3320&lt;50,"1) Under Rs 50",IF(F3320&lt;100,"2) Rs 50-99",IF(F3320&lt;200,"3) Rs 100-199",IF(F3320&lt;500,"4) Rs 200-499","5) Rs 500+"))))</f>
        <v>4) Rs 200-499</v>
      </c>
      <c r="O3320" s="0" t="n">
        <f aca="false">G3320*E3320/1000</f>
        <v>1</v>
      </c>
    </row>
    <row r="3321" customFormat="false" ht="15" hidden="false" customHeight="false" outlineLevel="0" collapsed="false">
      <c r="A3321" s="0" t="s">
        <v>119</v>
      </c>
      <c r="B3321" s="0" t="s">
        <v>1466</v>
      </c>
      <c r="C3321" s="0" t="n">
        <v>240</v>
      </c>
      <c r="D3321" s="0" t="n">
        <v>7</v>
      </c>
      <c r="E3321" s="0" t="n">
        <v>2</v>
      </c>
      <c r="F3321" s="0" t="n">
        <v>221</v>
      </c>
      <c r="G3321" s="0" t="n">
        <v>340</v>
      </c>
      <c r="H3321" s="0" t="s">
        <v>145</v>
      </c>
      <c r="I3321" s="0" t="n">
        <v>340</v>
      </c>
      <c r="J3321" s="0" t="n">
        <f aca="false">F3321*E3321</f>
        <v>442</v>
      </c>
      <c r="K3321" s="0" t="str">
        <f aca="false">IF(G3321&lt;1000,"1-Low",IF(G3321&lt;5000,"2-Medium","3-Bulk"))</f>
        <v>1-Low</v>
      </c>
      <c r="L3321" s="0" t="str">
        <f aca="false">IF(H3321="TRUE","Out of stock","In stock")</f>
        <v>In stock</v>
      </c>
      <c r="M3321" s="0" t="str">
        <f aca="false">IF(D3321&lt;5,"1) Under 5%",IF(D3321&lt;10,"2) 5-9%",IF(D3321&lt;15,"3) 10-14%",IF(D3321&lt;25,"4) 15-24%","5) 25%+"))))</f>
        <v>2) 5-9%</v>
      </c>
      <c r="N3321" s="0" t="str">
        <f aca="false">IF(F3321&lt;50,"1) Under Rs 50",IF(F3321&lt;100,"2) Rs 50-99",IF(F3321&lt;200,"3) Rs 100-199",IF(F3321&lt;500,"4) Rs 200-499","5) Rs 500+"))))</f>
        <v>4) Rs 200-499</v>
      </c>
      <c r="O3321" s="0" t="n">
        <f aca="false">G3321*E3321/1000</f>
        <v>0.68</v>
      </c>
    </row>
    <row r="3322" customFormat="false" ht="15" hidden="false" customHeight="false" outlineLevel="0" collapsed="false">
      <c r="A3322" s="0" t="s">
        <v>119</v>
      </c>
      <c r="B3322" s="0" t="s">
        <v>1467</v>
      </c>
      <c r="C3322" s="0" t="n">
        <v>250</v>
      </c>
      <c r="D3322" s="0" t="n">
        <v>0</v>
      </c>
      <c r="E3322" s="0" t="n">
        <v>5</v>
      </c>
      <c r="F3322" s="0" t="n">
        <v>250</v>
      </c>
      <c r="G3322" s="0" t="n">
        <v>120</v>
      </c>
      <c r="H3322" s="0" t="s">
        <v>145</v>
      </c>
      <c r="I3322" s="0" t="n">
        <v>120</v>
      </c>
      <c r="J3322" s="0" t="n">
        <f aca="false">F3322*E3322</f>
        <v>1250</v>
      </c>
      <c r="K3322" s="0" t="str">
        <f aca="false">IF(G3322&lt;1000,"1-Low",IF(G3322&lt;5000,"2-Medium","3-Bulk"))</f>
        <v>1-Low</v>
      </c>
      <c r="L3322" s="0" t="str">
        <f aca="false">IF(H3322="TRUE","Out of stock","In stock")</f>
        <v>In stock</v>
      </c>
      <c r="M3322" s="0" t="str">
        <f aca="false">IF(D3322&lt;5,"1) Under 5%",IF(D3322&lt;10,"2) 5-9%",IF(D3322&lt;15,"3) 10-14%",IF(D3322&lt;25,"4) 15-24%","5) 25%+"))))</f>
        <v>1) Under 5%</v>
      </c>
      <c r="N3322" s="0" t="str">
        <f aca="false">IF(F3322&lt;50,"1) Under Rs 50",IF(F3322&lt;100,"2) Rs 50-99",IF(F3322&lt;200,"3) Rs 100-199",IF(F3322&lt;500,"4) Rs 200-499","5) Rs 500+"))))</f>
        <v>4) Rs 200-499</v>
      </c>
      <c r="O3322" s="0" t="n">
        <f aca="false">G3322*E3322/1000</f>
        <v>0.6</v>
      </c>
    </row>
    <row r="3323" customFormat="false" ht="15" hidden="false" customHeight="false" outlineLevel="0" collapsed="false">
      <c r="A3323" s="0" t="s">
        <v>119</v>
      </c>
      <c r="B3323" s="0" t="s">
        <v>1468</v>
      </c>
      <c r="C3323" s="0" t="n">
        <v>220</v>
      </c>
      <c r="D3323" s="0" t="n">
        <v>0</v>
      </c>
      <c r="E3323" s="0" t="n">
        <v>5</v>
      </c>
      <c r="F3323" s="0" t="n">
        <v>220</v>
      </c>
      <c r="G3323" s="0" t="n">
        <v>190</v>
      </c>
      <c r="H3323" s="0" t="s">
        <v>145</v>
      </c>
      <c r="I3323" s="0" t="n">
        <v>190</v>
      </c>
      <c r="J3323" s="0" t="n">
        <f aca="false">F3323*E3323</f>
        <v>1100</v>
      </c>
      <c r="K3323" s="0" t="str">
        <f aca="false">IF(G3323&lt;1000,"1-Low",IF(G3323&lt;5000,"2-Medium","3-Bulk"))</f>
        <v>1-Low</v>
      </c>
      <c r="L3323" s="0" t="str">
        <f aca="false">IF(H3323="TRUE","Out of stock","In stock")</f>
        <v>In stock</v>
      </c>
      <c r="M3323" s="0" t="str">
        <f aca="false">IF(D3323&lt;5,"1) Under 5%",IF(D3323&lt;10,"2) 5-9%",IF(D3323&lt;15,"3) 10-14%",IF(D3323&lt;25,"4) 15-24%","5) 25%+"))))</f>
        <v>1) Under 5%</v>
      </c>
      <c r="N3323" s="0" t="str">
        <f aca="false">IF(F3323&lt;50,"1) Under Rs 50",IF(F3323&lt;100,"2) Rs 50-99",IF(F3323&lt;200,"3) Rs 100-199",IF(F3323&lt;500,"4) Rs 200-499","5) Rs 500+"))))</f>
        <v>4) Rs 200-499</v>
      </c>
      <c r="O3323" s="0" t="n">
        <f aca="false">G3323*E3323/1000</f>
        <v>0.95</v>
      </c>
    </row>
    <row r="3324" customFormat="false" ht="15" hidden="false" customHeight="false" outlineLevel="0" collapsed="false">
      <c r="A3324" s="0" t="s">
        <v>119</v>
      </c>
      <c r="B3324" s="0" t="s">
        <v>1367</v>
      </c>
      <c r="C3324" s="0" t="n">
        <v>155</v>
      </c>
      <c r="D3324" s="0" t="n">
        <v>0</v>
      </c>
      <c r="E3324" s="0" t="n">
        <v>6</v>
      </c>
      <c r="F3324" s="0" t="n">
        <v>155</v>
      </c>
      <c r="G3324" s="0" t="n">
        <v>870</v>
      </c>
      <c r="H3324" s="0" t="s">
        <v>145</v>
      </c>
      <c r="I3324" s="0" t="n">
        <v>15</v>
      </c>
      <c r="J3324" s="0" t="n">
        <f aca="false">F3324*E3324</f>
        <v>930</v>
      </c>
      <c r="K3324" s="0" t="str">
        <f aca="false">IF(G3324&lt;1000,"1-Low",IF(G3324&lt;5000,"2-Medium","3-Bulk"))</f>
        <v>1-Low</v>
      </c>
      <c r="L3324" s="0" t="str">
        <f aca="false">IF(H3324="TRUE","Out of stock","In stock")</f>
        <v>In stock</v>
      </c>
      <c r="M3324" s="0" t="str">
        <f aca="false">IF(D3324&lt;5,"1) Under 5%",IF(D3324&lt;10,"2) 5-9%",IF(D3324&lt;15,"3) 10-14%",IF(D3324&lt;25,"4) 15-24%","5) 25%+"))))</f>
        <v>1) Under 5%</v>
      </c>
      <c r="N3324" s="0" t="str">
        <f aca="false">IF(F3324&lt;50,"1) Under Rs 50",IF(F3324&lt;100,"2) Rs 50-99",IF(F3324&lt;200,"3) Rs 100-199",IF(F3324&lt;500,"4) Rs 200-499","5) Rs 500+"))))</f>
        <v>3) Rs 100-199</v>
      </c>
      <c r="O3324" s="0" t="n">
        <f aca="false">G3324*E3324/1000</f>
        <v>5.22</v>
      </c>
    </row>
    <row r="3325" customFormat="false" ht="15" hidden="false" customHeight="false" outlineLevel="0" collapsed="false">
      <c r="A3325" s="0" t="s">
        <v>119</v>
      </c>
      <c r="B3325" s="0" t="s">
        <v>1469</v>
      </c>
      <c r="C3325" s="0" t="n">
        <v>93</v>
      </c>
      <c r="D3325" s="0" t="n">
        <v>5</v>
      </c>
      <c r="E3325" s="0" t="n">
        <v>6</v>
      </c>
      <c r="F3325" s="0" t="n">
        <v>88</v>
      </c>
      <c r="G3325" s="0" t="n">
        <v>80</v>
      </c>
      <c r="H3325" s="0" t="s">
        <v>145</v>
      </c>
      <c r="I3325" s="0" t="n">
        <v>80</v>
      </c>
      <c r="J3325" s="0" t="n">
        <f aca="false">F3325*E3325</f>
        <v>528</v>
      </c>
      <c r="K3325" s="0" t="str">
        <f aca="false">IF(G3325&lt;1000,"1-Low",IF(G3325&lt;5000,"2-Medium","3-Bulk"))</f>
        <v>1-Low</v>
      </c>
      <c r="L3325" s="0" t="str">
        <f aca="false">IF(H3325="TRUE","Out of stock","In stock")</f>
        <v>In stock</v>
      </c>
      <c r="M3325" s="0" t="str">
        <f aca="false">IF(D3325&lt;5,"1) Under 5%",IF(D3325&lt;10,"2) 5-9%",IF(D3325&lt;15,"3) 10-14%",IF(D3325&lt;25,"4) 15-24%","5) 25%+"))))</f>
        <v>2) 5-9%</v>
      </c>
      <c r="N3325" s="0" t="str">
        <f aca="false">IF(F3325&lt;50,"1) Under Rs 50",IF(F3325&lt;100,"2) Rs 50-99",IF(F3325&lt;200,"3) Rs 100-199",IF(F3325&lt;500,"4) Rs 200-499","5) Rs 500+"))))</f>
        <v>2) Rs 50-99</v>
      </c>
      <c r="O3325" s="0" t="n">
        <f aca="false">G3325*E3325/1000</f>
        <v>0.48</v>
      </c>
    </row>
    <row r="3326" customFormat="false" ht="15" hidden="false" customHeight="false" outlineLevel="0" collapsed="false">
      <c r="A3326" s="0" t="s">
        <v>119</v>
      </c>
      <c r="B3326" s="0" t="s">
        <v>1470</v>
      </c>
      <c r="C3326" s="0" t="n">
        <v>310</v>
      </c>
      <c r="D3326" s="0" t="n">
        <v>12</v>
      </c>
      <c r="E3326" s="0" t="n">
        <v>1</v>
      </c>
      <c r="F3326" s="0" t="n">
        <v>272</v>
      </c>
      <c r="G3326" s="0" t="n">
        <v>200</v>
      </c>
      <c r="H3326" s="0" t="s">
        <v>145</v>
      </c>
      <c r="I3326" s="0" t="n">
        <v>200</v>
      </c>
      <c r="J3326" s="0" t="n">
        <f aca="false">F3326*E3326</f>
        <v>272</v>
      </c>
      <c r="K3326" s="0" t="str">
        <f aca="false">IF(G3326&lt;1000,"1-Low",IF(G3326&lt;5000,"2-Medium","3-Bulk"))</f>
        <v>1-Low</v>
      </c>
      <c r="L3326" s="0" t="str">
        <f aca="false">IF(H3326="TRUE","Out of stock","In stock")</f>
        <v>In stock</v>
      </c>
      <c r="M3326" s="0" t="str">
        <f aca="false">IF(D3326&lt;5,"1) Under 5%",IF(D3326&lt;10,"2) 5-9%",IF(D3326&lt;15,"3) 10-14%",IF(D3326&lt;25,"4) 15-24%","5) 25%+"))))</f>
        <v>3) 10-14%</v>
      </c>
      <c r="N3326" s="0" t="str">
        <f aca="false">IF(F3326&lt;50,"1) Under Rs 50",IF(F3326&lt;100,"2) Rs 50-99",IF(F3326&lt;200,"3) Rs 100-199",IF(F3326&lt;500,"4) Rs 200-499","5) Rs 500+"))))</f>
        <v>4) Rs 200-499</v>
      </c>
      <c r="O3326" s="0" t="n">
        <f aca="false">G3326*E3326/1000</f>
        <v>0.2</v>
      </c>
    </row>
    <row r="3327" customFormat="false" ht="15" hidden="false" customHeight="false" outlineLevel="0" collapsed="false">
      <c r="A3327" s="0" t="s">
        <v>119</v>
      </c>
      <c r="B3327" s="0" t="s">
        <v>1471</v>
      </c>
      <c r="C3327" s="0" t="n">
        <v>85</v>
      </c>
      <c r="D3327" s="0" t="n">
        <v>0</v>
      </c>
      <c r="E3327" s="0" t="n">
        <v>5</v>
      </c>
      <c r="F3327" s="0" t="n">
        <v>85</v>
      </c>
      <c r="G3327" s="0" t="n">
        <v>200</v>
      </c>
      <c r="H3327" s="0" t="s">
        <v>145</v>
      </c>
      <c r="I3327" s="0" t="n">
        <v>200</v>
      </c>
      <c r="J3327" s="0" t="n">
        <f aca="false">F3327*E3327</f>
        <v>425</v>
      </c>
      <c r="K3327" s="0" t="str">
        <f aca="false">IF(G3327&lt;1000,"1-Low",IF(G3327&lt;5000,"2-Medium","3-Bulk"))</f>
        <v>1-Low</v>
      </c>
      <c r="L3327" s="0" t="str">
        <f aca="false">IF(H3327="TRUE","Out of stock","In stock")</f>
        <v>In stock</v>
      </c>
      <c r="M3327" s="0" t="str">
        <f aca="false">IF(D3327&lt;5,"1) Under 5%",IF(D3327&lt;10,"2) 5-9%",IF(D3327&lt;15,"3) 10-14%",IF(D3327&lt;25,"4) 15-24%","5) 25%+"))))</f>
        <v>1) Under 5%</v>
      </c>
      <c r="N3327" s="0" t="str">
        <f aca="false">IF(F3327&lt;50,"1) Under Rs 50",IF(F3327&lt;100,"2) Rs 50-99",IF(F3327&lt;200,"3) Rs 100-199",IF(F3327&lt;500,"4) Rs 200-499","5) Rs 500+"))))</f>
        <v>2) Rs 50-99</v>
      </c>
      <c r="O3327" s="0" t="n">
        <f aca="false">G3327*E3327/1000</f>
        <v>1</v>
      </c>
    </row>
    <row r="3328" customFormat="false" ht="15" hidden="false" customHeight="false" outlineLevel="0" collapsed="false">
      <c r="A3328" s="0" t="s">
        <v>119</v>
      </c>
      <c r="B3328" s="0" t="s">
        <v>1472</v>
      </c>
      <c r="C3328" s="0" t="n">
        <v>130</v>
      </c>
      <c r="D3328" s="0" t="n">
        <v>11</v>
      </c>
      <c r="E3328" s="0" t="n">
        <v>2</v>
      </c>
      <c r="F3328" s="0" t="n">
        <v>115</v>
      </c>
      <c r="G3328" s="0" t="n">
        <v>50</v>
      </c>
      <c r="H3328" s="0" t="s">
        <v>145</v>
      </c>
      <c r="I3328" s="0" t="n">
        <v>50</v>
      </c>
      <c r="J3328" s="0" t="n">
        <f aca="false">F3328*E3328</f>
        <v>230</v>
      </c>
      <c r="K3328" s="0" t="str">
        <f aca="false">IF(G3328&lt;1000,"1-Low",IF(G3328&lt;5000,"2-Medium","3-Bulk"))</f>
        <v>1-Low</v>
      </c>
      <c r="L3328" s="0" t="str">
        <f aca="false">IF(H3328="TRUE","Out of stock","In stock")</f>
        <v>In stock</v>
      </c>
      <c r="M3328" s="0" t="str">
        <f aca="false">IF(D3328&lt;5,"1) Under 5%",IF(D3328&lt;10,"2) 5-9%",IF(D3328&lt;15,"3) 10-14%",IF(D3328&lt;25,"4) 15-24%","5) 25%+"))))</f>
        <v>3) 10-14%</v>
      </c>
      <c r="N3328" s="0" t="str">
        <f aca="false">IF(F3328&lt;50,"1) Under Rs 50",IF(F3328&lt;100,"2) Rs 50-99",IF(F3328&lt;200,"3) Rs 100-199",IF(F3328&lt;500,"4) Rs 200-499","5) Rs 500+"))))</f>
        <v>3) Rs 100-199</v>
      </c>
      <c r="O3328" s="0" t="n">
        <f aca="false">G3328*E3328/1000</f>
        <v>0.1</v>
      </c>
    </row>
    <row r="3329" customFormat="false" ht="15" hidden="false" customHeight="false" outlineLevel="0" collapsed="false">
      <c r="A3329" s="0" t="s">
        <v>119</v>
      </c>
      <c r="B3329" s="0" t="s">
        <v>1473</v>
      </c>
      <c r="C3329" s="0" t="n">
        <v>155</v>
      </c>
      <c r="D3329" s="0" t="n">
        <v>6</v>
      </c>
      <c r="E3329" s="0" t="n">
        <v>6</v>
      </c>
      <c r="F3329" s="0" t="n">
        <v>145</v>
      </c>
      <c r="G3329" s="0" t="n">
        <v>100</v>
      </c>
      <c r="H3329" s="0" t="s">
        <v>145</v>
      </c>
      <c r="I3329" s="0" t="n">
        <v>100</v>
      </c>
      <c r="J3329" s="0" t="n">
        <f aca="false">F3329*E3329</f>
        <v>870</v>
      </c>
      <c r="K3329" s="0" t="str">
        <f aca="false">IF(G3329&lt;1000,"1-Low",IF(G3329&lt;5000,"2-Medium","3-Bulk"))</f>
        <v>1-Low</v>
      </c>
      <c r="L3329" s="0" t="str">
        <f aca="false">IF(H3329="TRUE","Out of stock","In stock")</f>
        <v>In stock</v>
      </c>
      <c r="M3329" s="0" t="str">
        <f aca="false">IF(D3329&lt;5,"1) Under 5%",IF(D3329&lt;10,"2) 5-9%",IF(D3329&lt;15,"3) 10-14%",IF(D3329&lt;25,"4) 15-24%","5) 25%+"))))</f>
        <v>2) 5-9%</v>
      </c>
      <c r="N3329" s="0" t="str">
        <f aca="false">IF(F3329&lt;50,"1) Under Rs 50",IF(F3329&lt;100,"2) Rs 50-99",IF(F3329&lt;200,"3) Rs 100-199",IF(F3329&lt;500,"4) Rs 200-499","5) Rs 500+"))))</f>
        <v>3) Rs 100-199</v>
      </c>
      <c r="O3329" s="0" t="n">
        <f aca="false">G3329*E3329/1000</f>
        <v>0.6</v>
      </c>
    </row>
    <row r="3330" customFormat="false" ht="15" hidden="false" customHeight="false" outlineLevel="0" collapsed="false">
      <c r="A3330" s="0" t="s">
        <v>119</v>
      </c>
      <c r="B3330" s="0" t="s">
        <v>1474</v>
      </c>
      <c r="C3330" s="0" t="n">
        <v>320</v>
      </c>
      <c r="D3330" s="0" t="n">
        <v>0</v>
      </c>
      <c r="E3330" s="0" t="n">
        <v>4</v>
      </c>
      <c r="F3330" s="0" t="n">
        <v>320</v>
      </c>
      <c r="G3330" s="0" t="n">
        <v>24</v>
      </c>
      <c r="H3330" s="0" t="s">
        <v>145</v>
      </c>
      <c r="I3330" s="0" t="n">
        <v>24</v>
      </c>
      <c r="J3330" s="0" t="n">
        <f aca="false">F3330*E3330</f>
        <v>1280</v>
      </c>
      <c r="K3330" s="0" t="str">
        <f aca="false">IF(G3330&lt;1000,"1-Low",IF(G3330&lt;5000,"2-Medium","3-Bulk"))</f>
        <v>1-Low</v>
      </c>
      <c r="L3330" s="0" t="str">
        <f aca="false">IF(H3330="TRUE","Out of stock","In stock")</f>
        <v>In stock</v>
      </c>
      <c r="M3330" s="0" t="str">
        <f aca="false">IF(D3330&lt;5,"1) Under 5%",IF(D3330&lt;10,"2) 5-9%",IF(D3330&lt;15,"3) 10-14%",IF(D3330&lt;25,"4) 15-24%","5) 25%+"))))</f>
        <v>1) Under 5%</v>
      </c>
      <c r="N3330" s="0" t="str">
        <f aca="false">IF(F3330&lt;50,"1) Under Rs 50",IF(F3330&lt;100,"2) Rs 50-99",IF(F3330&lt;200,"3) Rs 100-199",IF(F3330&lt;500,"4) Rs 200-499","5) Rs 500+"))))</f>
        <v>4) Rs 200-499</v>
      </c>
      <c r="O3330" s="0" t="n">
        <f aca="false">G3330*E3330/1000</f>
        <v>0.096</v>
      </c>
    </row>
    <row r="3331" customFormat="false" ht="15" hidden="false" customHeight="false" outlineLevel="0" collapsed="false">
      <c r="A3331" s="0" t="s">
        <v>119</v>
      </c>
      <c r="B3331" s="0" t="s">
        <v>1475</v>
      </c>
      <c r="C3331" s="0" t="n">
        <v>225</v>
      </c>
      <c r="D3331" s="0" t="n">
        <v>9</v>
      </c>
      <c r="E3331" s="0" t="n">
        <v>6</v>
      </c>
      <c r="F3331" s="0" t="n">
        <v>203</v>
      </c>
      <c r="G3331" s="0" t="n">
        <v>200</v>
      </c>
      <c r="H3331" s="0" t="s">
        <v>145</v>
      </c>
      <c r="I3331" s="0" t="n">
        <v>200</v>
      </c>
      <c r="J3331" s="0" t="n">
        <f aca="false">F3331*E3331</f>
        <v>1218</v>
      </c>
      <c r="K3331" s="0" t="str">
        <f aca="false">IF(G3331&lt;1000,"1-Low",IF(G3331&lt;5000,"2-Medium","3-Bulk"))</f>
        <v>1-Low</v>
      </c>
      <c r="L3331" s="0" t="str">
        <f aca="false">IF(H3331="TRUE","Out of stock","In stock")</f>
        <v>In stock</v>
      </c>
      <c r="M3331" s="0" t="str">
        <f aca="false">IF(D3331&lt;5,"1) Under 5%",IF(D3331&lt;10,"2) 5-9%",IF(D3331&lt;15,"3) 10-14%",IF(D3331&lt;25,"4) 15-24%","5) 25%+"))))</f>
        <v>2) 5-9%</v>
      </c>
      <c r="N3331" s="0" t="str">
        <f aca="false">IF(F3331&lt;50,"1) Under Rs 50",IF(F3331&lt;100,"2) Rs 50-99",IF(F3331&lt;200,"3) Rs 100-199",IF(F3331&lt;500,"4) Rs 200-499","5) Rs 500+"))))</f>
        <v>4) Rs 200-499</v>
      </c>
      <c r="O3331" s="0" t="n">
        <f aca="false">G3331*E3331/1000</f>
        <v>1.2</v>
      </c>
    </row>
    <row r="3332" customFormat="false" ht="15" hidden="false" customHeight="false" outlineLevel="0" collapsed="false">
      <c r="A3332" s="0" t="s">
        <v>119</v>
      </c>
      <c r="B3332" s="0" t="s">
        <v>1476</v>
      </c>
      <c r="C3332" s="0" t="n">
        <v>149</v>
      </c>
      <c r="D3332" s="0" t="n">
        <v>0</v>
      </c>
      <c r="E3332" s="0" t="n">
        <v>6</v>
      </c>
      <c r="F3332" s="0" t="n">
        <v>149</v>
      </c>
      <c r="G3332" s="0" t="n">
        <v>192</v>
      </c>
      <c r="H3332" s="0" t="s">
        <v>145</v>
      </c>
      <c r="I3332" s="0" t="n">
        <v>192</v>
      </c>
      <c r="J3332" s="0" t="n">
        <f aca="false">F3332*E3332</f>
        <v>894</v>
      </c>
      <c r="K3332" s="0" t="str">
        <f aca="false">IF(G3332&lt;1000,"1-Low",IF(G3332&lt;5000,"2-Medium","3-Bulk"))</f>
        <v>1-Low</v>
      </c>
      <c r="L3332" s="0" t="str">
        <f aca="false">IF(H3332="TRUE","Out of stock","In stock")</f>
        <v>In stock</v>
      </c>
      <c r="M3332" s="0" t="str">
        <f aca="false">IF(D3332&lt;5,"1) Under 5%",IF(D3332&lt;10,"2) 5-9%",IF(D3332&lt;15,"3) 10-14%",IF(D3332&lt;25,"4) 15-24%","5) 25%+"))))</f>
        <v>1) Under 5%</v>
      </c>
      <c r="N3332" s="0" t="str">
        <f aca="false">IF(F3332&lt;50,"1) Under Rs 50",IF(F3332&lt;100,"2) Rs 50-99",IF(F3332&lt;200,"3) Rs 100-199",IF(F3332&lt;500,"4) Rs 200-499","5) Rs 500+"))))</f>
        <v>3) Rs 100-199</v>
      </c>
      <c r="O3332" s="0" t="n">
        <f aca="false">G3332*E3332/1000</f>
        <v>1.152</v>
      </c>
    </row>
    <row r="3333" customFormat="false" ht="15" hidden="false" customHeight="false" outlineLevel="0" collapsed="false">
      <c r="A3333" s="0" t="s">
        <v>119</v>
      </c>
      <c r="B3333" s="0" t="s">
        <v>1477</v>
      </c>
      <c r="C3333" s="0" t="n">
        <v>115</v>
      </c>
      <c r="D3333" s="0" t="n">
        <v>0</v>
      </c>
      <c r="E3333" s="0" t="n">
        <v>4</v>
      </c>
      <c r="F3333" s="0" t="n">
        <v>115</v>
      </c>
      <c r="G3333" s="0" t="n">
        <v>100</v>
      </c>
      <c r="H3333" s="0" t="s">
        <v>145</v>
      </c>
      <c r="I3333" s="0" t="n">
        <v>100</v>
      </c>
      <c r="J3333" s="0" t="n">
        <f aca="false">F3333*E3333</f>
        <v>460</v>
      </c>
      <c r="K3333" s="0" t="str">
        <f aca="false">IF(G3333&lt;1000,"1-Low",IF(G3333&lt;5000,"2-Medium","3-Bulk"))</f>
        <v>1-Low</v>
      </c>
      <c r="L3333" s="0" t="str">
        <f aca="false">IF(H3333="TRUE","Out of stock","In stock")</f>
        <v>In stock</v>
      </c>
      <c r="M3333" s="0" t="str">
        <f aca="false">IF(D3333&lt;5,"1) Under 5%",IF(D3333&lt;10,"2) 5-9%",IF(D3333&lt;15,"3) 10-14%",IF(D3333&lt;25,"4) 15-24%","5) 25%+"))))</f>
        <v>1) Under 5%</v>
      </c>
      <c r="N3333" s="0" t="str">
        <f aca="false">IF(F3333&lt;50,"1) Under Rs 50",IF(F3333&lt;100,"2) Rs 50-99",IF(F3333&lt;200,"3) Rs 100-199",IF(F3333&lt;500,"4) Rs 200-499","5) Rs 500+"))))</f>
        <v>3) Rs 100-199</v>
      </c>
      <c r="O3333" s="0" t="n">
        <f aca="false">G3333*E3333/1000</f>
        <v>0.4</v>
      </c>
    </row>
    <row r="3334" customFormat="false" ht="15" hidden="false" customHeight="false" outlineLevel="0" collapsed="false">
      <c r="A3334" s="0" t="s">
        <v>119</v>
      </c>
      <c r="B3334" s="0" t="s">
        <v>1478</v>
      </c>
      <c r="C3334" s="0" t="n">
        <v>195</v>
      </c>
      <c r="D3334" s="0" t="n">
        <v>9</v>
      </c>
      <c r="E3334" s="0" t="n">
        <v>6</v>
      </c>
      <c r="F3334" s="0" t="n">
        <v>176</v>
      </c>
      <c r="G3334" s="0" t="n">
        <v>150</v>
      </c>
      <c r="H3334" s="0" t="s">
        <v>145</v>
      </c>
      <c r="I3334" s="0" t="n">
        <v>150</v>
      </c>
      <c r="J3334" s="0" t="n">
        <f aca="false">F3334*E3334</f>
        <v>1056</v>
      </c>
      <c r="K3334" s="0" t="str">
        <f aca="false">IF(G3334&lt;1000,"1-Low",IF(G3334&lt;5000,"2-Medium","3-Bulk"))</f>
        <v>1-Low</v>
      </c>
      <c r="L3334" s="0" t="str">
        <f aca="false">IF(H3334="TRUE","Out of stock","In stock")</f>
        <v>In stock</v>
      </c>
      <c r="M3334" s="0" t="str">
        <f aca="false">IF(D3334&lt;5,"1) Under 5%",IF(D3334&lt;10,"2) 5-9%",IF(D3334&lt;15,"3) 10-14%",IF(D3334&lt;25,"4) 15-24%","5) 25%+"))))</f>
        <v>2) 5-9%</v>
      </c>
      <c r="N3334" s="0" t="str">
        <f aca="false">IF(F3334&lt;50,"1) Under Rs 50",IF(F3334&lt;100,"2) Rs 50-99",IF(F3334&lt;200,"3) Rs 100-199",IF(F3334&lt;500,"4) Rs 200-499","5) Rs 500+"))))</f>
        <v>3) Rs 100-199</v>
      </c>
      <c r="O3334" s="0" t="n">
        <f aca="false">G3334*E3334/1000</f>
        <v>0.9</v>
      </c>
    </row>
    <row r="3335" customFormat="false" ht="15" hidden="false" customHeight="false" outlineLevel="0" collapsed="false">
      <c r="A3335" s="0" t="s">
        <v>119</v>
      </c>
      <c r="B3335" s="0" t="s">
        <v>1433</v>
      </c>
      <c r="C3335" s="0" t="n">
        <v>264</v>
      </c>
      <c r="D3335" s="0" t="n">
        <v>0</v>
      </c>
      <c r="E3335" s="0" t="n">
        <v>6</v>
      </c>
      <c r="F3335" s="0" t="n">
        <v>264</v>
      </c>
      <c r="G3335" s="0" t="n">
        <v>340</v>
      </c>
      <c r="H3335" s="0" t="s">
        <v>145</v>
      </c>
      <c r="I3335" s="0" t="n">
        <v>340</v>
      </c>
      <c r="J3335" s="0" t="n">
        <f aca="false">F3335*E3335</f>
        <v>1584</v>
      </c>
      <c r="K3335" s="0" t="str">
        <f aca="false">IF(G3335&lt;1000,"1-Low",IF(G3335&lt;5000,"2-Medium","3-Bulk"))</f>
        <v>1-Low</v>
      </c>
      <c r="L3335" s="0" t="str">
        <f aca="false">IF(H3335="TRUE","Out of stock","In stock")</f>
        <v>In stock</v>
      </c>
      <c r="M3335" s="0" t="str">
        <f aca="false">IF(D3335&lt;5,"1) Under 5%",IF(D3335&lt;10,"2) 5-9%",IF(D3335&lt;15,"3) 10-14%",IF(D3335&lt;25,"4) 15-24%","5) 25%+"))))</f>
        <v>1) Under 5%</v>
      </c>
      <c r="N3335" s="0" t="str">
        <f aca="false">IF(F3335&lt;50,"1) Under Rs 50",IF(F3335&lt;100,"2) Rs 50-99",IF(F3335&lt;200,"3) Rs 100-199",IF(F3335&lt;500,"4) Rs 200-499","5) Rs 500+"))))</f>
        <v>4) Rs 200-499</v>
      </c>
      <c r="O3335" s="0" t="n">
        <f aca="false">G3335*E3335/1000</f>
        <v>2.04</v>
      </c>
    </row>
    <row r="3336" customFormat="false" ht="15" hidden="false" customHeight="false" outlineLevel="0" collapsed="false">
      <c r="A3336" s="0" t="s">
        <v>119</v>
      </c>
      <c r="B3336" s="0" t="s">
        <v>1479</v>
      </c>
      <c r="C3336" s="0" t="n">
        <v>105</v>
      </c>
      <c r="D3336" s="0" t="n">
        <v>0</v>
      </c>
      <c r="E3336" s="0" t="n">
        <v>4</v>
      </c>
      <c r="F3336" s="0" t="n">
        <v>105</v>
      </c>
      <c r="G3336" s="0" t="n">
        <v>1160</v>
      </c>
      <c r="H3336" s="0" t="s">
        <v>145</v>
      </c>
      <c r="I3336" s="0" t="n">
        <v>20</v>
      </c>
      <c r="J3336" s="0" t="n">
        <f aca="false">F3336*E3336</f>
        <v>420</v>
      </c>
      <c r="K3336" s="0" t="str">
        <f aca="false">IF(G3336&lt;1000,"1-Low",IF(G3336&lt;5000,"2-Medium","3-Bulk"))</f>
        <v>2-Medium</v>
      </c>
      <c r="L3336" s="0" t="str">
        <f aca="false">IF(H3336="TRUE","Out of stock","In stock")</f>
        <v>In stock</v>
      </c>
      <c r="M3336" s="0" t="str">
        <f aca="false">IF(D3336&lt;5,"1) Under 5%",IF(D3336&lt;10,"2) 5-9%",IF(D3336&lt;15,"3) 10-14%",IF(D3336&lt;25,"4) 15-24%","5) 25%+"))))</f>
        <v>1) Under 5%</v>
      </c>
      <c r="N3336" s="0" t="str">
        <f aca="false">IF(F3336&lt;50,"1) Under Rs 50",IF(F3336&lt;100,"2) Rs 50-99",IF(F3336&lt;200,"3) Rs 100-199",IF(F3336&lt;500,"4) Rs 200-499","5) Rs 500+"))))</f>
        <v>3) Rs 100-199</v>
      </c>
      <c r="O3336" s="0" t="n">
        <f aca="false">G3336*E3336/1000</f>
        <v>4.64</v>
      </c>
    </row>
    <row r="3337" customFormat="false" ht="15" hidden="false" customHeight="false" outlineLevel="0" collapsed="false">
      <c r="A3337" s="0" t="s">
        <v>119</v>
      </c>
      <c r="B3337" s="0" t="s">
        <v>1480</v>
      </c>
      <c r="C3337" s="0" t="n">
        <v>180</v>
      </c>
      <c r="D3337" s="0" t="n">
        <v>9</v>
      </c>
      <c r="E3337" s="0" t="n">
        <v>2</v>
      </c>
      <c r="F3337" s="0" t="n">
        <v>163</v>
      </c>
      <c r="G3337" s="0" t="n">
        <v>100</v>
      </c>
      <c r="H3337" s="0" t="s">
        <v>145</v>
      </c>
      <c r="I3337" s="0" t="n">
        <v>100</v>
      </c>
      <c r="J3337" s="0" t="n">
        <f aca="false">F3337*E3337</f>
        <v>326</v>
      </c>
      <c r="K3337" s="0" t="str">
        <f aca="false">IF(G3337&lt;1000,"1-Low",IF(G3337&lt;5000,"2-Medium","3-Bulk"))</f>
        <v>1-Low</v>
      </c>
      <c r="L3337" s="0" t="str">
        <f aca="false">IF(H3337="TRUE","Out of stock","In stock")</f>
        <v>In stock</v>
      </c>
      <c r="M3337" s="0" t="str">
        <f aca="false">IF(D3337&lt;5,"1) Under 5%",IF(D3337&lt;10,"2) 5-9%",IF(D3337&lt;15,"3) 10-14%",IF(D3337&lt;25,"4) 15-24%","5) 25%+"))))</f>
        <v>2) 5-9%</v>
      </c>
      <c r="N3337" s="0" t="str">
        <f aca="false">IF(F3337&lt;50,"1) Under Rs 50",IF(F3337&lt;100,"2) Rs 50-99",IF(F3337&lt;200,"3) Rs 100-199",IF(F3337&lt;500,"4) Rs 200-499","5) Rs 500+"))))</f>
        <v>3) Rs 100-199</v>
      </c>
      <c r="O3337" s="0" t="n">
        <f aca="false">G3337*E3337/1000</f>
        <v>0.2</v>
      </c>
    </row>
    <row r="3338" customFormat="false" ht="15" hidden="false" customHeight="false" outlineLevel="0" collapsed="false">
      <c r="A3338" s="0" t="s">
        <v>119</v>
      </c>
      <c r="B3338" s="0" t="s">
        <v>1481</v>
      </c>
      <c r="C3338" s="0" t="n">
        <v>190</v>
      </c>
      <c r="D3338" s="0" t="n">
        <v>0</v>
      </c>
      <c r="E3338" s="0" t="n">
        <v>5</v>
      </c>
      <c r="F3338" s="0" t="n">
        <v>190</v>
      </c>
      <c r="G3338" s="0" t="n">
        <v>200</v>
      </c>
      <c r="H3338" s="0" t="s">
        <v>145</v>
      </c>
      <c r="I3338" s="0" t="n">
        <v>200</v>
      </c>
      <c r="J3338" s="0" t="n">
        <f aca="false">F3338*E3338</f>
        <v>950</v>
      </c>
      <c r="K3338" s="0" t="str">
        <f aca="false">IF(G3338&lt;1000,"1-Low",IF(G3338&lt;5000,"2-Medium","3-Bulk"))</f>
        <v>1-Low</v>
      </c>
      <c r="L3338" s="0" t="str">
        <f aca="false">IF(H3338="TRUE","Out of stock","In stock")</f>
        <v>In stock</v>
      </c>
      <c r="M3338" s="0" t="str">
        <f aca="false">IF(D3338&lt;5,"1) Under 5%",IF(D3338&lt;10,"2) 5-9%",IF(D3338&lt;15,"3) 10-14%",IF(D3338&lt;25,"4) 15-24%","5) 25%+"))))</f>
        <v>1) Under 5%</v>
      </c>
      <c r="N3338" s="0" t="str">
        <f aca="false">IF(F3338&lt;50,"1) Under Rs 50",IF(F3338&lt;100,"2) Rs 50-99",IF(F3338&lt;200,"3) Rs 100-199",IF(F3338&lt;500,"4) Rs 200-499","5) Rs 500+"))))</f>
        <v>3) Rs 100-199</v>
      </c>
      <c r="O3338" s="0" t="n">
        <f aca="false">G3338*E3338/1000</f>
        <v>1</v>
      </c>
    </row>
    <row r="3339" customFormat="false" ht="15" hidden="false" customHeight="false" outlineLevel="0" collapsed="false">
      <c r="A3339" s="0" t="s">
        <v>119</v>
      </c>
      <c r="B3339" s="0" t="s">
        <v>1482</v>
      </c>
      <c r="C3339" s="0" t="n">
        <v>90</v>
      </c>
      <c r="D3339" s="0" t="n">
        <v>10</v>
      </c>
      <c r="E3339" s="0" t="n">
        <v>6</v>
      </c>
      <c r="F3339" s="0" t="n">
        <v>81</v>
      </c>
      <c r="G3339" s="0" t="n">
        <v>100</v>
      </c>
      <c r="H3339" s="0" t="s">
        <v>145</v>
      </c>
      <c r="I3339" s="0" t="n">
        <v>100</v>
      </c>
      <c r="J3339" s="0" t="n">
        <f aca="false">F3339*E3339</f>
        <v>486</v>
      </c>
      <c r="K3339" s="0" t="str">
        <f aca="false">IF(G3339&lt;1000,"1-Low",IF(G3339&lt;5000,"2-Medium","3-Bulk"))</f>
        <v>1-Low</v>
      </c>
      <c r="L3339" s="0" t="str">
        <f aca="false">IF(H3339="TRUE","Out of stock","In stock")</f>
        <v>In stock</v>
      </c>
      <c r="M3339" s="0" t="str">
        <f aca="false">IF(D3339&lt;5,"1) Under 5%",IF(D3339&lt;10,"2) 5-9%",IF(D3339&lt;15,"3) 10-14%",IF(D3339&lt;25,"4) 15-24%","5) 25%+"))))</f>
        <v>3) 10-14%</v>
      </c>
      <c r="N3339" s="0" t="str">
        <f aca="false">IF(F3339&lt;50,"1) Under Rs 50",IF(F3339&lt;100,"2) Rs 50-99",IF(F3339&lt;200,"3) Rs 100-199",IF(F3339&lt;500,"4) Rs 200-499","5) Rs 500+"))))</f>
        <v>2) Rs 50-99</v>
      </c>
      <c r="O3339" s="0" t="n">
        <f aca="false">G3339*E3339/1000</f>
        <v>0.6</v>
      </c>
    </row>
    <row r="3340" customFormat="false" ht="15" hidden="false" customHeight="false" outlineLevel="0" collapsed="false">
      <c r="A3340" s="0" t="s">
        <v>119</v>
      </c>
      <c r="B3340" s="0" t="s">
        <v>1483</v>
      </c>
      <c r="C3340" s="0" t="n">
        <v>199</v>
      </c>
      <c r="D3340" s="0" t="n">
        <v>0</v>
      </c>
      <c r="E3340" s="0" t="n">
        <v>6</v>
      </c>
      <c r="F3340" s="0" t="n">
        <v>199</v>
      </c>
      <c r="G3340" s="0" t="n">
        <v>200</v>
      </c>
      <c r="H3340" s="0" t="s">
        <v>145</v>
      </c>
      <c r="I3340" s="0" t="n">
        <v>200</v>
      </c>
      <c r="J3340" s="0" t="n">
        <f aca="false">F3340*E3340</f>
        <v>1194</v>
      </c>
      <c r="K3340" s="0" t="str">
        <f aca="false">IF(G3340&lt;1000,"1-Low",IF(G3340&lt;5000,"2-Medium","3-Bulk"))</f>
        <v>1-Low</v>
      </c>
      <c r="L3340" s="0" t="str">
        <f aca="false">IF(H3340="TRUE","Out of stock","In stock")</f>
        <v>In stock</v>
      </c>
      <c r="M3340" s="0" t="str">
        <f aca="false">IF(D3340&lt;5,"1) Under 5%",IF(D3340&lt;10,"2) 5-9%",IF(D3340&lt;15,"3) 10-14%",IF(D3340&lt;25,"4) 15-24%","5) 25%+"))))</f>
        <v>1) Under 5%</v>
      </c>
      <c r="N3340" s="0" t="str">
        <f aca="false">IF(F3340&lt;50,"1) Under Rs 50",IF(F3340&lt;100,"2) Rs 50-99",IF(F3340&lt;200,"3) Rs 100-199",IF(F3340&lt;500,"4) Rs 200-499","5) Rs 500+"))))</f>
        <v>3) Rs 100-199</v>
      </c>
      <c r="O3340" s="0" t="n">
        <f aca="false">G3340*E3340/1000</f>
        <v>1.2</v>
      </c>
    </row>
    <row r="3341" customFormat="false" ht="15" hidden="false" customHeight="false" outlineLevel="0" collapsed="false">
      <c r="A3341" s="0" t="s">
        <v>119</v>
      </c>
      <c r="B3341" s="0" t="s">
        <v>1484</v>
      </c>
      <c r="C3341" s="0" t="n">
        <v>175</v>
      </c>
      <c r="D3341" s="0" t="n">
        <v>0</v>
      </c>
      <c r="E3341" s="0" t="n">
        <v>3</v>
      </c>
      <c r="F3341" s="0" t="n">
        <v>175</v>
      </c>
      <c r="G3341" s="0" t="n">
        <v>812</v>
      </c>
      <c r="H3341" s="0" t="s">
        <v>145</v>
      </c>
      <c r="I3341" s="0" t="n">
        <v>14</v>
      </c>
      <c r="J3341" s="0" t="n">
        <f aca="false">F3341*E3341</f>
        <v>525</v>
      </c>
      <c r="K3341" s="0" t="str">
        <f aca="false">IF(G3341&lt;1000,"1-Low",IF(G3341&lt;5000,"2-Medium","3-Bulk"))</f>
        <v>1-Low</v>
      </c>
      <c r="L3341" s="0" t="str">
        <f aca="false">IF(H3341="TRUE","Out of stock","In stock")</f>
        <v>In stock</v>
      </c>
      <c r="M3341" s="0" t="str">
        <f aca="false">IF(D3341&lt;5,"1) Under 5%",IF(D3341&lt;10,"2) 5-9%",IF(D3341&lt;15,"3) 10-14%",IF(D3341&lt;25,"4) 15-24%","5) 25%+"))))</f>
        <v>1) Under 5%</v>
      </c>
      <c r="N3341" s="0" t="str">
        <f aca="false">IF(F3341&lt;50,"1) Under Rs 50",IF(F3341&lt;100,"2) Rs 50-99",IF(F3341&lt;200,"3) Rs 100-199",IF(F3341&lt;500,"4) Rs 200-499","5) Rs 500+"))))</f>
        <v>3) Rs 100-199</v>
      </c>
      <c r="O3341" s="0" t="n">
        <f aca="false">G3341*E3341/1000</f>
        <v>2.436</v>
      </c>
    </row>
    <row r="3342" customFormat="false" ht="15" hidden="false" customHeight="false" outlineLevel="0" collapsed="false">
      <c r="A3342" s="0" t="s">
        <v>119</v>
      </c>
      <c r="B3342" s="0" t="s">
        <v>118</v>
      </c>
      <c r="C3342" s="0" t="n">
        <v>1099</v>
      </c>
      <c r="D3342" s="0" t="n">
        <v>18</v>
      </c>
      <c r="E3342" s="0" t="n">
        <v>6</v>
      </c>
      <c r="F3342" s="0" t="n">
        <v>899</v>
      </c>
      <c r="G3342" s="0" t="n">
        <v>54</v>
      </c>
      <c r="H3342" s="0" t="s">
        <v>145</v>
      </c>
      <c r="I3342" s="0" t="n">
        <v>54</v>
      </c>
      <c r="J3342" s="0" t="n">
        <f aca="false">F3342*E3342</f>
        <v>5394</v>
      </c>
      <c r="K3342" s="0" t="str">
        <f aca="false">IF(G3342&lt;1000,"1-Low",IF(G3342&lt;5000,"2-Medium","3-Bulk"))</f>
        <v>1-Low</v>
      </c>
      <c r="L3342" s="0" t="str">
        <f aca="false">IF(H3342="TRUE","Out of stock","In stock")</f>
        <v>In stock</v>
      </c>
      <c r="M3342" s="0" t="str">
        <f aca="false">IF(D3342&lt;5,"1) Under 5%",IF(D3342&lt;10,"2) 5-9%",IF(D3342&lt;15,"3) 10-14%",IF(D3342&lt;25,"4) 15-24%","5) 25%+"))))</f>
        <v>4) 15-24%</v>
      </c>
      <c r="N3342" s="0" t="str">
        <f aca="false">IF(F3342&lt;50,"1) Under Rs 50",IF(F3342&lt;100,"2) Rs 50-99",IF(F3342&lt;200,"3) Rs 100-199",IF(F3342&lt;500,"4) Rs 200-499","5) Rs 500+"))))</f>
        <v>5) Rs 500+</v>
      </c>
      <c r="O3342" s="0" t="n">
        <f aca="false">G3342*E3342/1000</f>
        <v>0.324</v>
      </c>
    </row>
    <row r="3343" customFormat="false" ht="15" hidden="false" customHeight="false" outlineLevel="0" collapsed="false">
      <c r="A3343" s="0" t="s">
        <v>119</v>
      </c>
      <c r="B3343" s="0" t="s">
        <v>1366</v>
      </c>
      <c r="C3343" s="0" t="n">
        <v>199</v>
      </c>
      <c r="D3343" s="0" t="n">
        <v>10</v>
      </c>
      <c r="E3343" s="0" t="n">
        <v>6</v>
      </c>
      <c r="F3343" s="0" t="n">
        <v>179</v>
      </c>
      <c r="G3343" s="0" t="n">
        <v>250</v>
      </c>
      <c r="H3343" s="0" t="s">
        <v>145</v>
      </c>
      <c r="I3343" s="0" t="n">
        <v>250</v>
      </c>
      <c r="J3343" s="0" t="n">
        <f aca="false">F3343*E3343</f>
        <v>1074</v>
      </c>
      <c r="K3343" s="0" t="str">
        <f aca="false">IF(G3343&lt;1000,"1-Low",IF(G3343&lt;5000,"2-Medium","3-Bulk"))</f>
        <v>1-Low</v>
      </c>
      <c r="L3343" s="0" t="str">
        <f aca="false">IF(H3343="TRUE","Out of stock","In stock")</f>
        <v>In stock</v>
      </c>
      <c r="M3343" s="0" t="str">
        <f aca="false">IF(D3343&lt;5,"1) Under 5%",IF(D3343&lt;10,"2) 5-9%",IF(D3343&lt;15,"3) 10-14%",IF(D3343&lt;25,"4) 15-24%","5) 25%+"))))</f>
        <v>3) 10-14%</v>
      </c>
      <c r="N3343" s="0" t="str">
        <f aca="false">IF(F3343&lt;50,"1) Under Rs 50",IF(F3343&lt;100,"2) Rs 50-99",IF(F3343&lt;200,"3) Rs 100-199",IF(F3343&lt;500,"4) Rs 200-499","5) Rs 500+"))))</f>
        <v>3) Rs 100-199</v>
      </c>
      <c r="O3343" s="0" t="n">
        <f aca="false">G3343*E3343/1000</f>
        <v>1.5</v>
      </c>
    </row>
    <row r="3344" customFormat="false" ht="15" hidden="false" customHeight="false" outlineLevel="0" collapsed="false">
      <c r="A3344" s="0" t="s">
        <v>119</v>
      </c>
      <c r="B3344" s="0" t="s">
        <v>1485</v>
      </c>
      <c r="C3344" s="0" t="n">
        <v>125</v>
      </c>
      <c r="D3344" s="0" t="n">
        <v>10</v>
      </c>
      <c r="E3344" s="0" t="n">
        <v>6</v>
      </c>
      <c r="F3344" s="0" t="n">
        <v>112</v>
      </c>
      <c r="G3344" s="0" t="n">
        <v>100</v>
      </c>
      <c r="H3344" s="0" t="s">
        <v>145</v>
      </c>
      <c r="I3344" s="0" t="n">
        <v>100</v>
      </c>
      <c r="J3344" s="0" t="n">
        <f aca="false">F3344*E3344</f>
        <v>672</v>
      </c>
      <c r="K3344" s="0" t="str">
        <f aca="false">IF(G3344&lt;1000,"1-Low",IF(G3344&lt;5000,"2-Medium","3-Bulk"))</f>
        <v>1-Low</v>
      </c>
      <c r="L3344" s="0" t="str">
        <f aca="false">IF(H3344="TRUE","Out of stock","In stock")</f>
        <v>In stock</v>
      </c>
      <c r="M3344" s="0" t="str">
        <f aca="false">IF(D3344&lt;5,"1) Under 5%",IF(D3344&lt;10,"2) 5-9%",IF(D3344&lt;15,"3) 10-14%",IF(D3344&lt;25,"4) 15-24%","5) 25%+"))))</f>
        <v>3) 10-14%</v>
      </c>
      <c r="N3344" s="0" t="str">
        <f aca="false">IF(F3344&lt;50,"1) Under Rs 50",IF(F3344&lt;100,"2) Rs 50-99",IF(F3344&lt;200,"3) Rs 100-199",IF(F3344&lt;500,"4) Rs 200-499","5) Rs 500+"))))</f>
        <v>3) Rs 100-199</v>
      </c>
      <c r="O3344" s="0" t="n">
        <f aca="false">G3344*E3344/1000</f>
        <v>0.6</v>
      </c>
    </row>
    <row r="3345" customFormat="false" ht="15" hidden="false" customHeight="false" outlineLevel="0" collapsed="false">
      <c r="A3345" s="0" t="s">
        <v>119</v>
      </c>
      <c r="B3345" s="0" t="s">
        <v>1450</v>
      </c>
      <c r="C3345" s="0" t="n">
        <v>180</v>
      </c>
      <c r="D3345" s="0" t="n">
        <v>10</v>
      </c>
      <c r="E3345" s="0" t="n">
        <v>6</v>
      </c>
      <c r="F3345" s="0" t="n">
        <v>162</v>
      </c>
      <c r="G3345" s="0" t="n">
        <v>150</v>
      </c>
      <c r="H3345" s="0" t="s">
        <v>145</v>
      </c>
      <c r="I3345" s="0" t="n">
        <v>150</v>
      </c>
      <c r="J3345" s="0" t="n">
        <f aca="false">F3345*E3345</f>
        <v>972</v>
      </c>
      <c r="K3345" s="0" t="str">
        <f aca="false">IF(G3345&lt;1000,"1-Low",IF(G3345&lt;5000,"2-Medium","3-Bulk"))</f>
        <v>1-Low</v>
      </c>
      <c r="L3345" s="0" t="str">
        <f aca="false">IF(H3345="TRUE","Out of stock","In stock")</f>
        <v>In stock</v>
      </c>
      <c r="M3345" s="0" t="str">
        <f aca="false">IF(D3345&lt;5,"1) Under 5%",IF(D3345&lt;10,"2) 5-9%",IF(D3345&lt;15,"3) 10-14%",IF(D3345&lt;25,"4) 15-24%","5) 25%+"))))</f>
        <v>3) 10-14%</v>
      </c>
      <c r="N3345" s="0" t="str">
        <f aca="false">IF(F3345&lt;50,"1) Under Rs 50",IF(F3345&lt;100,"2) Rs 50-99",IF(F3345&lt;200,"3) Rs 100-199",IF(F3345&lt;500,"4) Rs 200-499","5) Rs 500+"))))</f>
        <v>3) Rs 100-199</v>
      </c>
      <c r="O3345" s="0" t="n">
        <f aca="false">G3345*E3345/1000</f>
        <v>0.9</v>
      </c>
    </row>
    <row r="3346" customFormat="false" ht="15" hidden="false" customHeight="false" outlineLevel="0" collapsed="false">
      <c r="A3346" s="0" t="s">
        <v>119</v>
      </c>
      <c r="B3346" s="0" t="s">
        <v>1486</v>
      </c>
      <c r="C3346" s="0" t="n">
        <v>225</v>
      </c>
      <c r="D3346" s="0" t="n">
        <v>20</v>
      </c>
      <c r="E3346" s="0" t="n">
        <v>6</v>
      </c>
      <c r="F3346" s="0" t="n">
        <v>180</v>
      </c>
      <c r="G3346" s="0" t="n">
        <v>250</v>
      </c>
      <c r="H3346" s="0" t="s">
        <v>145</v>
      </c>
      <c r="I3346" s="0" t="n">
        <v>250</v>
      </c>
      <c r="J3346" s="0" t="n">
        <f aca="false">F3346*E3346</f>
        <v>1080</v>
      </c>
      <c r="K3346" s="0" t="str">
        <f aca="false">IF(G3346&lt;1000,"1-Low",IF(G3346&lt;5000,"2-Medium","3-Bulk"))</f>
        <v>1-Low</v>
      </c>
      <c r="L3346" s="0" t="str">
        <f aca="false">IF(H3346="TRUE","Out of stock","In stock")</f>
        <v>In stock</v>
      </c>
      <c r="M3346" s="0" t="str">
        <f aca="false">IF(D3346&lt;5,"1) Under 5%",IF(D3346&lt;10,"2) 5-9%",IF(D3346&lt;15,"3) 10-14%",IF(D3346&lt;25,"4) 15-24%","5) 25%+"))))</f>
        <v>4) 15-24%</v>
      </c>
      <c r="N3346" s="0" t="str">
        <f aca="false">IF(F3346&lt;50,"1) Under Rs 50",IF(F3346&lt;100,"2) Rs 50-99",IF(F3346&lt;200,"3) Rs 100-199",IF(F3346&lt;500,"4) Rs 200-499","5) Rs 500+"))))</f>
        <v>3) Rs 100-199</v>
      </c>
      <c r="O3346" s="0" t="n">
        <f aca="false">G3346*E3346/1000</f>
        <v>1.5</v>
      </c>
    </row>
    <row r="3347" customFormat="false" ht="15" hidden="false" customHeight="false" outlineLevel="0" collapsed="false">
      <c r="A3347" s="0" t="s">
        <v>119</v>
      </c>
      <c r="B3347" s="0" t="s">
        <v>1487</v>
      </c>
      <c r="C3347" s="0" t="n">
        <v>180</v>
      </c>
      <c r="D3347" s="0" t="n">
        <v>0</v>
      </c>
      <c r="E3347" s="0" t="n">
        <v>1</v>
      </c>
      <c r="F3347" s="0" t="n">
        <v>180</v>
      </c>
      <c r="G3347" s="0" t="n">
        <v>174</v>
      </c>
      <c r="H3347" s="0" t="s">
        <v>145</v>
      </c>
      <c r="I3347" s="0" t="n">
        <v>3</v>
      </c>
      <c r="J3347" s="0" t="n">
        <f aca="false">F3347*E3347</f>
        <v>180</v>
      </c>
      <c r="K3347" s="0" t="str">
        <f aca="false">IF(G3347&lt;1000,"1-Low",IF(G3347&lt;5000,"2-Medium","3-Bulk"))</f>
        <v>1-Low</v>
      </c>
      <c r="L3347" s="0" t="str">
        <f aca="false">IF(H3347="TRUE","Out of stock","In stock")</f>
        <v>In stock</v>
      </c>
      <c r="M3347" s="0" t="str">
        <f aca="false">IF(D3347&lt;5,"1) Under 5%",IF(D3347&lt;10,"2) 5-9%",IF(D3347&lt;15,"3) 10-14%",IF(D3347&lt;25,"4) 15-24%","5) 25%+"))))</f>
        <v>1) Under 5%</v>
      </c>
      <c r="N3347" s="0" t="str">
        <f aca="false">IF(F3347&lt;50,"1) Under Rs 50",IF(F3347&lt;100,"2) Rs 50-99",IF(F3347&lt;200,"3) Rs 100-199",IF(F3347&lt;500,"4) Rs 200-499","5) Rs 500+"))))</f>
        <v>3) Rs 100-199</v>
      </c>
      <c r="O3347" s="0" t="n">
        <f aca="false">G3347*E3347/1000</f>
        <v>0.174</v>
      </c>
    </row>
    <row r="3348" customFormat="false" ht="15" hidden="false" customHeight="false" outlineLevel="0" collapsed="false">
      <c r="A3348" s="0" t="s">
        <v>119</v>
      </c>
      <c r="B3348" s="0" t="s">
        <v>1464</v>
      </c>
      <c r="C3348" s="0" t="n">
        <v>285</v>
      </c>
      <c r="D3348" s="0" t="n">
        <v>7</v>
      </c>
      <c r="E3348" s="0" t="n">
        <v>6</v>
      </c>
      <c r="F3348" s="0" t="n">
        <v>263</v>
      </c>
      <c r="G3348" s="0" t="n">
        <v>500</v>
      </c>
      <c r="H3348" s="0" t="s">
        <v>145</v>
      </c>
      <c r="I3348" s="0" t="n">
        <v>500</v>
      </c>
      <c r="J3348" s="0" t="n">
        <f aca="false">F3348*E3348</f>
        <v>1578</v>
      </c>
      <c r="K3348" s="0" t="str">
        <f aca="false">IF(G3348&lt;1000,"1-Low",IF(G3348&lt;5000,"2-Medium","3-Bulk"))</f>
        <v>1-Low</v>
      </c>
      <c r="L3348" s="0" t="str">
        <f aca="false">IF(H3348="TRUE","Out of stock","In stock")</f>
        <v>In stock</v>
      </c>
      <c r="M3348" s="0" t="str">
        <f aca="false">IF(D3348&lt;5,"1) Under 5%",IF(D3348&lt;10,"2) 5-9%",IF(D3348&lt;15,"3) 10-14%",IF(D3348&lt;25,"4) 15-24%","5) 25%+"))))</f>
        <v>2) 5-9%</v>
      </c>
      <c r="N3348" s="0" t="str">
        <f aca="false">IF(F3348&lt;50,"1) Under Rs 50",IF(F3348&lt;100,"2) Rs 50-99",IF(F3348&lt;200,"3) Rs 100-199",IF(F3348&lt;500,"4) Rs 200-499","5) Rs 500+"))))</f>
        <v>4) Rs 200-499</v>
      </c>
      <c r="O3348" s="0" t="n">
        <f aca="false">G3348*E3348/1000</f>
        <v>3</v>
      </c>
    </row>
    <row r="3349" customFormat="false" ht="15" hidden="false" customHeight="false" outlineLevel="0" collapsed="false">
      <c r="A3349" s="0" t="s">
        <v>119</v>
      </c>
      <c r="B3349" s="0" t="s">
        <v>1488</v>
      </c>
      <c r="C3349" s="0" t="n">
        <v>235</v>
      </c>
      <c r="D3349" s="0" t="n">
        <v>7</v>
      </c>
      <c r="E3349" s="0" t="n">
        <v>6</v>
      </c>
      <c r="F3349" s="0" t="n">
        <v>218</v>
      </c>
      <c r="G3349" s="0" t="n">
        <v>1160</v>
      </c>
      <c r="H3349" s="0" t="s">
        <v>145</v>
      </c>
      <c r="I3349" s="0" t="n">
        <v>20</v>
      </c>
      <c r="J3349" s="0" t="n">
        <f aca="false">F3349*E3349</f>
        <v>1308</v>
      </c>
      <c r="K3349" s="0" t="str">
        <f aca="false">IF(G3349&lt;1000,"1-Low",IF(G3349&lt;5000,"2-Medium","3-Bulk"))</f>
        <v>2-Medium</v>
      </c>
      <c r="L3349" s="0" t="str">
        <f aca="false">IF(H3349="TRUE","Out of stock","In stock")</f>
        <v>In stock</v>
      </c>
      <c r="M3349" s="0" t="str">
        <f aca="false">IF(D3349&lt;5,"1) Under 5%",IF(D3349&lt;10,"2) 5-9%",IF(D3349&lt;15,"3) 10-14%",IF(D3349&lt;25,"4) 15-24%","5) 25%+"))))</f>
        <v>2) 5-9%</v>
      </c>
      <c r="N3349" s="0" t="str">
        <f aca="false">IF(F3349&lt;50,"1) Under Rs 50",IF(F3349&lt;100,"2) Rs 50-99",IF(F3349&lt;200,"3) Rs 100-199",IF(F3349&lt;500,"4) Rs 200-499","5) Rs 500+"))))</f>
        <v>4) Rs 200-499</v>
      </c>
      <c r="O3349" s="0" t="n">
        <f aca="false">G3349*E3349/1000</f>
        <v>6.96</v>
      </c>
    </row>
    <row r="3350" customFormat="false" ht="15" hidden="false" customHeight="false" outlineLevel="0" collapsed="false">
      <c r="A3350" s="0" t="s">
        <v>119</v>
      </c>
      <c r="B3350" s="0" t="s">
        <v>1489</v>
      </c>
      <c r="C3350" s="0" t="n">
        <v>55</v>
      </c>
      <c r="D3350" s="0" t="n">
        <v>9</v>
      </c>
      <c r="E3350" s="0" t="n">
        <v>6</v>
      </c>
      <c r="F3350" s="0" t="n">
        <v>50</v>
      </c>
      <c r="G3350" s="0" t="n">
        <v>80</v>
      </c>
      <c r="H3350" s="0" t="s">
        <v>145</v>
      </c>
      <c r="I3350" s="0" t="n">
        <v>80</v>
      </c>
      <c r="J3350" s="0" t="n">
        <f aca="false">F3350*E3350</f>
        <v>300</v>
      </c>
      <c r="K3350" s="0" t="str">
        <f aca="false">IF(G3350&lt;1000,"1-Low",IF(G3350&lt;5000,"2-Medium","3-Bulk"))</f>
        <v>1-Low</v>
      </c>
      <c r="L3350" s="0" t="str">
        <f aca="false">IF(H3350="TRUE","Out of stock","In stock")</f>
        <v>In stock</v>
      </c>
      <c r="M3350" s="0" t="str">
        <f aca="false">IF(D3350&lt;5,"1) Under 5%",IF(D3350&lt;10,"2) 5-9%",IF(D3350&lt;15,"3) 10-14%",IF(D3350&lt;25,"4) 15-24%","5) 25%+"))))</f>
        <v>2) 5-9%</v>
      </c>
      <c r="N3350" s="0" t="str">
        <f aca="false">IF(F3350&lt;50,"1) Under Rs 50",IF(F3350&lt;100,"2) Rs 50-99",IF(F3350&lt;200,"3) Rs 100-199",IF(F3350&lt;500,"4) Rs 200-499","5) Rs 500+"))))</f>
        <v>2) Rs 50-99</v>
      </c>
      <c r="O3350" s="0" t="n">
        <f aca="false">G3350*E3350/1000</f>
        <v>0.48</v>
      </c>
    </row>
    <row r="3351" customFormat="false" ht="15" hidden="false" customHeight="false" outlineLevel="0" collapsed="false">
      <c r="A3351" s="0" t="s">
        <v>119</v>
      </c>
      <c r="B3351" s="0" t="s">
        <v>1490</v>
      </c>
      <c r="C3351" s="0" t="n">
        <v>180</v>
      </c>
      <c r="D3351" s="0" t="n">
        <v>0</v>
      </c>
      <c r="E3351" s="0" t="n">
        <v>2</v>
      </c>
      <c r="F3351" s="0" t="n">
        <v>180</v>
      </c>
      <c r="G3351" s="0" t="n">
        <v>625</v>
      </c>
      <c r="H3351" s="0" t="s">
        <v>145</v>
      </c>
      <c r="I3351" s="0" t="n">
        <v>625</v>
      </c>
      <c r="J3351" s="0" t="n">
        <f aca="false">F3351*E3351</f>
        <v>360</v>
      </c>
      <c r="K3351" s="0" t="str">
        <f aca="false">IF(G3351&lt;1000,"1-Low",IF(G3351&lt;5000,"2-Medium","3-Bulk"))</f>
        <v>1-Low</v>
      </c>
      <c r="L3351" s="0" t="str">
        <f aca="false">IF(H3351="TRUE","Out of stock","In stock")</f>
        <v>In stock</v>
      </c>
      <c r="M3351" s="0" t="str">
        <f aca="false">IF(D3351&lt;5,"1) Under 5%",IF(D3351&lt;10,"2) 5-9%",IF(D3351&lt;15,"3) 10-14%",IF(D3351&lt;25,"4) 15-24%","5) 25%+"))))</f>
        <v>1) Under 5%</v>
      </c>
      <c r="N3351" s="0" t="str">
        <f aca="false">IF(F3351&lt;50,"1) Under Rs 50",IF(F3351&lt;100,"2) Rs 50-99",IF(F3351&lt;200,"3) Rs 100-199",IF(F3351&lt;500,"4) Rs 200-499","5) Rs 500+"))))</f>
        <v>3) Rs 100-199</v>
      </c>
      <c r="O3351" s="0" t="n">
        <f aca="false">G3351*E3351/1000</f>
        <v>1.25</v>
      </c>
    </row>
    <row r="3352" customFormat="false" ht="15" hidden="false" customHeight="false" outlineLevel="0" collapsed="false">
      <c r="A3352" s="0" t="s">
        <v>119</v>
      </c>
      <c r="B3352" s="0" t="s">
        <v>1491</v>
      </c>
      <c r="C3352" s="0" t="n">
        <v>425</v>
      </c>
      <c r="D3352" s="0" t="n">
        <v>20</v>
      </c>
      <c r="E3352" s="0" t="n">
        <v>5</v>
      </c>
      <c r="F3352" s="0" t="n">
        <v>340</v>
      </c>
      <c r="G3352" s="0" t="n">
        <v>400</v>
      </c>
      <c r="H3352" s="0" t="s">
        <v>145</v>
      </c>
      <c r="I3352" s="0" t="n">
        <v>9</v>
      </c>
      <c r="J3352" s="0" t="n">
        <f aca="false">F3352*E3352</f>
        <v>1700</v>
      </c>
      <c r="K3352" s="0" t="str">
        <f aca="false">IF(G3352&lt;1000,"1-Low",IF(G3352&lt;5000,"2-Medium","3-Bulk"))</f>
        <v>1-Low</v>
      </c>
      <c r="L3352" s="0" t="str">
        <f aca="false">IF(H3352="TRUE","Out of stock","In stock")</f>
        <v>In stock</v>
      </c>
      <c r="M3352" s="0" t="str">
        <f aca="false">IF(D3352&lt;5,"1) Under 5%",IF(D3352&lt;10,"2) 5-9%",IF(D3352&lt;15,"3) 10-14%",IF(D3352&lt;25,"4) 15-24%","5) 25%+"))))</f>
        <v>4) 15-24%</v>
      </c>
      <c r="N3352" s="0" t="str">
        <f aca="false">IF(F3352&lt;50,"1) Under Rs 50",IF(F3352&lt;100,"2) Rs 50-99",IF(F3352&lt;200,"3) Rs 100-199",IF(F3352&lt;500,"4) Rs 200-499","5) Rs 500+"))))</f>
        <v>4) Rs 200-499</v>
      </c>
      <c r="O3352" s="0" t="n">
        <f aca="false">G3352*E3352/1000</f>
        <v>2</v>
      </c>
    </row>
    <row r="3353" customFormat="false" ht="15" hidden="false" customHeight="false" outlineLevel="0" collapsed="false">
      <c r="A3353" s="0" t="s">
        <v>119</v>
      </c>
      <c r="B3353" s="0" t="s">
        <v>1492</v>
      </c>
      <c r="C3353" s="0" t="n">
        <v>130</v>
      </c>
      <c r="D3353" s="0" t="n">
        <v>0</v>
      </c>
      <c r="E3353" s="0" t="n">
        <v>4</v>
      </c>
      <c r="F3353" s="0" t="n">
        <v>130</v>
      </c>
      <c r="G3353" s="0" t="n">
        <v>50</v>
      </c>
      <c r="H3353" s="0" t="s">
        <v>145</v>
      </c>
      <c r="I3353" s="0" t="n">
        <v>50</v>
      </c>
      <c r="J3353" s="0" t="n">
        <f aca="false">F3353*E3353</f>
        <v>520</v>
      </c>
      <c r="K3353" s="0" t="str">
        <f aca="false">IF(G3353&lt;1000,"1-Low",IF(G3353&lt;5000,"2-Medium","3-Bulk"))</f>
        <v>1-Low</v>
      </c>
      <c r="L3353" s="0" t="str">
        <f aca="false">IF(H3353="TRUE","Out of stock","In stock")</f>
        <v>In stock</v>
      </c>
      <c r="M3353" s="0" t="str">
        <f aca="false">IF(D3353&lt;5,"1) Under 5%",IF(D3353&lt;10,"2) 5-9%",IF(D3353&lt;15,"3) 10-14%",IF(D3353&lt;25,"4) 15-24%","5) 25%+"))))</f>
        <v>1) Under 5%</v>
      </c>
      <c r="N3353" s="0" t="str">
        <f aca="false">IF(F3353&lt;50,"1) Under Rs 50",IF(F3353&lt;100,"2) Rs 50-99",IF(F3353&lt;200,"3) Rs 100-199",IF(F3353&lt;500,"4) Rs 200-499","5) Rs 500+"))))</f>
        <v>3) Rs 100-199</v>
      </c>
      <c r="O3353" s="0" t="n">
        <f aca="false">G3353*E3353/1000</f>
        <v>0.2</v>
      </c>
    </row>
    <row r="3354" customFormat="false" ht="15" hidden="false" customHeight="false" outlineLevel="0" collapsed="false">
      <c r="A3354" s="0" t="s">
        <v>119</v>
      </c>
      <c r="B3354" s="0" t="s">
        <v>1493</v>
      </c>
      <c r="C3354" s="0" t="n">
        <v>550</v>
      </c>
      <c r="D3354" s="0" t="n">
        <v>0</v>
      </c>
      <c r="E3354" s="0" t="n">
        <v>3</v>
      </c>
      <c r="F3354" s="0" t="n">
        <v>550</v>
      </c>
      <c r="G3354" s="0" t="n">
        <v>159</v>
      </c>
      <c r="H3354" s="0" t="s">
        <v>145</v>
      </c>
      <c r="I3354" s="0" t="n">
        <v>172</v>
      </c>
      <c r="J3354" s="0" t="n">
        <f aca="false">F3354*E3354</f>
        <v>1650</v>
      </c>
      <c r="K3354" s="0" t="str">
        <f aca="false">IF(G3354&lt;1000,"1-Low",IF(G3354&lt;5000,"2-Medium","3-Bulk"))</f>
        <v>1-Low</v>
      </c>
      <c r="L3354" s="0" t="str">
        <f aca="false">IF(H3354="TRUE","Out of stock","In stock")</f>
        <v>In stock</v>
      </c>
      <c r="M3354" s="0" t="str">
        <f aca="false">IF(D3354&lt;5,"1) Under 5%",IF(D3354&lt;10,"2) 5-9%",IF(D3354&lt;15,"3) 10-14%",IF(D3354&lt;25,"4) 15-24%","5) 25%+"))))</f>
        <v>1) Under 5%</v>
      </c>
      <c r="N3354" s="0" t="str">
        <f aca="false">IF(F3354&lt;50,"1) Under Rs 50",IF(F3354&lt;100,"2) Rs 50-99",IF(F3354&lt;200,"3) Rs 100-199",IF(F3354&lt;500,"4) Rs 200-499","5) Rs 500+"))))</f>
        <v>5) Rs 500+</v>
      </c>
      <c r="O3354" s="0" t="n">
        <f aca="false">G3354*E3354/1000</f>
        <v>0.477</v>
      </c>
    </row>
    <row r="3355" customFormat="false" ht="15" hidden="false" customHeight="false" outlineLevel="0" collapsed="false">
      <c r="A3355" s="0" t="s">
        <v>119</v>
      </c>
      <c r="B3355" s="0" t="s">
        <v>1368</v>
      </c>
      <c r="C3355" s="0" t="n">
        <v>235</v>
      </c>
      <c r="D3355" s="0" t="n">
        <v>0</v>
      </c>
      <c r="E3355" s="0" t="n">
        <v>6</v>
      </c>
      <c r="F3355" s="0" t="n">
        <v>235</v>
      </c>
      <c r="G3355" s="0" t="n">
        <v>400</v>
      </c>
      <c r="H3355" s="0" t="s">
        <v>145</v>
      </c>
      <c r="I3355" s="0" t="n">
        <v>400</v>
      </c>
      <c r="J3355" s="0" t="n">
        <f aca="false">F3355*E3355</f>
        <v>1410</v>
      </c>
      <c r="K3355" s="0" t="str">
        <f aca="false">IF(G3355&lt;1000,"1-Low",IF(G3355&lt;5000,"2-Medium","3-Bulk"))</f>
        <v>1-Low</v>
      </c>
      <c r="L3355" s="0" t="str">
        <f aca="false">IF(H3355="TRUE","Out of stock","In stock")</f>
        <v>In stock</v>
      </c>
      <c r="M3355" s="0" t="str">
        <f aca="false">IF(D3355&lt;5,"1) Under 5%",IF(D3355&lt;10,"2) 5-9%",IF(D3355&lt;15,"3) 10-14%",IF(D3355&lt;25,"4) 15-24%","5) 25%+"))))</f>
        <v>1) Under 5%</v>
      </c>
      <c r="N3355" s="0" t="str">
        <f aca="false">IF(F3355&lt;50,"1) Under Rs 50",IF(F3355&lt;100,"2) Rs 50-99",IF(F3355&lt;200,"3) Rs 100-199",IF(F3355&lt;500,"4) Rs 200-499","5) Rs 500+"))))</f>
        <v>4) Rs 200-499</v>
      </c>
      <c r="O3355" s="0" t="n">
        <f aca="false">G3355*E3355/1000</f>
        <v>2.4</v>
      </c>
    </row>
    <row r="3356" customFormat="false" ht="15" hidden="false" customHeight="false" outlineLevel="0" collapsed="false">
      <c r="A3356" s="0" t="s">
        <v>119</v>
      </c>
      <c r="B3356" s="0" t="s">
        <v>1494</v>
      </c>
      <c r="C3356" s="0" t="n">
        <v>249</v>
      </c>
      <c r="D3356" s="0" t="n">
        <v>0</v>
      </c>
      <c r="E3356" s="0" t="n">
        <v>4</v>
      </c>
      <c r="F3356" s="0" t="n">
        <v>249</v>
      </c>
      <c r="G3356" s="0" t="n">
        <v>100</v>
      </c>
      <c r="H3356" s="0" t="s">
        <v>145</v>
      </c>
      <c r="I3356" s="0" t="n">
        <v>100</v>
      </c>
      <c r="J3356" s="0" t="n">
        <f aca="false">F3356*E3356</f>
        <v>996</v>
      </c>
      <c r="K3356" s="0" t="str">
        <f aca="false">IF(G3356&lt;1000,"1-Low",IF(G3356&lt;5000,"2-Medium","3-Bulk"))</f>
        <v>1-Low</v>
      </c>
      <c r="L3356" s="0" t="str">
        <f aca="false">IF(H3356="TRUE","Out of stock","In stock")</f>
        <v>In stock</v>
      </c>
      <c r="M3356" s="0" t="str">
        <f aca="false">IF(D3356&lt;5,"1) Under 5%",IF(D3356&lt;10,"2) 5-9%",IF(D3356&lt;15,"3) 10-14%",IF(D3356&lt;25,"4) 15-24%","5) 25%+"))))</f>
        <v>1) Under 5%</v>
      </c>
      <c r="N3356" s="0" t="str">
        <f aca="false">IF(F3356&lt;50,"1) Under Rs 50",IF(F3356&lt;100,"2) Rs 50-99",IF(F3356&lt;200,"3) Rs 100-199",IF(F3356&lt;500,"4) Rs 200-499","5) Rs 500+"))))</f>
        <v>4) Rs 200-499</v>
      </c>
      <c r="O3356" s="0" t="n">
        <f aca="false">G3356*E3356/1000</f>
        <v>0.4</v>
      </c>
    </row>
    <row r="3357" customFormat="false" ht="15" hidden="false" customHeight="false" outlineLevel="0" collapsed="false">
      <c r="A3357" s="0" t="s">
        <v>119</v>
      </c>
      <c r="B3357" s="0" t="s">
        <v>1495</v>
      </c>
      <c r="C3357" s="0" t="n">
        <v>20</v>
      </c>
      <c r="D3357" s="0" t="n">
        <v>0</v>
      </c>
      <c r="E3357" s="0" t="n">
        <v>3</v>
      </c>
      <c r="F3357" s="0" t="n">
        <v>20</v>
      </c>
      <c r="G3357" s="0" t="n">
        <v>58</v>
      </c>
      <c r="H3357" s="0" t="s">
        <v>145</v>
      </c>
      <c r="I3357" s="0" t="n">
        <v>1</v>
      </c>
      <c r="J3357" s="0" t="n">
        <f aca="false">F3357*E3357</f>
        <v>60</v>
      </c>
      <c r="K3357" s="0" t="str">
        <f aca="false">IF(G3357&lt;1000,"1-Low",IF(G3357&lt;5000,"2-Medium","3-Bulk"))</f>
        <v>1-Low</v>
      </c>
      <c r="L3357" s="0" t="str">
        <f aca="false">IF(H3357="TRUE","Out of stock","In stock")</f>
        <v>In stock</v>
      </c>
      <c r="M3357" s="0" t="str">
        <f aca="false">IF(D3357&lt;5,"1) Under 5%",IF(D3357&lt;10,"2) 5-9%",IF(D3357&lt;15,"3) 10-14%",IF(D3357&lt;25,"4) 15-24%","5) 25%+"))))</f>
        <v>1) Under 5%</v>
      </c>
      <c r="N3357" s="0" t="str">
        <f aca="false">IF(F3357&lt;50,"1) Under Rs 50",IF(F3357&lt;100,"2) Rs 50-99",IF(F3357&lt;200,"3) Rs 100-199",IF(F3357&lt;500,"4) Rs 200-499","5) Rs 500+"))))</f>
        <v>1) Under Rs 50</v>
      </c>
      <c r="O3357" s="0" t="n">
        <f aca="false">G3357*E3357/1000</f>
        <v>0.174</v>
      </c>
    </row>
    <row r="3358" customFormat="false" ht="15" hidden="false" customHeight="false" outlineLevel="0" collapsed="false">
      <c r="A3358" s="0" t="s">
        <v>119</v>
      </c>
      <c r="B3358" s="0" t="s">
        <v>1496</v>
      </c>
      <c r="C3358" s="0" t="n">
        <v>135</v>
      </c>
      <c r="D3358" s="0" t="n">
        <v>5</v>
      </c>
      <c r="E3358" s="0" t="n">
        <v>6</v>
      </c>
      <c r="F3358" s="0" t="n">
        <v>128</v>
      </c>
      <c r="G3358" s="0" t="n">
        <v>50</v>
      </c>
      <c r="H3358" s="0" t="s">
        <v>145</v>
      </c>
      <c r="I3358" s="0" t="n">
        <v>50</v>
      </c>
      <c r="J3358" s="0" t="n">
        <f aca="false">F3358*E3358</f>
        <v>768</v>
      </c>
      <c r="K3358" s="0" t="str">
        <f aca="false">IF(G3358&lt;1000,"1-Low",IF(G3358&lt;5000,"2-Medium","3-Bulk"))</f>
        <v>1-Low</v>
      </c>
      <c r="L3358" s="0" t="str">
        <f aca="false">IF(H3358="TRUE","Out of stock","In stock")</f>
        <v>In stock</v>
      </c>
      <c r="M3358" s="0" t="str">
        <f aca="false">IF(D3358&lt;5,"1) Under 5%",IF(D3358&lt;10,"2) 5-9%",IF(D3358&lt;15,"3) 10-14%",IF(D3358&lt;25,"4) 15-24%","5) 25%+"))))</f>
        <v>2) 5-9%</v>
      </c>
      <c r="N3358" s="0" t="str">
        <f aca="false">IF(F3358&lt;50,"1) Under Rs 50",IF(F3358&lt;100,"2) Rs 50-99",IF(F3358&lt;200,"3) Rs 100-199",IF(F3358&lt;500,"4) Rs 200-499","5) Rs 500+"))))</f>
        <v>3) Rs 100-199</v>
      </c>
      <c r="O3358" s="0" t="n">
        <f aca="false">G3358*E3358/1000</f>
        <v>0.3</v>
      </c>
    </row>
    <row r="3359" customFormat="false" ht="15" hidden="false" customHeight="false" outlineLevel="0" collapsed="false">
      <c r="A3359" s="0" t="s">
        <v>119</v>
      </c>
      <c r="B3359" s="0" t="s">
        <v>1427</v>
      </c>
      <c r="C3359" s="0" t="n">
        <v>240</v>
      </c>
      <c r="D3359" s="0" t="n">
        <v>0</v>
      </c>
      <c r="E3359" s="0" t="n">
        <v>4</v>
      </c>
      <c r="F3359" s="0" t="n">
        <v>240</v>
      </c>
      <c r="G3359" s="0" t="n">
        <v>340</v>
      </c>
      <c r="H3359" s="0" t="s">
        <v>145</v>
      </c>
      <c r="I3359" s="0" t="n">
        <v>340</v>
      </c>
      <c r="J3359" s="0" t="n">
        <f aca="false">F3359*E3359</f>
        <v>960</v>
      </c>
      <c r="K3359" s="0" t="str">
        <f aca="false">IF(G3359&lt;1000,"1-Low",IF(G3359&lt;5000,"2-Medium","3-Bulk"))</f>
        <v>1-Low</v>
      </c>
      <c r="L3359" s="0" t="str">
        <f aca="false">IF(H3359="TRUE","Out of stock","In stock")</f>
        <v>In stock</v>
      </c>
      <c r="M3359" s="0" t="str">
        <f aca="false">IF(D3359&lt;5,"1) Under 5%",IF(D3359&lt;10,"2) 5-9%",IF(D3359&lt;15,"3) 10-14%",IF(D3359&lt;25,"4) 15-24%","5) 25%+"))))</f>
        <v>1) Under 5%</v>
      </c>
      <c r="N3359" s="0" t="str">
        <f aca="false">IF(F3359&lt;50,"1) Under Rs 50",IF(F3359&lt;100,"2) Rs 50-99",IF(F3359&lt;200,"3) Rs 100-199",IF(F3359&lt;500,"4) Rs 200-499","5) Rs 500+"))))</f>
        <v>4) Rs 200-499</v>
      </c>
      <c r="O3359" s="0" t="n">
        <f aca="false">G3359*E3359/1000</f>
        <v>1.36</v>
      </c>
    </row>
    <row r="3360" customFormat="false" ht="15" hidden="false" customHeight="false" outlineLevel="0" collapsed="false">
      <c r="A3360" s="0" t="s">
        <v>119</v>
      </c>
      <c r="B3360" s="0" t="s">
        <v>1497</v>
      </c>
      <c r="C3360" s="0" t="n">
        <v>199</v>
      </c>
      <c r="D3360" s="0" t="n">
        <v>0</v>
      </c>
      <c r="E3360" s="0" t="n">
        <v>6</v>
      </c>
      <c r="F3360" s="0" t="n">
        <v>199</v>
      </c>
      <c r="G3360" s="0" t="n">
        <v>192</v>
      </c>
      <c r="H3360" s="0" t="s">
        <v>145</v>
      </c>
      <c r="I3360" s="0" t="n">
        <v>192</v>
      </c>
      <c r="J3360" s="0" t="n">
        <f aca="false">F3360*E3360</f>
        <v>1194</v>
      </c>
      <c r="K3360" s="0" t="str">
        <f aca="false">IF(G3360&lt;1000,"1-Low",IF(G3360&lt;5000,"2-Medium","3-Bulk"))</f>
        <v>1-Low</v>
      </c>
      <c r="L3360" s="0" t="str">
        <f aca="false">IF(H3360="TRUE","Out of stock","In stock")</f>
        <v>In stock</v>
      </c>
      <c r="M3360" s="0" t="str">
        <f aca="false">IF(D3360&lt;5,"1) Under 5%",IF(D3360&lt;10,"2) 5-9%",IF(D3360&lt;15,"3) 10-14%",IF(D3360&lt;25,"4) 15-24%","5) 25%+"))))</f>
        <v>1) Under 5%</v>
      </c>
      <c r="N3360" s="0" t="str">
        <f aca="false">IF(F3360&lt;50,"1) Under Rs 50",IF(F3360&lt;100,"2) Rs 50-99",IF(F3360&lt;200,"3) Rs 100-199",IF(F3360&lt;500,"4) Rs 200-499","5) Rs 500+"))))</f>
        <v>3) Rs 100-199</v>
      </c>
      <c r="O3360" s="0" t="n">
        <f aca="false">G3360*E3360/1000</f>
        <v>1.152</v>
      </c>
    </row>
    <row r="3361" customFormat="false" ht="15" hidden="false" customHeight="false" outlineLevel="0" collapsed="false">
      <c r="A3361" s="0" t="s">
        <v>119</v>
      </c>
      <c r="B3361" s="0" t="s">
        <v>1498</v>
      </c>
      <c r="C3361" s="0" t="n">
        <v>275</v>
      </c>
      <c r="D3361" s="0" t="n">
        <v>10</v>
      </c>
      <c r="E3361" s="0" t="n">
        <v>6</v>
      </c>
      <c r="F3361" s="0" t="n">
        <v>247</v>
      </c>
      <c r="G3361" s="0" t="n">
        <v>200</v>
      </c>
      <c r="H3361" s="0" t="s">
        <v>145</v>
      </c>
      <c r="I3361" s="0" t="n">
        <v>200</v>
      </c>
      <c r="J3361" s="0" t="n">
        <f aca="false">F3361*E3361</f>
        <v>1482</v>
      </c>
      <c r="K3361" s="0" t="str">
        <f aca="false">IF(G3361&lt;1000,"1-Low",IF(G3361&lt;5000,"2-Medium","3-Bulk"))</f>
        <v>1-Low</v>
      </c>
      <c r="L3361" s="0" t="str">
        <f aca="false">IF(H3361="TRUE","Out of stock","In stock")</f>
        <v>In stock</v>
      </c>
      <c r="M3361" s="0" t="str">
        <f aca="false">IF(D3361&lt;5,"1) Under 5%",IF(D3361&lt;10,"2) 5-9%",IF(D3361&lt;15,"3) 10-14%",IF(D3361&lt;25,"4) 15-24%","5) 25%+"))))</f>
        <v>3) 10-14%</v>
      </c>
      <c r="N3361" s="0" t="str">
        <f aca="false">IF(F3361&lt;50,"1) Under Rs 50",IF(F3361&lt;100,"2) Rs 50-99",IF(F3361&lt;200,"3) Rs 100-199",IF(F3361&lt;500,"4) Rs 200-499","5) Rs 500+"))))</f>
        <v>4) Rs 200-499</v>
      </c>
      <c r="O3361" s="0" t="n">
        <f aca="false">G3361*E3361/1000</f>
        <v>1.2</v>
      </c>
    </row>
    <row r="3362" customFormat="false" ht="15" hidden="false" customHeight="false" outlineLevel="0" collapsed="false">
      <c r="A3362" s="0" t="s">
        <v>119</v>
      </c>
      <c r="B3362" s="0" t="s">
        <v>1499</v>
      </c>
      <c r="C3362" s="0" t="n">
        <v>1549</v>
      </c>
      <c r="D3362" s="0" t="n">
        <v>45</v>
      </c>
      <c r="E3362" s="0" t="n">
        <v>3</v>
      </c>
      <c r="F3362" s="0" t="n">
        <v>849</v>
      </c>
      <c r="G3362" s="0" t="n">
        <v>82</v>
      </c>
      <c r="H3362" s="0" t="s">
        <v>145</v>
      </c>
      <c r="I3362" s="0" t="n">
        <v>82</v>
      </c>
      <c r="J3362" s="0" t="n">
        <f aca="false">F3362*E3362</f>
        <v>2547</v>
      </c>
      <c r="K3362" s="0" t="str">
        <f aca="false">IF(G3362&lt;1000,"1-Low",IF(G3362&lt;5000,"2-Medium","3-Bulk"))</f>
        <v>1-Low</v>
      </c>
      <c r="L3362" s="0" t="str">
        <f aca="false">IF(H3362="TRUE","Out of stock","In stock")</f>
        <v>In stock</v>
      </c>
      <c r="M3362" s="0" t="str">
        <f aca="false">IF(D3362&lt;5,"1) Under 5%",IF(D3362&lt;10,"2) 5-9%",IF(D3362&lt;15,"3) 10-14%",IF(D3362&lt;25,"4) 15-24%","5) 25%+"))))</f>
        <v>5) 25%+</v>
      </c>
      <c r="N3362" s="0" t="str">
        <f aca="false">IF(F3362&lt;50,"1) Under Rs 50",IF(F3362&lt;100,"2) Rs 50-99",IF(F3362&lt;200,"3) Rs 100-199",IF(F3362&lt;500,"4) Rs 200-499","5) Rs 500+"))))</f>
        <v>5) Rs 500+</v>
      </c>
      <c r="O3362" s="0" t="n">
        <f aca="false">G3362*E3362/1000</f>
        <v>0.246</v>
      </c>
    </row>
    <row r="3363" customFormat="false" ht="15" hidden="false" customHeight="false" outlineLevel="0" collapsed="false">
      <c r="A3363" s="0" t="s">
        <v>119</v>
      </c>
      <c r="B3363" s="0" t="s">
        <v>1500</v>
      </c>
      <c r="C3363" s="0" t="n">
        <v>195</v>
      </c>
      <c r="D3363" s="0" t="n">
        <v>10</v>
      </c>
      <c r="E3363" s="0" t="n">
        <v>6</v>
      </c>
      <c r="F3363" s="0" t="n">
        <v>174</v>
      </c>
      <c r="G3363" s="0" t="n">
        <v>150</v>
      </c>
      <c r="H3363" s="0" t="s">
        <v>145</v>
      </c>
      <c r="I3363" s="0" t="n">
        <v>150</v>
      </c>
      <c r="J3363" s="0" t="n">
        <f aca="false">F3363*E3363</f>
        <v>1044</v>
      </c>
      <c r="K3363" s="0" t="str">
        <f aca="false">IF(G3363&lt;1000,"1-Low",IF(G3363&lt;5000,"2-Medium","3-Bulk"))</f>
        <v>1-Low</v>
      </c>
      <c r="L3363" s="0" t="str">
        <f aca="false">IF(H3363="TRUE","Out of stock","In stock")</f>
        <v>In stock</v>
      </c>
      <c r="M3363" s="0" t="str">
        <f aca="false">IF(D3363&lt;5,"1) Under 5%",IF(D3363&lt;10,"2) 5-9%",IF(D3363&lt;15,"3) 10-14%",IF(D3363&lt;25,"4) 15-24%","5) 25%+"))))</f>
        <v>3) 10-14%</v>
      </c>
      <c r="N3363" s="0" t="str">
        <f aca="false">IF(F3363&lt;50,"1) Under Rs 50",IF(F3363&lt;100,"2) Rs 50-99",IF(F3363&lt;200,"3) Rs 100-199",IF(F3363&lt;500,"4) Rs 200-499","5) Rs 500+"))))</f>
        <v>3) Rs 100-199</v>
      </c>
      <c r="O3363" s="0" t="n">
        <f aca="false">G3363*E3363/1000</f>
        <v>0.9</v>
      </c>
    </row>
    <row r="3364" customFormat="false" ht="15" hidden="false" customHeight="false" outlineLevel="0" collapsed="false">
      <c r="A3364" s="0" t="s">
        <v>119</v>
      </c>
      <c r="B3364" s="0" t="s">
        <v>1501</v>
      </c>
      <c r="C3364" s="0" t="n">
        <v>375</v>
      </c>
      <c r="D3364" s="0" t="n">
        <v>10</v>
      </c>
      <c r="E3364" s="0" t="n">
        <v>6</v>
      </c>
      <c r="F3364" s="0" t="n">
        <v>334</v>
      </c>
      <c r="G3364" s="0" t="n">
        <v>340</v>
      </c>
      <c r="H3364" s="0" t="s">
        <v>145</v>
      </c>
      <c r="I3364" s="0" t="n">
        <v>340</v>
      </c>
      <c r="J3364" s="0" t="n">
        <f aca="false">F3364*E3364</f>
        <v>2004</v>
      </c>
      <c r="K3364" s="0" t="str">
        <f aca="false">IF(G3364&lt;1000,"1-Low",IF(G3364&lt;5000,"2-Medium","3-Bulk"))</f>
        <v>1-Low</v>
      </c>
      <c r="L3364" s="0" t="str">
        <f aca="false">IF(H3364="TRUE","Out of stock","In stock")</f>
        <v>In stock</v>
      </c>
      <c r="M3364" s="0" t="str">
        <f aca="false">IF(D3364&lt;5,"1) Under 5%",IF(D3364&lt;10,"2) 5-9%",IF(D3364&lt;15,"3) 10-14%",IF(D3364&lt;25,"4) 15-24%","5) 25%+"))))</f>
        <v>3) 10-14%</v>
      </c>
      <c r="N3364" s="0" t="str">
        <f aca="false">IF(F3364&lt;50,"1) Under Rs 50",IF(F3364&lt;100,"2) Rs 50-99",IF(F3364&lt;200,"3) Rs 100-199",IF(F3364&lt;500,"4) Rs 200-499","5) Rs 500+"))))</f>
        <v>4) Rs 200-499</v>
      </c>
      <c r="O3364" s="0" t="n">
        <f aca="false">G3364*E3364/1000</f>
        <v>2.04</v>
      </c>
    </row>
    <row r="3365" customFormat="false" ht="15" hidden="false" customHeight="false" outlineLevel="0" collapsed="false">
      <c r="A3365" s="0" t="s">
        <v>119</v>
      </c>
      <c r="B3365" s="0" t="s">
        <v>1502</v>
      </c>
      <c r="C3365" s="0" t="n">
        <v>85</v>
      </c>
      <c r="D3365" s="0" t="n">
        <v>7</v>
      </c>
      <c r="E3365" s="0" t="n">
        <v>4</v>
      </c>
      <c r="F3365" s="0" t="n">
        <v>79</v>
      </c>
      <c r="G3365" s="0" t="n">
        <v>64</v>
      </c>
      <c r="H3365" s="0" t="s">
        <v>145</v>
      </c>
      <c r="I3365" s="0" t="n">
        <v>64</v>
      </c>
      <c r="J3365" s="0" t="n">
        <f aca="false">F3365*E3365</f>
        <v>316</v>
      </c>
      <c r="K3365" s="0" t="str">
        <f aca="false">IF(G3365&lt;1000,"1-Low",IF(G3365&lt;5000,"2-Medium","3-Bulk"))</f>
        <v>1-Low</v>
      </c>
      <c r="L3365" s="0" t="str">
        <f aca="false">IF(H3365="TRUE","Out of stock","In stock")</f>
        <v>In stock</v>
      </c>
      <c r="M3365" s="0" t="str">
        <f aca="false">IF(D3365&lt;5,"1) Under 5%",IF(D3365&lt;10,"2) 5-9%",IF(D3365&lt;15,"3) 10-14%",IF(D3365&lt;25,"4) 15-24%","5) 25%+"))))</f>
        <v>2) 5-9%</v>
      </c>
      <c r="N3365" s="0" t="str">
        <f aca="false">IF(F3365&lt;50,"1) Under Rs 50",IF(F3365&lt;100,"2) Rs 50-99",IF(F3365&lt;200,"3) Rs 100-199",IF(F3365&lt;500,"4) Rs 200-499","5) Rs 500+"))))</f>
        <v>2) Rs 50-99</v>
      </c>
      <c r="O3365" s="0" t="n">
        <f aca="false">G3365*E3365/1000</f>
        <v>0.256</v>
      </c>
    </row>
    <row r="3366" customFormat="false" ht="15" hidden="false" customHeight="false" outlineLevel="0" collapsed="false">
      <c r="A3366" s="0" t="s">
        <v>119</v>
      </c>
      <c r="B3366" s="0" t="s">
        <v>1503</v>
      </c>
      <c r="C3366" s="0" t="n">
        <v>195</v>
      </c>
      <c r="D3366" s="0" t="n">
        <v>9</v>
      </c>
      <c r="E3366" s="0" t="n">
        <v>6</v>
      </c>
      <c r="F3366" s="0" t="n">
        <v>176</v>
      </c>
      <c r="G3366" s="0" t="n">
        <v>150</v>
      </c>
      <c r="H3366" s="0" t="s">
        <v>145</v>
      </c>
      <c r="I3366" s="0" t="n">
        <v>150</v>
      </c>
      <c r="J3366" s="0" t="n">
        <f aca="false">F3366*E3366</f>
        <v>1056</v>
      </c>
      <c r="K3366" s="0" t="str">
        <f aca="false">IF(G3366&lt;1000,"1-Low",IF(G3366&lt;5000,"2-Medium","3-Bulk"))</f>
        <v>1-Low</v>
      </c>
      <c r="L3366" s="0" t="str">
        <f aca="false">IF(H3366="TRUE","Out of stock","In stock")</f>
        <v>In stock</v>
      </c>
      <c r="M3366" s="0" t="str">
        <f aca="false">IF(D3366&lt;5,"1) Under 5%",IF(D3366&lt;10,"2) 5-9%",IF(D3366&lt;15,"3) 10-14%",IF(D3366&lt;25,"4) 15-24%","5) 25%+"))))</f>
        <v>2) 5-9%</v>
      </c>
      <c r="N3366" s="0" t="str">
        <f aca="false">IF(F3366&lt;50,"1) Under Rs 50",IF(F3366&lt;100,"2) Rs 50-99",IF(F3366&lt;200,"3) Rs 100-199",IF(F3366&lt;500,"4) Rs 200-499","5) Rs 500+"))))</f>
        <v>3) Rs 100-199</v>
      </c>
      <c r="O3366" s="0" t="n">
        <f aca="false">G3366*E3366/1000</f>
        <v>0.9</v>
      </c>
    </row>
    <row r="3367" customFormat="false" ht="15" hidden="false" customHeight="false" outlineLevel="0" collapsed="false">
      <c r="A3367" s="0" t="s">
        <v>119</v>
      </c>
      <c r="B3367" s="0" t="s">
        <v>1504</v>
      </c>
      <c r="C3367" s="0" t="n">
        <v>115</v>
      </c>
      <c r="D3367" s="0" t="n">
        <v>0</v>
      </c>
      <c r="E3367" s="0" t="n">
        <v>5</v>
      </c>
      <c r="F3367" s="0" t="n">
        <v>115</v>
      </c>
      <c r="G3367" s="0" t="n">
        <v>1160</v>
      </c>
      <c r="H3367" s="0" t="s">
        <v>145</v>
      </c>
      <c r="I3367" s="0" t="n">
        <v>20</v>
      </c>
      <c r="J3367" s="0" t="n">
        <f aca="false">F3367*E3367</f>
        <v>575</v>
      </c>
      <c r="K3367" s="0" t="str">
        <f aca="false">IF(G3367&lt;1000,"1-Low",IF(G3367&lt;5000,"2-Medium","3-Bulk"))</f>
        <v>2-Medium</v>
      </c>
      <c r="L3367" s="0" t="str">
        <f aca="false">IF(H3367="TRUE","Out of stock","In stock")</f>
        <v>In stock</v>
      </c>
      <c r="M3367" s="0" t="str">
        <f aca="false">IF(D3367&lt;5,"1) Under 5%",IF(D3367&lt;10,"2) 5-9%",IF(D3367&lt;15,"3) 10-14%",IF(D3367&lt;25,"4) 15-24%","5) 25%+"))))</f>
        <v>1) Under 5%</v>
      </c>
      <c r="N3367" s="0" t="str">
        <f aca="false">IF(F3367&lt;50,"1) Under Rs 50",IF(F3367&lt;100,"2) Rs 50-99",IF(F3367&lt;200,"3) Rs 100-199",IF(F3367&lt;500,"4) Rs 200-499","5) Rs 500+"))))</f>
        <v>3) Rs 100-199</v>
      </c>
      <c r="O3367" s="0" t="n">
        <f aca="false">G3367*E3367/1000</f>
        <v>5.8</v>
      </c>
    </row>
    <row r="3368" customFormat="false" ht="15" hidden="false" customHeight="false" outlineLevel="0" collapsed="false">
      <c r="A3368" s="0" t="s">
        <v>119</v>
      </c>
      <c r="B3368" s="0" t="s">
        <v>1505</v>
      </c>
      <c r="C3368" s="0" t="n">
        <v>699</v>
      </c>
      <c r="D3368" s="0" t="n">
        <v>21</v>
      </c>
      <c r="E3368" s="0" t="n">
        <v>1</v>
      </c>
      <c r="F3368" s="0" t="n">
        <v>549</v>
      </c>
      <c r="G3368" s="0" t="n">
        <v>50</v>
      </c>
      <c r="H3368" s="0" t="s">
        <v>145</v>
      </c>
      <c r="I3368" s="0" t="n">
        <v>50</v>
      </c>
      <c r="J3368" s="0" t="n">
        <f aca="false">F3368*E3368</f>
        <v>549</v>
      </c>
      <c r="K3368" s="0" t="str">
        <f aca="false">IF(G3368&lt;1000,"1-Low",IF(G3368&lt;5000,"2-Medium","3-Bulk"))</f>
        <v>1-Low</v>
      </c>
      <c r="L3368" s="0" t="str">
        <f aca="false">IF(H3368="TRUE","Out of stock","In stock")</f>
        <v>In stock</v>
      </c>
      <c r="M3368" s="0" t="str">
        <f aca="false">IF(D3368&lt;5,"1) Under 5%",IF(D3368&lt;10,"2) 5-9%",IF(D3368&lt;15,"3) 10-14%",IF(D3368&lt;25,"4) 15-24%","5) 25%+"))))</f>
        <v>4) 15-24%</v>
      </c>
      <c r="N3368" s="0" t="str">
        <f aca="false">IF(F3368&lt;50,"1) Under Rs 50",IF(F3368&lt;100,"2) Rs 50-99",IF(F3368&lt;200,"3) Rs 100-199",IF(F3368&lt;500,"4) Rs 200-499","5) Rs 500+"))))</f>
        <v>5) Rs 500+</v>
      </c>
      <c r="O3368" s="0" t="n">
        <f aca="false">G3368*E3368/1000</f>
        <v>0.05</v>
      </c>
    </row>
    <row r="3369" customFormat="false" ht="15" hidden="false" customHeight="false" outlineLevel="0" collapsed="false">
      <c r="A3369" s="0" t="s">
        <v>119</v>
      </c>
      <c r="B3369" s="0" t="s">
        <v>1506</v>
      </c>
      <c r="C3369" s="0" t="n">
        <v>1099</v>
      </c>
      <c r="D3369" s="0" t="n">
        <v>22</v>
      </c>
      <c r="E3369" s="0" t="n">
        <v>3</v>
      </c>
      <c r="F3369" s="0" t="n">
        <v>849</v>
      </c>
      <c r="G3369" s="0" t="n">
        <v>72</v>
      </c>
      <c r="H3369" s="0" t="s">
        <v>145</v>
      </c>
      <c r="I3369" s="0" t="n">
        <v>72</v>
      </c>
      <c r="J3369" s="0" t="n">
        <f aca="false">F3369*E3369</f>
        <v>2547</v>
      </c>
      <c r="K3369" s="0" t="str">
        <f aca="false">IF(G3369&lt;1000,"1-Low",IF(G3369&lt;5000,"2-Medium","3-Bulk"))</f>
        <v>1-Low</v>
      </c>
      <c r="L3369" s="0" t="str">
        <f aca="false">IF(H3369="TRUE","Out of stock","In stock")</f>
        <v>In stock</v>
      </c>
      <c r="M3369" s="0" t="str">
        <f aca="false">IF(D3369&lt;5,"1) Under 5%",IF(D3369&lt;10,"2) 5-9%",IF(D3369&lt;15,"3) 10-14%",IF(D3369&lt;25,"4) 15-24%","5) 25%+"))))</f>
        <v>4) 15-24%</v>
      </c>
      <c r="N3369" s="0" t="str">
        <f aca="false">IF(F3369&lt;50,"1) Under Rs 50",IF(F3369&lt;100,"2) Rs 50-99",IF(F3369&lt;200,"3) Rs 100-199",IF(F3369&lt;500,"4) Rs 200-499","5) Rs 500+"))))</f>
        <v>5) Rs 500+</v>
      </c>
      <c r="O3369" s="0" t="n">
        <f aca="false">G3369*E3369/1000</f>
        <v>0.216</v>
      </c>
    </row>
    <row r="3370" customFormat="false" ht="15" hidden="false" customHeight="false" outlineLevel="0" collapsed="false">
      <c r="A3370" s="0" t="s">
        <v>119</v>
      </c>
      <c r="B3370" s="0" t="s">
        <v>1507</v>
      </c>
      <c r="C3370" s="0" t="n">
        <v>175</v>
      </c>
      <c r="D3370" s="0" t="n">
        <v>9</v>
      </c>
      <c r="E3370" s="0" t="n">
        <v>6</v>
      </c>
      <c r="F3370" s="0" t="n">
        <v>158</v>
      </c>
      <c r="G3370" s="0" t="n">
        <v>100</v>
      </c>
      <c r="H3370" s="0" t="s">
        <v>145</v>
      </c>
      <c r="I3370" s="0" t="n">
        <v>100</v>
      </c>
      <c r="J3370" s="0" t="n">
        <f aca="false">F3370*E3370</f>
        <v>948</v>
      </c>
      <c r="K3370" s="0" t="str">
        <f aca="false">IF(G3370&lt;1000,"1-Low",IF(G3370&lt;5000,"2-Medium","3-Bulk"))</f>
        <v>1-Low</v>
      </c>
      <c r="L3370" s="0" t="str">
        <f aca="false">IF(H3370="TRUE","Out of stock","In stock")</f>
        <v>In stock</v>
      </c>
      <c r="M3370" s="0" t="str">
        <f aca="false">IF(D3370&lt;5,"1) Under 5%",IF(D3370&lt;10,"2) 5-9%",IF(D3370&lt;15,"3) 10-14%",IF(D3370&lt;25,"4) 15-24%","5) 25%+"))))</f>
        <v>2) 5-9%</v>
      </c>
      <c r="N3370" s="0" t="str">
        <f aca="false">IF(F3370&lt;50,"1) Under Rs 50",IF(F3370&lt;100,"2) Rs 50-99",IF(F3370&lt;200,"3) Rs 100-199",IF(F3370&lt;500,"4) Rs 200-499","5) Rs 500+"))))</f>
        <v>3) Rs 100-199</v>
      </c>
      <c r="O3370" s="0" t="n">
        <f aca="false">G3370*E3370/1000</f>
        <v>0.6</v>
      </c>
    </row>
    <row r="3371" customFormat="false" ht="15" hidden="false" customHeight="false" outlineLevel="0" collapsed="false">
      <c r="A3371" s="0" t="s">
        <v>119</v>
      </c>
      <c r="B3371" s="0" t="s">
        <v>1508</v>
      </c>
      <c r="C3371" s="0" t="n">
        <v>50</v>
      </c>
      <c r="D3371" s="0" t="n">
        <v>0</v>
      </c>
      <c r="E3371" s="0" t="n">
        <v>4</v>
      </c>
      <c r="F3371" s="0" t="n">
        <v>50</v>
      </c>
      <c r="G3371" s="0" t="n">
        <v>130</v>
      </c>
      <c r="H3371" s="0" t="s">
        <v>145</v>
      </c>
      <c r="I3371" s="0" t="n">
        <v>130</v>
      </c>
      <c r="J3371" s="0" t="n">
        <f aca="false">F3371*E3371</f>
        <v>200</v>
      </c>
      <c r="K3371" s="0" t="str">
        <f aca="false">IF(G3371&lt;1000,"1-Low",IF(G3371&lt;5000,"2-Medium","3-Bulk"))</f>
        <v>1-Low</v>
      </c>
      <c r="L3371" s="0" t="str">
        <f aca="false">IF(H3371="TRUE","Out of stock","In stock")</f>
        <v>In stock</v>
      </c>
      <c r="M3371" s="0" t="str">
        <f aca="false">IF(D3371&lt;5,"1) Under 5%",IF(D3371&lt;10,"2) 5-9%",IF(D3371&lt;15,"3) 10-14%",IF(D3371&lt;25,"4) 15-24%","5) 25%+"))))</f>
        <v>1) Under 5%</v>
      </c>
      <c r="N3371" s="0" t="str">
        <f aca="false">IF(F3371&lt;50,"1) Under Rs 50",IF(F3371&lt;100,"2) Rs 50-99",IF(F3371&lt;200,"3) Rs 100-199",IF(F3371&lt;500,"4) Rs 200-499","5) Rs 500+"))))</f>
        <v>2) Rs 50-99</v>
      </c>
      <c r="O3371" s="0" t="n">
        <f aca="false">G3371*E3371/1000</f>
        <v>0.52</v>
      </c>
    </row>
    <row r="3372" customFormat="false" ht="15" hidden="false" customHeight="false" outlineLevel="0" collapsed="false">
      <c r="A3372" s="0" t="s">
        <v>119</v>
      </c>
      <c r="B3372" s="0" t="s">
        <v>1509</v>
      </c>
      <c r="C3372" s="0" t="n">
        <v>145</v>
      </c>
      <c r="D3372" s="0" t="n">
        <v>9</v>
      </c>
      <c r="E3372" s="0" t="n">
        <v>5</v>
      </c>
      <c r="F3372" s="0" t="n">
        <v>131</v>
      </c>
      <c r="G3372" s="0" t="n">
        <v>100</v>
      </c>
      <c r="H3372" s="0" t="s">
        <v>145</v>
      </c>
      <c r="I3372" s="0" t="n">
        <v>100</v>
      </c>
      <c r="J3372" s="0" t="n">
        <f aca="false">F3372*E3372</f>
        <v>655</v>
      </c>
      <c r="K3372" s="0" t="str">
        <f aca="false">IF(G3372&lt;1000,"1-Low",IF(G3372&lt;5000,"2-Medium","3-Bulk"))</f>
        <v>1-Low</v>
      </c>
      <c r="L3372" s="0" t="str">
        <f aca="false">IF(H3372="TRUE","Out of stock","In stock")</f>
        <v>In stock</v>
      </c>
      <c r="M3372" s="0" t="str">
        <f aca="false">IF(D3372&lt;5,"1) Under 5%",IF(D3372&lt;10,"2) 5-9%",IF(D3372&lt;15,"3) 10-14%",IF(D3372&lt;25,"4) 15-24%","5) 25%+"))))</f>
        <v>2) 5-9%</v>
      </c>
      <c r="N3372" s="0" t="str">
        <f aca="false">IF(F3372&lt;50,"1) Under Rs 50",IF(F3372&lt;100,"2) Rs 50-99",IF(F3372&lt;200,"3) Rs 100-199",IF(F3372&lt;500,"4) Rs 200-499","5) Rs 500+"))))</f>
        <v>3) Rs 100-199</v>
      </c>
      <c r="O3372" s="0" t="n">
        <f aca="false">G3372*E3372/1000</f>
        <v>0.5</v>
      </c>
    </row>
    <row r="3373" customFormat="false" ht="15" hidden="false" customHeight="false" outlineLevel="0" collapsed="false">
      <c r="A3373" s="0" t="s">
        <v>119</v>
      </c>
      <c r="B3373" s="0" t="s">
        <v>124</v>
      </c>
      <c r="C3373" s="0" t="n">
        <v>555</v>
      </c>
      <c r="D3373" s="0" t="n">
        <v>6</v>
      </c>
      <c r="E3373" s="0" t="n">
        <v>6</v>
      </c>
      <c r="F3373" s="0" t="n">
        <v>521</v>
      </c>
      <c r="G3373" s="0" t="n">
        <v>650</v>
      </c>
      <c r="H3373" s="0" t="s">
        <v>145</v>
      </c>
      <c r="I3373" s="0" t="n">
        <v>650</v>
      </c>
      <c r="J3373" s="0" t="n">
        <f aca="false">F3373*E3373</f>
        <v>3126</v>
      </c>
      <c r="K3373" s="0" t="str">
        <f aca="false">IF(G3373&lt;1000,"1-Low",IF(G3373&lt;5000,"2-Medium","3-Bulk"))</f>
        <v>1-Low</v>
      </c>
      <c r="L3373" s="0" t="str">
        <f aca="false">IF(H3373="TRUE","Out of stock","In stock")</f>
        <v>In stock</v>
      </c>
      <c r="M3373" s="0" t="str">
        <f aca="false">IF(D3373&lt;5,"1) Under 5%",IF(D3373&lt;10,"2) 5-9%",IF(D3373&lt;15,"3) 10-14%",IF(D3373&lt;25,"4) 15-24%","5) 25%+"))))</f>
        <v>2) 5-9%</v>
      </c>
      <c r="N3373" s="0" t="str">
        <f aca="false">IF(F3373&lt;50,"1) Under Rs 50",IF(F3373&lt;100,"2) Rs 50-99",IF(F3373&lt;200,"3) Rs 100-199",IF(F3373&lt;500,"4) Rs 200-499","5) Rs 500+"))))</f>
        <v>5) Rs 500+</v>
      </c>
      <c r="O3373" s="0" t="n">
        <f aca="false">G3373*E3373/1000</f>
        <v>3.9</v>
      </c>
    </row>
    <row r="3374" customFormat="false" ht="15" hidden="false" customHeight="false" outlineLevel="0" collapsed="false">
      <c r="A3374" s="0" t="s">
        <v>119</v>
      </c>
      <c r="B3374" s="0" t="s">
        <v>1510</v>
      </c>
      <c r="C3374" s="0" t="n">
        <v>599</v>
      </c>
      <c r="D3374" s="0" t="n">
        <v>15</v>
      </c>
      <c r="E3374" s="0" t="n">
        <v>1</v>
      </c>
      <c r="F3374" s="0" t="n">
        <v>509</v>
      </c>
      <c r="G3374" s="0" t="n">
        <v>30</v>
      </c>
      <c r="H3374" s="0" t="s">
        <v>145</v>
      </c>
      <c r="I3374" s="0" t="n">
        <v>30</v>
      </c>
      <c r="J3374" s="0" t="n">
        <f aca="false">F3374*E3374</f>
        <v>509</v>
      </c>
      <c r="K3374" s="0" t="str">
        <f aca="false">IF(G3374&lt;1000,"1-Low",IF(G3374&lt;5000,"2-Medium","3-Bulk"))</f>
        <v>1-Low</v>
      </c>
      <c r="L3374" s="0" t="str">
        <f aca="false">IF(H3374="TRUE","Out of stock","In stock")</f>
        <v>In stock</v>
      </c>
      <c r="M3374" s="0" t="str">
        <f aca="false">IF(D3374&lt;5,"1) Under 5%",IF(D3374&lt;10,"2) 5-9%",IF(D3374&lt;15,"3) 10-14%",IF(D3374&lt;25,"4) 15-24%","5) 25%+"))))</f>
        <v>4) 15-24%</v>
      </c>
      <c r="N3374" s="0" t="str">
        <f aca="false">IF(F3374&lt;50,"1) Under Rs 50",IF(F3374&lt;100,"2) Rs 50-99",IF(F3374&lt;200,"3) Rs 100-199",IF(F3374&lt;500,"4) Rs 200-499","5) Rs 500+"))))</f>
        <v>5) Rs 500+</v>
      </c>
      <c r="O3374" s="0" t="n">
        <f aca="false">G3374*E3374/1000</f>
        <v>0.03</v>
      </c>
    </row>
    <row r="3375" customFormat="false" ht="15" hidden="false" customHeight="false" outlineLevel="0" collapsed="false">
      <c r="A3375" s="0" t="s">
        <v>119</v>
      </c>
      <c r="B3375" s="0" t="s">
        <v>1511</v>
      </c>
      <c r="C3375" s="0" t="n">
        <v>178</v>
      </c>
      <c r="D3375" s="0" t="n">
        <v>0</v>
      </c>
      <c r="E3375" s="0" t="n">
        <v>6</v>
      </c>
      <c r="F3375" s="0" t="n">
        <v>178</v>
      </c>
      <c r="G3375" s="0" t="n">
        <v>340</v>
      </c>
      <c r="H3375" s="0" t="s">
        <v>145</v>
      </c>
      <c r="I3375" s="0" t="n">
        <v>340</v>
      </c>
      <c r="J3375" s="0" t="n">
        <f aca="false">F3375*E3375</f>
        <v>1068</v>
      </c>
      <c r="K3375" s="0" t="str">
        <f aca="false">IF(G3375&lt;1000,"1-Low",IF(G3375&lt;5000,"2-Medium","3-Bulk"))</f>
        <v>1-Low</v>
      </c>
      <c r="L3375" s="0" t="str">
        <f aca="false">IF(H3375="TRUE","Out of stock","In stock")</f>
        <v>In stock</v>
      </c>
      <c r="M3375" s="0" t="str">
        <f aca="false">IF(D3375&lt;5,"1) Under 5%",IF(D3375&lt;10,"2) 5-9%",IF(D3375&lt;15,"3) 10-14%",IF(D3375&lt;25,"4) 15-24%","5) 25%+"))))</f>
        <v>1) Under 5%</v>
      </c>
      <c r="N3375" s="0" t="str">
        <f aca="false">IF(F3375&lt;50,"1) Under Rs 50",IF(F3375&lt;100,"2) Rs 50-99",IF(F3375&lt;200,"3) Rs 100-199",IF(F3375&lt;500,"4) Rs 200-499","5) Rs 500+"))))</f>
        <v>3) Rs 100-199</v>
      </c>
      <c r="O3375" s="0" t="n">
        <f aca="false">G3375*E3375/1000</f>
        <v>2.04</v>
      </c>
    </row>
    <row r="3376" customFormat="false" ht="15" hidden="false" customHeight="false" outlineLevel="0" collapsed="false">
      <c r="A3376" s="0" t="s">
        <v>119</v>
      </c>
      <c r="B3376" s="0" t="s">
        <v>1512</v>
      </c>
      <c r="C3376" s="0" t="n">
        <v>225</v>
      </c>
      <c r="D3376" s="0" t="n">
        <v>6</v>
      </c>
      <c r="E3376" s="0" t="n">
        <v>3</v>
      </c>
      <c r="F3376" s="0" t="n">
        <v>210</v>
      </c>
      <c r="G3376" s="0" t="n">
        <v>340</v>
      </c>
      <c r="H3376" s="0" t="s">
        <v>145</v>
      </c>
      <c r="I3376" s="0" t="n">
        <v>340</v>
      </c>
      <c r="J3376" s="0" t="n">
        <f aca="false">F3376*E3376</f>
        <v>630</v>
      </c>
      <c r="K3376" s="0" t="str">
        <f aca="false">IF(G3376&lt;1000,"1-Low",IF(G3376&lt;5000,"2-Medium","3-Bulk"))</f>
        <v>1-Low</v>
      </c>
      <c r="L3376" s="0" t="str">
        <f aca="false">IF(H3376="TRUE","Out of stock","In stock")</f>
        <v>In stock</v>
      </c>
      <c r="M3376" s="0" t="str">
        <f aca="false">IF(D3376&lt;5,"1) Under 5%",IF(D3376&lt;10,"2) 5-9%",IF(D3376&lt;15,"3) 10-14%",IF(D3376&lt;25,"4) 15-24%","5) 25%+"))))</f>
        <v>2) 5-9%</v>
      </c>
      <c r="N3376" s="0" t="str">
        <f aca="false">IF(F3376&lt;50,"1) Under Rs 50",IF(F3376&lt;100,"2) Rs 50-99",IF(F3376&lt;200,"3) Rs 100-199",IF(F3376&lt;500,"4) Rs 200-499","5) Rs 500+"))))</f>
        <v>4) Rs 200-499</v>
      </c>
      <c r="O3376" s="0" t="n">
        <f aca="false">G3376*E3376/1000</f>
        <v>1.02</v>
      </c>
    </row>
    <row r="3377" customFormat="false" ht="15" hidden="false" customHeight="false" outlineLevel="0" collapsed="false">
      <c r="A3377" s="0" t="s">
        <v>119</v>
      </c>
      <c r="B3377" s="0" t="s">
        <v>1513</v>
      </c>
      <c r="C3377" s="0" t="n">
        <v>199</v>
      </c>
      <c r="D3377" s="0" t="n">
        <v>5</v>
      </c>
      <c r="E3377" s="0" t="n">
        <v>4</v>
      </c>
      <c r="F3377" s="0" t="n">
        <v>189</v>
      </c>
      <c r="G3377" s="0" t="n">
        <v>125</v>
      </c>
      <c r="H3377" s="0" t="s">
        <v>145</v>
      </c>
      <c r="I3377" s="0" t="n">
        <v>125</v>
      </c>
      <c r="J3377" s="0" t="n">
        <f aca="false">F3377*E3377</f>
        <v>756</v>
      </c>
      <c r="K3377" s="0" t="str">
        <f aca="false">IF(G3377&lt;1000,"1-Low",IF(G3377&lt;5000,"2-Medium","3-Bulk"))</f>
        <v>1-Low</v>
      </c>
      <c r="L3377" s="0" t="str">
        <f aca="false">IF(H3377="TRUE","Out of stock","In stock")</f>
        <v>In stock</v>
      </c>
      <c r="M3377" s="0" t="str">
        <f aca="false">IF(D3377&lt;5,"1) Under 5%",IF(D3377&lt;10,"2) 5-9%",IF(D3377&lt;15,"3) 10-14%",IF(D3377&lt;25,"4) 15-24%","5) 25%+"))))</f>
        <v>2) 5-9%</v>
      </c>
      <c r="N3377" s="0" t="str">
        <f aca="false">IF(F3377&lt;50,"1) Under Rs 50",IF(F3377&lt;100,"2) Rs 50-99",IF(F3377&lt;200,"3) Rs 100-199",IF(F3377&lt;500,"4) Rs 200-499","5) Rs 500+"))))</f>
        <v>3) Rs 100-199</v>
      </c>
      <c r="O3377" s="0" t="n">
        <f aca="false">G3377*E3377/1000</f>
        <v>0.5</v>
      </c>
    </row>
    <row r="3378" customFormat="false" ht="15" hidden="false" customHeight="false" outlineLevel="0" collapsed="false">
      <c r="A3378" s="0" t="s">
        <v>119</v>
      </c>
      <c r="B3378" s="0" t="s">
        <v>1514</v>
      </c>
      <c r="C3378" s="0" t="n">
        <v>199</v>
      </c>
      <c r="D3378" s="0" t="n">
        <v>0</v>
      </c>
      <c r="E3378" s="0" t="n">
        <v>1</v>
      </c>
      <c r="F3378" s="0" t="n">
        <v>199</v>
      </c>
      <c r="G3378" s="0" t="n">
        <v>150</v>
      </c>
      <c r="H3378" s="0" t="s">
        <v>145</v>
      </c>
      <c r="I3378" s="0" t="n">
        <v>150</v>
      </c>
      <c r="J3378" s="0" t="n">
        <f aca="false">F3378*E3378</f>
        <v>199</v>
      </c>
      <c r="K3378" s="0" t="str">
        <f aca="false">IF(G3378&lt;1000,"1-Low",IF(G3378&lt;5000,"2-Medium","3-Bulk"))</f>
        <v>1-Low</v>
      </c>
      <c r="L3378" s="0" t="str">
        <f aca="false">IF(H3378="TRUE","Out of stock","In stock")</f>
        <v>In stock</v>
      </c>
      <c r="M3378" s="0" t="str">
        <f aca="false">IF(D3378&lt;5,"1) Under 5%",IF(D3378&lt;10,"2) 5-9%",IF(D3378&lt;15,"3) 10-14%",IF(D3378&lt;25,"4) 15-24%","5) 25%+"))))</f>
        <v>1) Under 5%</v>
      </c>
      <c r="N3378" s="0" t="str">
        <f aca="false">IF(F3378&lt;50,"1) Under Rs 50",IF(F3378&lt;100,"2) Rs 50-99",IF(F3378&lt;200,"3) Rs 100-199",IF(F3378&lt;500,"4) Rs 200-499","5) Rs 500+"))))</f>
        <v>3) Rs 100-199</v>
      </c>
      <c r="O3378" s="0" t="n">
        <f aca="false">G3378*E3378/1000</f>
        <v>0.15</v>
      </c>
    </row>
    <row r="3379" customFormat="false" ht="15" hidden="false" customHeight="false" outlineLevel="0" collapsed="false">
      <c r="A3379" s="0" t="s">
        <v>119</v>
      </c>
      <c r="B3379" s="0" t="s">
        <v>1515</v>
      </c>
      <c r="C3379" s="0" t="n">
        <v>699</v>
      </c>
      <c r="D3379" s="0" t="n">
        <v>17</v>
      </c>
      <c r="E3379" s="0" t="n">
        <v>6</v>
      </c>
      <c r="F3379" s="0" t="n">
        <v>575</v>
      </c>
      <c r="G3379" s="0" t="n">
        <v>50</v>
      </c>
      <c r="H3379" s="0" t="s">
        <v>145</v>
      </c>
      <c r="I3379" s="0" t="n">
        <v>50</v>
      </c>
      <c r="J3379" s="0" t="n">
        <f aca="false">F3379*E3379</f>
        <v>3450</v>
      </c>
      <c r="K3379" s="0" t="str">
        <f aca="false">IF(G3379&lt;1000,"1-Low",IF(G3379&lt;5000,"2-Medium","3-Bulk"))</f>
        <v>1-Low</v>
      </c>
      <c r="L3379" s="0" t="str">
        <f aca="false">IF(H3379="TRUE","Out of stock","In stock")</f>
        <v>In stock</v>
      </c>
      <c r="M3379" s="0" t="str">
        <f aca="false">IF(D3379&lt;5,"1) Under 5%",IF(D3379&lt;10,"2) 5-9%",IF(D3379&lt;15,"3) 10-14%",IF(D3379&lt;25,"4) 15-24%","5) 25%+"))))</f>
        <v>4) 15-24%</v>
      </c>
      <c r="N3379" s="0" t="str">
        <f aca="false">IF(F3379&lt;50,"1) Under Rs 50",IF(F3379&lt;100,"2) Rs 50-99",IF(F3379&lt;200,"3) Rs 100-199",IF(F3379&lt;500,"4) Rs 200-499","5) Rs 500+"))))</f>
        <v>5) Rs 500+</v>
      </c>
      <c r="O3379" s="0" t="n">
        <f aca="false">G3379*E3379/1000</f>
        <v>0.3</v>
      </c>
    </row>
    <row r="3380" customFormat="false" ht="15" hidden="false" customHeight="false" outlineLevel="0" collapsed="false">
      <c r="A3380" s="0" t="s">
        <v>119</v>
      </c>
      <c r="B3380" s="0" t="s">
        <v>1516</v>
      </c>
      <c r="C3380" s="0" t="n">
        <v>199</v>
      </c>
      <c r="D3380" s="0" t="n">
        <v>0</v>
      </c>
      <c r="E3380" s="0" t="n">
        <v>1</v>
      </c>
      <c r="F3380" s="0" t="n">
        <v>199</v>
      </c>
      <c r="G3380" s="0" t="n">
        <v>150</v>
      </c>
      <c r="H3380" s="0" t="s">
        <v>145</v>
      </c>
      <c r="I3380" s="0" t="n">
        <v>150</v>
      </c>
      <c r="J3380" s="0" t="n">
        <f aca="false">F3380*E3380</f>
        <v>199</v>
      </c>
      <c r="K3380" s="0" t="str">
        <f aca="false">IF(G3380&lt;1000,"1-Low",IF(G3380&lt;5000,"2-Medium","3-Bulk"))</f>
        <v>1-Low</v>
      </c>
      <c r="L3380" s="0" t="str">
        <f aca="false">IF(H3380="TRUE","Out of stock","In stock")</f>
        <v>In stock</v>
      </c>
      <c r="M3380" s="0" t="str">
        <f aca="false">IF(D3380&lt;5,"1) Under 5%",IF(D3380&lt;10,"2) 5-9%",IF(D3380&lt;15,"3) 10-14%",IF(D3380&lt;25,"4) 15-24%","5) 25%+"))))</f>
        <v>1) Under 5%</v>
      </c>
      <c r="N3380" s="0" t="str">
        <f aca="false">IF(F3380&lt;50,"1) Under Rs 50",IF(F3380&lt;100,"2) Rs 50-99",IF(F3380&lt;200,"3) Rs 100-199",IF(F3380&lt;500,"4) Rs 200-499","5) Rs 500+"))))</f>
        <v>3) Rs 100-199</v>
      </c>
      <c r="O3380" s="0" t="n">
        <f aca="false">G3380*E3380/1000</f>
        <v>0.15</v>
      </c>
    </row>
    <row r="3381" customFormat="false" ht="15" hidden="false" customHeight="false" outlineLevel="0" collapsed="false">
      <c r="A3381" s="0" t="s">
        <v>119</v>
      </c>
      <c r="B3381" s="0" t="s">
        <v>1517</v>
      </c>
      <c r="C3381" s="0" t="n">
        <v>199</v>
      </c>
      <c r="D3381" s="0" t="n">
        <v>0</v>
      </c>
      <c r="E3381" s="0" t="n">
        <v>6</v>
      </c>
      <c r="F3381" s="0" t="n">
        <v>199</v>
      </c>
      <c r="G3381" s="0" t="n">
        <v>500</v>
      </c>
      <c r="H3381" s="0" t="s">
        <v>145</v>
      </c>
      <c r="I3381" s="0" t="n">
        <v>500</v>
      </c>
      <c r="J3381" s="0" t="n">
        <f aca="false">F3381*E3381</f>
        <v>1194</v>
      </c>
      <c r="K3381" s="0" t="str">
        <f aca="false">IF(G3381&lt;1000,"1-Low",IF(G3381&lt;5000,"2-Medium","3-Bulk"))</f>
        <v>1-Low</v>
      </c>
      <c r="L3381" s="0" t="str">
        <f aca="false">IF(H3381="TRUE","Out of stock","In stock")</f>
        <v>In stock</v>
      </c>
      <c r="M3381" s="0" t="str">
        <f aca="false">IF(D3381&lt;5,"1) Under 5%",IF(D3381&lt;10,"2) 5-9%",IF(D3381&lt;15,"3) 10-14%",IF(D3381&lt;25,"4) 15-24%","5) 25%+"))))</f>
        <v>1) Under 5%</v>
      </c>
      <c r="N3381" s="0" t="str">
        <f aca="false">IF(F3381&lt;50,"1) Under Rs 50",IF(F3381&lt;100,"2) Rs 50-99",IF(F3381&lt;200,"3) Rs 100-199",IF(F3381&lt;500,"4) Rs 200-499","5) Rs 500+"))))</f>
        <v>3) Rs 100-199</v>
      </c>
      <c r="O3381" s="0" t="n">
        <f aca="false">G3381*E3381/1000</f>
        <v>3</v>
      </c>
    </row>
    <row r="3382" customFormat="false" ht="15" hidden="false" customHeight="false" outlineLevel="0" collapsed="false">
      <c r="A3382" s="0" t="s">
        <v>119</v>
      </c>
      <c r="B3382" s="0" t="s">
        <v>1518</v>
      </c>
      <c r="C3382" s="0" t="n">
        <v>375</v>
      </c>
      <c r="D3382" s="0" t="n">
        <v>9</v>
      </c>
      <c r="E3382" s="0" t="n">
        <v>6</v>
      </c>
      <c r="F3382" s="0" t="n">
        <v>338</v>
      </c>
      <c r="G3382" s="0" t="n">
        <v>340</v>
      </c>
      <c r="H3382" s="0" t="s">
        <v>145</v>
      </c>
      <c r="I3382" s="0" t="n">
        <v>340</v>
      </c>
      <c r="J3382" s="0" t="n">
        <f aca="false">F3382*E3382</f>
        <v>2028</v>
      </c>
      <c r="K3382" s="0" t="str">
        <f aca="false">IF(G3382&lt;1000,"1-Low",IF(G3382&lt;5000,"2-Medium","3-Bulk"))</f>
        <v>1-Low</v>
      </c>
      <c r="L3382" s="0" t="str">
        <f aca="false">IF(H3382="TRUE","Out of stock","In stock")</f>
        <v>In stock</v>
      </c>
      <c r="M3382" s="0" t="str">
        <f aca="false">IF(D3382&lt;5,"1) Under 5%",IF(D3382&lt;10,"2) 5-9%",IF(D3382&lt;15,"3) 10-14%",IF(D3382&lt;25,"4) 15-24%","5) 25%+"))))</f>
        <v>2) 5-9%</v>
      </c>
      <c r="N3382" s="0" t="str">
        <f aca="false">IF(F3382&lt;50,"1) Under Rs 50",IF(F3382&lt;100,"2) Rs 50-99",IF(F3382&lt;200,"3) Rs 100-199",IF(F3382&lt;500,"4) Rs 200-499","5) Rs 500+"))))</f>
        <v>4) Rs 200-499</v>
      </c>
      <c r="O3382" s="0" t="n">
        <f aca="false">G3382*E3382/1000</f>
        <v>2.04</v>
      </c>
    </row>
    <row r="3383" customFormat="false" ht="15" hidden="false" customHeight="false" outlineLevel="0" collapsed="false">
      <c r="A3383" s="0" t="s">
        <v>119</v>
      </c>
      <c r="B3383" s="0" t="s">
        <v>1519</v>
      </c>
      <c r="C3383" s="0" t="n">
        <v>649</v>
      </c>
      <c r="D3383" s="0" t="n">
        <v>10</v>
      </c>
      <c r="E3383" s="0" t="n">
        <v>6</v>
      </c>
      <c r="F3383" s="0" t="n">
        <v>578</v>
      </c>
      <c r="G3383" s="0" t="n">
        <v>232</v>
      </c>
      <c r="H3383" s="0" t="s">
        <v>145</v>
      </c>
      <c r="I3383" s="0" t="n">
        <v>4</v>
      </c>
      <c r="J3383" s="0" t="n">
        <f aca="false">F3383*E3383</f>
        <v>3468</v>
      </c>
      <c r="K3383" s="0" t="str">
        <f aca="false">IF(G3383&lt;1000,"1-Low",IF(G3383&lt;5000,"2-Medium","3-Bulk"))</f>
        <v>1-Low</v>
      </c>
      <c r="L3383" s="0" t="str">
        <f aca="false">IF(H3383="TRUE","Out of stock","In stock")</f>
        <v>In stock</v>
      </c>
      <c r="M3383" s="0" t="str">
        <f aca="false">IF(D3383&lt;5,"1) Under 5%",IF(D3383&lt;10,"2) 5-9%",IF(D3383&lt;15,"3) 10-14%",IF(D3383&lt;25,"4) 15-24%","5) 25%+"))))</f>
        <v>3) 10-14%</v>
      </c>
      <c r="N3383" s="0" t="str">
        <f aca="false">IF(F3383&lt;50,"1) Under Rs 50",IF(F3383&lt;100,"2) Rs 50-99",IF(F3383&lt;200,"3) Rs 100-199",IF(F3383&lt;500,"4) Rs 200-499","5) Rs 500+"))))</f>
        <v>5) Rs 500+</v>
      </c>
      <c r="O3383" s="0" t="n">
        <f aca="false">G3383*E3383/1000</f>
        <v>1.392</v>
      </c>
    </row>
    <row r="3384" customFormat="false" ht="15" hidden="false" customHeight="false" outlineLevel="0" collapsed="false">
      <c r="A3384" s="0" t="s">
        <v>119</v>
      </c>
      <c r="B3384" s="0" t="s">
        <v>1468</v>
      </c>
      <c r="C3384" s="0" t="n">
        <v>210</v>
      </c>
      <c r="D3384" s="0" t="n">
        <v>13</v>
      </c>
      <c r="E3384" s="0" t="n">
        <v>1</v>
      </c>
      <c r="F3384" s="0" t="n">
        <v>182</v>
      </c>
      <c r="G3384" s="0" t="n">
        <v>190</v>
      </c>
      <c r="H3384" s="0" t="s">
        <v>145</v>
      </c>
      <c r="I3384" s="0" t="n">
        <v>190</v>
      </c>
      <c r="J3384" s="0" t="n">
        <f aca="false">F3384*E3384</f>
        <v>182</v>
      </c>
      <c r="K3384" s="0" t="str">
        <f aca="false">IF(G3384&lt;1000,"1-Low",IF(G3384&lt;5000,"2-Medium","3-Bulk"))</f>
        <v>1-Low</v>
      </c>
      <c r="L3384" s="0" t="str">
        <f aca="false">IF(H3384="TRUE","Out of stock","In stock")</f>
        <v>In stock</v>
      </c>
      <c r="M3384" s="0" t="str">
        <f aca="false">IF(D3384&lt;5,"1) Under 5%",IF(D3384&lt;10,"2) 5-9%",IF(D3384&lt;15,"3) 10-14%",IF(D3384&lt;25,"4) 15-24%","5) 25%+"))))</f>
        <v>3) 10-14%</v>
      </c>
      <c r="N3384" s="0" t="str">
        <f aca="false">IF(F3384&lt;50,"1) Under Rs 50",IF(F3384&lt;100,"2) Rs 50-99",IF(F3384&lt;200,"3) Rs 100-199",IF(F3384&lt;500,"4) Rs 200-499","5) Rs 500+"))))</f>
        <v>3) Rs 100-199</v>
      </c>
      <c r="O3384" s="0" t="n">
        <f aca="false">G3384*E3384/1000</f>
        <v>0.19</v>
      </c>
    </row>
    <row r="3385" customFormat="false" ht="15" hidden="false" customHeight="false" outlineLevel="0" collapsed="false">
      <c r="A3385" s="0" t="s">
        <v>119</v>
      </c>
      <c r="B3385" s="0" t="s">
        <v>1520</v>
      </c>
      <c r="C3385" s="0" t="n">
        <v>375</v>
      </c>
      <c r="D3385" s="0" t="n">
        <v>0</v>
      </c>
      <c r="E3385" s="0" t="n">
        <v>2</v>
      </c>
      <c r="F3385" s="0" t="n">
        <v>375</v>
      </c>
      <c r="G3385" s="0" t="n">
        <v>116</v>
      </c>
      <c r="H3385" s="0" t="s">
        <v>145</v>
      </c>
      <c r="I3385" s="0" t="n">
        <v>2</v>
      </c>
      <c r="J3385" s="0" t="n">
        <f aca="false">F3385*E3385</f>
        <v>750</v>
      </c>
      <c r="K3385" s="0" t="str">
        <f aca="false">IF(G3385&lt;1000,"1-Low",IF(G3385&lt;5000,"2-Medium","3-Bulk"))</f>
        <v>1-Low</v>
      </c>
      <c r="L3385" s="0" t="str">
        <f aca="false">IF(H3385="TRUE","Out of stock","In stock")</f>
        <v>In stock</v>
      </c>
      <c r="M3385" s="0" t="str">
        <f aca="false">IF(D3385&lt;5,"1) Under 5%",IF(D3385&lt;10,"2) 5-9%",IF(D3385&lt;15,"3) 10-14%",IF(D3385&lt;25,"4) 15-24%","5) 25%+"))))</f>
        <v>1) Under 5%</v>
      </c>
      <c r="N3385" s="0" t="str">
        <f aca="false">IF(F3385&lt;50,"1) Under Rs 50",IF(F3385&lt;100,"2) Rs 50-99",IF(F3385&lt;200,"3) Rs 100-199",IF(F3385&lt;500,"4) Rs 200-499","5) Rs 500+"))))</f>
        <v>4) Rs 200-499</v>
      </c>
      <c r="O3385" s="0" t="n">
        <f aca="false">G3385*E3385/1000</f>
        <v>0.232</v>
      </c>
    </row>
    <row r="3386" customFormat="false" ht="15" hidden="false" customHeight="false" outlineLevel="0" collapsed="false">
      <c r="A3386" s="0" t="s">
        <v>119</v>
      </c>
      <c r="B3386" s="0" t="s">
        <v>1402</v>
      </c>
      <c r="C3386" s="0" t="n">
        <v>300</v>
      </c>
      <c r="D3386" s="0" t="n">
        <v>12</v>
      </c>
      <c r="E3386" s="0" t="n">
        <v>1</v>
      </c>
      <c r="F3386" s="0" t="n">
        <v>264</v>
      </c>
      <c r="G3386" s="0" t="n">
        <v>400</v>
      </c>
      <c r="H3386" s="0" t="s">
        <v>145</v>
      </c>
      <c r="I3386" s="0" t="n">
        <v>400</v>
      </c>
      <c r="J3386" s="0" t="n">
        <f aca="false">F3386*E3386</f>
        <v>264</v>
      </c>
      <c r="K3386" s="0" t="str">
        <f aca="false">IF(G3386&lt;1000,"1-Low",IF(G3386&lt;5000,"2-Medium","3-Bulk"))</f>
        <v>1-Low</v>
      </c>
      <c r="L3386" s="0" t="str">
        <f aca="false">IF(H3386="TRUE","Out of stock","In stock")</f>
        <v>In stock</v>
      </c>
      <c r="M3386" s="0" t="str">
        <f aca="false">IF(D3386&lt;5,"1) Under 5%",IF(D3386&lt;10,"2) 5-9%",IF(D3386&lt;15,"3) 10-14%",IF(D3386&lt;25,"4) 15-24%","5) 25%+"))))</f>
        <v>3) 10-14%</v>
      </c>
      <c r="N3386" s="0" t="str">
        <f aca="false">IF(F3386&lt;50,"1) Under Rs 50",IF(F3386&lt;100,"2) Rs 50-99",IF(F3386&lt;200,"3) Rs 100-199",IF(F3386&lt;500,"4) Rs 200-499","5) Rs 500+"))))</f>
        <v>4) Rs 200-499</v>
      </c>
      <c r="O3386" s="0" t="n">
        <f aca="false">G3386*E3386/1000</f>
        <v>0.4</v>
      </c>
    </row>
    <row r="3387" customFormat="false" ht="15" hidden="false" customHeight="false" outlineLevel="0" collapsed="false">
      <c r="A3387" s="0" t="s">
        <v>119</v>
      </c>
      <c r="B3387" s="0" t="s">
        <v>1521</v>
      </c>
      <c r="C3387" s="0" t="n">
        <v>75</v>
      </c>
      <c r="D3387" s="0" t="n">
        <v>0</v>
      </c>
      <c r="E3387" s="0" t="n">
        <v>6</v>
      </c>
      <c r="F3387" s="0" t="n">
        <v>75</v>
      </c>
      <c r="G3387" s="0" t="n">
        <v>70</v>
      </c>
      <c r="H3387" s="0" t="s">
        <v>145</v>
      </c>
      <c r="I3387" s="0" t="n">
        <v>70</v>
      </c>
      <c r="J3387" s="0" t="n">
        <f aca="false">F3387*E3387</f>
        <v>450</v>
      </c>
      <c r="K3387" s="0" t="str">
        <f aca="false">IF(G3387&lt;1000,"1-Low",IF(G3387&lt;5000,"2-Medium","3-Bulk"))</f>
        <v>1-Low</v>
      </c>
      <c r="L3387" s="0" t="str">
        <f aca="false">IF(H3387="TRUE","Out of stock","In stock")</f>
        <v>In stock</v>
      </c>
      <c r="M3387" s="0" t="str">
        <f aca="false">IF(D3387&lt;5,"1) Under 5%",IF(D3387&lt;10,"2) 5-9%",IF(D3387&lt;15,"3) 10-14%",IF(D3387&lt;25,"4) 15-24%","5) 25%+"))))</f>
        <v>1) Under 5%</v>
      </c>
      <c r="N3387" s="0" t="str">
        <f aca="false">IF(F3387&lt;50,"1) Under Rs 50",IF(F3387&lt;100,"2) Rs 50-99",IF(F3387&lt;200,"3) Rs 100-199",IF(F3387&lt;500,"4) Rs 200-499","5) Rs 500+"))))</f>
        <v>2) Rs 50-99</v>
      </c>
      <c r="O3387" s="0" t="n">
        <f aca="false">G3387*E3387/1000</f>
        <v>0.42</v>
      </c>
    </row>
    <row r="3388" customFormat="false" ht="15" hidden="false" customHeight="false" outlineLevel="0" collapsed="false">
      <c r="A3388" s="0" t="s">
        <v>119</v>
      </c>
      <c r="B3388" s="0" t="s">
        <v>1522</v>
      </c>
      <c r="C3388" s="0" t="n">
        <v>140</v>
      </c>
      <c r="D3388" s="0" t="n">
        <v>10</v>
      </c>
      <c r="E3388" s="0" t="n">
        <v>6</v>
      </c>
      <c r="F3388" s="0" t="n">
        <v>126</v>
      </c>
      <c r="G3388" s="0" t="n">
        <v>70</v>
      </c>
      <c r="H3388" s="0" t="s">
        <v>145</v>
      </c>
      <c r="I3388" s="0" t="n">
        <v>70</v>
      </c>
      <c r="J3388" s="0" t="n">
        <f aca="false">F3388*E3388</f>
        <v>756</v>
      </c>
      <c r="K3388" s="0" t="str">
        <f aca="false">IF(G3388&lt;1000,"1-Low",IF(G3388&lt;5000,"2-Medium","3-Bulk"))</f>
        <v>1-Low</v>
      </c>
      <c r="L3388" s="0" t="str">
        <f aca="false">IF(H3388="TRUE","Out of stock","In stock")</f>
        <v>In stock</v>
      </c>
      <c r="M3388" s="0" t="str">
        <f aca="false">IF(D3388&lt;5,"1) Under 5%",IF(D3388&lt;10,"2) 5-9%",IF(D3388&lt;15,"3) 10-14%",IF(D3388&lt;25,"4) 15-24%","5) 25%+"))))</f>
        <v>3) 10-14%</v>
      </c>
      <c r="N3388" s="0" t="str">
        <f aca="false">IF(F3388&lt;50,"1) Under Rs 50",IF(F3388&lt;100,"2) Rs 50-99",IF(F3388&lt;200,"3) Rs 100-199",IF(F3388&lt;500,"4) Rs 200-499","5) Rs 500+"))))</f>
        <v>3) Rs 100-199</v>
      </c>
      <c r="O3388" s="0" t="n">
        <f aca="false">G3388*E3388/1000</f>
        <v>0.42</v>
      </c>
    </row>
    <row r="3389" customFormat="false" ht="15" hidden="false" customHeight="false" outlineLevel="0" collapsed="false">
      <c r="A3389" s="0" t="s">
        <v>119</v>
      </c>
      <c r="B3389" s="0" t="s">
        <v>1523</v>
      </c>
      <c r="C3389" s="0" t="n">
        <v>93</v>
      </c>
      <c r="D3389" s="0" t="n">
        <v>0</v>
      </c>
      <c r="E3389" s="0" t="n">
        <v>6</v>
      </c>
      <c r="F3389" s="0" t="n">
        <v>93</v>
      </c>
      <c r="G3389" s="0" t="n">
        <v>80</v>
      </c>
      <c r="H3389" s="0" t="s">
        <v>145</v>
      </c>
      <c r="I3389" s="0" t="n">
        <v>80</v>
      </c>
      <c r="J3389" s="0" t="n">
        <f aca="false">F3389*E3389</f>
        <v>558</v>
      </c>
      <c r="K3389" s="0" t="str">
        <f aca="false">IF(G3389&lt;1000,"1-Low",IF(G3389&lt;5000,"2-Medium","3-Bulk"))</f>
        <v>1-Low</v>
      </c>
      <c r="L3389" s="0" t="str">
        <f aca="false">IF(H3389="TRUE","Out of stock","In stock")</f>
        <v>In stock</v>
      </c>
      <c r="M3389" s="0" t="str">
        <f aca="false">IF(D3389&lt;5,"1) Under 5%",IF(D3389&lt;10,"2) 5-9%",IF(D3389&lt;15,"3) 10-14%",IF(D3389&lt;25,"4) 15-24%","5) 25%+"))))</f>
        <v>1) Under 5%</v>
      </c>
      <c r="N3389" s="0" t="str">
        <f aca="false">IF(F3389&lt;50,"1) Under Rs 50",IF(F3389&lt;100,"2) Rs 50-99",IF(F3389&lt;200,"3) Rs 100-199",IF(F3389&lt;500,"4) Rs 200-499","5) Rs 500+"))))</f>
        <v>2) Rs 50-99</v>
      </c>
      <c r="O3389" s="0" t="n">
        <f aca="false">G3389*E3389/1000</f>
        <v>0.48</v>
      </c>
    </row>
    <row r="3390" customFormat="false" ht="15" hidden="false" customHeight="false" outlineLevel="0" collapsed="false">
      <c r="A3390" s="0" t="s">
        <v>119</v>
      </c>
      <c r="B3390" s="0" t="s">
        <v>1524</v>
      </c>
      <c r="C3390" s="0" t="n">
        <v>120</v>
      </c>
      <c r="D3390" s="0" t="n">
        <v>0</v>
      </c>
      <c r="E3390" s="0" t="n">
        <v>6</v>
      </c>
      <c r="F3390" s="0" t="n">
        <v>120</v>
      </c>
      <c r="G3390" s="0" t="n">
        <v>180</v>
      </c>
      <c r="H3390" s="0" t="s">
        <v>145</v>
      </c>
      <c r="I3390" s="0" t="n">
        <v>180</v>
      </c>
      <c r="J3390" s="0" t="n">
        <f aca="false">F3390*E3390</f>
        <v>720</v>
      </c>
      <c r="K3390" s="0" t="str">
        <f aca="false">IF(G3390&lt;1000,"1-Low",IF(G3390&lt;5000,"2-Medium","3-Bulk"))</f>
        <v>1-Low</v>
      </c>
      <c r="L3390" s="0" t="str">
        <f aca="false">IF(H3390="TRUE","Out of stock","In stock")</f>
        <v>In stock</v>
      </c>
      <c r="M3390" s="0" t="str">
        <f aca="false">IF(D3390&lt;5,"1) Under 5%",IF(D3390&lt;10,"2) 5-9%",IF(D3390&lt;15,"3) 10-14%",IF(D3390&lt;25,"4) 15-24%","5) 25%+"))))</f>
        <v>1) Under 5%</v>
      </c>
      <c r="N3390" s="0" t="str">
        <f aca="false">IF(F3390&lt;50,"1) Under Rs 50",IF(F3390&lt;100,"2) Rs 50-99",IF(F3390&lt;200,"3) Rs 100-199",IF(F3390&lt;500,"4) Rs 200-499","5) Rs 500+"))))</f>
        <v>3) Rs 100-199</v>
      </c>
      <c r="O3390" s="0" t="n">
        <f aca="false">G3390*E3390/1000</f>
        <v>1.08</v>
      </c>
    </row>
    <row r="3391" customFormat="false" ht="15" hidden="false" customHeight="false" outlineLevel="0" collapsed="false">
      <c r="A3391" s="0" t="s">
        <v>119</v>
      </c>
      <c r="B3391" s="0" t="s">
        <v>1525</v>
      </c>
      <c r="C3391" s="0" t="n">
        <v>100</v>
      </c>
      <c r="D3391" s="0" t="n">
        <v>10</v>
      </c>
      <c r="E3391" s="0" t="n">
        <v>6</v>
      </c>
      <c r="F3391" s="0" t="n">
        <v>90</v>
      </c>
      <c r="G3391" s="0" t="n">
        <v>25</v>
      </c>
      <c r="H3391" s="0" t="s">
        <v>145</v>
      </c>
      <c r="I3391" s="0" t="n">
        <v>25</v>
      </c>
      <c r="J3391" s="0" t="n">
        <f aca="false">F3391*E3391</f>
        <v>540</v>
      </c>
      <c r="K3391" s="0" t="str">
        <f aca="false">IF(G3391&lt;1000,"1-Low",IF(G3391&lt;5000,"2-Medium","3-Bulk"))</f>
        <v>1-Low</v>
      </c>
      <c r="L3391" s="0" t="str">
        <f aca="false">IF(H3391="TRUE","Out of stock","In stock")</f>
        <v>In stock</v>
      </c>
      <c r="M3391" s="0" t="str">
        <f aca="false">IF(D3391&lt;5,"1) Under 5%",IF(D3391&lt;10,"2) 5-9%",IF(D3391&lt;15,"3) 10-14%",IF(D3391&lt;25,"4) 15-24%","5) 25%+"))))</f>
        <v>3) 10-14%</v>
      </c>
      <c r="N3391" s="0" t="str">
        <f aca="false">IF(F3391&lt;50,"1) Under Rs 50",IF(F3391&lt;100,"2) Rs 50-99",IF(F3391&lt;200,"3) Rs 100-199",IF(F3391&lt;500,"4) Rs 200-499","5) Rs 500+"))))</f>
        <v>2) Rs 50-99</v>
      </c>
      <c r="O3391" s="0" t="n">
        <f aca="false">G3391*E3391/1000</f>
        <v>0.15</v>
      </c>
    </row>
    <row r="3392" customFormat="false" ht="15" hidden="false" customHeight="false" outlineLevel="0" collapsed="false">
      <c r="A3392" s="0" t="s">
        <v>119</v>
      </c>
      <c r="B3392" s="0" t="s">
        <v>1301</v>
      </c>
      <c r="C3392" s="0" t="n">
        <v>69</v>
      </c>
      <c r="D3392" s="0" t="n">
        <v>0</v>
      </c>
      <c r="E3392" s="0" t="n">
        <v>5</v>
      </c>
      <c r="F3392" s="0" t="n">
        <v>69</v>
      </c>
      <c r="G3392" s="0" t="n">
        <v>200</v>
      </c>
      <c r="H3392" s="0" t="s">
        <v>145</v>
      </c>
      <c r="I3392" s="0" t="n">
        <v>200</v>
      </c>
      <c r="J3392" s="0" t="n">
        <f aca="false">F3392*E3392</f>
        <v>345</v>
      </c>
      <c r="K3392" s="0" t="str">
        <f aca="false">IF(G3392&lt;1000,"1-Low",IF(G3392&lt;5000,"2-Medium","3-Bulk"))</f>
        <v>1-Low</v>
      </c>
      <c r="L3392" s="0" t="str">
        <f aca="false">IF(H3392="TRUE","Out of stock","In stock")</f>
        <v>In stock</v>
      </c>
      <c r="M3392" s="0" t="str">
        <f aca="false">IF(D3392&lt;5,"1) Under 5%",IF(D3392&lt;10,"2) 5-9%",IF(D3392&lt;15,"3) 10-14%",IF(D3392&lt;25,"4) 15-24%","5) 25%+"))))</f>
        <v>1) Under 5%</v>
      </c>
      <c r="N3392" s="0" t="str">
        <f aca="false">IF(F3392&lt;50,"1) Under Rs 50",IF(F3392&lt;100,"2) Rs 50-99",IF(F3392&lt;200,"3) Rs 100-199",IF(F3392&lt;500,"4) Rs 200-499","5) Rs 500+"))))</f>
        <v>2) Rs 50-99</v>
      </c>
      <c r="O3392" s="0" t="n">
        <f aca="false">G3392*E3392/1000</f>
        <v>1</v>
      </c>
    </row>
    <row r="3393" customFormat="false" ht="15" hidden="false" customHeight="false" outlineLevel="0" collapsed="false">
      <c r="A3393" s="0" t="s">
        <v>119</v>
      </c>
      <c r="B3393" s="0" t="s">
        <v>1526</v>
      </c>
      <c r="C3393" s="0" t="n">
        <v>360</v>
      </c>
      <c r="D3393" s="0" t="n">
        <v>10</v>
      </c>
      <c r="E3393" s="0" t="n">
        <v>6</v>
      </c>
      <c r="F3393" s="0" t="n">
        <v>324</v>
      </c>
      <c r="G3393" s="0" t="n">
        <v>24</v>
      </c>
      <c r="H3393" s="0" t="s">
        <v>145</v>
      </c>
      <c r="I3393" s="0" t="n">
        <v>24</v>
      </c>
      <c r="J3393" s="0" t="n">
        <f aca="false">F3393*E3393</f>
        <v>1944</v>
      </c>
      <c r="K3393" s="0" t="str">
        <f aca="false">IF(G3393&lt;1000,"1-Low",IF(G3393&lt;5000,"2-Medium","3-Bulk"))</f>
        <v>1-Low</v>
      </c>
      <c r="L3393" s="0" t="str">
        <f aca="false">IF(H3393="TRUE","Out of stock","In stock")</f>
        <v>In stock</v>
      </c>
      <c r="M3393" s="0" t="str">
        <f aca="false">IF(D3393&lt;5,"1) Under 5%",IF(D3393&lt;10,"2) 5-9%",IF(D3393&lt;15,"3) 10-14%",IF(D3393&lt;25,"4) 15-24%","5) 25%+"))))</f>
        <v>3) 10-14%</v>
      </c>
      <c r="N3393" s="0" t="str">
        <f aca="false">IF(F3393&lt;50,"1) Under Rs 50",IF(F3393&lt;100,"2) Rs 50-99",IF(F3393&lt;200,"3) Rs 100-199",IF(F3393&lt;500,"4) Rs 200-499","5) Rs 500+"))))</f>
        <v>4) Rs 200-499</v>
      </c>
      <c r="O3393" s="0" t="n">
        <f aca="false">G3393*E3393/1000</f>
        <v>0.144</v>
      </c>
    </row>
    <row r="3394" customFormat="false" ht="15" hidden="false" customHeight="false" outlineLevel="0" collapsed="false">
      <c r="A3394" s="0" t="s">
        <v>119</v>
      </c>
      <c r="B3394" s="0" t="s">
        <v>1299</v>
      </c>
      <c r="C3394" s="0" t="n">
        <v>260</v>
      </c>
      <c r="D3394" s="0" t="n">
        <v>18</v>
      </c>
      <c r="E3394" s="0" t="n">
        <v>1</v>
      </c>
      <c r="F3394" s="0" t="n">
        <v>213</v>
      </c>
      <c r="G3394" s="0" t="n">
        <v>400</v>
      </c>
      <c r="H3394" s="0" t="s">
        <v>145</v>
      </c>
      <c r="I3394" s="0" t="n">
        <v>400</v>
      </c>
      <c r="J3394" s="0" t="n">
        <f aca="false">F3394*E3394</f>
        <v>213</v>
      </c>
      <c r="K3394" s="0" t="str">
        <f aca="false">IF(G3394&lt;1000,"1-Low",IF(G3394&lt;5000,"2-Medium","3-Bulk"))</f>
        <v>1-Low</v>
      </c>
      <c r="L3394" s="0" t="str">
        <f aca="false">IF(H3394="TRUE","Out of stock","In stock")</f>
        <v>In stock</v>
      </c>
      <c r="M3394" s="0" t="str">
        <f aca="false">IF(D3394&lt;5,"1) Under 5%",IF(D3394&lt;10,"2) 5-9%",IF(D3394&lt;15,"3) 10-14%",IF(D3394&lt;25,"4) 15-24%","5) 25%+"))))</f>
        <v>4) 15-24%</v>
      </c>
      <c r="N3394" s="0" t="str">
        <f aca="false">IF(F3394&lt;50,"1) Under Rs 50",IF(F3394&lt;100,"2) Rs 50-99",IF(F3394&lt;200,"3) Rs 100-199",IF(F3394&lt;500,"4) Rs 200-499","5) Rs 500+"))))</f>
        <v>4) Rs 200-499</v>
      </c>
      <c r="O3394" s="0" t="n">
        <f aca="false">G3394*E3394/1000</f>
        <v>0.4</v>
      </c>
    </row>
    <row r="3395" customFormat="false" ht="15" hidden="false" customHeight="false" outlineLevel="0" collapsed="false">
      <c r="A3395" s="0" t="s">
        <v>119</v>
      </c>
      <c r="B3395" s="0" t="s">
        <v>1395</v>
      </c>
      <c r="C3395" s="0" t="n">
        <v>490</v>
      </c>
      <c r="D3395" s="0" t="n">
        <v>25</v>
      </c>
      <c r="E3395" s="0" t="n">
        <v>4</v>
      </c>
      <c r="F3395" s="0" t="n">
        <v>367</v>
      </c>
      <c r="G3395" s="0" t="n">
        <v>700</v>
      </c>
      <c r="H3395" s="0" t="s">
        <v>145</v>
      </c>
      <c r="I3395" s="0" t="n">
        <v>700</v>
      </c>
      <c r="J3395" s="0" t="n">
        <f aca="false">F3395*E3395</f>
        <v>1468</v>
      </c>
      <c r="K3395" s="0" t="str">
        <f aca="false">IF(G3395&lt;1000,"1-Low",IF(G3395&lt;5000,"2-Medium","3-Bulk"))</f>
        <v>1-Low</v>
      </c>
      <c r="L3395" s="0" t="str">
        <f aca="false">IF(H3395="TRUE","Out of stock","In stock")</f>
        <v>In stock</v>
      </c>
      <c r="M3395" s="0" t="str">
        <f aca="false">IF(D3395&lt;5,"1) Under 5%",IF(D3395&lt;10,"2) 5-9%",IF(D3395&lt;15,"3) 10-14%",IF(D3395&lt;25,"4) 15-24%","5) 25%+"))))</f>
        <v>5) 25%+</v>
      </c>
      <c r="N3395" s="0" t="str">
        <f aca="false">IF(F3395&lt;50,"1) Under Rs 50",IF(F3395&lt;100,"2) Rs 50-99",IF(F3395&lt;200,"3) Rs 100-199",IF(F3395&lt;500,"4) Rs 200-499","5) Rs 500+"))))</f>
        <v>4) Rs 200-499</v>
      </c>
      <c r="O3395" s="0" t="n">
        <f aca="false">G3395*E3395/1000</f>
        <v>2.8</v>
      </c>
    </row>
    <row r="3396" customFormat="false" ht="15" hidden="false" customHeight="false" outlineLevel="0" collapsed="false">
      <c r="A3396" s="0" t="s">
        <v>119</v>
      </c>
      <c r="B3396" s="0" t="s">
        <v>1477</v>
      </c>
      <c r="C3396" s="0" t="n">
        <v>200</v>
      </c>
      <c r="D3396" s="0" t="n">
        <v>0</v>
      </c>
      <c r="E3396" s="0" t="n">
        <v>6</v>
      </c>
      <c r="F3396" s="0" t="n">
        <v>200</v>
      </c>
      <c r="G3396" s="0" t="n">
        <v>200</v>
      </c>
      <c r="H3396" s="0" t="s">
        <v>145</v>
      </c>
      <c r="I3396" s="0" t="n">
        <v>200</v>
      </c>
      <c r="J3396" s="0" t="n">
        <f aca="false">F3396*E3396</f>
        <v>1200</v>
      </c>
      <c r="K3396" s="0" t="str">
        <f aca="false">IF(G3396&lt;1000,"1-Low",IF(G3396&lt;5000,"2-Medium","3-Bulk"))</f>
        <v>1-Low</v>
      </c>
      <c r="L3396" s="0" t="str">
        <f aca="false">IF(H3396="TRUE","Out of stock","In stock")</f>
        <v>In stock</v>
      </c>
      <c r="M3396" s="0" t="str">
        <f aca="false">IF(D3396&lt;5,"1) Under 5%",IF(D3396&lt;10,"2) 5-9%",IF(D3396&lt;15,"3) 10-14%",IF(D3396&lt;25,"4) 15-24%","5) 25%+"))))</f>
        <v>1) Under 5%</v>
      </c>
      <c r="N3396" s="0" t="str">
        <f aca="false">IF(F3396&lt;50,"1) Under Rs 50",IF(F3396&lt;100,"2) Rs 50-99",IF(F3396&lt;200,"3) Rs 100-199",IF(F3396&lt;500,"4) Rs 200-499","5) Rs 500+"))))</f>
        <v>4) Rs 200-499</v>
      </c>
      <c r="O3396" s="0" t="n">
        <f aca="false">G3396*E3396/1000</f>
        <v>1.2</v>
      </c>
    </row>
    <row r="3397" customFormat="false" ht="15" hidden="false" customHeight="false" outlineLevel="0" collapsed="false">
      <c r="A3397" s="0" t="s">
        <v>119</v>
      </c>
      <c r="B3397" s="0" t="s">
        <v>1527</v>
      </c>
      <c r="C3397" s="0" t="n">
        <v>325</v>
      </c>
      <c r="D3397" s="0" t="n">
        <v>0</v>
      </c>
      <c r="E3397" s="0" t="n">
        <v>4</v>
      </c>
      <c r="F3397" s="0" t="n">
        <v>325</v>
      </c>
      <c r="G3397" s="0" t="n">
        <v>400</v>
      </c>
      <c r="H3397" s="0" t="s">
        <v>145</v>
      </c>
      <c r="I3397" s="0" t="n">
        <v>400</v>
      </c>
      <c r="J3397" s="0" t="n">
        <f aca="false">F3397*E3397</f>
        <v>1300</v>
      </c>
      <c r="K3397" s="0" t="str">
        <f aca="false">IF(G3397&lt;1000,"1-Low",IF(G3397&lt;5000,"2-Medium","3-Bulk"))</f>
        <v>1-Low</v>
      </c>
      <c r="L3397" s="0" t="str">
        <f aca="false">IF(H3397="TRUE","Out of stock","In stock")</f>
        <v>In stock</v>
      </c>
      <c r="M3397" s="0" t="str">
        <f aca="false">IF(D3397&lt;5,"1) Under 5%",IF(D3397&lt;10,"2) 5-9%",IF(D3397&lt;15,"3) 10-14%",IF(D3397&lt;25,"4) 15-24%","5) 25%+"))))</f>
        <v>1) Under 5%</v>
      </c>
      <c r="N3397" s="0" t="str">
        <f aca="false">IF(F3397&lt;50,"1) Under Rs 50",IF(F3397&lt;100,"2) Rs 50-99",IF(F3397&lt;200,"3) Rs 100-199",IF(F3397&lt;500,"4) Rs 200-499","5) Rs 500+"))))</f>
        <v>4) Rs 200-499</v>
      </c>
      <c r="O3397" s="0" t="n">
        <f aca="false">G3397*E3397/1000</f>
        <v>1.6</v>
      </c>
    </row>
    <row r="3398" customFormat="false" ht="15" hidden="false" customHeight="false" outlineLevel="0" collapsed="false">
      <c r="A3398" s="0" t="s">
        <v>119</v>
      </c>
      <c r="B3398" s="0" t="s">
        <v>1528</v>
      </c>
      <c r="C3398" s="0" t="n">
        <v>199</v>
      </c>
      <c r="D3398" s="0" t="n">
        <v>0</v>
      </c>
      <c r="E3398" s="0" t="n">
        <v>1</v>
      </c>
      <c r="F3398" s="0" t="n">
        <v>199</v>
      </c>
      <c r="G3398" s="0" t="n">
        <v>193</v>
      </c>
      <c r="H3398" s="0" t="s">
        <v>145</v>
      </c>
      <c r="I3398" s="0" t="n">
        <v>193</v>
      </c>
      <c r="J3398" s="0" t="n">
        <f aca="false">F3398*E3398</f>
        <v>199</v>
      </c>
      <c r="K3398" s="0" t="str">
        <f aca="false">IF(G3398&lt;1000,"1-Low",IF(G3398&lt;5000,"2-Medium","3-Bulk"))</f>
        <v>1-Low</v>
      </c>
      <c r="L3398" s="0" t="str">
        <f aca="false">IF(H3398="TRUE","Out of stock","In stock")</f>
        <v>In stock</v>
      </c>
      <c r="M3398" s="0" t="str">
        <f aca="false">IF(D3398&lt;5,"1) Under 5%",IF(D3398&lt;10,"2) 5-9%",IF(D3398&lt;15,"3) 10-14%",IF(D3398&lt;25,"4) 15-24%","5) 25%+"))))</f>
        <v>1) Under 5%</v>
      </c>
      <c r="N3398" s="0" t="str">
        <f aca="false">IF(F3398&lt;50,"1) Under Rs 50",IF(F3398&lt;100,"2) Rs 50-99",IF(F3398&lt;200,"3) Rs 100-199",IF(F3398&lt;500,"4) Rs 200-499","5) Rs 500+"))))</f>
        <v>3) Rs 100-199</v>
      </c>
      <c r="O3398" s="0" t="n">
        <f aca="false">G3398*E3398/1000</f>
        <v>0.193</v>
      </c>
    </row>
    <row r="3399" customFormat="false" ht="15" hidden="false" customHeight="false" outlineLevel="0" collapsed="false">
      <c r="A3399" s="0" t="s">
        <v>119</v>
      </c>
      <c r="B3399" s="0" t="s">
        <v>1529</v>
      </c>
      <c r="C3399" s="0" t="n">
        <v>185</v>
      </c>
      <c r="D3399" s="0" t="n">
        <v>15</v>
      </c>
      <c r="E3399" s="0" t="n">
        <v>6</v>
      </c>
      <c r="F3399" s="0" t="n">
        <v>157</v>
      </c>
      <c r="G3399" s="0" t="n">
        <v>100</v>
      </c>
      <c r="H3399" s="0" t="s">
        <v>145</v>
      </c>
      <c r="I3399" s="0" t="n">
        <v>100</v>
      </c>
      <c r="J3399" s="0" t="n">
        <f aca="false">F3399*E3399</f>
        <v>942</v>
      </c>
      <c r="K3399" s="0" t="str">
        <f aca="false">IF(G3399&lt;1000,"1-Low",IF(G3399&lt;5000,"2-Medium","3-Bulk"))</f>
        <v>1-Low</v>
      </c>
      <c r="L3399" s="0" t="str">
        <f aca="false">IF(H3399="TRUE","Out of stock","In stock")</f>
        <v>In stock</v>
      </c>
      <c r="M3399" s="0" t="str">
        <f aca="false">IF(D3399&lt;5,"1) Under 5%",IF(D3399&lt;10,"2) 5-9%",IF(D3399&lt;15,"3) 10-14%",IF(D3399&lt;25,"4) 15-24%","5) 25%+"))))</f>
        <v>4) 15-24%</v>
      </c>
      <c r="N3399" s="0" t="str">
        <f aca="false">IF(F3399&lt;50,"1) Under Rs 50",IF(F3399&lt;100,"2) Rs 50-99",IF(F3399&lt;200,"3) Rs 100-199",IF(F3399&lt;500,"4) Rs 200-499","5) Rs 500+"))))</f>
        <v>3) Rs 100-199</v>
      </c>
      <c r="O3399" s="0" t="n">
        <f aca="false">G3399*E3399/1000</f>
        <v>0.6</v>
      </c>
    </row>
    <row r="3400" customFormat="false" ht="15" hidden="false" customHeight="false" outlineLevel="0" collapsed="false">
      <c r="A3400" s="0" t="s">
        <v>119</v>
      </c>
      <c r="B3400" s="0" t="s">
        <v>1319</v>
      </c>
      <c r="C3400" s="0" t="n">
        <v>555</v>
      </c>
      <c r="D3400" s="0" t="n">
        <v>0</v>
      </c>
      <c r="E3400" s="0" t="n">
        <v>1</v>
      </c>
      <c r="F3400" s="0" t="n">
        <v>555</v>
      </c>
      <c r="G3400" s="0" t="n">
        <v>60</v>
      </c>
      <c r="H3400" s="0" t="s">
        <v>145</v>
      </c>
      <c r="I3400" s="0" t="n">
        <v>60</v>
      </c>
      <c r="J3400" s="0" t="n">
        <f aca="false">F3400*E3400</f>
        <v>555</v>
      </c>
      <c r="K3400" s="0" t="str">
        <f aca="false">IF(G3400&lt;1000,"1-Low",IF(G3400&lt;5000,"2-Medium","3-Bulk"))</f>
        <v>1-Low</v>
      </c>
      <c r="L3400" s="0" t="str">
        <f aca="false">IF(H3400="TRUE","Out of stock","In stock")</f>
        <v>In stock</v>
      </c>
      <c r="M3400" s="0" t="str">
        <f aca="false">IF(D3400&lt;5,"1) Under 5%",IF(D3400&lt;10,"2) 5-9%",IF(D3400&lt;15,"3) 10-14%",IF(D3400&lt;25,"4) 15-24%","5) 25%+"))))</f>
        <v>1) Under 5%</v>
      </c>
      <c r="N3400" s="0" t="str">
        <f aca="false">IF(F3400&lt;50,"1) Under Rs 50",IF(F3400&lt;100,"2) Rs 50-99",IF(F3400&lt;200,"3) Rs 100-199",IF(F3400&lt;500,"4) Rs 200-499","5) Rs 500+"))))</f>
        <v>5) Rs 500+</v>
      </c>
      <c r="O3400" s="0" t="n">
        <f aca="false">G3400*E3400/1000</f>
        <v>0.06</v>
      </c>
    </row>
    <row r="3401" customFormat="false" ht="15" hidden="false" customHeight="false" outlineLevel="0" collapsed="false">
      <c r="A3401" s="0" t="s">
        <v>119</v>
      </c>
      <c r="B3401" s="0" t="s">
        <v>1530</v>
      </c>
      <c r="C3401" s="0" t="n">
        <v>249</v>
      </c>
      <c r="D3401" s="0" t="n">
        <v>20</v>
      </c>
      <c r="E3401" s="0" t="n">
        <v>6</v>
      </c>
      <c r="F3401" s="0" t="n">
        <v>199</v>
      </c>
      <c r="G3401" s="0" t="n">
        <v>250</v>
      </c>
      <c r="H3401" s="0" t="s">
        <v>145</v>
      </c>
      <c r="I3401" s="0" t="n">
        <v>250</v>
      </c>
      <c r="J3401" s="0" t="n">
        <f aca="false">F3401*E3401</f>
        <v>1194</v>
      </c>
      <c r="K3401" s="0" t="str">
        <f aca="false">IF(G3401&lt;1000,"1-Low",IF(G3401&lt;5000,"2-Medium","3-Bulk"))</f>
        <v>1-Low</v>
      </c>
      <c r="L3401" s="0" t="str">
        <f aca="false">IF(H3401="TRUE","Out of stock","In stock")</f>
        <v>In stock</v>
      </c>
      <c r="M3401" s="0" t="str">
        <f aca="false">IF(D3401&lt;5,"1) Under 5%",IF(D3401&lt;10,"2) 5-9%",IF(D3401&lt;15,"3) 10-14%",IF(D3401&lt;25,"4) 15-24%","5) 25%+"))))</f>
        <v>4) 15-24%</v>
      </c>
      <c r="N3401" s="0" t="str">
        <f aca="false">IF(F3401&lt;50,"1) Under Rs 50",IF(F3401&lt;100,"2) Rs 50-99",IF(F3401&lt;200,"3) Rs 100-199",IF(F3401&lt;500,"4) Rs 200-499","5) Rs 500+"))))</f>
        <v>3) Rs 100-199</v>
      </c>
      <c r="O3401" s="0" t="n">
        <f aca="false">G3401*E3401/1000</f>
        <v>1.5</v>
      </c>
    </row>
    <row r="3402" customFormat="false" ht="15" hidden="false" customHeight="false" outlineLevel="0" collapsed="false">
      <c r="A3402" s="0" t="s">
        <v>119</v>
      </c>
      <c r="B3402" s="0" t="s">
        <v>1528</v>
      </c>
      <c r="C3402" s="0" t="n">
        <v>209</v>
      </c>
      <c r="D3402" s="0" t="n">
        <v>0</v>
      </c>
      <c r="E3402" s="0" t="n">
        <v>3</v>
      </c>
      <c r="F3402" s="0" t="n">
        <v>209</v>
      </c>
      <c r="G3402" s="0" t="n">
        <v>193</v>
      </c>
      <c r="H3402" s="0" t="s">
        <v>145</v>
      </c>
      <c r="I3402" s="0" t="n">
        <v>193</v>
      </c>
      <c r="J3402" s="0" t="n">
        <f aca="false">F3402*E3402</f>
        <v>627</v>
      </c>
      <c r="K3402" s="0" t="str">
        <f aca="false">IF(G3402&lt;1000,"1-Low",IF(G3402&lt;5000,"2-Medium","3-Bulk"))</f>
        <v>1-Low</v>
      </c>
      <c r="L3402" s="0" t="str">
        <f aca="false">IF(H3402="TRUE","Out of stock","In stock")</f>
        <v>In stock</v>
      </c>
      <c r="M3402" s="0" t="str">
        <f aca="false">IF(D3402&lt;5,"1) Under 5%",IF(D3402&lt;10,"2) 5-9%",IF(D3402&lt;15,"3) 10-14%",IF(D3402&lt;25,"4) 15-24%","5) 25%+"))))</f>
        <v>1) Under 5%</v>
      </c>
      <c r="N3402" s="0" t="str">
        <f aca="false">IF(F3402&lt;50,"1) Under Rs 50",IF(F3402&lt;100,"2) Rs 50-99",IF(F3402&lt;200,"3) Rs 100-199",IF(F3402&lt;500,"4) Rs 200-499","5) Rs 500+"))))</f>
        <v>4) Rs 200-499</v>
      </c>
      <c r="O3402" s="0" t="n">
        <f aca="false">G3402*E3402/1000</f>
        <v>0.579</v>
      </c>
    </row>
    <row r="3403" customFormat="false" ht="15" hidden="false" customHeight="false" outlineLevel="0" collapsed="false">
      <c r="A3403" s="0" t="s">
        <v>119</v>
      </c>
      <c r="B3403" s="0" t="s">
        <v>1326</v>
      </c>
      <c r="C3403" s="0" t="n">
        <v>285</v>
      </c>
      <c r="D3403" s="0" t="n">
        <v>6</v>
      </c>
      <c r="E3403" s="0" t="n">
        <v>6</v>
      </c>
      <c r="F3403" s="0" t="n">
        <v>266</v>
      </c>
      <c r="G3403" s="0" t="n">
        <v>340</v>
      </c>
      <c r="H3403" s="0" t="s">
        <v>145</v>
      </c>
      <c r="I3403" s="0" t="n">
        <v>340</v>
      </c>
      <c r="J3403" s="0" t="n">
        <f aca="false">F3403*E3403</f>
        <v>1596</v>
      </c>
      <c r="K3403" s="0" t="str">
        <f aca="false">IF(G3403&lt;1000,"1-Low",IF(G3403&lt;5000,"2-Medium","3-Bulk"))</f>
        <v>1-Low</v>
      </c>
      <c r="L3403" s="0" t="str">
        <f aca="false">IF(H3403="TRUE","Out of stock","In stock")</f>
        <v>In stock</v>
      </c>
      <c r="M3403" s="0" t="str">
        <f aca="false">IF(D3403&lt;5,"1) Under 5%",IF(D3403&lt;10,"2) 5-9%",IF(D3403&lt;15,"3) 10-14%",IF(D3403&lt;25,"4) 15-24%","5) 25%+"))))</f>
        <v>2) 5-9%</v>
      </c>
      <c r="N3403" s="0" t="str">
        <f aca="false">IF(F3403&lt;50,"1) Under Rs 50",IF(F3403&lt;100,"2) Rs 50-99",IF(F3403&lt;200,"3) Rs 100-199",IF(F3403&lt;500,"4) Rs 200-499","5) Rs 500+"))))</f>
        <v>4) Rs 200-499</v>
      </c>
      <c r="O3403" s="0" t="n">
        <f aca="false">G3403*E3403/1000</f>
        <v>2.04</v>
      </c>
    </row>
    <row r="3404" customFormat="false" ht="15" hidden="false" customHeight="false" outlineLevel="0" collapsed="false">
      <c r="A3404" s="0" t="s">
        <v>119</v>
      </c>
      <c r="B3404" s="0" t="s">
        <v>1531</v>
      </c>
      <c r="C3404" s="0" t="n">
        <v>249</v>
      </c>
      <c r="D3404" s="0" t="n">
        <v>0</v>
      </c>
      <c r="E3404" s="0" t="n">
        <v>4</v>
      </c>
      <c r="F3404" s="0" t="n">
        <v>249</v>
      </c>
      <c r="G3404" s="0" t="n">
        <v>150</v>
      </c>
      <c r="H3404" s="0" t="s">
        <v>145</v>
      </c>
      <c r="I3404" s="0" t="n">
        <v>150</v>
      </c>
      <c r="J3404" s="0" t="n">
        <f aca="false">F3404*E3404</f>
        <v>996</v>
      </c>
      <c r="K3404" s="0" t="str">
        <f aca="false">IF(G3404&lt;1000,"1-Low",IF(G3404&lt;5000,"2-Medium","3-Bulk"))</f>
        <v>1-Low</v>
      </c>
      <c r="L3404" s="0" t="str">
        <f aca="false">IF(H3404="TRUE","Out of stock","In stock")</f>
        <v>In stock</v>
      </c>
      <c r="M3404" s="0" t="str">
        <f aca="false">IF(D3404&lt;5,"1) Under 5%",IF(D3404&lt;10,"2) 5-9%",IF(D3404&lt;15,"3) 10-14%",IF(D3404&lt;25,"4) 15-24%","5) 25%+"))))</f>
        <v>1) Under 5%</v>
      </c>
      <c r="N3404" s="0" t="str">
        <f aca="false">IF(F3404&lt;50,"1) Under Rs 50",IF(F3404&lt;100,"2) Rs 50-99",IF(F3404&lt;200,"3) Rs 100-199",IF(F3404&lt;500,"4) Rs 200-499","5) Rs 500+"))))</f>
        <v>4) Rs 200-499</v>
      </c>
      <c r="O3404" s="0" t="n">
        <f aca="false">G3404*E3404/1000</f>
        <v>0.6</v>
      </c>
    </row>
    <row r="3405" customFormat="false" ht="15" hidden="false" customHeight="false" outlineLevel="0" collapsed="false">
      <c r="A3405" s="0" t="s">
        <v>119</v>
      </c>
      <c r="B3405" s="0" t="s">
        <v>1489</v>
      </c>
      <c r="C3405" s="0" t="n">
        <v>150</v>
      </c>
      <c r="D3405" s="0" t="n">
        <v>10</v>
      </c>
      <c r="E3405" s="0" t="n">
        <v>6</v>
      </c>
      <c r="F3405" s="0" t="n">
        <v>135</v>
      </c>
      <c r="G3405" s="0" t="n">
        <v>250</v>
      </c>
      <c r="H3405" s="0" t="s">
        <v>145</v>
      </c>
      <c r="I3405" s="0" t="n">
        <v>250</v>
      </c>
      <c r="J3405" s="0" t="n">
        <f aca="false">F3405*E3405</f>
        <v>810</v>
      </c>
      <c r="K3405" s="0" t="str">
        <f aca="false">IF(G3405&lt;1000,"1-Low",IF(G3405&lt;5000,"2-Medium","3-Bulk"))</f>
        <v>1-Low</v>
      </c>
      <c r="L3405" s="0" t="str">
        <f aca="false">IF(H3405="TRUE","Out of stock","In stock")</f>
        <v>In stock</v>
      </c>
      <c r="M3405" s="0" t="str">
        <f aca="false">IF(D3405&lt;5,"1) Under 5%",IF(D3405&lt;10,"2) 5-9%",IF(D3405&lt;15,"3) 10-14%",IF(D3405&lt;25,"4) 15-24%","5) 25%+"))))</f>
        <v>3) 10-14%</v>
      </c>
      <c r="N3405" s="0" t="str">
        <f aca="false">IF(F3405&lt;50,"1) Under Rs 50",IF(F3405&lt;100,"2) Rs 50-99",IF(F3405&lt;200,"3) Rs 100-199",IF(F3405&lt;500,"4) Rs 200-499","5) Rs 500+"))))</f>
        <v>3) Rs 100-199</v>
      </c>
      <c r="O3405" s="0" t="n">
        <f aca="false">G3405*E3405/1000</f>
        <v>1.5</v>
      </c>
    </row>
    <row r="3406" customFormat="false" ht="15" hidden="false" customHeight="false" outlineLevel="0" collapsed="false">
      <c r="A3406" s="0" t="s">
        <v>119</v>
      </c>
      <c r="B3406" s="0" t="s">
        <v>1447</v>
      </c>
      <c r="C3406" s="0" t="n">
        <v>170</v>
      </c>
      <c r="D3406" s="0" t="n">
        <v>14</v>
      </c>
      <c r="E3406" s="0" t="n">
        <v>6</v>
      </c>
      <c r="F3406" s="0" t="n">
        <v>146</v>
      </c>
      <c r="G3406" s="0" t="n">
        <v>200</v>
      </c>
      <c r="H3406" s="0" t="s">
        <v>145</v>
      </c>
      <c r="I3406" s="0" t="n">
        <v>200</v>
      </c>
      <c r="J3406" s="0" t="n">
        <f aca="false">F3406*E3406</f>
        <v>876</v>
      </c>
      <c r="K3406" s="0" t="str">
        <f aca="false">IF(G3406&lt;1000,"1-Low",IF(G3406&lt;5000,"2-Medium","3-Bulk"))</f>
        <v>1-Low</v>
      </c>
      <c r="L3406" s="0" t="str">
        <f aca="false">IF(H3406="TRUE","Out of stock","In stock")</f>
        <v>In stock</v>
      </c>
      <c r="M3406" s="0" t="str">
        <f aca="false">IF(D3406&lt;5,"1) Under 5%",IF(D3406&lt;10,"2) 5-9%",IF(D3406&lt;15,"3) 10-14%",IF(D3406&lt;25,"4) 15-24%","5) 25%+"))))</f>
        <v>3) 10-14%</v>
      </c>
      <c r="N3406" s="0" t="str">
        <f aca="false">IF(F3406&lt;50,"1) Under Rs 50",IF(F3406&lt;100,"2) Rs 50-99",IF(F3406&lt;200,"3) Rs 100-199",IF(F3406&lt;500,"4) Rs 200-499","5) Rs 500+"))))</f>
        <v>3) Rs 100-199</v>
      </c>
      <c r="O3406" s="0" t="n">
        <f aca="false">G3406*E3406/1000</f>
        <v>1.2</v>
      </c>
    </row>
    <row r="3407" customFormat="false" ht="15" hidden="false" customHeight="false" outlineLevel="0" collapsed="false">
      <c r="A3407" s="0" t="s">
        <v>119</v>
      </c>
      <c r="B3407" s="0" t="s">
        <v>1532</v>
      </c>
      <c r="C3407" s="0" t="n">
        <v>268</v>
      </c>
      <c r="D3407" s="0" t="n">
        <v>5</v>
      </c>
      <c r="E3407" s="0" t="n">
        <v>1</v>
      </c>
      <c r="F3407" s="0" t="n">
        <v>252</v>
      </c>
      <c r="G3407" s="0" t="n">
        <v>340</v>
      </c>
      <c r="H3407" s="0" t="s">
        <v>145</v>
      </c>
      <c r="I3407" s="0" t="n">
        <v>340</v>
      </c>
      <c r="J3407" s="0" t="n">
        <f aca="false">F3407*E3407</f>
        <v>252</v>
      </c>
      <c r="K3407" s="0" t="str">
        <f aca="false">IF(G3407&lt;1000,"1-Low",IF(G3407&lt;5000,"2-Medium","3-Bulk"))</f>
        <v>1-Low</v>
      </c>
      <c r="L3407" s="0" t="str">
        <f aca="false">IF(H3407="TRUE","Out of stock","In stock")</f>
        <v>In stock</v>
      </c>
      <c r="M3407" s="0" t="str">
        <f aca="false">IF(D3407&lt;5,"1) Under 5%",IF(D3407&lt;10,"2) 5-9%",IF(D3407&lt;15,"3) 10-14%",IF(D3407&lt;25,"4) 15-24%","5) 25%+"))))</f>
        <v>2) 5-9%</v>
      </c>
      <c r="N3407" s="0" t="str">
        <f aca="false">IF(F3407&lt;50,"1) Under Rs 50",IF(F3407&lt;100,"2) Rs 50-99",IF(F3407&lt;200,"3) Rs 100-199",IF(F3407&lt;500,"4) Rs 200-499","5) Rs 500+"))))</f>
        <v>4) Rs 200-499</v>
      </c>
      <c r="O3407" s="0" t="n">
        <f aca="false">G3407*E3407/1000</f>
        <v>0.34</v>
      </c>
    </row>
    <row r="3408" customFormat="false" ht="15" hidden="false" customHeight="false" outlineLevel="0" collapsed="false">
      <c r="A3408" s="0" t="s">
        <v>119</v>
      </c>
      <c r="B3408" s="0" t="s">
        <v>1288</v>
      </c>
      <c r="C3408" s="0" t="n">
        <v>280</v>
      </c>
      <c r="D3408" s="0" t="n">
        <v>15</v>
      </c>
      <c r="E3408" s="0" t="n">
        <v>6</v>
      </c>
      <c r="F3408" s="0" t="n">
        <v>236</v>
      </c>
      <c r="G3408" s="0" t="n">
        <v>340</v>
      </c>
      <c r="H3408" s="0" t="s">
        <v>145</v>
      </c>
      <c r="I3408" s="0" t="n">
        <v>340</v>
      </c>
      <c r="J3408" s="0" t="n">
        <f aca="false">F3408*E3408</f>
        <v>1416</v>
      </c>
      <c r="K3408" s="0" t="str">
        <f aca="false">IF(G3408&lt;1000,"1-Low",IF(G3408&lt;5000,"2-Medium","3-Bulk"))</f>
        <v>1-Low</v>
      </c>
      <c r="L3408" s="0" t="str">
        <f aca="false">IF(H3408="TRUE","Out of stock","In stock")</f>
        <v>In stock</v>
      </c>
      <c r="M3408" s="0" t="str">
        <f aca="false">IF(D3408&lt;5,"1) Under 5%",IF(D3408&lt;10,"2) 5-9%",IF(D3408&lt;15,"3) 10-14%",IF(D3408&lt;25,"4) 15-24%","5) 25%+"))))</f>
        <v>4) 15-24%</v>
      </c>
      <c r="N3408" s="0" t="str">
        <f aca="false">IF(F3408&lt;50,"1) Under Rs 50",IF(F3408&lt;100,"2) Rs 50-99",IF(F3408&lt;200,"3) Rs 100-199",IF(F3408&lt;500,"4) Rs 200-499","5) Rs 500+"))))</f>
        <v>4) Rs 200-499</v>
      </c>
      <c r="O3408" s="0" t="n">
        <f aca="false">G3408*E3408/1000</f>
        <v>2.04</v>
      </c>
    </row>
    <row r="3409" customFormat="false" ht="15" hidden="false" customHeight="false" outlineLevel="0" collapsed="false">
      <c r="A3409" s="0" t="s">
        <v>119</v>
      </c>
      <c r="B3409" s="0" t="s">
        <v>1533</v>
      </c>
      <c r="C3409" s="0" t="n">
        <v>295</v>
      </c>
      <c r="D3409" s="0" t="n">
        <v>9</v>
      </c>
      <c r="E3409" s="0" t="n">
        <v>6</v>
      </c>
      <c r="F3409" s="0" t="n">
        <v>266</v>
      </c>
      <c r="G3409" s="0" t="n">
        <v>340</v>
      </c>
      <c r="H3409" s="0" t="s">
        <v>145</v>
      </c>
      <c r="I3409" s="0" t="n">
        <v>340</v>
      </c>
      <c r="J3409" s="0" t="n">
        <f aca="false">F3409*E3409</f>
        <v>1596</v>
      </c>
      <c r="K3409" s="0" t="str">
        <f aca="false">IF(G3409&lt;1000,"1-Low",IF(G3409&lt;5000,"2-Medium","3-Bulk"))</f>
        <v>1-Low</v>
      </c>
      <c r="L3409" s="0" t="str">
        <f aca="false">IF(H3409="TRUE","Out of stock","In stock")</f>
        <v>In stock</v>
      </c>
      <c r="M3409" s="0" t="str">
        <f aca="false">IF(D3409&lt;5,"1) Under 5%",IF(D3409&lt;10,"2) 5-9%",IF(D3409&lt;15,"3) 10-14%",IF(D3409&lt;25,"4) 15-24%","5) 25%+"))))</f>
        <v>2) 5-9%</v>
      </c>
      <c r="N3409" s="0" t="str">
        <f aca="false">IF(F3409&lt;50,"1) Under Rs 50",IF(F3409&lt;100,"2) Rs 50-99",IF(F3409&lt;200,"3) Rs 100-199",IF(F3409&lt;500,"4) Rs 200-499","5) Rs 500+"))))</f>
        <v>4) Rs 200-499</v>
      </c>
      <c r="O3409" s="0" t="n">
        <f aca="false">G3409*E3409/1000</f>
        <v>2.04</v>
      </c>
    </row>
    <row r="3410" customFormat="false" ht="15" hidden="false" customHeight="false" outlineLevel="0" collapsed="false">
      <c r="A3410" s="0" t="s">
        <v>119</v>
      </c>
      <c r="B3410" s="0" t="s">
        <v>1534</v>
      </c>
      <c r="C3410" s="0" t="n">
        <v>345</v>
      </c>
      <c r="D3410" s="0" t="n">
        <v>0</v>
      </c>
      <c r="E3410" s="0" t="n">
        <v>6</v>
      </c>
      <c r="F3410" s="0" t="n">
        <v>345</v>
      </c>
      <c r="G3410" s="0" t="n">
        <v>58</v>
      </c>
      <c r="H3410" s="0" t="s">
        <v>145</v>
      </c>
      <c r="I3410" s="0" t="n">
        <v>1</v>
      </c>
      <c r="J3410" s="0" t="n">
        <f aca="false">F3410*E3410</f>
        <v>2070</v>
      </c>
      <c r="K3410" s="0" t="str">
        <f aca="false">IF(G3410&lt;1000,"1-Low",IF(G3410&lt;5000,"2-Medium","3-Bulk"))</f>
        <v>1-Low</v>
      </c>
      <c r="L3410" s="0" t="str">
        <f aca="false">IF(H3410="TRUE","Out of stock","In stock")</f>
        <v>In stock</v>
      </c>
      <c r="M3410" s="0" t="str">
        <f aca="false">IF(D3410&lt;5,"1) Under 5%",IF(D3410&lt;10,"2) 5-9%",IF(D3410&lt;15,"3) 10-14%",IF(D3410&lt;25,"4) 15-24%","5) 25%+"))))</f>
        <v>1) Under 5%</v>
      </c>
      <c r="N3410" s="0" t="str">
        <f aca="false">IF(F3410&lt;50,"1) Under Rs 50",IF(F3410&lt;100,"2) Rs 50-99",IF(F3410&lt;200,"3) Rs 100-199",IF(F3410&lt;500,"4) Rs 200-499","5) Rs 500+"))))</f>
        <v>4) Rs 200-499</v>
      </c>
      <c r="O3410" s="0" t="n">
        <f aca="false">G3410*E3410/1000</f>
        <v>0.348</v>
      </c>
    </row>
    <row r="3411" customFormat="false" ht="15" hidden="false" customHeight="false" outlineLevel="0" collapsed="false">
      <c r="A3411" s="0" t="s">
        <v>119</v>
      </c>
      <c r="B3411" s="0" t="s">
        <v>1535</v>
      </c>
      <c r="C3411" s="0" t="n">
        <v>365</v>
      </c>
      <c r="D3411" s="0" t="n">
        <v>0</v>
      </c>
      <c r="E3411" s="0" t="n">
        <v>1</v>
      </c>
      <c r="F3411" s="0" t="n">
        <v>365</v>
      </c>
      <c r="G3411" s="0" t="n">
        <v>340</v>
      </c>
      <c r="H3411" s="0" t="s">
        <v>145</v>
      </c>
      <c r="I3411" s="0" t="n">
        <v>340</v>
      </c>
      <c r="J3411" s="0" t="n">
        <f aca="false">F3411*E3411</f>
        <v>365</v>
      </c>
      <c r="K3411" s="0" t="str">
        <f aca="false">IF(G3411&lt;1000,"1-Low",IF(G3411&lt;5000,"2-Medium","3-Bulk"))</f>
        <v>1-Low</v>
      </c>
      <c r="L3411" s="0" t="str">
        <f aca="false">IF(H3411="TRUE","Out of stock","In stock")</f>
        <v>In stock</v>
      </c>
      <c r="M3411" s="0" t="str">
        <f aca="false">IF(D3411&lt;5,"1) Under 5%",IF(D3411&lt;10,"2) 5-9%",IF(D3411&lt;15,"3) 10-14%",IF(D3411&lt;25,"4) 15-24%","5) 25%+"))))</f>
        <v>1) Under 5%</v>
      </c>
      <c r="N3411" s="0" t="str">
        <f aca="false">IF(F3411&lt;50,"1) Under Rs 50",IF(F3411&lt;100,"2) Rs 50-99",IF(F3411&lt;200,"3) Rs 100-199",IF(F3411&lt;500,"4) Rs 200-499","5) Rs 500+"))))</f>
        <v>4) Rs 200-499</v>
      </c>
      <c r="O3411" s="0" t="n">
        <f aca="false">G3411*E3411/1000</f>
        <v>0.34</v>
      </c>
    </row>
    <row r="3412" customFormat="false" ht="15" hidden="false" customHeight="false" outlineLevel="0" collapsed="false">
      <c r="A3412" s="0" t="s">
        <v>119</v>
      </c>
      <c r="B3412" s="0" t="s">
        <v>1536</v>
      </c>
      <c r="C3412" s="0" t="n">
        <v>200</v>
      </c>
      <c r="D3412" s="0" t="n">
        <v>20</v>
      </c>
      <c r="E3412" s="0" t="n">
        <v>2</v>
      </c>
      <c r="F3412" s="0" t="n">
        <v>160</v>
      </c>
      <c r="G3412" s="0" t="n">
        <v>200</v>
      </c>
      <c r="H3412" s="0" t="s">
        <v>145</v>
      </c>
      <c r="I3412" s="0" t="n">
        <v>250</v>
      </c>
      <c r="J3412" s="0" t="n">
        <f aca="false">F3412*E3412</f>
        <v>320</v>
      </c>
      <c r="K3412" s="0" t="str">
        <f aca="false">IF(G3412&lt;1000,"1-Low",IF(G3412&lt;5000,"2-Medium","3-Bulk"))</f>
        <v>1-Low</v>
      </c>
      <c r="L3412" s="0" t="str">
        <f aca="false">IF(H3412="TRUE","Out of stock","In stock")</f>
        <v>In stock</v>
      </c>
      <c r="M3412" s="0" t="str">
        <f aca="false">IF(D3412&lt;5,"1) Under 5%",IF(D3412&lt;10,"2) 5-9%",IF(D3412&lt;15,"3) 10-14%",IF(D3412&lt;25,"4) 15-24%","5) 25%+"))))</f>
        <v>4) 15-24%</v>
      </c>
      <c r="N3412" s="0" t="str">
        <f aca="false">IF(F3412&lt;50,"1) Under Rs 50",IF(F3412&lt;100,"2) Rs 50-99",IF(F3412&lt;200,"3) Rs 100-199",IF(F3412&lt;500,"4) Rs 200-499","5) Rs 500+"))))</f>
        <v>3) Rs 100-199</v>
      </c>
      <c r="O3412" s="0" t="n">
        <f aca="false">G3412*E3412/1000</f>
        <v>0.4</v>
      </c>
    </row>
    <row r="3413" customFormat="false" ht="15" hidden="false" customHeight="false" outlineLevel="0" collapsed="false">
      <c r="A3413" s="0" t="s">
        <v>119</v>
      </c>
      <c r="B3413" s="0" t="s">
        <v>1365</v>
      </c>
      <c r="C3413" s="0" t="n">
        <v>235</v>
      </c>
      <c r="D3413" s="0" t="n">
        <v>20</v>
      </c>
      <c r="E3413" s="0" t="n">
        <v>6</v>
      </c>
      <c r="F3413" s="0" t="n">
        <v>188</v>
      </c>
      <c r="G3413" s="0" t="n">
        <v>400</v>
      </c>
      <c r="H3413" s="0" t="s">
        <v>145</v>
      </c>
      <c r="I3413" s="0" t="n">
        <v>400</v>
      </c>
      <c r="J3413" s="0" t="n">
        <f aca="false">F3413*E3413</f>
        <v>1128</v>
      </c>
      <c r="K3413" s="0" t="str">
        <f aca="false">IF(G3413&lt;1000,"1-Low",IF(G3413&lt;5000,"2-Medium","3-Bulk"))</f>
        <v>1-Low</v>
      </c>
      <c r="L3413" s="0" t="str">
        <f aca="false">IF(H3413="TRUE","Out of stock","In stock")</f>
        <v>In stock</v>
      </c>
      <c r="M3413" s="0" t="str">
        <f aca="false">IF(D3413&lt;5,"1) Under 5%",IF(D3413&lt;10,"2) 5-9%",IF(D3413&lt;15,"3) 10-14%",IF(D3413&lt;25,"4) 15-24%","5) 25%+"))))</f>
        <v>4) 15-24%</v>
      </c>
      <c r="N3413" s="0" t="str">
        <f aca="false">IF(F3413&lt;50,"1) Under Rs 50",IF(F3413&lt;100,"2) Rs 50-99",IF(F3413&lt;200,"3) Rs 100-199",IF(F3413&lt;500,"4) Rs 200-499","5) Rs 500+"))))</f>
        <v>3) Rs 100-199</v>
      </c>
      <c r="O3413" s="0" t="n">
        <f aca="false">G3413*E3413/1000</f>
        <v>2.4</v>
      </c>
    </row>
    <row r="3414" customFormat="false" ht="15" hidden="false" customHeight="false" outlineLevel="0" collapsed="false">
      <c r="A3414" s="0" t="s">
        <v>119</v>
      </c>
      <c r="B3414" s="0" t="s">
        <v>1537</v>
      </c>
      <c r="C3414" s="0" t="n">
        <v>250</v>
      </c>
      <c r="D3414" s="0" t="n">
        <v>0</v>
      </c>
      <c r="E3414" s="0" t="n">
        <v>6</v>
      </c>
      <c r="F3414" s="0" t="n">
        <v>250</v>
      </c>
      <c r="G3414" s="0" t="n">
        <v>150</v>
      </c>
      <c r="H3414" s="0" t="s">
        <v>145</v>
      </c>
      <c r="I3414" s="0" t="n">
        <v>150</v>
      </c>
      <c r="J3414" s="0" t="n">
        <f aca="false">F3414*E3414</f>
        <v>1500</v>
      </c>
      <c r="K3414" s="0" t="str">
        <f aca="false">IF(G3414&lt;1000,"1-Low",IF(G3414&lt;5000,"2-Medium","3-Bulk"))</f>
        <v>1-Low</v>
      </c>
      <c r="L3414" s="0" t="str">
        <f aca="false">IF(H3414="TRUE","Out of stock","In stock")</f>
        <v>In stock</v>
      </c>
      <c r="M3414" s="0" t="str">
        <f aca="false">IF(D3414&lt;5,"1) Under 5%",IF(D3414&lt;10,"2) 5-9%",IF(D3414&lt;15,"3) 10-14%",IF(D3414&lt;25,"4) 15-24%","5) 25%+"))))</f>
        <v>1) Under 5%</v>
      </c>
      <c r="N3414" s="0" t="str">
        <f aca="false">IF(F3414&lt;50,"1) Under Rs 50",IF(F3414&lt;100,"2) Rs 50-99",IF(F3414&lt;200,"3) Rs 100-199",IF(F3414&lt;500,"4) Rs 200-499","5) Rs 500+"))))</f>
        <v>4) Rs 200-499</v>
      </c>
      <c r="O3414" s="0" t="n">
        <f aca="false">G3414*E3414/1000</f>
        <v>0.9</v>
      </c>
    </row>
    <row r="3415" customFormat="false" ht="15" hidden="false" customHeight="false" outlineLevel="0" collapsed="false">
      <c r="A3415" s="0" t="s">
        <v>119</v>
      </c>
      <c r="B3415" s="0" t="s">
        <v>1538</v>
      </c>
      <c r="C3415" s="0" t="n">
        <v>71</v>
      </c>
      <c r="D3415" s="0" t="n">
        <v>0</v>
      </c>
      <c r="E3415" s="0" t="n">
        <v>6</v>
      </c>
      <c r="F3415" s="0" t="n">
        <v>71</v>
      </c>
      <c r="G3415" s="0" t="n">
        <v>200</v>
      </c>
      <c r="H3415" s="0" t="s">
        <v>145</v>
      </c>
      <c r="I3415" s="0" t="n">
        <v>200</v>
      </c>
      <c r="J3415" s="0" t="n">
        <f aca="false">F3415*E3415</f>
        <v>426</v>
      </c>
      <c r="K3415" s="0" t="str">
        <f aca="false">IF(G3415&lt;1000,"1-Low",IF(G3415&lt;5000,"2-Medium","3-Bulk"))</f>
        <v>1-Low</v>
      </c>
      <c r="L3415" s="0" t="str">
        <f aca="false">IF(H3415="TRUE","Out of stock","In stock")</f>
        <v>In stock</v>
      </c>
      <c r="M3415" s="0" t="str">
        <f aca="false">IF(D3415&lt;5,"1) Under 5%",IF(D3415&lt;10,"2) 5-9%",IF(D3415&lt;15,"3) 10-14%",IF(D3415&lt;25,"4) 15-24%","5) 25%+"))))</f>
        <v>1) Under 5%</v>
      </c>
      <c r="N3415" s="0" t="str">
        <f aca="false">IF(F3415&lt;50,"1) Under Rs 50",IF(F3415&lt;100,"2) Rs 50-99",IF(F3415&lt;200,"3) Rs 100-199",IF(F3415&lt;500,"4) Rs 200-499","5) Rs 500+"))))</f>
        <v>2) Rs 50-99</v>
      </c>
      <c r="O3415" s="0" t="n">
        <f aca="false">G3415*E3415/1000</f>
        <v>1.2</v>
      </c>
    </row>
    <row r="3416" customFormat="false" ht="15" hidden="false" customHeight="false" outlineLevel="0" collapsed="false">
      <c r="A3416" s="0" t="s">
        <v>119</v>
      </c>
      <c r="B3416" s="0" t="s">
        <v>1539</v>
      </c>
      <c r="C3416" s="0" t="n">
        <v>190</v>
      </c>
      <c r="D3416" s="0" t="n">
        <v>6</v>
      </c>
      <c r="E3416" s="0" t="n">
        <v>6</v>
      </c>
      <c r="F3416" s="0" t="n">
        <v>178</v>
      </c>
      <c r="G3416" s="0" t="n">
        <v>200</v>
      </c>
      <c r="H3416" s="0" t="s">
        <v>145</v>
      </c>
      <c r="I3416" s="0" t="n">
        <v>200</v>
      </c>
      <c r="J3416" s="0" t="n">
        <f aca="false">F3416*E3416</f>
        <v>1068</v>
      </c>
      <c r="K3416" s="0" t="str">
        <f aca="false">IF(G3416&lt;1000,"1-Low",IF(G3416&lt;5000,"2-Medium","3-Bulk"))</f>
        <v>1-Low</v>
      </c>
      <c r="L3416" s="0" t="str">
        <f aca="false">IF(H3416="TRUE","Out of stock","In stock")</f>
        <v>In stock</v>
      </c>
      <c r="M3416" s="0" t="str">
        <f aca="false">IF(D3416&lt;5,"1) Under 5%",IF(D3416&lt;10,"2) 5-9%",IF(D3416&lt;15,"3) 10-14%",IF(D3416&lt;25,"4) 15-24%","5) 25%+"))))</f>
        <v>2) 5-9%</v>
      </c>
      <c r="N3416" s="0" t="str">
        <f aca="false">IF(F3416&lt;50,"1) Under Rs 50",IF(F3416&lt;100,"2) Rs 50-99",IF(F3416&lt;200,"3) Rs 100-199",IF(F3416&lt;500,"4) Rs 200-499","5) Rs 500+"))))</f>
        <v>3) Rs 100-199</v>
      </c>
      <c r="O3416" s="0" t="n">
        <f aca="false">G3416*E3416/1000</f>
        <v>1.2</v>
      </c>
    </row>
    <row r="3417" customFormat="false" ht="15" hidden="false" customHeight="false" outlineLevel="0" collapsed="false">
      <c r="A3417" s="0" t="s">
        <v>119</v>
      </c>
      <c r="B3417" s="0" t="s">
        <v>1540</v>
      </c>
      <c r="C3417" s="0" t="n">
        <v>399</v>
      </c>
      <c r="D3417" s="0" t="n">
        <v>0</v>
      </c>
      <c r="E3417" s="0" t="n">
        <v>1</v>
      </c>
      <c r="F3417" s="0" t="n">
        <v>399</v>
      </c>
      <c r="G3417" s="0" t="n">
        <v>200</v>
      </c>
      <c r="H3417" s="0" t="s">
        <v>145</v>
      </c>
      <c r="I3417" s="0" t="n">
        <v>200</v>
      </c>
      <c r="J3417" s="0" t="n">
        <f aca="false">F3417*E3417</f>
        <v>399</v>
      </c>
      <c r="K3417" s="0" t="str">
        <f aca="false">IF(G3417&lt;1000,"1-Low",IF(G3417&lt;5000,"2-Medium","3-Bulk"))</f>
        <v>1-Low</v>
      </c>
      <c r="L3417" s="0" t="str">
        <f aca="false">IF(H3417="TRUE","Out of stock","In stock")</f>
        <v>In stock</v>
      </c>
      <c r="M3417" s="0" t="str">
        <f aca="false">IF(D3417&lt;5,"1) Under 5%",IF(D3417&lt;10,"2) 5-9%",IF(D3417&lt;15,"3) 10-14%",IF(D3417&lt;25,"4) 15-24%","5) 25%+"))))</f>
        <v>1) Under 5%</v>
      </c>
      <c r="N3417" s="0" t="str">
        <f aca="false">IF(F3417&lt;50,"1) Under Rs 50",IF(F3417&lt;100,"2) Rs 50-99",IF(F3417&lt;200,"3) Rs 100-199",IF(F3417&lt;500,"4) Rs 200-499","5) Rs 500+"))))</f>
        <v>4) Rs 200-499</v>
      </c>
      <c r="O3417" s="0" t="n">
        <f aca="false">G3417*E3417/1000</f>
        <v>0.2</v>
      </c>
    </row>
    <row r="3418" customFormat="false" ht="15" hidden="false" customHeight="false" outlineLevel="0" collapsed="false">
      <c r="A3418" s="0" t="s">
        <v>119</v>
      </c>
      <c r="B3418" s="0" t="s">
        <v>1541</v>
      </c>
      <c r="C3418" s="0" t="n">
        <v>80</v>
      </c>
      <c r="D3418" s="0" t="n">
        <v>10</v>
      </c>
      <c r="E3418" s="0" t="n">
        <v>2</v>
      </c>
      <c r="F3418" s="0" t="n">
        <v>72</v>
      </c>
      <c r="G3418" s="0" t="n">
        <v>20</v>
      </c>
      <c r="H3418" s="0" t="s">
        <v>145</v>
      </c>
      <c r="I3418" s="0" t="n">
        <v>20</v>
      </c>
      <c r="J3418" s="0" t="n">
        <f aca="false">F3418*E3418</f>
        <v>144</v>
      </c>
      <c r="K3418" s="0" t="str">
        <f aca="false">IF(G3418&lt;1000,"1-Low",IF(G3418&lt;5000,"2-Medium","3-Bulk"))</f>
        <v>1-Low</v>
      </c>
      <c r="L3418" s="0" t="str">
        <f aca="false">IF(H3418="TRUE","Out of stock","In stock")</f>
        <v>In stock</v>
      </c>
      <c r="M3418" s="0" t="str">
        <f aca="false">IF(D3418&lt;5,"1) Under 5%",IF(D3418&lt;10,"2) 5-9%",IF(D3418&lt;15,"3) 10-14%",IF(D3418&lt;25,"4) 15-24%","5) 25%+"))))</f>
        <v>3) 10-14%</v>
      </c>
      <c r="N3418" s="0" t="str">
        <f aca="false">IF(F3418&lt;50,"1) Under Rs 50",IF(F3418&lt;100,"2) Rs 50-99",IF(F3418&lt;200,"3) Rs 100-199",IF(F3418&lt;500,"4) Rs 200-499","5) Rs 500+"))))</f>
        <v>2) Rs 50-99</v>
      </c>
      <c r="O3418" s="0" t="n">
        <f aca="false">G3418*E3418/1000</f>
        <v>0.04</v>
      </c>
    </row>
    <row r="3419" customFormat="false" ht="15" hidden="false" customHeight="false" outlineLevel="0" collapsed="false">
      <c r="A3419" s="0" t="s">
        <v>119</v>
      </c>
      <c r="B3419" s="0" t="s">
        <v>1542</v>
      </c>
      <c r="C3419" s="0" t="n">
        <v>230</v>
      </c>
      <c r="D3419" s="0" t="n">
        <v>0</v>
      </c>
      <c r="E3419" s="0" t="n">
        <v>4</v>
      </c>
      <c r="F3419" s="0" t="n">
        <v>230</v>
      </c>
      <c r="G3419" s="0" t="n">
        <v>150</v>
      </c>
      <c r="H3419" s="0" t="s">
        <v>145</v>
      </c>
      <c r="I3419" s="0" t="n">
        <v>120</v>
      </c>
      <c r="J3419" s="0" t="n">
        <f aca="false">F3419*E3419</f>
        <v>920</v>
      </c>
      <c r="K3419" s="0" t="str">
        <f aca="false">IF(G3419&lt;1000,"1-Low",IF(G3419&lt;5000,"2-Medium","3-Bulk"))</f>
        <v>1-Low</v>
      </c>
      <c r="L3419" s="0" t="str">
        <f aca="false">IF(H3419="TRUE","Out of stock","In stock")</f>
        <v>In stock</v>
      </c>
      <c r="M3419" s="0" t="str">
        <f aca="false">IF(D3419&lt;5,"1) Under 5%",IF(D3419&lt;10,"2) 5-9%",IF(D3419&lt;15,"3) 10-14%",IF(D3419&lt;25,"4) 15-24%","5) 25%+"))))</f>
        <v>1) Under 5%</v>
      </c>
      <c r="N3419" s="0" t="str">
        <f aca="false">IF(F3419&lt;50,"1) Under Rs 50",IF(F3419&lt;100,"2) Rs 50-99",IF(F3419&lt;200,"3) Rs 100-199",IF(F3419&lt;500,"4) Rs 200-499","5) Rs 500+"))))</f>
        <v>4) Rs 200-499</v>
      </c>
      <c r="O3419" s="0" t="n">
        <f aca="false">G3419*E3419/1000</f>
        <v>0.6</v>
      </c>
    </row>
    <row r="3420" customFormat="false" ht="15" hidden="false" customHeight="false" outlineLevel="0" collapsed="false">
      <c r="A3420" s="0" t="s">
        <v>119</v>
      </c>
      <c r="B3420" s="0" t="s">
        <v>1543</v>
      </c>
      <c r="C3420" s="0" t="n">
        <v>245</v>
      </c>
      <c r="D3420" s="0" t="n">
        <v>9</v>
      </c>
      <c r="E3420" s="0" t="n">
        <v>6</v>
      </c>
      <c r="F3420" s="0" t="n">
        <v>221</v>
      </c>
      <c r="G3420" s="0" t="n">
        <v>100</v>
      </c>
      <c r="H3420" s="0" t="s">
        <v>145</v>
      </c>
      <c r="I3420" s="0" t="n">
        <v>100</v>
      </c>
      <c r="J3420" s="0" t="n">
        <f aca="false">F3420*E3420</f>
        <v>1326</v>
      </c>
      <c r="K3420" s="0" t="str">
        <f aca="false">IF(G3420&lt;1000,"1-Low",IF(G3420&lt;5000,"2-Medium","3-Bulk"))</f>
        <v>1-Low</v>
      </c>
      <c r="L3420" s="0" t="str">
        <f aca="false">IF(H3420="TRUE","Out of stock","In stock")</f>
        <v>In stock</v>
      </c>
      <c r="M3420" s="0" t="str">
        <f aca="false">IF(D3420&lt;5,"1) Under 5%",IF(D3420&lt;10,"2) 5-9%",IF(D3420&lt;15,"3) 10-14%",IF(D3420&lt;25,"4) 15-24%","5) 25%+"))))</f>
        <v>2) 5-9%</v>
      </c>
      <c r="N3420" s="0" t="str">
        <f aca="false">IF(F3420&lt;50,"1) Under Rs 50",IF(F3420&lt;100,"2) Rs 50-99",IF(F3420&lt;200,"3) Rs 100-199",IF(F3420&lt;500,"4) Rs 200-499","5) Rs 500+"))))</f>
        <v>4) Rs 200-499</v>
      </c>
      <c r="O3420" s="0" t="n">
        <f aca="false">G3420*E3420/1000</f>
        <v>0.6</v>
      </c>
    </row>
    <row r="3421" customFormat="false" ht="15" hidden="false" customHeight="false" outlineLevel="0" collapsed="false">
      <c r="A3421" s="0" t="s">
        <v>119</v>
      </c>
      <c r="B3421" s="0" t="s">
        <v>1544</v>
      </c>
      <c r="C3421" s="0" t="n">
        <v>90</v>
      </c>
      <c r="D3421" s="0" t="n">
        <v>6</v>
      </c>
      <c r="E3421" s="0" t="n">
        <v>4</v>
      </c>
      <c r="F3421" s="0" t="n">
        <v>84</v>
      </c>
      <c r="G3421" s="0" t="n">
        <v>80</v>
      </c>
      <c r="H3421" s="0" t="s">
        <v>145</v>
      </c>
      <c r="I3421" s="0" t="n">
        <v>80</v>
      </c>
      <c r="J3421" s="0" t="n">
        <f aca="false">F3421*E3421</f>
        <v>336</v>
      </c>
      <c r="K3421" s="0" t="str">
        <f aca="false">IF(G3421&lt;1000,"1-Low",IF(G3421&lt;5000,"2-Medium","3-Bulk"))</f>
        <v>1-Low</v>
      </c>
      <c r="L3421" s="0" t="str">
        <f aca="false">IF(H3421="TRUE","Out of stock","In stock")</f>
        <v>In stock</v>
      </c>
      <c r="M3421" s="0" t="str">
        <f aca="false">IF(D3421&lt;5,"1) Under 5%",IF(D3421&lt;10,"2) 5-9%",IF(D3421&lt;15,"3) 10-14%",IF(D3421&lt;25,"4) 15-24%","5) 25%+"))))</f>
        <v>2) 5-9%</v>
      </c>
      <c r="N3421" s="0" t="str">
        <f aca="false">IF(F3421&lt;50,"1) Under Rs 50",IF(F3421&lt;100,"2) Rs 50-99",IF(F3421&lt;200,"3) Rs 100-199",IF(F3421&lt;500,"4) Rs 200-499","5) Rs 500+"))))</f>
        <v>2) Rs 50-99</v>
      </c>
      <c r="O3421" s="0" t="n">
        <f aca="false">G3421*E3421/1000</f>
        <v>0.32</v>
      </c>
    </row>
    <row r="3422" customFormat="false" ht="15" hidden="false" customHeight="false" outlineLevel="0" collapsed="false">
      <c r="A3422" s="0" t="s">
        <v>119</v>
      </c>
      <c r="B3422" s="0" t="s">
        <v>1545</v>
      </c>
      <c r="C3422" s="0" t="n">
        <v>109</v>
      </c>
      <c r="D3422" s="0" t="n">
        <v>3</v>
      </c>
      <c r="E3422" s="0" t="n">
        <v>0</v>
      </c>
      <c r="F3422" s="0" t="n">
        <v>105</v>
      </c>
      <c r="G3422" s="0" t="n">
        <v>750</v>
      </c>
      <c r="H3422" s="0" t="s">
        <v>230</v>
      </c>
      <c r="I3422" s="0" t="n">
        <v>750</v>
      </c>
      <c r="J3422" s="0" t="n">
        <f aca="false">F3422*E3422</f>
        <v>0</v>
      </c>
      <c r="K3422" s="0" t="str">
        <f aca="false">IF(G3422&lt;1000,"1-Low",IF(G3422&lt;5000,"2-Medium","3-Bulk"))</f>
        <v>1-Low</v>
      </c>
      <c r="L3422" s="0" t="str">
        <f aca="false">IF(H3422="TRUE","Out of stock","In stock")</f>
        <v>Out of stock</v>
      </c>
      <c r="M3422" s="0" t="str">
        <f aca="false">IF(D3422&lt;5,"1) Under 5%",IF(D3422&lt;10,"2) 5-9%",IF(D3422&lt;15,"3) 10-14%",IF(D3422&lt;25,"4) 15-24%","5) 25%+"))))</f>
        <v>1) Under 5%</v>
      </c>
      <c r="N3422" s="0" t="str">
        <f aca="false">IF(F3422&lt;50,"1) Under Rs 50",IF(F3422&lt;100,"2) Rs 50-99",IF(F3422&lt;200,"3) Rs 100-199",IF(F3422&lt;500,"4) Rs 200-499","5) Rs 500+"))))</f>
        <v>3) Rs 100-199</v>
      </c>
      <c r="O3422" s="0" t="n">
        <f aca="false">G3422*E3422/1000</f>
        <v>0</v>
      </c>
    </row>
    <row r="3423" customFormat="false" ht="15" hidden="false" customHeight="false" outlineLevel="0" collapsed="false">
      <c r="A3423" s="0" t="s">
        <v>119</v>
      </c>
      <c r="B3423" s="0" t="s">
        <v>1546</v>
      </c>
      <c r="C3423" s="0" t="n">
        <v>123</v>
      </c>
      <c r="D3423" s="0" t="n">
        <v>0</v>
      </c>
      <c r="E3423" s="0" t="n">
        <v>0</v>
      </c>
      <c r="F3423" s="0" t="n">
        <v>123</v>
      </c>
      <c r="G3423" s="0" t="n">
        <v>300</v>
      </c>
      <c r="H3423" s="0" t="s">
        <v>230</v>
      </c>
      <c r="I3423" s="0" t="n">
        <v>300</v>
      </c>
      <c r="J3423" s="0" t="n">
        <f aca="false">F3423*E3423</f>
        <v>0</v>
      </c>
      <c r="K3423" s="0" t="str">
        <f aca="false">IF(G3423&lt;1000,"1-Low",IF(G3423&lt;5000,"2-Medium","3-Bulk"))</f>
        <v>1-Low</v>
      </c>
      <c r="L3423" s="0" t="str">
        <f aca="false">IF(H3423="TRUE","Out of stock","In stock")</f>
        <v>Out of stock</v>
      </c>
      <c r="M3423" s="0" t="str">
        <f aca="false">IF(D3423&lt;5,"1) Under 5%",IF(D3423&lt;10,"2) 5-9%",IF(D3423&lt;15,"3) 10-14%",IF(D3423&lt;25,"4) 15-24%","5) 25%+"))))</f>
        <v>1) Under 5%</v>
      </c>
      <c r="N3423" s="0" t="str">
        <f aca="false">IF(F3423&lt;50,"1) Under Rs 50",IF(F3423&lt;100,"2) Rs 50-99",IF(F3423&lt;200,"3) Rs 100-199",IF(F3423&lt;500,"4) Rs 200-499","5) Rs 500+"))))</f>
        <v>3) Rs 100-199</v>
      </c>
      <c r="O3423" s="0" t="n">
        <f aca="false">G3423*E3423/1000</f>
        <v>0</v>
      </c>
    </row>
    <row r="3424" customFormat="false" ht="15" hidden="false" customHeight="false" outlineLevel="0" collapsed="false">
      <c r="A3424" s="0" t="s">
        <v>119</v>
      </c>
      <c r="B3424" s="0" t="s">
        <v>1547</v>
      </c>
      <c r="C3424" s="0" t="n">
        <v>30</v>
      </c>
      <c r="D3424" s="0" t="n">
        <v>3</v>
      </c>
      <c r="E3424" s="0" t="n">
        <v>0</v>
      </c>
      <c r="F3424" s="0" t="n">
        <v>29</v>
      </c>
      <c r="G3424" s="0" t="n">
        <v>406</v>
      </c>
      <c r="H3424" s="0" t="s">
        <v>230</v>
      </c>
      <c r="I3424" s="0" t="n">
        <v>7</v>
      </c>
      <c r="J3424" s="0" t="n">
        <f aca="false">F3424*E3424</f>
        <v>0</v>
      </c>
      <c r="K3424" s="0" t="str">
        <f aca="false">IF(G3424&lt;1000,"1-Low",IF(G3424&lt;5000,"2-Medium","3-Bulk"))</f>
        <v>1-Low</v>
      </c>
      <c r="L3424" s="0" t="str">
        <f aca="false">IF(H3424="TRUE","Out of stock","In stock")</f>
        <v>Out of stock</v>
      </c>
      <c r="M3424" s="0" t="str">
        <f aca="false">IF(D3424&lt;5,"1) Under 5%",IF(D3424&lt;10,"2) 5-9%",IF(D3424&lt;15,"3) 10-14%",IF(D3424&lt;25,"4) 15-24%","5) 25%+"))))</f>
        <v>1) Under 5%</v>
      </c>
      <c r="N3424" s="0" t="str">
        <f aca="false">IF(F3424&lt;50,"1) Under Rs 50",IF(F3424&lt;100,"2) Rs 50-99",IF(F3424&lt;200,"3) Rs 100-199",IF(F3424&lt;500,"4) Rs 200-499","5) Rs 500+"))))</f>
        <v>1) Under Rs 50</v>
      </c>
      <c r="O3424" s="0" t="n">
        <f aca="false">G3424*E3424/1000</f>
        <v>0</v>
      </c>
    </row>
    <row r="3425" customFormat="false" ht="15" hidden="false" customHeight="false" outlineLevel="0" collapsed="false">
      <c r="A3425" s="0" t="s">
        <v>119</v>
      </c>
      <c r="B3425" s="0" t="s">
        <v>1548</v>
      </c>
      <c r="C3425" s="0" t="n">
        <v>48</v>
      </c>
      <c r="D3425" s="0" t="n">
        <v>2</v>
      </c>
      <c r="E3425" s="0" t="n">
        <v>0</v>
      </c>
      <c r="F3425" s="0" t="n">
        <v>47</v>
      </c>
      <c r="G3425" s="0" t="n">
        <v>120</v>
      </c>
      <c r="H3425" s="0" t="s">
        <v>230</v>
      </c>
      <c r="I3425" s="0" t="n">
        <v>120</v>
      </c>
      <c r="J3425" s="0" t="n">
        <f aca="false">F3425*E3425</f>
        <v>0</v>
      </c>
      <c r="K3425" s="0" t="str">
        <f aca="false">IF(G3425&lt;1000,"1-Low",IF(G3425&lt;5000,"2-Medium","3-Bulk"))</f>
        <v>1-Low</v>
      </c>
      <c r="L3425" s="0" t="str">
        <f aca="false">IF(H3425="TRUE","Out of stock","In stock")</f>
        <v>Out of stock</v>
      </c>
      <c r="M3425" s="0" t="str">
        <f aca="false">IF(D3425&lt;5,"1) Under 5%",IF(D3425&lt;10,"2) 5-9%",IF(D3425&lt;15,"3) 10-14%",IF(D3425&lt;25,"4) 15-24%","5) 25%+"))))</f>
        <v>1) Under 5%</v>
      </c>
      <c r="N3425" s="0" t="str">
        <f aca="false">IF(F3425&lt;50,"1) Under Rs 50",IF(F3425&lt;100,"2) Rs 50-99",IF(F3425&lt;200,"3) Rs 100-199",IF(F3425&lt;500,"4) Rs 200-499","5) Rs 500+"))))</f>
        <v>1) Under Rs 50</v>
      </c>
      <c r="O3425" s="0" t="n">
        <f aca="false">G3425*E3425/1000</f>
        <v>0</v>
      </c>
    </row>
    <row r="3426" customFormat="false" ht="15" hidden="false" customHeight="false" outlineLevel="0" collapsed="false">
      <c r="A3426" s="0" t="s">
        <v>119</v>
      </c>
      <c r="B3426" s="0" t="s">
        <v>1549</v>
      </c>
      <c r="C3426" s="0" t="n">
        <v>215</v>
      </c>
      <c r="D3426" s="0" t="n">
        <v>9</v>
      </c>
      <c r="E3426" s="0" t="n">
        <v>0</v>
      </c>
      <c r="F3426" s="0" t="n">
        <v>194</v>
      </c>
      <c r="G3426" s="0" t="n">
        <v>400</v>
      </c>
      <c r="H3426" s="0" t="s">
        <v>230</v>
      </c>
      <c r="I3426" s="0" t="n">
        <v>400</v>
      </c>
      <c r="J3426" s="0" t="n">
        <f aca="false">F3426*E3426</f>
        <v>0</v>
      </c>
      <c r="K3426" s="0" t="str">
        <f aca="false">IF(G3426&lt;1000,"1-Low",IF(G3426&lt;5000,"2-Medium","3-Bulk"))</f>
        <v>1-Low</v>
      </c>
      <c r="L3426" s="0" t="str">
        <f aca="false">IF(H3426="TRUE","Out of stock","In stock")</f>
        <v>Out of stock</v>
      </c>
      <c r="M3426" s="0" t="str">
        <f aca="false">IF(D3426&lt;5,"1) Under 5%",IF(D3426&lt;10,"2) 5-9%",IF(D3426&lt;15,"3) 10-14%",IF(D3426&lt;25,"4) 15-24%","5) 25%+"))))</f>
        <v>2) 5-9%</v>
      </c>
      <c r="N3426" s="0" t="str">
        <f aca="false">IF(F3426&lt;50,"1) Under Rs 50",IF(F3426&lt;100,"2) Rs 50-99",IF(F3426&lt;200,"3) Rs 100-199",IF(F3426&lt;500,"4) Rs 200-499","5) Rs 500+"))))</f>
        <v>3) Rs 100-199</v>
      </c>
      <c r="O3426" s="0" t="n">
        <f aca="false">G3426*E3426/1000</f>
        <v>0</v>
      </c>
    </row>
    <row r="3427" customFormat="false" ht="15" hidden="false" customHeight="false" outlineLevel="0" collapsed="false">
      <c r="A3427" s="0" t="s">
        <v>119</v>
      </c>
      <c r="B3427" s="0" t="s">
        <v>1281</v>
      </c>
      <c r="C3427" s="0" t="n">
        <v>90</v>
      </c>
      <c r="D3427" s="0" t="n">
        <v>10</v>
      </c>
      <c r="E3427" s="0" t="n">
        <v>0</v>
      </c>
      <c r="F3427" s="0" t="n">
        <v>81</v>
      </c>
      <c r="G3427" s="0" t="n">
        <v>150</v>
      </c>
      <c r="H3427" s="0" t="s">
        <v>230</v>
      </c>
      <c r="I3427" s="0" t="n">
        <v>150</v>
      </c>
      <c r="J3427" s="0" t="n">
        <f aca="false">F3427*E3427</f>
        <v>0</v>
      </c>
      <c r="K3427" s="0" t="str">
        <f aca="false">IF(G3427&lt;1000,"1-Low",IF(G3427&lt;5000,"2-Medium","3-Bulk"))</f>
        <v>1-Low</v>
      </c>
      <c r="L3427" s="0" t="str">
        <f aca="false">IF(H3427="TRUE","Out of stock","In stock")</f>
        <v>Out of stock</v>
      </c>
      <c r="M3427" s="0" t="str">
        <f aca="false">IF(D3427&lt;5,"1) Under 5%",IF(D3427&lt;10,"2) 5-9%",IF(D3427&lt;15,"3) 10-14%",IF(D3427&lt;25,"4) 15-24%","5) 25%+"))))</f>
        <v>3) 10-14%</v>
      </c>
      <c r="N3427" s="0" t="str">
        <f aca="false">IF(F3427&lt;50,"1) Under Rs 50",IF(F3427&lt;100,"2) Rs 50-99",IF(F3427&lt;200,"3) Rs 100-199",IF(F3427&lt;500,"4) Rs 200-499","5) Rs 500+"))))</f>
        <v>2) Rs 50-99</v>
      </c>
      <c r="O3427" s="0" t="n">
        <f aca="false">G3427*E3427/1000</f>
        <v>0</v>
      </c>
    </row>
    <row r="3428" customFormat="false" ht="15" hidden="false" customHeight="false" outlineLevel="0" collapsed="false">
      <c r="A3428" s="0" t="s">
        <v>119</v>
      </c>
      <c r="B3428" s="0" t="s">
        <v>1359</v>
      </c>
      <c r="C3428" s="0" t="n">
        <v>100</v>
      </c>
      <c r="D3428" s="0" t="n">
        <v>16</v>
      </c>
      <c r="E3428" s="0" t="n">
        <v>0</v>
      </c>
      <c r="F3428" s="0" t="n">
        <v>84</v>
      </c>
      <c r="G3428" s="0" t="n">
        <v>500</v>
      </c>
      <c r="H3428" s="0" t="s">
        <v>230</v>
      </c>
      <c r="I3428" s="0" t="n">
        <v>100</v>
      </c>
      <c r="J3428" s="0" t="n">
        <f aca="false">F3428*E3428</f>
        <v>0</v>
      </c>
      <c r="K3428" s="0" t="str">
        <f aca="false">IF(G3428&lt;1000,"1-Low",IF(G3428&lt;5000,"2-Medium","3-Bulk"))</f>
        <v>1-Low</v>
      </c>
      <c r="L3428" s="0" t="str">
        <f aca="false">IF(H3428="TRUE","Out of stock","In stock")</f>
        <v>Out of stock</v>
      </c>
      <c r="M3428" s="0" t="str">
        <f aca="false">IF(D3428&lt;5,"1) Under 5%",IF(D3428&lt;10,"2) 5-9%",IF(D3428&lt;15,"3) 10-14%",IF(D3428&lt;25,"4) 15-24%","5) 25%+"))))</f>
        <v>4) 15-24%</v>
      </c>
      <c r="N3428" s="0" t="str">
        <f aca="false">IF(F3428&lt;50,"1) Under Rs 50",IF(F3428&lt;100,"2) Rs 50-99",IF(F3428&lt;200,"3) Rs 100-199",IF(F3428&lt;500,"4) Rs 200-499","5) Rs 500+"))))</f>
        <v>2) Rs 50-99</v>
      </c>
      <c r="O3428" s="0" t="n">
        <f aca="false">G3428*E3428/1000</f>
        <v>0</v>
      </c>
    </row>
    <row r="3429" customFormat="false" ht="15" hidden="false" customHeight="false" outlineLevel="0" collapsed="false">
      <c r="A3429" s="0" t="s">
        <v>119</v>
      </c>
      <c r="B3429" s="0" t="s">
        <v>1550</v>
      </c>
      <c r="C3429" s="0" t="n">
        <v>115</v>
      </c>
      <c r="D3429" s="0" t="n">
        <v>7</v>
      </c>
      <c r="E3429" s="0" t="n">
        <v>0</v>
      </c>
      <c r="F3429" s="0" t="n">
        <v>106</v>
      </c>
      <c r="G3429" s="0" t="n">
        <v>75</v>
      </c>
      <c r="H3429" s="0" t="s">
        <v>230</v>
      </c>
      <c r="I3429" s="0" t="n">
        <v>75</v>
      </c>
      <c r="J3429" s="0" t="n">
        <f aca="false">F3429*E3429</f>
        <v>0</v>
      </c>
      <c r="K3429" s="0" t="str">
        <f aca="false">IF(G3429&lt;1000,"1-Low",IF(G3429&lt;5000,"2-Medium","3-Bulk"))</f>
        <v>1-Low</v>
      </c>
      <c r="L3429" s="0" t="str">
        <f aca="false">IF(H3429="TRUE","Out of stock","In stock")</f>
        <v>Out of stock</v>
      </c>
      <c r="M3429" s="0" t="str">
        <f aca="false">IF(D3429&lt;5,"1) Under 5%",IF(D3429&lt;10,"2) 5-9%",IF(D3429&lt;15,"3) 10-14%",IF(D3429&lt;25,"4) 15-24%","5) 25%+"))))</f>
        <v>2) 5-9%</v>
      </c>
      <c r="N3429" s="0" t="str">
        <f aca="false">IF(F3429&lt;50,"1) Under Rs 50",IF(F3429&lt;100,"2) Rs 50-99",IF(F3429&lt;200,"3) Rs 100-199",IF(F3429&lt;500,"4) Rs 200-499","5) Rs 500+"))))</f>
        <v>3) Rs 100-199</v>
      </c>
      <c r="O3429" s="0" t="n">
        <f aca="false">G3429*E3429/1000</f>
        <v>0</v>
      </c>
    </row>
    <row r="3430" customFormat="false" ht="15" hidden="false" customHeight="false" outlineLevel="0" collapsed="false">
      <c r="A3430" s="0" t="s">
        <v>119</v>
      </c>
      <c r="B3430" s="0" t="s">
        <v>1551</v>
      </c>
      <c r="C3430" s="0" t="n">
        <v>90</v>
      </c>
      <c r="D3430" s="0" t="n">
        <v>0</v>
      </c>
      <c r="E3430" s="0" t="n">
        <v>0</v>
      </c>
      <c r="F3430" s="0" t="n">
        <v>90</v>
      </c>
      <c r="G3430" s="0" t="n">
        <v>406</v>
      </c>
      <c r="H3430" s="0" t="s">
        <v>230</v>
      </c>
      <c r="I3430" s="0" t="n">
        <v>7</v>
      </c>
      <c r="J3430" s="0" t="n">
        <f aca="false">F3430*E3430</f>
        <v>0</v>
      </c>
      <c r="K3430" s="0" t="str">
        <f aca="false">IF(G3430&lt;1000,"1-Low",IF(G3430&lt;5000,"2-Medium","3-Bulk"))</f>
        <v>1-Low</v>
      </c>
      <c r="L3430" s="0" t="str">
        <f aca="false">IF(H3430="TRUE","Out of stock","In stock")</f>
        <v>Out of stock</v>
      </c>
      <c r="M3430" s="0" t="str">
        <f aca="false">IF(D3430&lt;5,"1) Under 5%",IF(D3430&lt;10,"2) 5-9%",IF(D3430&lt;15,"3) 10-14%",IF(D3430&lt;25,"4) 15-24%","5) 25%+"))))</f>
        <v>1) Under 5%</v>
      </c>
      <c r="N3430" s="0" t="str">
        <f aca="false">IF(F3430&lt;50,"1) Under Rs 50",IF(F3430&lt;100,"2) Rs 50-99",IF(F3430&lt;200,"3) Rs 100-199",IF(F3430&lt;500,"4) Rs 200-499","5) Rs 500+"))))</f>
        <v>2) Rs 50-99</v>
      </c>
      <c r="O3430" s="0" t="n">
        <f aca="false">G3430*E3430/1000</f>
        <v>0</v>
      </c>
    </row>
    <row r="3431" customFormat="false" ht="15" hidden="false" customHeight="false" outlineLevel="0" collapsed="false">
      <c r="A3431" s="0" t="s">
        <v>119</v>
      </c>
      <c r="B3431" s="0" t="s">
        <v>1552</v>
      </c>
      <c r="C3431" s="0" t="n">
        <v>32</v>
      </c>
      <c r="D3431" s="0" t="n">
        <v>9</v>
      </c>
      <c r="E3431" s="0" t="n">
        <v>0</v>
      </c>
      <c r="F3431" s="0" t="n">
        <v>29</v>
      </c>
      <c r="G3431" s="0" t="n">
        <v>406</v>
      </c>
      <c r="H3431" s="0" t="s">
        <v>230</v>
      </c>
      <c r="I3431" s="0" t="n">
        <v>7</v>
      </c>
      <c r="J3431" s="0" t="n">
        <f aca="false">F3431*E3431</f>
        <v>0</v>
      </c>
      <c r="K3431" s="0" t="str">
        <f aca="false">IF(G3431&lt;1000,"1-Low",IF(G3431&lt;5000,"2-Medium","3-Bulk"))</f>
        <v>1-Low</v>
      </c>
      <c r="L3431" s="0" t="str">
        <f aca="false">IF(H3431="TRUE","Out of stock","In stock")</f>
        <v>Out of stock</v>
      </c>
      <c r="M3431" s="0" t="str">
        <f aca="false">IF(D3431&lt;5,"1) Under 5%",IF(D3431&lt;10,"2) 5-9%",IF(D3431&lt;15,"3) 10-14%",IF(D3431&lt;25,"4) 15-24%","5) 25%+"))))</f>
        <v>2) 5-9%</v>
      </c>
      <c r="N3431" s="0" t="str">
        <f aca="false">IF(F3431&lt;50,"1) Under Rs 50",IF(F3431&lt;100,"2) Rs 50-99",IF(F3431&lt;200,"3) Rs 100-199",IF(F3431&lt;500,"4) Rs 200-499","5) Rs 500+"))))</f>
        <v>1) Under Rs 50</v>
      </c>
      <c r="O3431" s="0" t="n">
        <f aca="false">G3431*E3431/1000</f>
        <v>0</v>
      </c>
    </row>
    <row r="3432" customFormat="false" ht="15" hidden="false" customHeight="false" outlineLevel="0" collapsed="false">
      <c r="A3432" s="0" t="s">
        <v>119</v>
      </c>
      <c r="B3432" s="0" t="s">
        <v>1553</v>
      </c>
      <c r="C3432" s="0" t="n">
        <v>84</v>
      </c>
      <c r="D3432" s="0" t="n">
        <v>0</v>
      </c>
      <c r="E3432" s="0" t="n">
        <v>0</v>
      </c>
      <c r="F3432" s="0" t="n">
        <v>84</v>
      </c>
      <c r="G3432" s="0" t="n">
        <v>400</v>
      </c>
      <c r="H3432" s="0" t="s">
        <v>230</v>
      </c>
      <c r="I3432" s="0" t="n">
        <v>100</v>
      </c>
      <c r="J3432" s="0" t="n">
        <f aca="false">F3432*E3432</f>
        <v>0</v>
      </c>
      <c r="K3432" s="0" t="str">
        <f aca="false">IF(G3432&lt;1000,"1-Low",IF(G3432&lt;5000,"2-Medium","3-Bulk"))</f>
        <v>1-Low</v>
      </c>
      <c r="L3432" s="0" t="str">
        <f aca="false">IF(H3432="TRUE","Out of stock","In stock")</f>
        <v>Out of stock</v>
      </c>
      <c r="M3432" s="0" t="str">
        <f aca="false">IF(D3432&lt;5,"1) Under 5%",IF(D3432&lt;10,"2) 5-9%",IF(D3432&lt;15,"3) 10-14%",IF(D3432&lt;25,"4) 15-24%","5) 25%+"))))</f>
        <v>1) Under 5%</v>
      </c>
      <c r="N3432" s="0" t="str">
        <f aca="false">IF(F3432&lt;50,"1) Under Rs 50",IF(F3432&lt;100,"2) Rs 50-99",IF(F3432&lt;200,"3) Rs 100-199",IF(F3432&lt;500,"4) Rs 200-499","5) Rs 500+"))))</f>
        <v>2) Rs 50-99</v>
      </c>
      <c r="O3432" s="0" t="n">
        <f aca="false">G3432*E3432/1000</f>
        <v>0</v>
      </c>
    </row>
    <row r="3433" customFormat="false" ht="15" hidden="false" customHeight="false" outlineLevel="0" collapsed="false">
      <c r="A3433" s="0" t="s">
        <v>119</v>
      </c>
      <c r="B3433" s="0" t="s">
        <v>1554</v>
      </c>
      <c r="C3433" s="0" t="n">
        <v>249</v>
      </c>
      <c r="D3433" s="0" t="n">
        <v>7</v>
      </c>
      <c r="E3433" s="0" t="n">
        <v>0</v>
      </c>
      <c r="F3433" s="0" t="n">
        <v>230</v>
      </c>
      <c r="G3433" s="0" t="n">
        <v>58</v>
      </c>
      <c r="H3433" s="0" t="s">
        <v>230</v>
      </c>
      <c r="I3433" s="0" t="n">
        <v>1</v>
      </c>
      <c r="J3433" s="0" t="n">
        <f aca="false">F3433*E3433</f>
        <v>0</v>
      </c>
      <c r="K3433" s="0" t="str">
        <f aca="false">IF(G3433&lt;1000,"1-Low",IF(G3433&lt;5000,"2-Medium","3-Bulk"))</f>
        <v>1-Low</v>
      </c>
      <c r="L3433" s="0" t="str">
        <f aca="false">IF(H3433="TRUE","Out of stock","In stock")</f>
        <v>Out of stock</v>
      </c>
      <c r="M3433" s="0" t="str">
        <f aca="false">IF(D3433&lt;5,"1) Under 5%",IF(D3433&lt;10,"2) 5-9%",IF(D3433&lt;15,"3) 10-14%",IF(D3433&lt;25,"4) 15-24%","5) 25%+"))))</f>
        <v>2) 5-9%</v>
      </c>
      <c r="N3433" s="0" t="str">
        <f aca="false">IF(F3433&lt;50,"1) Under Rs 50",IF(F3433&lt;100,"2) Rs 50-99",IF(F3433&lt;200,"3) Rs 100-199",IF(F3433&lt;500,"4) Rs 200-499","5) Rs 500+"))))</f>
        <v>4) Rs 200-499</v>
      </c>
      <c r="O3433" s="0" t="n">
        <f aca="false">G3433*E3433/1000</f>
        <v>0</v>
      </c>
    </row>
    <row r="3434" customFormat="false" ht="15" hidden="false" customHeight="false" outlineLevel="0" collapsed="false">
      <c r="A3434" s="0" t="s">
        <v>119</v>
      </c>
      <c r="B3434" s="0" t="s">
        <v>1324</v>
      </c>
      <c r="C3434" s="0" t="n">
        <v>90</v>
      </c>
      <c r="D3434" s="0" t="n">
        <v>3</v>
      </c>
      <c r="E3434" s="0" t="n">
        <v>0</v>
      </c>
      <c r="F3434" s="0" t="n">
        <v>87</v>
      </c>
      <c r="G3434" s="0" t="n">
        <v>58</v>
      </c>
      <c r="H3434" s="0" t="s">
        <v>230</v>
      </c>
      <c r="I3434" s="0" t="n">
        <v>20</v>
      </c>
      <c r="J3434" s="0" t="n">
        <f aca="false">F3434*E3434</f>
        <v>0</v>
      </c>
      <c r="K3434" s="0" t="str">
        <f aca="false">IF(G3434&lt;1000,"1-Low",IF(G3434&lt;5000,"2-Medium","3-Bulk"))</f>
        <v>1-Low</v>
      </c>
      <c r="L3434" s="0" t="str">
        <f aca="false">IF(H3434="TRUE","Out of stock","In stock")</f>
        <v>Out of stock</v>
      </c>
      <c r="M3434" s="0" t="str">
        <f aca="false">IF(D3434&lt;5,"1) Under 5%",IF(D3434&lt;10,"2) 5-9%",IF(D3434&lt;15,"3) 10-14%",IF(D3434&lt;25,"4) 15-24%","5) 25%+"))))</f>
        <v>1) Under 5%</v>
      </c>
      <c r="N3434" s="0" t="str">
        <f aca="false">IF(F3434&lt;50,"1) Under Rs 50",IF(F3434&lt;100,"2) Rs 50-99",IF(F3434&lt;200,"3) Rs 100-199",IF(F3434&lt;500,"4) Rs 200-499","5) Rs 500+"))))</f>
        <v>2) Rs 50-99</v>
      </c>
      <c r="O3434" s="0" t="n">
        <f aca="false">G3434*E3434/1000</f>
        <v>0</v>
      </c>
    </row>
    <row r="3435" customFormat="false" ht="15" hidden="false" customHeight="false" outlineLevel="0" collapsed="false">
      <c r="A3435" s="0" t="s">
        <v>119</v>
      </c>
      <c r="B3435" s="0" t="s">
        <v>1555</v>
      </c>
      <c r="C3435" s="0" t="n">
        <v>42</v>
      </c>
      <c r="D3435" s="0" t="n">
        <v>2</v>
      </c>
      <c r="E3435" s="0" t="n">
        <v>0</v>
      </c>
      <c r="F3435" s="0" t="n">
        <v>41</v>
      </c>
      <c r="G3435" s="0" t="n">
        <v>406</v>
      </c>
      <c r="H3435" s="0" t="s">
        <v>230</v>
      </c>
      <c r="I3435" s="0" t="n">
        <v>7</v>
      </c>
      <c r="J3435" s="0" t="n">
        <f aca="false">F3435*E3435</f>
        <v>0</v>
      </c>
      <c r="K3435" s="0" t="str">
        <f aca="false">IF(G3435&lt;1000,"1-Low",IF(G3435&lt;5000,"2-Medium","3-Bulk"))</f>
        <v>1-Low</v>
      </c>
      <c r="L3435" s="0" t="str">
        <f aca="false">IF(H3435="TRUE","Out of stock","In stock")</f>
        <v>Out of stock</v>
      </c>
      <c r="M3435" s="0" t="str">
        <f aca="false">IF(D3435&lt;5,"1) Under 5%",IF(D3435&lt;10,"2) 5-9%",IF(D3435&lt;15,"3) 10-14%",IF(D3435&lt;25,"4) 15-24%","5) 25%+"))))</f>
        <v>1) Under 5%</v>
      </c>
      <c r="N3435" s="0" t="str">
        <f aca="false">IF(F3435&lt;50,"1) Under Rs 50",IF(F3435&lt;100,"2) Rs 50-99",IF(F3435&lt;200,"3) Rs 100-199",IF(F3435&lt;500,"4) Rs 200-499","5) Rs 500+"))))</f>
        <v>1) Under Rs 50</v>
      </c>
      <c r="O3435" s="0" t="n">
        <f aca="false">G3435*E3435/1000</f>
        <v>0</v>
      </c>
    </row>
    <row r="3436" customFormat="false" ht="15" hidden="false" customHeight="false" outlineLevel="0" collapsed="false">
      <c r="A3436" s="0" t="s">
        <v>119</v>
      </c>
      <c r="B3436" s="0" t="s">
        <v>1556</v>
      </c>
      <c r="C3436" s="0" t="n">
        <v>82</v>
      </c>
      <c r="D3436" s="0" t="n">
        <v>9</v>
      </c>
      <c r="E3436" s="0" t="n">
        <v>0</v>
      </c>
      <c r="F3436" s="0" t="n">
        <v>74</v>
      </c>
      <c r="G3436" s="0" t="n">
        <v>27</v>
      </c>
      <c r="H3436" s="0" t="s">
        <v>230</v>
      </c>
      <c r="I3436" s="0" t="n">
        <v>27</v>
      </c>
      <c r="J3436" s="0" t="n">
        <f aca="false">F3436*E3436</f>
        <v>0</v>
      </c>
      <c r="K3436" s="0" t="str">
        <f aca="false">IF(G3436&lt;1000,"1-Low",IF(G3436&lt;5000,"2-Medium","3-Bulk"))</f>
        <v>1-Low</v>
      </c>
      <c r="L3436" s="0" t="str">
        <f aca="false">IF(H3436="TRUE","Out of stock","In stock")</f>
        <v>Out of stock</v>
      </c>
      <c r="M3436" s="0" t="str">
        <f aca="false">IF(D3436&lt;5,"1) Under 5%",IF(D3436&lt;10,"2) 5-9%",IF(D3436&lt;15,"3) 10-14%",IF(D3436&lt;25,"4) 15-24%","5) 25%+"))))</f>
        <v>2) 5-9%</v>
      </c>
      <c r="N3436" s="0" t="str">
        <f aca="false">IF(F3436&lt;50,"1) Under Rs 50",IF(F3436&lt;100,"2) Rs 50-99",IF(F3436&lt;200,"3) Rs 100-199",IF(F3436&lt;500,"4) Rs 200-499","5) Rs 500+"))))</f>
        <v>2) Rs 50-99</v>
      </c>
      <c r="O3436" s="0" t="n">
        <f aca="false">G3436*E3436/1000</f>
        <v>0</v>
      </c>
    </row>
    <row r="3437" customFormat="false" ht="15" hidden="false" customHeight="false" outlineLevel="0" collapsed="false">
      <c r="A3437" s="0" t="s">
        <v>119</v>
      </c>
      <c r="B3437" s="0" t="s">
        <v>1557</v>
      </c>
      <c r="C3437" s="0" t="n">
        <v>145</v>
      </c>
      <c r="D3437" s="0" t="n">
        <v>9</v>
      </c>
      <c r="E3437" s="0" t="n">
        <v>0</v>
      </c>
      <c r="F3437" s="0" t="n">
        <v>131</v>
      </c>
      <c r="G3437" s="0" t="n">
        <v>100</v>
      </c>
      <c r="H3437" s="0" t="s">
        <v>230</v>
      </c>
      <c r="I3437" s="0" t="n">
        <v>100</v>
      </c>
      <c r="J3437" s="0" t="n">
        <f aca="false">F3437*E3437</f>
        <v>0</v>
      </c>
      <c r="K3437" s="0" t="str">
        <f aca="false">IF(G3437&lt;1000,"1-Low",IF(G3437&lt;5000,"2-Medium","3-Bulk"))</f>
        <v>1-Low</v>
      </c>
      <c r="L3437" s="0" t="str">
        <f aca="false">IF(H3437="TRUE","Out of stock","In stock")</f>
        <v>Out of stock</v>
      </c>
      <c r="M3437" s="0" t="str">
        <f aca="false">IF(D3437&lt;5,"1) Under 5%",IF(D3437&lt;10,"2) 5-9%",IF(D3437&lt;15,"3) 10-14%",IF(D3437&lt;25,"4) 15-24%","5) 25%+"))))</f>
        <v>2) 5-9%</v>
      </c>
      <c r="N3437" s="0" t="str">
        <f aca="false">IF(F3437&lt;50,"1) Under Rs 50",IF(F3437&lt;100,"2) Rs 50-99",IF(F3437&lt;200,"3) Rs 100-199",IF(F3437&lt;500,"4) Rs 200-499","5) Rs 500+"))))</f>
        <v>3) Rs 100-199</v>
      </c>
      <c r="O3437" s="0" t="n">
        <f aca="false">G3437*E3437/1000</f>
        <v>0</v>
      </c>
    </row>
    <row r="3438" customFormat="false" ht="15" hidden="false" customHeight="false" outlineLevel="0" collapsed="false">
      <c r="A3438" s="0" t="s">
        <v>119</v>
      </c>
      <c r="B3438" s="0" t="s">
        <v>1558</v>
      </c>
      <c r="C3438" s="0" t="n">
        <v>67</v>
      </c>
      <c r="D3438" s="0" t="n">
        <v>10</v>
      </c>
      <c r="E3438" s="0" t="n">
        <v>0</v>
      </c>
      <c r="F3438" s="0" t="n">
        <v>60</v>
      </c>
      <c r="G3438" s="0" t="n">
        <v>100</v>
      </c>
      <c r="H3438" s="0" t="s">
        <v>230</v>
      </c>
      <c r="I3438" s="0" t="n">
        <v>100</v>
      </c>
      <c r="J3438" s="0" t="n">
        <f aca="false">F3438*E3438</f>
        <v>0</v>
      </c>
      <c r="K3438" s="0" t="str">
        <f aca="false">IF(G3438&lt;1000,"1-Low",IF(G3438&lt;5000,"2-Medium","3-Bulk"))</f>
        <v>1-Low</v>
      </c>
      <c r="L3438" s="0" t="str">
        <f aca="false">IF(H3438="TRUE","Out of stock","In stock")</f>
        <v>Out of stock</v>
      </c>
      <c r="M3438" s="0" t="str">
        <f aca="false">IF(D3438&lt;5,"1) Under 5%",IF(D3438&lt;10,"2) 5-9%",IF(D3438&lt;15,"3) 10-14%",IF(D3438&lt;25,"4) 15-24%","5) 25%+"))))</f>
        <v>3) 10-14%</v>
      </c>
      <c r="N3438" s="0" t="str">
        <f aca="false">IF(F3438&lt;50,"1) Under Rs 50",IF(F3438&lt;100,"2) Rs 50-99",IF(F3438&lt;200,"3) Rs 100-199",IF(F3438&lt;500,"4) Rs 200-499","5) Rs 500+"))))</f>
        <v>2) Rs 50-99</v>
      </c>
      <c r="O3438" s="0" t="n">
        <f aca="false">G3438*E3438/1000</f>
        <v>0</v>
      </c>
    </row>
    <row r="3439" customFormat="false" ht="15" hidden="false" customHeight="false" outlineLevel="0" collapsed="false">
      <c r="A3439" s="0" t="s">
        <v>119</v>
      </c>
      <c r="B3439" s="0" t="s">
        <v>1559</v>
      </c>
      <c r="C3439" s="0" t="n">
        <v>130</v>
      </c>
      <c r="D3439" s="0" t="n">
        <v>7</v>
      </c>
      <c r="E3439" s="0" t="n">
        <v>0</v>
      </c>
      <c r="F3439" s="0" t="n">
        <v>120</v>
      </c>
      <c r="G3439" s="0" t="n">
        <v>200</v>
      </c>
      <c r="H3439" s="0" t="s">
        <v>230</v>
      </c>
      <c r="I3439" s="0" t="n">
        <v>200</v>
      </c>
      <c r="J3439" s="0" t="n">
        <f aca="false">F3439*E3439</f>
        <v>0</v>
      </c>
      <c r="K3439" s="0" t="str">
        <f aca="false">IF(G3439&lt;1000,"1-Low",IF(G3439&lt;5000,"2-Medium","3-Bulk"))</f>
        <v>1-Low</v>
      </c>
      <c r="L3439" s="0" t="str">
        <f aca="false">IF(H3439="TRUE","Out of stock","In stock")</f>
        <v>Out of stock</v>
      </c>
      <c r="M3439" s="0" t="str">
        <f aca="false">IF(D3439&lt;5,"1) Under 5%",IF(D3439&lt;10,"2) 5-9%",IF(D3439&lt;15,"3) 10-14%",IF(D3439&lt;25,"4) 15-24%","5) 25%+"))))</f>
        <v>2) 5-9%</v>
      </c>
      <c r="N3439" s="0" t="str">
        <f aca="false">IF(F3439&lt;50,"1) Under Rs 50",IF(F3439&lt;100,"2) Rs 50-99",IF(F3439&lt;200,"3) Rs 100-199",IF(F3439&lt;500,"4) Rs 200-499","5) Rs 500+"))))</f>
        <v>3) Rs 100-199</v>
      </c>
      <c r="O3439" s="0" t="n">
        <f aca="false">G3439*E3439/1000</f>
        <v>0</v>
      </c>
    </row>
    <row r="3440" customFormat="false" ht="15" hidden="false" customHeight="false" outlineLevel="0" collapsed="false">
      <c r="A3440" s="0" t="s">
        <v>119</v>
      </c>
      <c r="B3440" s="0" t="s">
        <v>1560</v>
      </c>
      <c r="C3440" s="0" t="n">
        <v>185</v>
      </c>
      <c r="D3440" s="0" t="n">
        <v>0</v>
      </c>
      <c r="E3440" s="0" t="n">
        <v>0</v>
      </c>
      <c r="F3440" s="0" t="n">
        <v>185</v>
      </c>
      <c r="G3440" s="0" t="n">
        <v>870</v>
      </c>
      <c r="H3440" s="0" t="s">
        <v>230</v>
      </c>
      <c r="I3440" s="0" t="n">
        <v>15</v>
      </c>
      <c r="J3440" s="0" t="n">
        <f aca="false">F3440*E3440</f>
        <v>0</v>
      </c>
      <c r="K3440" s="0" t="str">
        <f aca="false">IF(G3440&lt;1000,"1-Low",IF(G3440&lt;5000,"2-Medium","3-Bulk"))</f>
        <v>1-Low</v>
      </c>
      <c r="L3440" s="0" t="str">
        <f aca="false">IF(H3440="TRUE","Out of stock","In stock")</f>
        <v>Out of stock</v>
      </c>
      <c r="M3440" s="0" t="str">
        <f aca="false">IF(D3440&lt;5,"1) Under 5%",IF(D3440&lt;10,"2) 5-9%",IF(D3440&lt;15,"3) 10-14%",IF(D3440&lt;25,"4) 15-24%","5) 25%+"))))</f>
        <v>1) Under 5%</v>
      </c>
      <c r="N3440" s="0" t="str">
        <f aca="false">IF(F3440&lt;50,"1) Under Rs 50",IF(F3440&lt;100,"2) Rs 50-99",IF(F3440&lt;200,"3) Rs 100-199",IF(F3440&lt;500,"4) Rs 200-499","5) Rs 500+"))))</f>
        <v>3) Rs 100-199</v>
      </c>
      <c r="O3440" s="0" t="n">
        <f aca="false">G3440*E3440/1000</f>
        <v>0</v>
      </c>
    </row>
    <row r="3441" customFormat="false" ht="15" hidden="false" customHeight="false" outlineLevel="0" collapsed="false">
      <c r="A3441" s="0" t="s">
        <v>119</v>
      </c>
      <c r="B3441" s="0" t="s">
        <v>1561</v>
      </c>
      <c r="C3441" s="0" t="n">
        <v>116</v>
      </c>
      <c r="D3441" s="0" t="n">
        <v>0</v>
      </c>
      <c r="E3441" s="0" t="n">
        <v>0</v>
      </c>
      <c r="F3441" s="0" t="n">
        <v>116</v>
      </c>
      <c r="G3441" s="0" t="n">
        <v>400</v>
      </c>
      <c r="H3441" s="0" t="s">
        <v>230</v>
      </c>
      <c r="I3441" s="0" t="n">
        <v>400</v>
      </c>
      <c r="J3441" s="0" t="n">
        <f aca="false">F3441*E3441</f>
        <v>0</v>
      </c>
      <c r="K3441" s="0" t="str">
        <f aca="false">IF(G3441&lt;1000,"1-Low",IF(G3441&lt;5000,"2-Medium","3-Bulk"))</f>
        <v>1-Low</v>
      </c>
      <c r="L3441" s="0" t="str">
        <f aca="false">IF(H3441="TRUE","Out of stock","In stock")</f>
        <v>Out of stock</v>
      </c>
      <c r="M3441" s="0" t="str">
        <f aca="false">IF(D3441&lt;5,"1) Under 5%",IF(D3441&lt;10,"2) 5-9%",IF(D3441&lt;15,"3) 10-14%",IF(D3441&lt;25,"4) 15-24%","5) 25%+"))))</f>
        <v>1) Under 5%</v>
      </c>
      <c r="N3441" s="0" t="str">
        <f aca="false">IF(F3441&lt;50,"1) Under Rs 50",IF(F3441&lt;100,"2) Rs 50-99",IF(F3441&lt;200,"3) Rs 100-199",IF(F3441&lt;500,"4) Rs 200-499","5) Rs 500+"))))</f>
        <v>3) Rs 100-199</v>
      </c>
      <c r="O3441" s="0" t="n">
        <f aca="false">G3441*E3441/1000</f>
        <v>0</v>
      </c>
    </row>
    <row r="3442" customFormat="false" ht="15" hidden="false" customHeight="false" outlineLevel="0" collapsed="false">
      <c r="A3442" s="0" t="s">
        <v>119</v>
      </c>
      <c r="B3442" s="0" t="s">
        <v>1562</v>
      </c>
      <c r="C3442" s="0" t="n">
        <v>399</v>
      </c>
      <c r="D3442" s="0" t="n">
        <v>7</v>
      </c>
      <c r="E3442" s="0" t="n">
        <v>0</v>
      </c>
      <c r="F3442" s="0" t="n">
        <v>369</v>
      </c>
      <c r="G3442" s="0" t="n">
        <v>26</v>
      </c>
      <c r="H3442" s="0" t="s">
        <v>230</v>
      </c>
      <c r="I3442" s="0" t="n">
        <v>26</v>
      </c>
      <c r="J3442" s="0" t="n">
        <f aca="false">F3442*E3442</f>
        <v>0</v>
      </c>
      <c r="K3442" s="0" t="str">
        <f aca="false">IF(G3442&lt;1000,"1-Low",IF(G3442&lt;5000,"2-Medium","3-Bulk"))</f>
        <v>1-Low</v>
      </c>
      <c r="L3442" s="0" t="str">
        <f aca="false">IF(H3442="TRUE","Out of stock","In stock")</f>
        <v>Out of stock</v>
      </c>
      <c r="M3442" s="0" t="str">
        <f aca="false">IF(D3442&lt;5,"1) Under 5%",IF(D3442&lt;10,"2) 5-9%",IF(D3442&lt;15,"3) 10-14%",IF(D3442&lt;25,"4) 15-24%","5) 25%+"))))</f>
        <v>2) 5-9%</v>
      </c>
      <c r="N3442" s="0" t="str">
        <f aca="false">IF(F3442&lt;50,"1) Under Rs 50",IF(F3442&lt;100,"2) Rs 50-99",IF(F3442&lt;200,"3) Rs 100-199",IF(F3442&lt;500,"4) Rs 200-499","5) Rs 500+"))))</f>
        <v>4) Rs 200-499</v>
      </c>
      <c r="O3442" s="0" t="n">
        <f aca="false">G3442*E3442/1000</f>
        <v>0</v>
      </c>
    </row>
    <row r="3443" customFormat="false" ht="15" hidden="false" customHeight="false" outlineLevel="0" collapsed="false">
      <c r="A3443" s="0" t="s">
        <v>111</v>
      </c>
      <c r="B3443" s="0" t="s">
        <v>1563</v>
      </c>
      <c r="C3443" s="0" t="n">
        <v>18</v>
      </c>
      <c r="D3443" s="0" t="n">
        <v>0</v>
      </c>
      <c r="E3443" s="0" t="n">
        <v>1</v>
      </c>
      <c r="F3443" s="0" t="n">
        <v>18</v>
      </c>
      <c r="G3443" s="0" t="n">
        <v>150</v>
      </c>
      <c r="H3443" s="0" t="s">
        <v>145</v>
      </c>
      <c r="I3443" s="0" t="n">
        <v>150</v>
      </c>
      <c r="J3443" s="0" t="n">
        <f aca="false">F3443*E3443</f>
        <v>18</v>
      </c>
      <c r="K3443" s="0" t="str">
        <f aca="false">IF(G3443&lt;1000,"1-Low",IF(G3443&lt;5000,"2-Medium","3-Bulk"))</f>
        <v>1-Low</v>
      </c>
      <c r="L3443" s="0" t="str">
        <f aca="false">IF(H3443="TRUE","Out of stock","In stock")</f>
        <v>In stock</v>
      </c>
      <c r="M3443" s="0" t="str">
        <f aca="false">IF(D3443&lt;5,"1) Under 5%",IF(D3443&lt;10,"2) 5-9%",IF(D3443&lt;15,"3) 10-14%",IF(D3443&lt;25,"4) 15-24%","5) 25%+"))))</f>
        <v>1) Under 5%</v>
      </c>
      <c r="N3443" s="0" t="str">
        <f aca="false">IF(F3443&lt;50,"1) Under Rs 50",IF(F3443&lt;100,"2) Rs 50-99",IF(F3443&lt;200,"3) Rs 100-199",IF(F3443&lt;500,"4) Rs 200-499","5) Rs 500+"))))</f>
        <v>1) Under Rs 50</v>
      </c>
      <c r="O3443" s="0" t="n">
        <f aca="false">G3443*E3443/1000</f>
        <v>0.15</v>
      </c>
    </row>
    <row r="3444" customFormat="false" ht="15" hidden="false" customHeight="false" outlineLevel="0" collapsed="false">
      <c r="A3444" s="0" t="s">
        <v>111</v>
      </c>
      <c r="B3444" s="0" t="s">
        <v>1564</v>
      </c>
      <c r="C3444" s="0" t="n">
        <v>96</v>
      </c>
      <c r="D3444" s="0" t="n">
        <v>7</v>
      </c>
      <c r="E3444" s="0" t="n">
        <v>6</v>
      </c>
      <c r="F3444" s="0" t="n">
        <v>89</v>
      </c>
      <c r="G3444" s="0" t="n">
        <v>500</v>
      </c>
      <c r="H3444" s="0" t="s">
        <v>145</v>
      </c>
      <c r="I3444" s="0" t="n">
        <v>500</v>
      </c>
      <c r="J3444" s="0" t="n">
        <f aca="false">F3444*E3444</f>
        <v>534</v>
      </c>
      <c r="K3444" s="0" t="str">
        <f aca="false">IF(G3444&lt;1000,"1-Low",IF(G3444&lt;5000,"2-Medium","3-Bulk"))</f>
        <v>1-Low</v>
      </c>
      <c r="L3444" s="0" t="str">
        <f aca="false">IF(H3444="TRUE","Out of stock","In stock")</f>
        <v>In stock</v>
      </c>
      <c r="M3444" s="0" t="str">
        <f aca="false">IF(D3444&lt;5,"1) Under 5%",IF(D3444&lt;10,"2) 5-9%",IF(D3444&lt;15,"3) 10-14%",IF(D3444&lt;25,"4) 15-24%","5) 25%+"))))</f>
        <v>2) 5-9%</v>
      </c>
      <c r="N3444" s="0" t="str">
        <f aca="false">IF(F3444&lt;50,"1) Under Rs 50",IF(F3444&lt;100,"2) Rs 50-99",IF(F3444&lt;200,"3) Rs 100-199",IF(F3444&lt;500,"4) Rs 200-499","5) Rs 500+"))))</f>
        <v>2) Rs 50-99</v>
      </c>
      <c r="O3444" s="0" t="n">
        <f aca="false">G3444*E3444/1000</f>
        <v>3</v>
      </c>
    </row>
    <row r="3445" customFormat="false" ht="15" hidden="false" customHeight="false" outlineLevel="0" collapsed="false">
      <c r="A3445" s="0" t="s">
        <v>111</v>
      </c>
      <c r="B3445" s="0" t="s">
        <v>1565</v>
      </c>
      <c r="C3445" s="0" t="n">
        <v>69</v>
      </c>
      <c r="D3445" s="0" t="n">
        <v>0</v>
      </c>
      <c r="E3445" s="0" t="n">
        <v>6</v>
      </c>
      <c r="F3445" s="0" t="n">
        <v>69</v>
      </c>
      <c r="G3445" s="0" t="n">
        <v>30</v>
      </c>
      <c r="H3445" s="0" t="s">
        <v>145</v>
      </c>
      <c r="I3445" s="0" t="n">
        <v>30</v>
      </c>
      <c r="J3445" s="0" t="n">
        <f aca="false">F3445*E3445</f>
        <v>414</v>
      </c>
      <c r="K3445" s="0" t="str">
        <f aca="false">IF(G3445&lt;1000,"1-Low",IF(G3445&lt;5000,"2-Medium","3-Bulk"))</f>
        <v>1-Low</v>
      </c>
      <c r="L3445" s="0" t="str">
        <f aca="false">IF(H3445="TRUE","Out of stock","In stock")</f>
        <v>In stock</v>
      </c>
      <c r="M3445" s="0" t="str">
        <f aca="false">IF(D3445&lt;5,"1) Under 5%",IF(D3445&lt;10,"2) 5-9%",IF(D3445&lt;15,"3) 10-14%",IF(D3445&lt;25,"4) 15-24%","5) 25%+"))))</f>
        <v>1) Under 5%</v>
      </c>
      <c r="N3445" s="0" t="str">
        <f aca="false">IF(F3445&lt;50,"1) Under Rs 50",IF(F3445&lt;100,"2) Rs 50-99",IF(F3445&lt;200,"3) Rs 100-199",IF(F3445&lt;500,"4) Rs 200-499","5) Rs 500+"))))</f>
        <v>2) Rs 50-99</v>
      </c>
      <c r="O3445" s="0" t="n">
        <f aca="false">G3445*E3445/1000</f>
        <v>0.18</v>
      </c>
    </row>
    <row r="3446" customFormat="false" ht="15" hidden="false" customHeight="false" outlineLevel="0" collapsed="false">
      <c r="A3446" s="0" t="s">
        <v>111</v>
      </c>
      <c r="B3446" s="0" t="s">
        <v>1566</v>
      </c>
      <c r="C3446" s="0" t="n">
        <v>189</v>
      </c>
      <c r="D3446" s="0" t="n">
        <v>5</v>
      </c>
      <c r="E3446" s="0" t="n">
        <v>2</v>
      </c>
      <c r="F3446" s="0" t="n">
        <v>179</v>
      </c>
      <c r="G3446" s="0" t="n">
        <v>425</v>
      </c>
      <c r="H3446" s="0" t="s">
        <v>145</v>
      </c>
      <c r="I3446" s="0" t="n">
        <v>425</v>
      </c>
      <c r="J3446" s="0" t="n">
        <f aca="false">F3446*E3446</f>
        <v>358</v>
      </c>
      <c r="K3446" s="0" t="str">
        <f aca="false">IF(G3446&lt;1000,"1-Low",IF(G3446&lt;5000,"2-Medium","3-Bulk"))</f>
        <v>1-Low</v>
      </c>
      <c r="L3446" s="0" t="str">
        <f aca="false">IF(H3446="TRUE","Out of stock","In stock")</f>
        <v>In stock</v>
      </c>
      <c r="M3446" s="0" t="str">
        <f aca="false">IF(D3446&lt;5,"1) Under 5%",IF(D3446&lt;10,"2) 5-9%",IF(D3446&lt;15,"3) 10-14%",IF(D3446&lt;25,"4) 15-24%","5) 25%+"))))</f>
        <v>2) 5-9%</v>
      </c>
      <c r="N3446" s="0" t="str">
        <f aca="false">IF(F3446&lt;50,"1) Under Rs 50",IF(F3446&lt;100,"2) Rs 50-99",IF(F3446&lt;200,"3) Rs 100-199",IF(F3446&lt;500,"4) Rs 200-499","5) Rs 500+"))))</f>
        <v>3) Rs 100-199</v>
      </c>
      <c r="O3446" s="0" t="n">
        <f aca="false">G3446*E3446/1000</f>
        <v>0.85</v>
      </c>
    </row>
    <row r="3447" customFormat="false" ht="15" hidden="false" customHeight="false" outlineLevel="0" collapsed="false">
      <c r="A3447" s="0" t="s">
        <v>111</v>
      </c>
      <c r="B3447" s="0" t="s">
        <v>1567</v>
      </c>
      <c r="C3447" s="0" t="n">
        <v>190</v>
      </c>
      <c r="D3447" s="0" t="n">
        <v>7</v>
      </c>
      <c r="E3447" s="0" t="n">
        <v>4</v>
      </c>
      <c r="F3447" s="0" t="n">
        <v>175</v>
      </c>
      <c r="G3447" s="0" t="n">
        <v>750</v>
      </c>
      <c r="H3447" s="0" t="s">
        <v>145</v>
      </c>
      <c r="I3447" s="0" t="n">
        <v>750</v>
      </c>
      <c r="J3447" s="0" t="n">
        <f aca="false">F3447*E3447</f>
        <v>700</v>
      </c>
      <c r="K3447" s="0" t="str">
        <f aca="false">IF(G3447&lt;1000,"1-Low",IF(G3447&lt;5000,"2-Medium","3-Bulk"))</f>
        <v>1-Low</v>
      </c>
      <c r="L3447" s="0" t="str">
        <f aca="false">IF(H3447="TRUE","Out of stock","In stock")</f>
        <v>In stock</v>
      </c>
      <c r="M3447" s="0" t="str">
        <f aca="false">IF(D3447&lt;5,"1) Under 5%",IF(D3447&lt;10,"2) 5-9%",IF(D3447&lt;15,"3) 10-14%",IF(D3447&lt;25,"4) 15-24%","5) 25%+"))))</f>
        <v>2) 5-9%</v>
      </c>
      <c r="N3447" s="0" t="str">
        <f aca="false">IF(F3447&lt;50,"1) Under Rs 50",IF(F3447&lt;100,"2) Rs 50-99",IF(F3447&lt;200,"3) Rs 100-199",IF(F3447&lt;500,"4) Rs 200-499","5) Rs 500+"))))</f>
        <v>3) Rs 100-199</v>
      </c>
      <c r="O3447" s="0" t="n">
        <f aca="false">G3447*E3447/1000</f>
        <v>3</v>
      </c>
    </row>
    <row r="3448" customFormat="false" ht="15" hidden="false" customHeight="false" outlineLevel="0" collapsed="false">
      <c r="A3448" s="0" t="s">
        <v>111</v>
      </c>
      <c r="B3448" s="0" t="s">
        <v>1568</v>
      </c>
      <c r="C3448" s="0" t="n">
        <v>66</v>
      </c>
      <c r="D3448" s="0" t="n">
        <v>0</v>
      </c>
      <c r="E3448" s="0" t="n">
        <v>6</v>
      </c>
      <c r="F3448" s="0" t="n">
        <v>66</v>
      </c>
      <c r="G3448" s="0" t="n">
        <v>125</v>
      </c>
      <c r="H3448" s="0" t="s">
        <v>145</v>
      </c>
      <c r="I3448" s="0" t="n">
        <v>125</v>
      </c>
      <c r="J3448" s="0" t="n">
        <f aca="false">F3448*E3448</f>
        <v>396</v>
      </c>
      <c r="K3448" s="0" t="str">
        <f aca="false">IF(G3448&lt;1000,"1-Low",IF(G3448&lt;5000,"2-Medium","3-Bulk"))</f>
        <v>1-Low</v>
      </c>
      <c r="L3448" s="0" t="str">
        <f aca="false">IF(H3448="TRUE","Out of stock","In stock")</f>
        <v>In stock</v>
      </c>
      <c r="M3448" s="0" t="str">
        <f aca="false">IF(D3448&lt;5,"1) Under 5%",IF(D3448&lt;10,"2) 5-9%",IF(D3448&lt;15,"3) 10-14%",IF(D3448&lt;25,"4) 15-24%","5) 25%+"))))</f>
        <v>1) Under 5%</v>
      </c>
      <c r="N3448" s="0" t="str">
        <f aca="false">IF(F3448&lt;50,"1) Under Rs 50",IF(F3448&lt;100,"2) Rs 50-99",IF(F3448&lt;200,"3) Rs 100-199",IF(F3448&lt;500,"4) Rs 200-499","5) Rs 500+"))))</f>
        <v>2) Rs 50-99</v>
      </c>
      <c r="O3448" s="0" t="n">
        <f aca="false">G3448*E3448/1000</f>
        <v>0.75</v>
      </c>
    </row>
    <row r="3449" customFormat="false" ht="15" hidden="false" customHeight="false" outlineLevel="0" collapsed="false">
      <c r="A3449" s="0" t="s">
        <v>111</v>
      </c>
      <c r="B3449" s="0" t="s">
        <v>1569</v>
      </c>
      <c r="C3449" s="0" t="n">
        <v>55</v>
      </c>
      <c r="D3449" s="0" t="n">
        <v>0</v>
      </c>
      <c r="E3449" s="0" t="n">
        <v>3</v>
      </c>
      <c r="F3449" s="0" t="n">
        <v>55</v>
      </c>
      <c r="G3449" s="0" t="n">
        <v>10</v>
      </c>
      <c r="H3449" s="0" t="s">
        <v>145</v>
      </c>
      <c r="I3449" s="0" t="n">
        <v>10</v>
      </c>
      <c r="J3449" s="0" t="n">
        <f aca="false">F3449*E3449</f>
        <v>165</v>
      </c>
      <c r="K3449" s="0" t="str">
        <f aca="false">IF(G3449&lt;1000,"1-Low",IF(G3449&lt;5000,"2-Medium","3-Bulk"))</f>
        <v>1-Low</v>
      </c>
      <c r="L3449" s="0" t="str">
        <f aca="false">IF(H3449="TRUE","Out of stock","In stock")</f>
        <v>In stock</v>
      </c>
      <c r="M3449" s="0" t="str">
        <f aca="false">IF(D3449&lt;5,"1) Under 5%",IF(D3449&lt;10,"2) 5-9%",IF(D3449&lt;15,"3) 10-14%",IF(D3449&lt;25,"4) 15-24%","5) 25%+"))))</f>
        <v>1) Under 5%</v>
      </c>
      <c r="N3449" s="0" t="str">
        <f aca="false">IF(F3449&lt;50,"1) Under Rs 50",IF(F3449&lt;100,"2) Rs 50-99",IF(F3449&lt;200,"3) Rs 100-199",IF(F3449&lt;500,"4) Rs 200-499","5) Rs 500+"))))</f>
        <v>2) Rs 50-99</v>
      </c>
      <c r="O3449" s="0" t="n">
        <f aca="false">G3449*E3449/1000</f>
        <v>0.03</v>
      </c>
    </row>
    <row r="3450" customFormat="false" ht="15" hidden="false" customHeight="false" outlineLevel="0" collapsed="false">
      <c r="A3450" s="0" t="s">
        <v>111</v>
      </c>
      <c r="B3450" s="0" t="s">
        <v>1570</v>
      </c>
      <c r="C3450" s="0" t="n">
        <v>101</v>
      </c>
      <c r="D3450" s="0" t="n">
        <v>2</v>
      </c>
      <c r="E3450" s="0" t="n">
        <v>4</v>
      </c>
      <c r="F3450" s="0" t="n">
        <v>98</v>
      </c>
      <c r="G3450" s="0" t="n">
        <v>200</v>
      </c>
      <c r="H3450" s="0" t="s">
        <v>145</v>
      </c>
      <c r="I3450" s="0" t="n">
        <v>200</v>
      </c>
      <c r="J3450" s="0" t="n">
        <f aca="false">F3450*E3450</f>
        <v>392</v>
      </c>
      <c r="K3450" s="0" t="str">
        <f aca="false">IF(G3450&lt;1000,"1-Low",IF(G3450&lt;5000,"2-Medium","3-Bulk"))</f>
        <v>1-Low</v>
      </c>
      <c r="L3450" s="0" t="str">
        <f aca="false">IF(H3450="TRUE","Out of stock","In stock")</f>
        <v>In stock</v>
      </c>
      <c r="M3450" s="0" t="str">
        <f aca="false">IF(D3450&lt;5,"1) Under 5%",IF(D3450&lt;10,"2) 5-9%",IF(D3450&lt;15,"3) 10-14%",IF(D3450&lt;25,"4) 15-24%","5) 25%+"))))</f>
        <v>1) Under 5%</v>
      </c>
      <c r="N3450" s="0" t="str">
        <f aca="false">IF(F3450&lt;50,"1) Under Rs 50",IF(F3450&lt;100,"2) Rs 50-99",IF(F3450&lt;200,"3) Rs 100-199",IF(F3450&lt;500,"4) Rs 200-499","5) Rs 500+"))))</f>
        <v>2) Rs 50-99</v>
      </c>
      <c r="O3450" s="0" t="n">
        <f aca="false">G3450*E3450/1000</f>
        <v>0.8</v>
      </c>
    </row>
    <row r="3451" customFormat="false" ht="15" hidden="false" customHeight="false" outlineLevel="0" collapsed="false">
      <c r="A3451" s="0" t="s">
        <v>111</v>
      </c>
      <c r="B3451" s="0" t="s">
        <v>1571</v>
      </c>
      <c r="C3451" s="0" t="n">
        <v>185</v>
      </c>
      <c r="D3451" s="0" t="n">
        <v>5</v>
      </c>
      <c r="E3451" s="0" t="n">
        <v>1</v>
      </c>
      <c r="F3451" s="0" t="n">
        <v>175</v>
      </c>
      <c r="G3451" s="0" t="n">
        <v>750</v>
      </c>
      <c r="H3451" s="0" t="s">
        <v>145</v>
      </c>
      <c r="I3451" s="0" t="n">
        <v>750</v>
      </c>
      <c r="J3451" s="0" t="n">
        <f aca="false">F3451*E3451</f>
        <v>175</v>
      </c>
      <c r="K3451" s="0" t="str">
        <f aca="false">IF(G3451&lt;1000,"1-Low",IF(G3451&lt;5000,"2-Medium","3-Bulk"))</f>
        <v>1-Low</v>
      </c>
      <c r="L3451" s="0" t="str">
        <f aca="false">IF(H3451="TRUE","Out of stock","In stock")</f>
        <v>In stock</v>
      </c>
      <c r="M3451" s="0" t="str">
        <f aca="false">IF(D3451&lt;5,"1) Under 5%",IF(D3451&lt;10,"2) 5-9%",IF(D3451&lt;15,"3) 10-14%",IF(D3451&lt;25,"4) 15-24%","5) 25%+"))))</f>
        <v>2) 5-9%</v>
      </c>
      <c r="N3451" s="0" t="str">
        <f aca="false">IF(F3451&lt;50,"1) Under Rs 50",IF(F3451&lt;100,"2) Rs 50-99",IF(F3451&lt;200,"3) Rs 100-199",IF(F3451&lt;500,"4) Rs 200-499","5) Rs 500+"))))</f>
        <v>3) Rs 100-199</v>
      </c>
      <c r="O3451" s="0" t="n">
        <f aca="false">G3451*E3451/1000</f>
        <v>0.75</v>
      </c>
    </row>
    <row r="3452" customFormat="false" ht="15" hidden="false" customHeight="false" outlineLevel="0" collapsed="false">
      <c r="A3452" s="0" t="s">
        <v>111</v>
      </c>
      <c r="B3452" s="0" t="s">
        <v>1572</v>
      </c>
      <c r="C3452" s="0" t="n">
        <v>178</v>
      </c>
      <c r="D3452" s="0" t="n">
        <v>0</v>
      </c>
      <c r="E3452" s="0" t="n">
        <v>6</v>
      </c>
      <c r="F3452" s="0" t="n">
        <v>178</v>
      </c>
      <c r="G3452" s="0" t="n">
        <v>1000</v>
      </c>
      <c r="H3452" s="0" t="s">
        <v>145</v>
      </c>
      <c r="I3452" s="0" t="n">
        <v>1</v>
      </c>
      <c r="J3452" s="0" t="n">
        <f aca="false">F3452*E3452</f>
        <v>1068</v>
      </c>
      <c r="K3452" s="0" t="str">
        <f aca="false">IF(G3452&lt;1000,"1-Low",IF(G3452&lt;5000,"2-Medium","3-Bulk"))</f>
        <v>2-Medium</v>
      </c>
      <c r="L3452" s="0" t="str">
        <f aca="false">IF(H3452="TRUE","Out of stock","In stock")</f>
        <v>In stock</v>
      </c>
      <c r="M3452" s="0" t="str">
        <f aca="false">IF(D3452&lt;5,"1) Under 5%",IF(D3452&lt;10,"2) 5-9%",IF(D3452&lt;15,"3) 10-14%",IF(D3452&lt;25,"4) 15-24%","5) 25%+"))))</f>
        <v>1) Under 5%</v>
      </c>
      <c r="N3452" s="0" t="str">
        <f aca="false">IF(F3452&lt;50,"1) Under Rs 50",IF(F3452&lt;100,"2) Rs 50-99",IF(F3452&lt;200,"3) Rs 100-199",IF(F3452&lt;500,"4) Rs 200-499","5) Rs 500+"))))</f>
        <v>3) Rs 100-199</v>
      </c>
      <c r="O3452" s="0" t="n">
        <f aca="false">G3452*E3452/1000</f>
        <v>6</v>
      </c>
    </row>
    <row r="3453" customFormat="false" ht="15" hidden="false" customHeight="false" outlineLevel="0" collapsed="false">
      <c r="A3453" s="0" t="s">
        <v>111</v>
      </c>
      <c r="B3453" s="0" t="s">
        <v>1573</v>
      </c>
      <c r="C3453" s="0" t="n">
        <v>50</v>
      </c>
      <c r="D3453" s="0" t="n">
        <v>8</v>
      </c>
      <c r="E3453" s="0" t="n">
        <v>6</v>
      </c>
      <c r="F3453" s="0" t="n">
        <v>46</v>
      </c>
      <c r="G3453" s="0" t="n">
        <v>50</v>
      </c>
      <c r="H3453" s="0" t="s">
        <v>145</v>
      </c>
      <c r="I3453" s="0" t="n">
        <v>50</v>
      </c>
      <c r="J3453" s="0" t="n">
        <f aca="false">F3453*E3453</f>
        <v>276</v>
      </c>
      <c r="K3453" s="0" t="str">
        <f aca="false">IF(G3453&lt;1000,"1-Low",IF(G3453&lt;5000,"2-Medium","3-Bulk"))</f>
        <v>1-Low</v>
      </c>
      <c r="L3453" s="0" t="str">
        <f aca="false">IF(H3453="TRUE","Out of stock","In stock")</f>
        <v>In stock</v>
      </c>
      <c r="M3453" s="0" t="str">
        <f aca="false">IF(D3453&lt;5,"1) Under 5%",IF(D3453&lt;10,"2) 5-9%",IF(D3453&lt;15,"3) 10-14%",IF(D3453&lt;25,"4) 15-24%","5) 25%+"))))</f>
        <v>2) 5-9%</v>
      </c>
      <c r="N3453" s="0" t="str">
        <f aca="false">IF(F3453&lt;50,"1) Under Rs 50",IF(F3453&lt;100,"2) Rs 50-99",IF(F3453&lt;200,"3) Rs 100-199",IF(F3453&lt;500,"4) Rs 200-499","5) Rs 500+"))))</f>
        <v>1) Under Rs 50</v>
      </c>
      <c r="O3453" s="0" t="n">
        <f aca="false">G3453*E3453/1000</f>
        <v>0.3</v>
      </c>
    </row>
    <row r="3454" customFormat="false" ht="15" hidden="false" customHeight="false" outlineLevel="0" collapsed="false">
      <c r="A3454" s="0" t="s">
        <v>111</v>
      </c>
      <c r="B3454" s="0" t="s">
        <v>1574</v>
      </c>
      <c r="C3454" s="0" t="n">
        <v>189</v>
      </c>
      <c r="D3454" s="0" t="n">
        <v>5</v>
      </c>
      <c r="E3454" s="0" t="n">
        <v>6</v>
      </c>
      <c r="F3454" s="0" t="n">
        <v>179</v>
      </c>
      <c r="G3454" s="0" t="n">
        <v>1000</v>
      </c>
      <c r="H3454" s="0" t="s">
        <v>145</v>
      </c>
      <c r="I3454" s="0" t="n">
        <v>1</v>
      </c>
      <c r="J3454" s="0" t="n">
        <f aca="false">F3454*E3454</f>
        <v>1074</v>
      </c>
      <c r="K3454" s="0" t="str">
        <f aca="false">IF(G3454&lt;1000,"1-Low",IF(G3454&lt;5000,"2-Medium","3-Bulk"))</f>
        <v>2-Medium</v>
      </c>
      <c r="L3454" s="0" t="str">
        <f aca="false">IF(H3454="TRUE","Out of stock","In stock")</f>
        <v>In stock</v>
      </c>
      <c r="M3454" s="0" t="str">
        <f aca="false">IF(D3454&lt;5,"1) Under 5%",IF(D3454&lt;10,"2) 5-9%",IF(D3454&lt;15,"3) 10-14%",IF(D3454&lt;25,"4) 15-24%","5) 25%+"))))</f>
        <v>2) 5-9%</v>
      </c>
      <c r="N3454" s="0" t="str">
        <f aca="false">IF(F3454&lt;50,"1) Under Rs 50",IF(F3454&lt;100,"2) Rs 50-99",IF(F3454&lt;200,"3) Rs 100-199",IF(F3454&lt;500,"4) Rs 200-499","5) Rs 500+"))))</f>
        <v>3) Rs 100-199</v>
      </c>
      <c r="O3454" s="0" t="n">
        <f aca="false">G3454*E3454/1000</f>
        <v>6</v>
      </c>
    </row>
    <row r="3455" customFormat="false" ht="15" hidden="false" customHeight="false" outlineLevel="0" collapsed="false">
      <c r="A3455" s="0" t="s">
        <v>111</v>
      </c>
      <c r="B3455" s="0" t="s">
        <v>1575</v>
      </c>
      <c r="C3455" s="0" t="n">
        <v>150</v>
      </c>
      <c r="D3455" s="0" t="n">
        <v>4</v>
      </c>
      <c r="E3455" s="0" t="n">
        <v>6</v>
      </c>
      <c r="F3455" s="0" t="n">
        <v>143</v>
      </c>
      <c r="G3455" s="0" t="n">
        <v>580</v>
      </c>
      <c r="H3455" s="0" t="s">
        <v>145</v>
      </c>
      <c r="I3455" s="0" t="n">
        <v>10</v>
      </c>
      <c r="J3455" s="0" t="n">
        <f aca="false">F3455*E3455</f>
        <v>858</v>
      </c>
      <c r="K3455" s="0" t="str">
        <f aca="false">IF(G3455&lt;1000,"1-Low",IF(G3455&lt;5000,"2-Medium","3-Bulk"))</f>
        <v>1-Low</v>
      </c>
      <c r="L3455" s="0" t="str">
        <f aca="false">IF(H3455="TRUE","Out of stock","In stock")</f>
        <v>In stock</v>
      </c>
      <c r="M3455" s="0" t="str">
        <f aca="false">IF(D3455&lt;5,"1) Under 5%",IF(D3455&lt;10,"2) 5-9%",IF(D3455&lt;15,"3) 10-14%",IF(D3455&lt;25,"4) 15-24%","5) 25%+"))))</f>
        <v>1) Under 5%</v>
      </c>
      <c r="N3455" s="0" t="str">
        <f aca="false">IF(F3455&lt;50,"1) Under Rs 50",IF(F3455&lt;100,"2) Rs 50-99",IF(F3455&lt;200,"3) Rs 100-199",IF(F3455&lt;500,"4) Rs 200-499","5) Rs 500+"))))</f>
        <v>3) Rs 100-199</v>
      </c>
      <c r="O3455" s="0" t="n">
        <f aca="false">G3455*E3455/1000</f>
        <v>3.48</v>
      </c>
    </row>
    <row r="3456" customFormat="false" ht="15" hidden="false" customHeight="false" outlineLevel="0" collapsed="false">
      <c r="A3456" s="0" t="s">
        <v>111</v>
      </c>
      <c r="B3456" s="0" t="s">
        <v>1576</v>
      </c>
      <c r="C3456" s="0" t="n">
        <v>98</v>
      </c>
      <c r="D3456" s="0" t="n">
        <v>5</v>
      </c>
      <c r="E3456" s="0" t="n">
        <v>6</v>
      </c>
      <c r="F3456" s="0" t="n">
        <v>93</v>
      </c>
      <c r="G3456" s="0" t="n">
        <v>75</v>
      </c>
      <c r="H3456" s="0" t="s">
        <v>145</v>
      </c>
      <c r="I3456" s="0" t="n">
        <v>75</v>
      </c>
      <c r="J3456" s="0" t="n">
        <f aca="false">F3456*E3456</f>
        <v>558</v>
      </c>
      <c r="K3456" s="0" t="str">
        <f aca="false">IF(G3456&lt;1000,"1-Low",IF(G3456&lt;5000,"2-Medium","3-Bulk"))</f>
        <v>1-Low</v>
      </c>
      <c r="L3456" s="0" t="str">
        <f aca="false">IF(H3456="TRUE","Out of stock","In stock")</f>
        <v>In stock</v>
      </c>
      <c r="M3456" s="0" t="str">
        <f aca="false">IF(D3456&lt;5,"1) Under 5%",IF(D3456&lt;10,"2) 5-9%",IF(D3456&lt;15,"3) 10-14%",IF(D3456&lt;25,"4) 15-24%","5) 25%+"))))</f>
        <v>2) 5-9%</v>
      </c>
      <c r="N3456" s="0" t="str">
        <f aca="false">IF(F3456&lt;50,"1) Under Rs 50",IF(F3456&lt;100,"2) Rs 50-99",IF(F3456&lt;200,"3) Rs 100-199",IF(F3456&lt;500,"4) Rs 200-499","5) Rs 500+"))))</f>
        <v>2) Rs 50-99</v>
      </c>
      <c r="O3456" s="0" t="n">
        <f aca="false">G3456*E3456/1000</f>
        <v>0.45</v>
      </c>
    </row>
    <row r="3457" customFormat="false" ht="15" hidden="false" customHeight="false" outlineLevel="0" collapsed="false">
      <c r="A3457" s="0" t="s">
        <v>111</v>
      </c>
      <c r="B3457" s="0" t="s">
        <v>1577</v>
      </c>
      <c r="C3457" s="0" t="n">
        <v>35</v>
      </c>
      <c r="D3457" s="0" t="n">
        <v>2</v>
      </c>
      <c r="E3457" s="0" t="n">
        <v>6</v>
      </c>
      <c r="F3457" s="0" t="n">
        <v>34</v>
      </c>
      <c r="G3457" s="0" t="n">
        <v>58</v>
      </c>
      <c r="H3457" s="0" t="s">
        <v>145</v>
      </c>
      <c r="I3457" s="0" t="n">
        <v>1</v>
      </c>
      <c r="J3457" s="0" t="n">
        <f aca="false">F3457*E3457</f>
        <v>204</v>
      </c>
      <c r="K3457" s="0" t="str">
        <f aca="false">IF(G3457&lt;1000,"1-Low",IF(G3457&lt;5000,"2-Medium","3-Bulk"))</f>
        <v>1-Low</v>
      </c>
      <c r="L3457" s="0" t="str">
        <f aca="false">IF(H3457="TRUE","Out of stock","In stock")</f>
        <v>In stock</v>
      </c>
      <c r="M3457" s="0" t="str">
        <f aca="false">IF(D3457&lt;5,"1) Under 5%",IF(D3457&lt;10,"2) 5-9%",IF(D3457&lt;15,"3) 10-14%",IF(D3457&lt;25,"4) 15-24%","5) 25%+"))))</f>
        <v>1) Under 5%</v>
      </c>
      <c r="N3457" s="0" t="str">
        <f aca="false">IF(F3457&lt;50,"1) Under Rs 50",IF(F3457&lt;100,"2) Rs 50-99",IF(F3457&lt;200,"3) Rs 100-199",IF(F3457&lt;500,"4) Rs 200-499","5) Rs 500+"))))</f>
        <v>1) Under Rs 50</v>
      </c>
      <c r="O3457" s="0" t="n">
        <f aca="false">G3457*E3457/1000</f>
        <v>0.348</v>
      </c>
    </row>
    <row r="3458" customFormat="false" ht="15" hidden="false" customHeight="false" outlineLevel="0" collapsed="false">
      <c r="A3458" s="0" t="s">
        <v>111</v>
      </c>
      <c r="B3458" s="0" t="s">
        <v>1578</v>
      </c>
      <c r="C3458" s="0" t="n">
        <v>182</v>
      </c>
      <c r="D3458" s="0" t="n">
        <v>3</v>
      </c>
      <c r="E3458" s="0" t="n">
        <v>6</v>
      </c>
      <c r="F3458" s="0" t="n">
        <v>176</v>
      </c>
      <c r="G3458" s="0" t="n">
        <v>400</v>
      </c>
      <c r="H3458" s="0" t="s">
        <v>145</v>
      </c>
      <c r="I3458" s="0" t="n">
        <v>400</v>
      </c>
      <c r="J3458" s="0" t="n">
        <f aca="false">F3458*E3458</f>
        <v>1056</v>
      </c>
      <c r="K3458" s="0" t="str">
        <f aca="false">IF(G3458&lt;1000,"1-Low",IF(G3458&lt;5000,"2-Medium","3-Bulk"))</f>
        <v>1-Low</v>
      </c>
      <c r="L3458" s="0" t="str">
        <f aca="false">IF(H3458="TRUE","Out of stock","In stock")</f>
        <v>In stock</v>
      </c>
      <c r="M3458" s="0" t="str">
        <f aca="false">IF(D3458&lt;5,"1) Under 5%",IF(D3458&lt;10,"2) 5-9%",IF(D3458&lt;15,"3) 10-14%",IF(D3458&lt;25,"4) 15-24%","5) 25%+"))))</f>
        <v>1) Under 5%</v>
      </c>
      <c r="N3458" s="0" t="str">
        <f aca="false">IF(F3458&lt;50,"1) Under Rs 50",IF(F3458&lt;100,"2) Rs 50-99",IF(F3458&lt;200,"3) Rs 100-199",IF(F3458&lt;500,"4) Rs 200-499","5) Rs 500+"))))</f>
        <v>3) Rs 100-199</v>
      </c>
      <c r="O3458" s="0" t="n">
        <f aca="false">G3458*E3458/1000</f>
        <v>2.4</v>
      </c>
    </row>
    <row r="3459" customFormat="false" ht="15" hidden="false" customHeight="false" outlineLevel="0" collapsed="false">
      <c r="A3459" s="0" t="s">
        <v>111</v>
      </c>
      <c r="B3459" s="0" t="s">
        <v>1579</v>
      </c>
      <c r="C3459" s="0" t="n">
        <v>82</v>
      </c>
      <c r="D3459" s="0" t="n">
        <v>6</v>
      </c>
      <c r="E3459" s="0" t="n">
        <v>4</v>
      </c>
      <c r="F3459" s="0" t="n">
        <v>77</v>
      </c>
      <c r="G3459" s="0" t="n">
        <v>26</v>
      </c>
      <c r="H3459" s="0" t="s">
        <v>145</v>
      </c>
      <c r="I3459" s="0" t="n">
        <v>26</v>
      </c>
      <c r="J3459" s="0" t="n">
        <f aca="false">F3459*E3459</f>
        <v>308</v>
      </c>
      <c r="K3459" s="0" t="str">
        <f aca="false">IF(G3459&lt;1000,"1-Low",IF(G3459&lt;5000,"2-Medium","3-Bulk"))</f>
        <v>1-Low</v>
      </c>
      <c r="L3459" s="0" t="str">
        <f aca="false">IF(H3459="TRUE","Out of stock","In stock")</f>
        <v>In stock</v>
      </c>
      <c r="M3459" s="0" t="str">
        <f aca="false">IF(D3459&lt;5,"1) Under 5%",IF(D3459&lt;10,"2) 5-9%",IF(D3459&lt;15,"3) 10-14%",IF(D3459&lt;25,"4) 15-24%","5) 25%+"))))</f>
        <v>2) 5-9%</v>
      </c>
      <c r="N3459" s="0" t="str">
        <f aca="false">IF(F3459&lt;50,"1) Under Rs 50",IF(F3459&lt;100,"2) Rs 50-99",IF(F3459&lt;200,"3) Rs 100-199",IF(F3459&lt;500,"4) Rs 200-499","5) Rs 500+"))))</f>
        <v>2) Rs 50-99</v>
      </c>
      <c r="O3459" s="0" t="n">
        <f aca="false">G3459*E3459/1000</f>
        <v>0.104</v>
      </c>
    </row>
    <row r="3460" customFormat="false" ht="15" hidden="false" customHeight="false" outlineLevel="0" collapsed="false">
      <c r="A3460" s="0" t="s">
        <v>111</v>
      </c>
      <c r="B3460" s="0" t="s">
        <v>1580</v>
      </c>
      <c r="C3460" s="0" t="n">
        <v>199</v>
      </c>
      <c r="D3460" s="0" t="n">
        <v>10</v>
      </c>
      <c r="E3460" s="0" t="n">
        <v>6</v>
      </c>
      <c r="F3460" s="0" t="n">
        <v>179</v>
      </c>
      <c r="G3460" s="0" t="n">
        <v>1000</v>
      </c>
      <c r="H3460" s="0" t="s">
        <v>145</v>
      </c>
      <c r="I3460" s="0" t="n">
        <v>1</v>
      </c>
      <c r="J3460" s="0" t="n">
        <f aca="false">F3460*E3460</f>
        <v>1074</v>
      </c>
      <c r="K3460" s="0" t="str">
        <f aca="false">IF(G3460&lt;1000,"1-Low",IF(G3460&lt;5000,"2-Medium","3-Bulk"))</f>
        <v>2-Medium</v>
      </c>
      <c r="L3460" s="0" t="str">
        <f aca="false">IF(H3460="TRUE","Out of stock","In stock")</f>
        <v>In stock</v>
      </c>
      <c r="M3460" s="0" t="str">
        <f aca="false">IF(D3460&lt;5,"1) Under 5%",IF(D3460&lt;10,"2) 5-9%",IF(D3460&lt;15,"3) 10-14%",IF(D3460&lt;25,"4) 15-24%","5) 25%+"))))</f>
        <v>3) 10-14%</v>
      </c>
      <c r="N3460" s="0" t="str">
        <f aca="false">IF(F3460&lt;50,"1) Under Rs 50",IF(F3460&lt;100,"2) Rs 50-99",IF(F3460&lt;200,"3) Rs 100-199",IF(F3460&lt;500,"4) Rs 200-499","5) Rs 500+"))))</f>
        <v>3) Rs 100-199</v>
      </c>
      <c r="O3460" s="0" t="n">
        <f aca="false">G3460*E3460/1000</f>
        <v>6</v>
      </c>
    </row>
    <row r="3461" customFormat="false" ht="15" hidden="false" customHeight="false" outlineLevel="0" collapsed="false">
      <c r="A3461" s="0" t="s">
        <v>111</v>
      </c>
      <c r="B3461" s="0" t="s">
        <v>1581</v>
      </c>
      <c r="C3461" s="0" t="n">
        <v>135</v>
      </c>
      <c r="D3461" s="0" t="n">
        <v>0</v>
      </c>
      <c r="E3461" s="0" t="n">
        <v>6</v>
      </c>
      <c r="F3461" s="0" t="n">
        <v>135</v>
      </c>
      <c r="G3461" s="0" t="n">
        <v>500</v>
      </c>
      <c r="H3461" s="0" t="s">
        <v>145</v>
      </c>
      <c r="I3461" s="0" t="n">
        <v>500</v>
      </c>
      <c r="J3461" s="0" t="n">
        <f aca="false">F3461*E3461</f>
        <v>810</v>
      </c>
      <c r="K3461" s="0" t="str">
        <f aca="false">IF(G3461&lt;1000,"1-Low",IF(G3461&lt;5000,"2-Medium","3-Bulk"))</f>
        <v>1-Low</v>
      </c>
      <c r="L3461" s="0" t="str">
        <f aca="false">IF(H3461="TRUE","Out of stock","In stock")</f>
        <v>In stock</v>
      </c>
      <c r="M3461" s="0" t="str">
        <f aca="false">IF(D3461&lt;5,"1) Under 5%",IF(D3461&lt;10,"2) 5-9%",IF(D3461&lt;15,"3) 10-14%",IF(D3461&lt;25,"4) 15-24%","5) 25%+"))))</f>
        <v>1) Under 5%</v>
      </c>
      <c r="N3461" s="0" t="str">
        <f aca="false">IF(F3461&lt;50,"1) Under Rs 50",IF(F3461&lt;100,"2) Rs 50-99",IF(F3461&lt;200,"3) Rs 100-199",IF(F3461&lt;500,"4) Rs 200-499","5) Rs 500+"))))</f>
        <v>3) Rs 100-199</v>
      </c>
      <c r="O3461" s="0" t="n">
        <f aca="false">G3461*E3461/1000</f>
        <v>3</v>
      </c>
    </row>
    <row r="3462" customFormat="false" ht="15" hidden="false" customHeight="false" outlineLevel="0" collapsed="false">
      <c r="A3462" s="0" t="s">
        <v>111</v>
      </c>
      <c r="B3462" s="0" t="s">
        <v>1582</v>
      </c>
      <c r="C3462" s="0" t="n">
        <v>200</v>
      </c>
      <c r="D3462" s="0" t="n">
        <v>6</v>
      </c>
      <c r="E3462" s="0" t="n">
        <v>1</v>
      </c>
      <c r="F3462" s="0" t="n">
        <v>188</v>
      </c>
      <c r="G3462" s="0" t="n">
        <v>1000</v>
      </c>
      <c r="H3462" s="0" t="s">
        <v>145</v>
      </c>
      <c r="I3462" s="0" t="n">
        <v>1</v>
      </c>
      <c r="J3462" s="0" t="n">
        <f aca="false">F3462*E3462</f>
        <v>188</v>
      </c>
      <c r="K3462" s="0" t="str">
        <f aca="false">IF(G3462&lt;1000,"1-Low",IF(G3462&lt;5000,"2-Medium","3-Bulk"))</f>
        <v>2-Medium</v>
      </c>
      <c r="L3462" s="0" t="str">
        <f aca="false">IF(H3462="TRUE","Out of stock","In stock")</f>
        <v>In stock</v>
      </c>
      <c r="M3462" s="0" t="str">
        <f aca="false">IF(D3462&lt;5,"1) Under 5%",IF(D3462&lt;10,"2) 5-9%",IF(D3462&lt;15,"3) 10-14%",IF(D3462&lt;25,"4) 15-24%","5) 25%+"))))</f>
        <v>2) 5-9%</v>
      </c>
      <c r="N3462" s="0" t="str">
        <f aca="false">IF(F3462&lt;50,"1) Under Rs 50",IF(F3462&lt;100,"2) Rs 50-99",IF(F3462&lt;200,"3) Rs 100-199",IF(F3462&lt;500,"4) Rs 200-499","5) Rs 500+"))))</f>
        <v>3) Rs 100-199</v>
      </c>
      <c r="O3462" s="0" t="n">
        <f aca="false">G3462*E3462/1000</f>
        <v>1</v>
      </c>
    </row>
    <row r="3463" customFormat="false" ht="15" hidden="false" customHeight="false" outlineLevel="0" collapsed="false">
      <c r="A3463" s="0" t="s">
        <v>111</v>
      </c>
      <c r="B3463" s="0" t="s">
        <v>1583</v>
      </c>
      <c r="C3463" s="0" t="n">
        <v>154</v>
      </c>
      <c r="D3463" s="0" t="n">
        <v>7</v>
      </c>
      <c r="E3463" s="0" t="n">
        <v>4</v>
      </c>
      <c r="F3463" s="0" t="n">
        <v>143</v>
      </c>
      <c r="G3463" s="0" t="n">
        <v>100</v>
      </c>
      <c r="H3463" s="0" t="s">
        <v>145</v>
      </c>
      <c r="I3463" s="0" t="n">
        <v>100</v>
      </c>
      <c r="J3463" s="0" t="n">
        <f aca="false">F3463*E3463</f>
        <v>572</v>
      </c>
      <c r="K3463" s="0" t="str">
        <f aca="false">IF(G3463&lt;1000,"1-Low",IF(G3463&lt;5000,"2-Medium","3-Bulk"))</f>
        <v>1-Low</v>
      </c>
      <c r="L3463" s="0" t="str">
        <f aca="false">IF(H3463="TRUE","Out of stock","In stock")</f>
        <v>In stock</v>
      </c>
      <c r="M3463" s="0" t="str">
        <f aca="false">IF(D3463&lt;5,"1) Under 5%",IF(D3463&lt;10,"2) 5-9%",IF(D3463&lt;15,"3) 10-14%",IF(D3463&lt;25,"4) 15-24%","5) 25%+"))))</f>
        <v>2) 5-9%</v>
      </c>
      <c r="N3463" s="0" t="str">
        <f aca="false">IF(F3463&lt;50,"1) Under Rs 50",IF(F3463&lt;100,"2) Rs 50-99",IF(F3463&lt;200,"3) Rs 100-199",IF(F3463&lt;500,"4) Rs 200-499","5) Rs 500+"))))</f>
        <v>3) Rs 100-199</v>
      </c>
      <c r="O3463" s="0" t="n">
        <f aca="false">G3463*E3463/1000</f>
        <v>0.4</v>
      </c>
    </row>
    <row r="3464" customFormat="false" ht="15" hidden="false" customHeight="false" outlineLevel="0" collapsed="false">
      <c r="A3464" s="0" t="s">
        <v>111</v>
      </c>
      <c r="B3464" s="0" t="s">
        <v>1584</v>
      </c>
      <c r="C3464" s="0" t="n">
        <v>150</v>
      </c>
      <c r="D3464" s="0" t="n">
        <v>4</v>
      </c>
      <c r="E3464" s="0" t="n">
        <v>2</v>
      </c>
      <c r="F3464" s="0" t="n">
        <v>143</v>
      </c>
      <c r="G3464" s="0" t="n">
        <v>580</v>
      </c>
      <c r="H3464" s="0" t="s">
        <v>145</v>
      </c>
      <c r="I3464" s="0" t="n">
        <v>10</v>
      </c>
      <c r="J3464" s="0" t="n">
        <f aca="false">F3464*E3464</f>
        <v>286</v>
      </c>
      <c r="K3464" s="0" t="str">
        <f aca="false">IF(G3464&lt;1000,"1-Low",IF(G3464&lt;5000,"2-Medium","3-Bulk"))</f>
        <v>1-Low</v>
      </c>
      <c r="L3464" s="0" t="str">
        <f aca="false">IF(H3464="TRUE","Out of stock","In stock")</f>
        <v>In stock</v>
      </c>
      <c r="M3464" s="0" t="str">
        <f aca="false">IF(D3464&lt;5,"1) Under 5%",IF(D3464&lt;10,"2) 5-9%",IF(D3464&lt;15,"3) 10-14%",IF(D3464&lt;25,"4) 15-24%","5) 25%+"))))</f>
        <v>1) Under 5%</v>
      </c>
      <c r="N3464" s="0" t="str">
        <f aca="false">IF(F3464&lt;50,"1) Under Rs 50",IF(F3464&lt;100,"2) Rs 50-99",IF(F3464&lt;200,"3) Rs 100-199",IF(F3464&lt;500,"4) Rs 200-499","5) Rs 500+"))))</f>
        <v>3) Rs 100-199</v>
      </c>
      <c r="O3464" s="0" t="n">
        <f aca="false">G3464*E3464/1000</f>
        <v>1.16</v>
      </c>
    </row>
    <row r="3465" customFormat="false" ht="15" hidden="false" customHeight="false" outlineLevel="0" collapsed="false">
      <c r="A3465" s="0" t="s">
        <v>111</v>
      </c>
      <c r="B3465" s="0" t="s">
        <v>1585</v>
      </c>
      <c r="C3465" s="0" t="n">
        <v>225</v>
      </c>
      <c r="D3465" s="0" t="n">
        <v>1</v>
      </c>
      <c r="E3465" s="0" t="n">
        <v>6</v>
      </c>
      <c r="F3465" s="0" t="n">
        <v>221</v>
      </c>
      <c r="G3465" s="0" t="n">
        <v>1000</v>
      </c>
      <c r="H3465" s="0" t="s">
        <v>145</v>
      </c>
      <c r="I3465" s="0" t="n">
        <v>1</v>
      </c>
      <c r="J3465" s="0" t="n">
        <f aca="false">F3465*E3465</f>
        <v>1326</v>
      </c>
      <c r="K3465" s="0" t="str">
        <f aca="false">IF(G3465&lt;1000,"1-Low",IF(G3465&lt;5000,"2-Medium","3-Bulk"))</f>
        <v>2-Medium</v>
      </c>
      <c r="L3465" s="0" t="str">
        <f aca="false">IF(H3465="TRUE","Out of stock","In stock")</f>
        <v>In stock</v>
      </c>
      <c r="M3465" s="0" t="str">
        <f aca="false">IF(D3465&lt;5,"1) Under 5%",IF(D3465&lt;10,"2) 5-9%",IF(D3465&lt;15,"3) 10-14%",IF(D3465&lt;25,"4) 15-24%","5) 25%+"))))</f>
        <v>1) Under 5%</v>
      </c>
      <c r="N3465" s="0" t="str">
        <f aca="false">IF(F3465&lt;50,"1) Under Rs 50",IF(F3465&lt;100,"2) Rs 50-99",IF(F3465&lt;200,"3) Rs 100-199",IF(F3465&lt;500,"4) Rs 200-499","5) Rs 500+"))))</f>
        <v>4) Rs 200-499</v>
      </c>
      <c r="O3465" s="0" t="n">
        <f aca="false">G3465*E3465/1000</f>
        <v>6</v>
      </c>
    </row>
    <row r="3466" customFormat="false" ht="15" hidden="false" customHeight="false" outlineLevel="0" collapsed="false">
      <c r="A3466" s="0" t="s">
        <v>111</v>
      </c>
      <c r="B3466" s="0" t="s">
        <v>1586</v>
      </c>
      <c r="C3466" s="0" t="n">
        <v>140</v>
      </c>
      <c r="D3466" s="0" t="n">
        <v>10</v>
      </c>
      <c r="E3466" s="0" t="n">
        <v>6</v>
      </c>
      <c r="F3466" s="0" t="n">
        <v>126</v>
      </c>
      <c r="G3466" s="0" t="n">
        <v>116</v>
      </c>
      <c r="H3466" s="0" t="s">
        <v>145</v>
      </c>
      <c r="I3466" s="0" t="n">
        <v>2</v>
      </c>
      <c r="J3466" s="0" t="n">
        <f aca="false">F3466*E3466</f>
        <v>756</v>
      </c>
      <c r="K3466" s="0" t="str">
        <f aca="false">IF(G3466&lt;1000,"1-Low",IF(G3466&lt;5000,"2-Medium","3-Bulk"))</f>
        <v>1-Low</v>
      </c>
      <c r="L3466" s="0" t="str">
        <f aca="false">IF(H3466="TRUE","Out of stock","In stock")</f>
        <v>In stock</v>
      </c>
      <c r="M3466" s="0" t="str">
        <f aca="false">IF(D3466&lt;5,"1) Under 5%",IF(D3466&lt;10,"2) 5-9%",IF(D3466&lt;15,"3) 10-14%",IF(D3466&lt;25,"4) 15-24%","5) 25%+"))))</f>
        <v>3) 10-14%</v>
      </c>
      <c r="N3466" s="0" t="str">
        <f aca="false">IF(F3466&lt;50,"1) Under Rs 50",IF(F3466&lt;100,"2) Rs 50-99",IF(F3466&lt;200,"3) Rs 100-199",IF(F3466&lt;500,"4) Rs 200-499","5) Rs 500+"))))</f>
        <v>3) Rs 100-199</v>
      </c>
      <c r="O3466" s="0" t="n">
        <f aca="false">G3466*E3466/1000</f>
        <v>0.696</v>
      </c>
    </row>
    <row r="3467" customFormat="false" ht="15" hidden="false" customHeight="false" outlineLevel="0" collapsed="false">
      <c r="A3467" s="0" t="s">
        <v>111</v>
      </c>
      <c r="B3467" s="0" t="s">
        <v>1587</v>
      </c>
      <c r="C3467" s="0" t="n">
        <v>82</v>
      </c>
      <c r="D3467" s="0" t="n">
        <v>9</v>
      </c>
      <c r="E3467" s="0" t="n">
        <v>6</v>
      </c>
      <c r="F3467" s="0" t="n">
        <v>74</v>
      </c>
      <c r="G3467" s="0" t="n">
        <v>1000</v>
      </c>
      <c r="H3467" s="0" t="s">
        <v>145</v>
      </c>
      <c r="I3467" s="0" t="n">
        <v>1</v>
      </c>
      <c r="J3467" s="0" t="n">
        <f aca="false">F3467*E3467</f>
        <v>444</v>
      </c>
      <c r="K3467" s="0" t="str">
        <f aca="false">IF(G3467&lt;1000,"1-Low",IF(G3467&lt;5000,"2-Medium","3-Bulk"))</f>
        <v>2-Medium</v>
      </c>
      <c r="L3467" s="0" t="str">
        <f aca="false">IF(H3467="TRUE","Out of stock","In stock")</f>
        <v>In stock</v>
      </c>
      <c r="M3467" s="0" t="str">
        <f aca="false">IF(D3467&lt;5,"1) Under 5%",IF(D3467&lt;10,"2) 5-9%",IF(D3467&lt;15,"3) 10-14%",IF(D3467&lt;25,"4) 15-24%","5) 25%+"))))</f>
        <v>2) 5-9%</v>
      </c>
      <c r="N3467" s="0" t="str">
        <f aca="false">IF(F3467&lt;50,"1) Under Rs 50",IF(F3467&lt;100,"2) Rs 50-99",IF(F3467&lt;200,"3) Rs 100-199",IF(F3467&lt;500,"4) Rs 200-499","5) Rs 500+"))))</f>
        <v>2) Rs 50-99</v>
      </c>
      <c r="O3467" s="0" t="n">
        <f aca="false">G3467*E3467/1000</f>
        <v>6</v>
      </c>
    </row>
    <row r="3468" customFormat="false" ht="15" hidden="false" customHeight="false" outlineLevel="0" collapsed="false">
      <c r="A3468" s="0" t="s">
        <v>111</v>
      </c>
      <c r="B3468" s="0" t="s">
        <v>1588</v>
      </c>
      <c r="C3468" s="0" t="n">
        <v>170</v>
      </c>
      <c r="D3468" s="0" t="n">
        <v>0</v>
      </c>
      <c r="E3468" s="0" t="n">
        <v>6</v>
      </c>
      <c r="F3468" s="0" t="n">
        <v>169</v>
      </c>
      <c r="G3468" s="0" t="n">
        <v>1000</v>
      </c>
      <c r="H3468" s="0" t="s">
        <v>145</v>
      </c>
      <c r="I3468" s="0" t="n">
        <v>1</v>
      </c>
      <c r="J3468" s="0" t="n">
        <f aca="false">F3468*E3468</f>
        <v>1014</v>
      </c>
      <c r="K3468" s="0" t="str">
        <f aca="false">IF(G3468&lt;1000,"1-Low",IF(G3468&lt;5000,"2-Medium","3-Bulk"))</f>
        <v>2-Medium</v>
      </c>
      <c r="L3468" s="0" t="str">
        <f aca="false">IF(H3468="TRUE","Out of stock","In stock")</f>
        <v>In stock</v>
      </c>
      <c r="M3468" s="0" t="str">
        <f aca="false">IF(D3468&lt;5,"1) Under 5%",IF(D3468&lt;10,"2) 5-9%",IF(D3468&lt;15,"3) 10-14%",IF(D3468&lt;25,"4) 15-24%","5) 25%+"))))</f>
        <v>1) Under 5%</v>
      </c>
      <c r="N3468" s="0" t="str">
        <f aca="false">IF(F3468&lt;50,"1) Under Rs 50",IF(F3468&lt;100,"2) Rs 50-99",IF(F3468&lt;200,"3) Rs 100-199",IF(F3468&lt;500,"4) Rs 200-499","5) Rs 500+"))))</f>
        <v>3) Rs 100-199</v>
      </c>
      <c r="O3468" s="0" t="n">
        <f aca="false">G3468*E3468/1000</f>
        <v>6</v>
      </c>
    </row>
    <row r="3469" customFormat="false" ht="15" hidden="false" customHeight="false" outlineLevel="0" collapsed="false">
      <c r="A3469" s="0" t="s">
        <v>111</v>
      </c>
      <c r="B3469" s="0" t="s">
        <v>1589</v>
      </c>
      <c r="C3469" s="0" t="n">
        <v>149</v>
      </c>
      <c r="D3469" s="0" t="n">
        <v>9</v>
      </c>
      <c r="E3469" s="0" t="n">
        <v>2</v>
      </c>
      <c r="F3469" s="0" t="n">
        <v>135</v>
      </c>
      <c r="G3469" s="0" t="n">
        <v>58</v>
      </c>
      <c r="H3469" s="0" t="s">
        <v>145</v>
      </c>
      <c r="I3469" s="0" t="n">
        <v>1</v>
      </c>
      <c r="J3469" s="0" t="n">
        <f aca="false">F3469*E3469</f>
        <v>270</v>
      </c>
      <c r="K3469" s="0" t="str">
        <f aca="false">IF(G3469&lt;1000,"1-Low",IF(G3469&lt;5000,"2-Medium","3-Bulk"))</f>
        <v>1-Low</v>
      </c>
      <c r="L3469" s="0" t="str">
        <f aca="false">IF(H3469="TRUE","Out of stock","In stock")</f>
        <v>In stock</v>
      </c>
      <c r="M3469" s="0" t="str">
        <f aca="false">IF(D3469&lt;5,"1) Under 5%",IF(D3469&lt;10,"2) 5-9%",IF(D3469&lt;15,"3) 10-14%",IF(D3469&lt;25,"4) 15-24%","5) 25%+"))))</f>
        <v>2) 5-9%</v>
      </c>
      <c r="N3469" s="0" t="str">
        <f aca="false">IF(F3469&lt;50,"1) Under Rs 50",IF(F3469&lt;100,"2) Rs 50-99",IF(F3469&lt;200,"3) Rs 100-199",IF(F3469&lt;500,"4) Rs 200-499","5) Rs 500+"))))</f>
        <v>3) Rs 100-199</v>
      </c>
      <c r="O3469" s="0" t="n">
        <f aca="false">G3469*E3469/1000</f>
        <v>0.116</v>
      </c>
    </row>
    <row r="3470" customFormat="false" ht="15" hidden="false" customHeight="false" outlineLevel="0" collapsed="false">
      <c r="A3470" s="0" t="s">
        <v>111</v>
      </c>
      <c r="B3470" s="0" t="s">
        <v>1590</v>
      </c>
      <c r="C3470" s="0" t="n">
        <v>40</v>
      </c>
      <c r="D3470" s="0" t="n">
        <v>2</v>
      </c>
      <c r="E3470" s="0" t="n">
        <v>1</v>
      </c>
      <c r="F3470" s="0" t="n">
        <v>39</v>
      </c>
      <c r="G3470" s="0" t="n">
        <v>58</v>
      </c>
      <c r="H3470" s="0" t="s">
        <v>145</v>
      </c>
      <c r="I3470" s="0" t="n">
        <v>1</v>
      </c>
      <c r="J3470" s="0" t="n">
        <f aca="false">F3470*E3470</f>
        <v>39</v>
      </c>
      <c r="K3470" s="0" t="str">
        <f aca="false">IF(G3470&lt;1000,"1-Low",IF(G3470&lt;5000,"2-Medium","3-Bulk"))</f>
        <v>1-Low</v>
      </c>
      <c r="L3470" s="0" t="str">
        <f aca="false">IF(H3470="TRUE","Out of stock","In stock")</f>
        <v>In stock</v>
      </c>
      <c r="M3470" s="0" t="str">
        <f aca="false">IF(D3470&lt;5,"1) Under 5%",IF(D3470&lt;10,"2) 5-9%",IF(D3470&lt;15,"3) 10-14%",IF(D3470&lt;25,"4) 15-24%","5) 25%+"))))</f>
        <v>1) Under 5%</v>
      </c>
      <c r="N3470" s="0" t="str">
        <f aca="false">IF(F3470&lt;50,"1) Under Rs 50",IF(F3470&lt;100,"2) Rs 50-99",IF(F3470&lt;200,"3) Rs 100-199",IF(F3470&lt;500,"4) Rs 200-499","5) Rs 500+"))))</f>
        <v>1) Under Rs 50</v>
      </c>
      <c r="O3470" s="0" t="n">
        <f aca="false">G3470*E3470/1000</f>
        <v>0.058</v>
      </c>
    </row>
    <row r="3471" customFormat="false" ht="15" hidden="false" customHeight="false" outlineLevel="0" collapsed="false">
      <c r="A3471" s="0" t="s">
        <v>111</v>
      </c>
      <c r="B3471" s="0" t="s">
        <v>1591</v>
      </c>
      <c r="C3471" s="0" t="n">
        <v>35</v>
      </c>
      <c r="D3471" s="0" t="n">
        <v>2</v>
      </c>
      <c r="E3471" s="0" t="n">
        <v>2</v>
      </c>
      <c r="F3471" s="0" t="n">
        <v>34</v>
      </c>
      <c r="G3471" s="0" t="n">
        <v>174</v>
      </c>
      <c r="H3471" s="0" t="s">
        <v>145</v>
      </c>
      <c r="I3471" s="0" t="n">
        <v>3</v>
      </c>
      <c r="J3471" s="0" t="n">
        <f aca="false">F3471*E3471</f>
        <v>68</v>
      </c>
      <c r="K3471" s="0" t="str">
        <f aca="false">IF(G3471&lt;1000,"1-Low",IF(G3471&lt;5000,"2-Medium","3-Bulk"))</f>
        <v>1-Low</v>
      </c>
      <c r="L3471" s="0" t="str">
        <f aca="false">IF(H3471="TRUE","Out of stock","In stock")</f>
        <v>In stock</v>
      </c>
      <c r="M3471" s="0" t="str">
        <f aca="false">IF(D3471&lt;5,"1) Under 5%",IF(D3471&lt;10,"2) 5-9%",IF(D3471&lt;15,"3) 10-14%",IF(D3471&lt;25,"4) 15-24%","5) 25%+"))))</f>
        <v>1) Under 5%</v>
      </c>
      <c r="N3471" s="0" t="str">
        <f aca="false">IF(F3471&lt;50,"1) Under Rs 50",IF(F3471&lt;100,"2) Rs 50-99",IF(F3471&lt;200,"3) Rs 100-199",IF(F3471&lt;500,"4) Rs 200-499","5) Rs 500+"))))</f>
        <v>1) Under Rs 50</v>
      </c>
      <c r="O3471" s="0" t="n">
        <f aca="false">G3471*E3471/1000</f>
        <v>0.348</v>
      </c>
    </row>
    <row r="3472" customFormat="false" ht="15" hidden="false" customHeight="false" outlineLevel="0" collapsed="false">
      <c r="A3472" s="0" t="s">
        <v>111</v>
      </c>
      <c r="B3472" s="0" t="s">
        <v>1592</v>
      </c>
      <c r="C3472" s="0" t="n">
        <v>62</v>
      </c>
      <c r="D3472" s="0" t="n">
        <v>6</v>
      </c>
      <c r="E3472" s="0" t="n">
        <v>5</v>
      </c>
      <c r="F3472" s="0" t="n">
        <v>58</v>
      </c>
      <c r="G3472" s="0" t="n">
        <v>250</v>
      </c>
      <c r="H3472" s="0" t="s">
        <v>145</v>
      </c>
      <c r="I3472" s="0" t="n">
        <v>250</v>
      </c>
      <c r="J3472" s="0" t="n">
        <f aca="false">F3472*E3472</f>
        <v>290</v>
      </c>
      <c r="K3472" s="0" t="str">
        <f aca="false">IF(G3472&lt;1000,"1-Low",IF(G3472&lt;5000,"2-Medium","3-Bulk"))</f>
        <v>1-Low</v>
      </c>
      <c r="L3472" s="0" t="str">
        <f aca="false">IF(H3472="TRUE","Out of stock","In stock")</f>
        <v>In stock</v>
      </c>
      <c r="M3472" s="0" t="str">
        <f aca="false">IF(D3472&lt;5,"1) Under 5%",IF(D3472&lt;10,"2) 5-9%",IF(D3472&lt;15,"3) 10-14%",IF(D3472&lt;25,"4) 15-24%","5) 25%+"))))</f>
        <v>2) 5-9%</v>
      </c>
      <c r="N3472" s="0" t="str">
        <f aca="false">IF(F3472&lt;50,"1) Under Rs 50",IF(F3472&lt;100,"2) Rs 50-99",IF(F3472&lt;200,"3) Rs 100-199",IF(F3472&lt;500,"4) Rs 200-499","5) Rs 500+"))))</f>
        <v>2) Rs 50-99</v>
      </c>
      <c r="O3472" s="0" t="n">
        <f aca="false">G3472*E3472/1000</f>
        <v>1.25</v>
      </c>
    </row>
    <row r="3473" customFormat="false" ht="15" hidden="false" customHeight="false" outlineLevel="0" collapsed="false">
      <c r="A3473" s="0" t="s">
        <v>111</v>
      </c>
      <c r="B3473" s="0" t="s">
        <v>1593</v>
      </c>
      <c r="C3473" s="0" t="n">
        <v>16</v>
      </c>
      <c r="D3473" s="0" t="n">
        <v>0</v>
      </c>
      <c r="E3473" s="0" t="n">
        <v>6</v>
      </c>
      <c r="F3473" s="0" t="n">
        <v>16</v>
      </c>
      <c r="G3473" s="0" t="n">
        <v>290</v>
      </c>
      <c r="H3473" s="0" t="s">
        <v>145</v>
      </c>
      <c r="I3473" s="0" t="n">
        <v>5</v>
      </c>
      <c r="J3473" s="0" t="n">
        <f aca="false">F3473*E3473</f>
        <v>96</v>
      </c>
      <c r="K3473" s="0" t="str">
        <f aca="false">IF(G3473&lt;1000,"1-Low",IF(G3473&lt;5000,"2-Medium","3-Bulk"))</f>
        <v>1-Low</v>
      </c>
      <c r="L3473" s="0" t="str">
        <f aca="false">IF(H3473="TRUE","Out of stock","In stock")</f>
        <v>In stock</v>
      </c>
      <c r="M3473" s="0" t="str">
        <f aca="false">IF(D3473&lt;5,"1) Under 5%",IF(D3473&lt;10,"2) 5-9%",IF(D3473&lt;15,"3) 10-14%",IF(D3473&lt;25,"4) 15-24%","5) 25%+"))))</f>
        <v>1) Under 5%</v>
      </c>
      <c r="N3473" s="0" t="str">
        <f aca="false">IF(F3473&lt;50,"1) Under Rs 50",IF(F3473&lt;100,"2) Rs 50-99",IF(F3473&lt;200,"3) Rs 100-199",IF(F3473&lt;500,"4) Rs 200-499","5) Rs 500+"))))</f>
        <v>1) Under Rs 50</v>
      </c>
      <c r="O3473" s="0" t="n">
        <f aca="false">G3473*E3473/1000</f>
        <v>1.74</v>
      </c>
    </row>
    <row r="3474" customFormat="false" ht="15" hidden="false" customHeight="false" outlineLevel="0" collapsed="false">
      <c r="A3474" s="0" t="s">
        <v>111</v>
      </c>
      <c r="B3474" s="0" t="s">
        <v>1594</v>
      </c>
      <c r="C3474" s="0" t="n">
        <v>33</v>
      </c>
      <c r="D3474" s="0" t="n">
        <v>0</v>
      </c>
      <c r="E3474" s="0" t="n">
        <v>4</v>
      </c>
      <c r="F3474" s="0" t="n">
        <v>33</v>
      </c>
      <c r="G3474" s="0" t="n">
        <v>60</v>
      </c>
      <c r="H3474" s="0" t="s">
        <v>145</v>
      </c>
      <c r="I3474" s="0" t="n">
        <v>60</v>
      </c>
      <c r="J3474" s="0" t="n">
        <f aca="false">F3474*E3474</f>
        <v>132</v>
      </c>
      <c r="K3474" s="0" t="str">
        <f aca="false">IF(G3474&lt;1000,"1-Low",IF(G3474&lt;5000,"2-Medium","3-Bulk"))</f>
        <v>1-Low</v>
      </c>
      <c r="L3474" s="0" t="str">
        <f aca="false">IF(H3474="TRUE","Out of stock","In stock")</f>
        <v>In stock</v>
      </c>
      <c r="M3474" s="0" t="str">
        <f aca="false">IF(D3474&lt;5,"1) Under 5%",IF(D3474&lt;10,"2) 5-9%",IF(D3474&lt;15,"3) 10-14%",IF(D3474&lt;25,"4) 15-24%","5) 25%+"))))</f>
        <v>1) Under 5%</v>
      </c>
      <c r="N3474" s="0" t="str">
        <f aca="false">IF(F3474&lt;50,"1) Under Rs 50",IF(F3474&lt;100,"2) Rs 50-99",IF(F3474&lt;200,"3) Rs 100-199",IF(F3474&lt;500,"4) Rs 200-499","5) Rs 500+"))))</f>
        <v>1) Under Rs 50</v>
      </c>
      <c r="O3474" s="0" t="n">
        <f aca="false">G3474*E3474/1000</f>
        <v>0.24</v>
      </c>
    </row>
    <row r="3475" customFormat="false" ht="15" hidden="false" customHeight="false" outlineLevel="0" collapsed="false">
      <c r="A3475" s="0" t="s">
        <v>111</v>
      </c>
      <c r="B3475" s="0" t="s">
        <v>1595</v>
      </c>
      <c r="C3475" s="0" t="n">
        <v>82</v>
      </c>
      <c r="D3475" s="0" t="n">
        <v>6</v>
      </c>
      <c r="E3475" s="0" t="n">
        <v>6</v>
      </c>
      <c r="F3475" s="0" t="n">
        <v>77</v>
      </c>
      <c r="G3475" s="0" t="n">
        <v>26</v>
      </c>
      <c r="H3475" s="0" t="s">
        <v>145</v>
      </c>
      <c r="I3475" s="0" t="n">
        <v>26</v>
      </c>
      <c r="J3475" s="0" t="n">
        <f aca="false">F3475*E3475</f>
        <v>462</v>
      </c>
      <c r="K3475" s="0" t="str">
        <f aca="false">IF(G3475&lt;1000,"1-Low",IF(G3475&lt;5000,"2-Medium","3-Bulk"))</f>
        <v>1-Low</v>
      </c>
      <c r="L3475" s="0" t="str">
        <f aca="false">IF(H3475="TRUE","Out of stock","In stock")</f>
        <v>In stock</v>
      </c>
      <c r="M3475" s="0" t="str">
        <f aca="false">IF(D3475&lt;5,"1) Under 5%",IF(D3475&lt;10,"2) 5-9%",IF(D3475&lt;15,"3) 10-14%",IF(D3475&lt;25,"4) 15-24%","5) 25%+"))))</f>
        <v>2) 5-9%</v>
      </c>
      <c r="N3475" s="0" t="str">
        <f aca="false">IF(F3475&lt;50,"1) Under Rs 50",IF(F3475&lt;100,"2) Rs 50-99",IF(F3475&lt;200,"3) Rs 100-199",IF(F3475&lt;500,"4) Rs 200-499","5) Rs 500+"))))</f>
        <v>2) Rs 50-99</v>
      </c>
      <c r="O3475" s="0" t="n">
        <f aca="false">G3475*E3475/1000</f>
        <v>0.156</v>
      </c>
    </row>
    <row r="3476" customFormat="false" ht="15" hidden="false" customHeight="false" outlineLevel="0" collapsed="false">
      <c r="A3476" s="0" t="s">
        <v>111</v>
      </c>
      <c r="B3476" s="0" t="s">
        <v>1596</v>
      </c>
      <c r="C3476" s="0" t="n">
        <v>210</v>
      </c>
      <c r="D3476" s="0" t="n">
        <v>10</v>
      </c>
      <c r="E3476" s="0" t="n">
        <v>6</v>
      </c>
      <c r="F3476" s="0" t="n">
        <v>189</v>
      </c>
      <c r="G3476" s="0" t="n">
        <v>348</v>
      </c>
      <c r="H3476" s="0" t="s">
        <v>145</v>
      </c>
      <c r="I3476" s="0" t="n">
        <v>6</v>
      </c>
      <c r="J3476" s="0" t="n">
        <f aca="false">F3476*E3476</f>
        <v>1134</v>
      </c>
      <c r="K3476" s="0" t="str">
        <f aca="false">IF(G3476&lt;1000,"1-Low",IF(G3476&lt;5000,"2-Medium","3-Bulk"))</f>
        <v>1-Low</v>
      </c>
      <c r="L3476" s="0" t="str">
        <f aca="false">IF(H3476="TRUE","Out of stock","In stock")</f>
        <v>In stock</v>
      </c>
      <c r="M3476" s="0" t="str">
        <f aca="false">IF(D3476&lt;5,"1) Under 5%",IF(D3476&lt;10,"2) 5-9%",IF(D3476&lt;15,"3) 10-14%",IF(D3476&lt;25,"4) 15-24%","5) 25%+"))))</f>
        <v>3) 10-14%</v>
      </c>
      <c r="N3476" s="0" t="str">
        <f aca="false">IF(F3476&lt;50,"1) Under Rs 50",IF(F3476&lt;100,"2) Rs 50-99",IF(F3476&lt;200,"3) Rs 100-199",IF(F3476&lt;500,"4) Rs 200-499","5) Rs 500+"))))</f>
        <v>3) Rs 100-199</v>
      </c>
      <c r="O3476" s="0" t="n">
        <f aca="false">G3476*E3476/1000</f>
        <v>2.088</v>
      </c>
    </row>
    <row r="3477" customFormat="false" ht="15" hidden="false" customHeight="false" outlineLevel="0" collapsed="false">
      <c r="A3477" s="0" t="s">
        <v>111</v>
      </c>
      <c r="B3477" s="0" t="s">
        <v>1597</v>
      </c>
      <c r="C3477" s="0" t="n">
        <v>65</v>
      </c>
      <c r="D3477" s="0" t="n">
        <v>9</v>
      </c>
      <c r="E3477" s="0" t="n">
        <v>4</v>
      </c>
      <c r="F3477" s="0" t="n">
        <v>59</v>
      </c>
      <c r="G3477" s="0" t="n">
        <v>120</v>
      </c>
      <c r="H3477" s="0" t="s">
        <v>145</v>
      </c>
      <c r="I3477" s="0" t="n">
        <v>120</v>
      </c>
      <c r="J3477" s="0" t="n">
        <f aca="false">F3477*E3477</f>
        <v>236</v>
      </c>
      <c r="K3477" s="0" t="str">
        <f aca="false">IF(G3477&lt;1000,"1-Low",IF(G3477&lt;5000,"2-Medium","3-Bulk"))</f>
        <v>1-Low</v>
      </c>
      <c r="L3477" s="0" t="str">
        <f aca="false">IF(H3477="TRUE","Out of stock","In stock")</f>
        <v>In stock</v>
      </c>
      <c r="M3477" s="0" t="str">
        <f aca="false">IF(D3477&lt;5,"1) Under 5%",IF(D3477&lt;10,"2) 5-9%",IF(D3477&lt;15,"3) 10-14%",IF(D3477&lt;25,"4) 15-24%","5) 25%+"))))</f>
        <v>2) 5-9%</v>
      </c>
      <c r="N3477" s="0" t="str">
        <f aca="false">IF(F3477&lt;50,"1) Under Rs 50",IF(F3477&lt;100,"2) Rs 50-99",IF(F3477&lt;200,"3) Rs 100-199",IF(F3477&lt;500,"4) Rs 200-499","5) Rs 500+"))))</f>
        <v>2) Rs 50-99</v>
      </c>
      <c r="O3477" s="0" t="n">
        <f aca="false">G3477*E3477/1000</f>
        <v>0.48</v>
      </c>
    </row>
    <row r="3478" customFormat="false" ht="15" hidden="false" customHeight="false" outlineLevel="0" collapsed="false">
      <c r="A3478" s="0" t="s">
        <v>111</v>
      </c>
      <c r="B3478" s="0" t="s">
        <v>1598</v>
      </c>
      <c r="C3478" s="0" t="n">
        <v>225</v>
      </c>
      <c r="D3478" s="0" t="n">
        <v>0</v>
      </c>
      <c r="E3478" s="0" t="n">
        <v>6</v>
      </c>
      <c r="F3478" s="0" t="n">
        <v>225</v>
      </c>
      <c r="G3478" s="0" t="n">
        <v>1000</v>
      </c>
      <c r="H3478" s="0" t="s">
        <v>145</v>
      </c>
      <c r="I3478" s="0" t="n">
        <v>1</v>
      </c>
      <c r="J3478" s="0" t="n">
        <f aca="false">F3478*E3478</f>
        <v>1350</v>
      </c>
      <c r="K3478" s="0" t="str">
        <f aca="false">IF(G3478&lt;1000,"1-Low",IF(G3478&lt;5000,"2-Medium","3-Bulk"))</f>
        <v>2-Medium</v>
      </c>
      <c r="L3478" s="0" t="str">
        <f aca="false">IF(H3478="TRUE","Out of stock","In stock")</f>
        <v>In stock</v>
      </c>
      <c r="M3478" s="0" t="str">
        <f aca="false">IF(D3478&lt;5,"1) Under 5%",IF(D3478&lt;10,"2) 5-9%",IF(D3478&lt;15,"3) 10-14%",IF(D3478&lt;25,"4) 15-24%","5) 25%+"))))</f>
        <v>1) Under 5%</v>
      </c>
      <c r="N3478" s="0" t="str">
        <f aca="false">IF(F3478&lt;50,"1) Under Rs 50",IF(F3478&lt;100,"2) Rs 50-99",IF(F3478&lt;200,"3) Rs 100-199",IF(F3478&lt;500,"4) Rs 200-499","5) Rs 500+"))))</f>
        <v>4) Rs 200-499</v>
      </c>
      <c r="O3478" s="0" t="n">
        <f aca="false">G3478*E3478/1000</f>
        <v>6</v>
      </c>
    </row>
    <row r="3479" customFormat="false" ht="15" hidden="false" customHeight="false" outlineLevel="0" collapsed="false">
      <c r="A3479" s="0" t="s">
        <v>111</v>
      </c>
      <c r="B3479" s="0" t="s">
        <v>1599</v>
      </c>
      <c r="C3479" s="0" t="n">
        <v>125</v>
      </c>
      <c r="D3479" s="0" t="n">
        <v>9</v>
      </c>
      <c r="E3479" s="0" t="n">
        <v>6</v>
      </c>
      <c r="F3479" s="0" t="n">
        <v>113</v>
      </c>
      <c r="G3479" s="0" t="n">
        <v>58</v>
      </c>
      <c r="H3479" s="0" t="s">
        <v>145</v>
      </c>
      <c r="I3479" s="0" t="n">
        <v>1</v>
      </c>
      <c r="J3479" s="0" t="n">
        <f aca="false">F3479*E3479</f>
        <v>678</v>
      </c>
      <c r="K3479" s="0" t="str">
        <f aca="false">IF(G3479&lt;1000,"1-Low",IF(G3479&lt;5000,"2-Medium","3-Bulk"))</f>
        <v>1-Low</v>
      </c>
      <c r="L3479" s="0" t="str">
        <f aca="false">IF(H3479="TRUE","Out of stock","In stock")</f>
        <v>In stock</v>
      </c>
      <c r="M3479" s="0" t="str">
        <f aca="false">IF(D3479&lt;5,"1) Under 5%",IF(D3479&lt;10,"2) 5-9%",IF(D3479&lt;15,"3) 10-14%",IF(D3479&lt;25,"4) 15-24%","5) 25%+"))))</f>
        <v>2) 5-9%</v>
      </c>
      <c r="N3479" s="0" t="str">
        <f aca="false">IF(F3479&lt;50,"1) Under Rs 50",IF(F3479&lt;100,"2) Rs 50-99",IF(F3479&lt;200,"3) Rs 100-199",IF(F3479&lt;500,"4) Rs 200-499","5) Rs 500+"))))</f>
        <v>3) Rs 100-199</v>
      </c>
      <c r="O3479" s="0" t="n">
        <f aca="false">G3479*E3479/1000</f>
        <v>0.348</v>
      </c>
    </row>
    <row r="3480" customFormat="false" ht="15" hidden="false" customHeight="false" outlineLevel="0" collapsed="false">
      <c r="A3480" s="0" t="s">
        <v>111</v>
      </c>
      <c r="B3480" s="0" t="s">
        <v>1600</v>
      </c>
      <c r="C3480" s="0" t="n">
        <v>50</v>
      </c>
      <c r="D3480" s="0" t="n">
        <v>2</v>
      </c>
      <c r="E3480" s="0" t="n">
        <v>6</v>
      </c>
      <c r="F3480" s="0" t="n">
        <v>49</v>
      </c>
      <c r="G3480" s="0" t="n">
        <v>58</v>
      </c>
      <c r="H3480" s="0" t="s">
        <v>145</v>
      </c>
      <c r="I3480" s="0" t="n">
        <v>1</v>
      </c>
      <c r="J3480" s="0" t="n">
        <f aca="false">F3480*E3480</f>
        <v>294</v>
      </c>
      <c r="K3480" s="0" t="str">
        <f aca="false">IF(G3480&lt;1000,"1-Low",IF(G3480&lt;5000,"2-Medium","3-Bulk"))</f>
        <v>1-Low</v>
      </c>
      <c r="L3480" s="0" t="str">
        <f aca="false">IF(H3480="TRUE","Out of stock","In stock")</f>
        <v>In stock</v>
      </c>
      <c r="M3480" s="0" t="str">
        <f aca="false">IF(D3480&lt;5,"1) Under 5%",IF(D3480&lt;10,"2) 5-9%",IF(D3480&lt;15,"3) 10-14%",IF(D3480&lt;25,"4) 15-24%","5) 25%+"))))</f>
        <v>1) Under 5%</v>
      </c>
      <c r="N3480" s="0" t="str">
        <f aca="false">IF(F3480&lt;50,"1) Under Rs 50",IF(F3480&lt;100,"2) Rs 50-99",IF(F3480&lt;200,"3) Rs 100-199",IF(F3480&lt;500,"4) Rs 200-499","5) Rs 500+"))))</f>
        <v>1) Under Rs 50</v>
      </c>
      <c r="O3480" s="0" t="n">
        <f aca="false">G3480*E3480/1000</f>
        <v>0.348</v>
      </c>
    </row>
    <row r="3481" customFormat="false" ht="15" hidden="false" customHeight="false" outlineLevel="0" collapsed="false">
      <c r="A3481" s="0" t="s">
        <v>111</v>
      </c>
      <c r="B3481" s="0" t="s">
        <v>1601</v>
      </c>
      <c r="C3481" s="0" t="n">
        <v>179</v>
      </c>
      <c r="D3481" s="0" t="n">
        <v>10</v>
      </c>
      <c r="E3481" s="0" t="n">
        <v>6</v>
      </c>
      <c r="F3481" s="0" t="n">
        <v>161</v>
      </c>
      <c r="G3481" s="0" t="n">
        <v>1000</v>
      </c>
      <c r="H3481" s="0" t="s">
        <v>145</v>
      </c>
      <c r="I3481" s="0" t="n">
        <v>1</v>
      </c>
      <c r="J3481" s="0" t="n">
        <f aca="false">F3481*E3481</f>
        <v>966</v>
      </c>
      <c r="K3481" s="0" t="str">
        <f aca="false">IF(G3481&lt;1000,"1-Low",IF(G3481&lt;5000,"2-Medium","3-Bulk"))</f>
        <v>2-Medium</v>
      </c>
      <c r="L3481" s="0" t="str">
        <f aca="false">IF(H3481="TRUE","Out of stock","In stock")</f>
        <v>In stock</v>
      </c>
      <c r="M3481" s="0" t="str">
        <f aca="false">IF(D3481&lt;5,"1) Under 5%",IF(D3481&lt;10,"2) 5-9%",IF(D3481&lt;15,"3) 10-14%",IF(D3481&lt;25,"4) 15-24%","5) 25%+"))))</f>
        <v>3) 10-14%</v>
      </c>
      <c r="N3481" s="0" t="str">
        <f aca="false">IF(F3481&lt;50,"1) Under Rs 50",IF(F3481&lt;100,"2) Rs 50-99",IF(F3481&lt;200,"3) Rs 100-199",IF(F3481&lt;500,"4) Rs 200-499","5) Rs 500+"))))</f>
        <v>3) Rs 100-199</v>
      </c>
      <c r="O3481" s="0" t="n">
        <f aca="false">G3481*E3481/1000</f>
        <v>6</v>
      </c>
    </row>
    <row r="3482" customFormat="false" ht="15" hidden="false" customHeight="false" outlineLevel="0" collapsed="false">
      <c r="A3482" s="0" t="s">
        <v>111</v>
      </c>
      <c r="B3482" s="0" t="s">
        <v>1602</v>
      </c>
      <c r="C3482" s="0" t="n">
        <v>160</v>
      </c>
      <c r="D3482" s="0" t="n">
        <v>0</v>
      </c>
      <c r="E3482" s="0" t="n">
        <v>6</v>
      </c>
      <c r="F3482" s="0" t="n">
        <v>160</v>
      </c>
      <c r="G3482" s="0" t="n">
        <v>30</v>
      </c>
      <c r="H3482" s="0" t="s">
        <v>145</v>
      </c>
      <c r="I3482" s="0" t="n">
        <v>30</v>
      </c>
      <c r="J3482" s="0" t="n">
        <f aca="false">F3482*E3482</f>
        <v>960</v>
      </c>
      <c r="K3482" s="0" t="str">
        <f aca="false">IF(G3482&lt;1000,"1-Low",IF(G3482&lt;5000,"2-Medium","3-Bulk"))</f>
        <v>1-Low</v>
      </c>
      <c r="L3482" s="0" t="str">
        <f aca="false">IF(H3482="TRUE","Out of stock","In stock")</f>
        <v>In stock</v>
      </c>
      <c r="M3482" s="0" t="str">
        <f aca="false">IF(D3482&lt;5,"1) Under 5%",IF(D3482&lt;10,"2) 5-9%",IF(D3482&lt;15,"3) 10-14%",IF(D3482&lt;25,"4) 15-24%","5) 25%+"))))</f>
        <v>1) Under 5%</v>
      </c>
      <c r="N3482" s="0" t="str">
        <f aca="false">IF(F3482&lt;50,"1) Under Rs 50",IF(F3482&lt;100,"2) Rs 50-99",IF(F3482&lt;200,"3) Rs 100-199",IF(F3482&lt;500,"4) Rs 200-499","5) Rs 500+"))))</f>
        <v>3) Rs 100-199</v>
      </c>
      <c r="O3482" s="0" t="n">
        <f aca="false">G3482*E3482/1000</f>
        <v>0.18</v>
      </c>
    </row>
    <row r="3483" customFormat="false" ht="15" hidden="false" customHeight="false" outlineLevel="0" collapsed="false">
      <c r="A3483" s="0" t="s">
        <v>111</v>
      </c>
      <c r="B3483" s="0" t="s">
        <v>1603</v>
      </c>
      <c r="C3483" s="0" t="n">
        <v>280</v>
      </c>
      <c r="D3483" s="0" t="n">
        <v>6</v>
      </c>
      <c r="E3483" s="0" t="n">
        <v>6</v>
      </c>
      <c r="F3483" s="0" t="n">
        <v>263</v>
      </c>
      <c r="G3483" s="0" t="n">
        <v>1500</v>
      </c>
      <c r="H3483" s="0" t="s">
        <v>145</v>
      </c>
      <c r="I3483" s="0" t="n">
        <v>1</v>
      </c>
      <c r="J3483" s="0" t="n">
        <f aca="false">F3483*E3483</f>
        <v>1578</v>
      </c>
      <c r="K3483" s="0" t="str">
        <f aca="false">IF(G3483&lt;1000,"1-Low",IF(G3483&lt;5000,"2-Medium","3-Bulk"))</f>
        <v>2-Medium</v>
      </c>
      <c r="L3483" s="0" t="str">
        <f aca="false">IF(H3483="TRUE","Out of stock","In stock")</f>
        <v>In stock</v>
      </c>
      <c r="M3483" s="0" t="str">
        <f aca="false">IF(D3483&lt;5,"1) Under 5%",IF(D3483&lt;10,"2) 5-9%",IF(D3483&lt;15,"3) 10-14%",IF(D3483&lt;25,"4) 15-24%","5) 25%+"))))</f>
        <v>2) 5-9%</v>
      </c>
      <c r="N3483" s="0" t="str">
        <f aca="false">IF(F3483&lt;50,"1) Under Rs 50",IF(F3483&lt;100,"2) Rs 50-99",IF(F3483&lt;200,"3) Rs 100-199",IF(F3483&lt;500,"4) Rs 200-499","5) Rs 500+"))))</f>
        <v>4) Rs 200-499</v>
      </c>
      <c r="O3483" s="0" t="n">
        <f aca="false">G3483*E3483/1000</f>
        <v>9</v>
      </c>
    </row>
    <row r="3484" customFormat="false" ht="15" hidden="false" customHeight="false" outlineLevel="0" collapsed="false">
      <c r="A3484" s="0" t="s">
        <v>111</v>
      </c>
      <c r="B3484" s="0" t="s">
        <v>1604</v>
      </c>
      <c r="C3484" s="0" t="n">
        <v>45</v>
      </c>
      <c r="D3484" s="0" t="n">
        <v>2</v>
      </c>
      <c r="E3484" s="0" t="n">
        <v>6</v>
      </c>
      <c r="F3484" s="0" t="n">
        <v>44</v>
      </c>
      <c r="G3484" s="0" t="n">
        <v>116</v>
      </c>
      <c r="H3484" s="0" t="s">
        <v>145</v>
      </c>
      <c r="I3484" s="0" t="n">
        <v>2</v>
      </c>
      <c r="J3484" s="0" t="n">
        <f aca="false">F3484*E3484</f>
        <v>264</v>
      </c>
      <c r="K3484" s="0" t="str">
        <f aca="false">IF(G3484&lt;1000,"1-Low",IF(G3484&lt;5000,"2-Medium","3-Bulk"))</f>
        <v>1-Low</v>
      </c>
      <c r="L3484" s="0" t="str">
        <f aca="false">IF(H3484="TRUE","Out of stock","In stock")</f>
        <v>In stock</v>
      </c>
      <c r="M3484" s="0" t="str">
        <f aca="false">IF(D3484&lt;5,"1) Under 5%",IF(D3484&lt;10,"2) 5-9%",IF(D3484&lt;15,"3) 10-14%",IF(D3484&lt;25,"4) 15-24%","5) 25%+"))))</f>
        <v>1) Under 5%</v>
      </c>
      <c r="N3484" s="0" t="str">
        <f aca="false">IF(F3484&lt;50,"1) Under Rs 50",IF(F3484&lt;100,"2) Rs 50-99",IF(F3484&lt;200,"3) Rs 100-199",IF(F3484&lt;500,"4) Rs 200-499","5) Rs 500+"))))</f>
        <v>1) Under Rs 50</v>
      </c>
      <c r="O3484" s="0" t="n">
        <f aca="false">G3484*E3484/1000</f>
        <v>0.696</v>
      </c>
    </row>
    <row r="3485" customFormat="false" ht="15" hidden="false" customHeight="false" outlineLevel="0" collapsed="false">
      <c r="A3485" s="0" t="s">
        <v>111</v>
      </c>
      <c r="B3485" s="0" t="s">
        <v>1605</v>
      </c>
      <c r="C3485" s="0" t="n">
        <v>103</v>
      </c>
      <c r="D3485" s="0" t="n">
        <v>5</v>
      </c>
      <c r="E3485" s="0" t="n">
        <v>6</v>
      </c>
      <c r="F3485" s="0" t="n">
        <v>97</v>
      </c>
      <c r="G3485" s="0" t="n">
        <v>500</v>
      </c>
      <c r="H3485" s="0" t="s">
        <v>145</v>
      </c>
      <c r="I3485" s="0" t="n">
        <v>500</v>
      </c>
      <c r="J3485" s="0" t="n">
        <f aca="false">F3485*E3485</f>
        <v>582</v>
      </c>
      <c r="K3485" s="0" t="str">
        <f aca="false">IF(G3485&lt;1000,"1-Low",IF(G3485&lt;5000,"2-Medium","3-Bulk"))</f>
        <v>1-Low</v>
      </c>
      <c r="L3485" s="0" t="str">
        <f aca="false">IF(H3485="TRUE","Out of stock","In stock")</f>
        <v>In stock</v>
      </c>
      <c r="M3485" s="0" t="str">
        <f aca="false">IF(D3485&lt;5,"1) Under 5%",IF(D3485&lt;10,"2) 5-9%",IF(D3485&lt;15,"3) 10-14%",IF(D3485&lt;25,"4) 15-24%","5) 25%+"))))</f>
        <v>2) 5-9%</v>
      </c>
      <c r="N3485" s="0" t="str">
        <f aca="false">IF(F3485&lt;50,"1) Under Rs 50",IF(F3485&lt;100,"2) Rs 50-99",IF(F3485&lt;200,"3) Rs 100-199",IF(F3485&lt;500,"4) Rs 200-499","5) Rs 500+"))))</f>
        <v>2) Rs 50-99</v>
      </c>
      <c r="O3485" s="0" t="n">
        <f aca="false">G3485*E3485/1000</f>
        <v>3</v>
      </c>
    </row>
    <row r="3486" customFormat="false" ht="15" hidden="false" customHeight="false" outlineLevel="0" collapsed="false">
      <c r="A3486" s="0" t="s">
        <v>111</v>
      </c>
      <c r="B3486" s="0" t="s">
        <v>1606</v>
      </c>
      <c r="C3486" s="0" t="n">
        <v>148</v>
      </c>
      <c r="D3486" s="0" t="n">
        <v>7</v>
      </c>
      <c r="E3486" s="0" t="n">
        <v>6</v>
      </c>
      <c r="F3486" s="0" t="n">
        <v>137</v>
      </c>
      <c r="G3486" s="0" t="n">
        <v>750</v>
      </c>
      <c r="H3486" s="0" t="s">
        <v>145</v>
      </c>
      <c r="I3486" s="0" t="n">
        <v>750</v>
      </c>
      <c r="J3486" s="0" t="n">
        <f aca="false">F3486*E3486</f>
        <v>822</v>
      </c>
      <c r="K3486" s="0" t="str">
        <f aca="false">IF(G3486&lt;1000,"1-Low",IF(G3486&lt;5000,"2-Medium","3-Bulk"))</f>
        <v>1-Low</v>
      </c>
      <c r="L3486" s="0" t="str">
        <f aca="false">IF(H3486="TRUE","Out of stock","In stock")</f>
        <v>In stock</v>
      </c>
      <c r="M3486" s="0" t="str">
        <f aca="false">IF(D3486&lt;5,"1) Under 5%",IF(D3486&lt;10,"2) 5-9%",IF(D3486&lt;15,"3) 10-14%",IF(D3486&lt;25,"4) 15-24%","5) 25%+"))))</f>
        <v>2) 5-9%</v>
      </c>
      <c r="N3486" s="0" t="str">
        <f aca="false">IF(F3486&lt;50,"1) Under Rs 50",IF(F3486&lt;100,"2) Rs 50-99",IF(F3486&lt;200,"3) Rs 100-199",IF(F3486&lt;500,"4) Rs 200-499","5) Rs 500+"))))</f>
        <v>3) Rs 100-199</v>
      </c>
      <c r="O3486" s="0" t="n">
        <f aca="false">G3486*E3486/1000</f>
        <v>4.5</v>
      </c>
    </row>
    <row r="3487" customFormat="false" ht="15" hidden="false" customHeight="false" outlineLevel="0" collapsed="false">
      <c r="A3487" s="0" t="s">
        <v>111</v>
      </c>
      <c r="B3487" s="0" t="s">
        <v>1607</v>
      </c>
      <c r="C3487" s="0" t="n">
        <v>269</v>
      </c>
      <c r="D3487" s="0" t="n">
        <v>0</v>
      </c>
      <c r="E3487" s="0" t="n">
        <v>6</v>
      </c>
      <c r="F3487" s="0" t="n">
        <v>269</v>
      </c>
      <c r="G3487" s="0" t="n">
        <v>385</v>
      </c>
      <c r="H3487" s="0" t="s">
        <v>145</v>
      </c>
      <c r="I3487" s="0" t="n">
        <v>385</v>
      </c>
      <c r="J3487" s="0" t="n">
        <f aca="false">F3487*E3487</f>
        <v>1614</v>
      </c>
      <c r="K3487" s="0" t="str">
        <f aca="false">IF(G3487&lt;1000,"1-Low",IF(G3487&lt;5000,"2-Medium","3-Bulk"))</f>
        <v>1-Low</v>
      </c>
      <c r="L3487" s="0" t="str">
        <f aca="false">IF(H3487="TRUE","Out of stock","In stock")</f>
        <v>In stock</v>
      </c>
      <c r="M3487" s="0" t="str">
        <f aca="false">IF(D3487&lt;5,"1) Under 5%",IF(D3487&lt;10,"2) 5-9%",IF(D3487&lt;15,"3) 10-14%",IF(D3487&lt;25,"4) 15-24%","5) 25%+"))))</f>
        <v>1) Under 5%</v>
      </c>
      <c r="N3487" s="0" t="str">
        <f aca="false">IF(F3487&lt;50,"1) Under Rs 50",IF(F3487&lt;100,"2) Rs 50-99",IF(F3487&lt;200,"3) Rs 100-199",IF(F3487&lt;500,"4) Rs 200-499","5) Rs 500+"))))</f>
        <v>4) Rs 200-499</v>
      </c>
      <c r="O3487" s="0" t="n">
        <f aca="false">G3487*E3487/1000</f>
        <v>2.31</v>
      </c>
    </row>
    <row r="3488" customFormat="false" ht="15" hidden="false" customHeight="false" outlineLevel="0" collapsed="false">
      <c r="A3488" s="0" t="s">
        <v>111</v>
      </c>
      <c r="B3488" s="0" t="s">
        <v>1608</v>
      </c>
      <c r="C3488" s="0" t="n">
        <v>40</v>
      </c>
      <c r="D3488" s="0" t="n">
        <v>2</v>
      </c>
      <c r="E3488" s="0" t="n">
        <v>6</v>
      </c>
      <c r="F3488" s="0" t="n">
        <v>39</v>
      </c>
      <c r="G3488" s="0" t="n">
        <v>15</v>
      </c>
      <c r="H3488" s="0" t="s">
        <v>145</v>
      </c>
      <c r="I3488" s="0" t="n">
        <v>15</v>
      </c>
      <c r="J3488" s="0" t="n">
        <f aca="false">F3488*E3488</f>
        <v>234</v>
      </c>
      <c r="K3488" s="0" t="str">
        <f aca="false">IF(G3488&lt;1000,"1-Low",IF(G3488&lt;5000,"2-Medium","3-Bulk"))</f>
        <v>1-Low</v>
      </c>
      <c r="L3488" s="0" t="str">
        <f aca="false">IF(H3488="TRUE","Out of stock","In stock")</f>
        <v>In stock</v>
      </c>
      <c r="M3488" s="0" t="str">
        <f aca="false">IF(D3488&lt;5,"1) Under 5%",IF(D3488&lt;10,"2) 5-9%",IF(D3488&lt;15,"3) 10-14%",IF(D3488&lt;25,"4) 15-24%","5) 25%+"))))</f>
        <v>1) Under 5%</v>
      </c>
      <c r="N3488" s="0" t="str">
        <f aca="false">IF(F3488&lt;50,"1) Under Rs 50",IF(F3488&lt;100,"2) Rs 50-99",IF(F3488&lt;200,"3) Rs 100-199",IF(F3488&lt;500,"4) Rs 200-499","5) Rs 500+"))))</f>
        <v>1) Under Rs 50</v>
      </c>
      <c r="O3488" s="0" t="n">
        <f aca="false">G3488*E3488/1000</f>
        <v>0.09</v>
      </c>
    </row>
    <row r="3489" customFormat="false" ht="15" hidden="false" customHeight="false" outlineLevel="0" collapsed="false">
      <c r="A3489" s="0" t="s">
        <v>111</v>
      </c>
      <c r="B3489" s="0" t="s">
        <v>1609</v>
      </c>
      <c r="C3489" s="0" t="n">
        <v>175</v>
      </c>
      <c r="D3489" s="0" t="n">
        <v>0</v>
      </c>
      <c r="E3489" s="0" t="n">
        <v>6</v>
      </c>
      <c r="F3489" s="0" t="n">
        <v>175</v>
      </c>
      <c r="G3489" s="0" t="n">
        <v>1000</v>
      </c>
      <c r="H3489" s="0" t="s">
        <v>145</v>
      </c>
      <c r="I3489" s="0" t="n">
        <v>1</v>
      </c>
      <c r="J3489" s="0" t="n">
        <f aca="false">F3489*E3489</f>
        <v>1050</v>
      </c>
      <c r="K3489" s="0" t="str">
        <f aca="false">IF(G3489&lt;1000,"1-Low",IF(G3489&lt;5000,"2-Medium","3-Bulk"))</f>
        <v>2-Medium</v>
      </c>
      <c r="L3489" s="0" t="str">
        <f aca="false">IF(H3489="TRUE","Out of stock","In stock")</f>
        <v>In stock</v>
      </c>
      <c r="M3489" s="0" t="str">
        <f aca="false">IF(D3489&lt;5,"1) Under 5%",IF(D3489&lt;10,"2) 5-9%",IF(D3489&lt;15,"3) 10-14%",IF(D3489&lt;25,"4) 15-24%","5) 25%+"))))</f>
        <v>1) Under 5%</v>
      </c>
      <c r="N3489" s="0" t="str">
        <f aca="false">IF(F3489&lt;50,"1) Under Rs 50",IF(F3489&lt;100,"2) Rs 50-99",IF(F3489&lt;200,"3) Rs 100-199",IF(F3489&lt;500,"4) Rs 200-499","5) Rs 500+"))))</f>
        <v>3) Rs 100-199</v>
      </c>
      <c r="O3489" s="0" t="n">
        <f aca="false">G3489*E3489/1000</f>
        <v>6</v>
      </c>
    </row>
    <row r="3490" customFormat="false" ht="15" hidden="false" customHeight="false" outlineLevel="0" collapsed="false">
      <c r="A3490" s="0" t="s">
        <v>111</v>
      </c>
      <c r="B3490" s="0" t="s">
        <v>1610</v>
      </c>
      <c r="C3490" s="0" t="n">
        <v>225</v>
      </c>
      <c r="D3490" s="0" t="n">
        <v>5</v>
      </c>
      <c r="E3490" s="0" t="n">
        <v>3</v>
      </c>
      <c r="F3490" s="0" t="n">
        <v>213</v>
      </c>
      <c r="G3490" s="0" t="n">
        <v>300</v>
      </c>
      <c r="H3490" s="0" t="s">
        <v>145</v>
      </c>
      <c r="I3490" s="0" t="n">
        <v>300</v>
      </c>
      <c r="J3490" s="0" t="n">
        <f aca="false">F3490*E3490</f>
        <v>639</v>
      </c>
      <c r="K3490" s="0" t="str">
        <f aca="false">IF(G3490&lt;1000,"1-Low",IF(G3490&lt;5000,"2-Medium","3-Bulk"))</f>
        <v>1-Low</v>
      </c>
      <c r="L3490" s="0" t="str">
        <f aca="false">IF(H3490="TRUE","Out of stock","In stock")</f>
        <v>In stock</v>
      </c>
      <c r="M3490" s="0" t="str">
        <f aca="false">IF(D3490&lt;5,"1) Under 5%",IF(D3490&lt;10,"2) 5-9%",IF(D3490&lt;15,"3) 10-14%",IF(D3490&lt;25,"4) 15-24%","5) 25%+"))))</f>
        <v>2) 5-9%</v>
      </c>
      <c r="N3490" s="0" t="str">
        <f aca="false">IF(F3490&lt;50,"1) Under Rs 50",IF(F3490&lt;100,"2) Rs 50-99",IF(F3490&lt;200,"3) Rs 100-199",IF(F3490&lt;500,"4) Rs 200-499","5) Rs 500+"))))</f>
        <v>4) Rs 200-499</v>
      </c>
      <c r="O3490" s="0" t="n">
        <f aca="false">G3490*E3490/1000</f>
        <v>0.9</v>
      </c>
    </row>
    <row r="3491" customFormat="false" ht="15" hidden="false" customHeight="false" outlineLevel="0" collapsed="false">
      <c r="A3491" s="0" t="s">
        <v>111</v>
      </c>
      <c r="B3491" s="0" t="s">
        <v>1611</v>
      </c>
      <c r="C3491" s="0" t="n">
        <v>55</v>
      </c>
      <c r="D3491" s="0" t="n">
        <v>0</v>
      </c>
      <c r="E3491" s="0" t="n">
        <v>6</v>
      </c>
      <c r="F3491" s="0" t="n">
        <v>55</v>
      </c>
      <c r="G3491" s="0" t="n">
        <v>10</v>
      </c>
      <c r="H3491" s="0" t="s">
        <v>145</v>
      </c>
      <c r="I3491" s="0" t="n">
        <v>10</v>
      </c>
      <c r="J3491" s="0" t="n">
        <f aca="false">F3491*E3491</f>
        <v>330</v>
      </c>
      <c r="K3491" s="0" t="str">
        <f aca="false">IF(G3491&lt;1000,"1-Low",IF(G3491&lt;5000,"2-Medium","3-Bulk"))</f>
        <v>1-Low</v>
      </c>
      <c r="L3491" s="0" t="str">
        <f aca="false">IF(H3491="TRUE","Out of stock","In stock")</f>
        <v>In stock</v>
      </c>
      <c r="M3491" s="0" t="str">
        <f aca="false">IF(D3491&lt;5,"1) Under 5%",IF(D3491&lt;10,"2) 5-9%",IF(D3491&lt;15,"3) 10-14%",IF(D3491&lt;25,"4) 15-24%","5) 25%+"))))</f>
        <v>1) Under 5%</v>
      </c>
      <c r="N3491" s="0" t="str">
        <f aca="false">IF(F3491&lt;50,"1) Under Rs 50",IF(F3491&lt;100,"2) Rs 50-99",IF(F3491&lt;200,"3) Rs 100-199",IF(F3491&lt;500,"4) Rs 200-499","5) Rs 500+"))))</f>
        <v>2) Rs 50-99</v>
      </c>
      <c r="O3491" s="0" t="n">
        <f aca="false">G3491*E3491/1000</f>
        <v>0.06</v>
      </c>
    </row>
    <row r="3492" customFormat="false" ht="15" hidden="false" customHeight="false" outlineLevel="0" collapsed="false">
      <c r="A3492" s="0" t="s">
        <v>111</v>
      </c>
      <c r="B3492" s="0" t="s">
        <v>1612</v>
      </c>
      <c r="C3492" s="0" t="n">
        <v>320</v>
      </c>
      <c r="D3492" s="0" t="n">
        <v>0</v>
      </c>
      <c r="E3492" s="0" t="n">
        <v>6</v>
      </c>
      <c r="F3492" s="0" t="n">
        <v>320</v>
      </c>
      <c r="G3492" s="0" t="n">
        <v>2000</v>
      </c>
      <c r="H3492" s="0" t="s">
        <v>145</v>
      </c>
      <c r="I3492" s="0" t="n">
        <v>2</v>
      </c>
      <c r="J3492" s="0" t="n">
        <f aca="false">F3492*E3492</f>
        <v>1920</v>
      </c>
      <c r="K3492" s="0" t="str">
        <f aca="false">IF(G3492&lt;1000,"1-Low",IF(G3492&lt;5000,"2-Medium","3-Bulk"))</f>
        <v>2-Medium</v>
      </c>
      <c r="L3492" s="0" t="str">
        <f aca="false">IF(H3492="TRUE","Out of stock","In stock")</f>
        <v>In stock</v>
      </c>
      <c r="M3492" s="0" t="str">
        <f aca="false">IF(D3492&lt;5,"1) Under 5%",IF(D3492&lt;10,"2) 5-9%",IF(D3492&lt;15,"3) 10-14%",IF(D3492&lt;25,"4) 15-24%","5) 25%+"))))</f>
        <v>1) Under 5%</v>
      </c>
      <c r="N3492" s="0" t="str">
        <f aca="false">IF(F3492&lt;50,"1) Under Rs 50",IF(F3492&lt;100,"2) Rs 50-99",IF(F3492&lt;200,"3) Rs 100-199",IF(F3492&lt;500,"4) Rs 200-499","5) Rs 500+"))))</f>
        <v>4) Rs 200-499</v>
      </c>
      <c r="O3492" s="0" t="n">
        <f aca="false">G3492*E3492/1000</f>
        <v>12</v>
      </c>
    </row>
    <row r="3493" customFormat="false" ht="15" hidden="false" customHeight="false" outlineLevel="0" collapsed="false">
      <c r="A3493" s="0" t="s">
        <v>111</v>
      </c>
      <c r="B3493" s="0" t="s">
        <v>1613</v>
      </c>
      <c r="C3493" s="0" t="n">
        <v>75</v>
      </c>
      <c r="D3493" s="0" t="n">
        <v>9</v>
      </c>
      <c r="E3493" s="0" t="n">
        <v>6</v>
      </c>
      <c r="F3493" s="0" t="n">
        <v>68</v>
      </c>
      <c r="G3493" s="0" t="n">
        <v>290</v>
      </c>
      <c r="H3493" s="0" t="s">
        <v>145</v>
      </c>
      <c r="I3493" s="0" t="n">
        <v>5</v>
      </c>
      <c r="J3493" s="0" t="n">
        <f aca="false">F3493*E3493</f>
        <v>408</v>
      </c>
      <c r="K3493" s="0" t="str">
        <f aca="false">IF(G3493&lt;1000,"1-Low",IF(G3493&lt;5000,"2-Medium","3-Bulk"))</f>
        <v>1-Low</v>
      </c>
      <c r="L3493" s="0" t="str">
        <f aca="false">IF(H3493="TRUE","Out of stock","In stock")</f>
        <v>In stock</v>
      </c>
      <c r="M3493" s="0" t="str">
        <f aca="false">IF(D3493&lt;5,"1) Under 5%",IF(D3493&lt;10,"2) 5-9%",IF(D3493&lt;15,"3) 10-14%",IF(D3493&lt;25,"4) 15-24%","5) 25%+"))))</f>
        <v>2) 5-9%</v>
      </c>
      <c r="N3493" s="0" t="str">
        <f aca="false">IF(F3493&lt;50,"1) Under Rs 50",IF(F3493&lt;100,"2) Rs 50-99",IF(F3493&lt;200,"3) Rs 100-199",IF(F3493&lt;500,"4) Rs 200-499","5) Rs 500+"))))</f>
        <v>2) Rs 50-99</v>
      </c>
      <c r="O3493" s="0" t="n">
        <f aca="false">G3493*E3493/1000</f>
        <v>1.74</v>
      </c>
    </row>
    <row r="3494" customFormat="false" ht="15" hidden="false" customHeight="false" outlineLevel="0" collapsed="false">
      <c r="A3494" s="0" t="s">
        <v>111</v>
      </c>
      <c r="B3494" s="0" t="s">
        <v>1614</v>
      </c>
      <c r="C3494" s="0" t="n">
        <v>65</v>
      </c>
      <c r="D3494" s="0" t="n">
        <v>13</v>
      </c>
      <c r="E3494" s="0" t="n">
        <v>5</v>
      </c>
      <c r="F3494" s="0" t="n">
        <v>56</v>
      </c>
      <c r="G3494" s="0" t="n">
        <v>100</v>
      </c>
      <c r="H3494" s="0" t="s">
        <v>145</v>
      </c>
      <c r="I3494" s="0" t="n">
        <v>100</v>
      </c>
      <c r="J3494" s="0" t="n">
        <f aca="false">F3494*E3494</f>
        <v>280</v>
      </c>
      <c r="K3494" s="0" t="str">
        <f aca="false">IF(G3494&lt;1000,"1-Low",IF(G3494&lt;5000,"2-Medium","3-Bulk"))</f>
        <v>1-Low</v>
      </c>
      <c r="L3494" s="0" t="str">
        <f aca="false">IF(H3494="TRUE","Out of stock","In stock")</f>
        <v>In stock</v>
      </c>
      <c r="M3494" s="0" t="str">
        <f aca="false">IF(D3494&lt;5,"1) Under 5%",IF(D3494&lt;10,"2) 5-9%",IF(D3494&lt;15,"3) 10-14%",IF(D3494&lt;25,"4) 15-24%","5) 25%+"))))</f>
        <v>3) 10-14%</v>
      </c>
      <c r="N3494" s="0" t="str">
        <f aca="false">IF(F3494&lt;50,"1) Under Rs 50",IF(F3494&lt;100,"2) Rs 50-99",IF(F3494&lt;200,"3) Rs 100-199",IF(F3494&lt;500,"4) Rs 200-499","5) Rs 500+"))))</f>
        <v>2) Rs 50-99</v>
      </c>
      <c r="O3494" s="0" t="n">
        <f aca="false">G3494*E3494/1000</f>
        <v>0.5</v>
      </c>
    </row>
    <row r="3495" customFormat="false" ht="15" hidden="false" customHeight="false" outlineLevel="0" collapsed="false">
      <c r="A3495" s="0" t="s">
        <v>111</v>
      </c>
      <c r="B3495" s="0" t="s">
        <v>1615</v>
      </c>
      <c r="C3495" s="0" t="n">
        <v>600</v>
      </c>
      <c r="D3495" s="0" t="n">
        <v>8</v>
      </c>
      <c r="E3495" s="0" t="n">
        <v>1</v>
      </c>
      <c r="F3495" s="0" t="n">
        <v>549</v>
      </c>
      <c r="G3495" s="0" t="n">
        <v>4000</v>
      </c>
      <c r="H3495" s="0" t="s">
        <v>145</v>
      </c>
      <c r="I3495" s="0" t="n">
        <v>4</v>
      </c>
      <c r="J3495" s="0" t="n">
        <f aca="false">F3495*E3495</f>
        <v>549</v>
      </c>
      <c r="K3495" s="0" t="str">
        <f aca="false">IF(G3495&lt;1000,"1-Low",IF(G3495&lt;5000,"2-Medium","3-Bulk"))</f>
        <v>2-Medium</v>
      </c>
      <c r="L3495" s="0" t="str">
        <f aca="false">IF(H3495="TRUE","Out of stock","In stock")</f>
        <v>In stock</v>
      </c>
      <c r="M3495" s="0" t="str">
        <f aca="false">IF(D3495&lt;5,"1) Under 5%",IF(D3495&lt;10,"2) 5-9%",IF(D3495&lt;15,"3) 10-14%",IF(D3495&lt;25,"4) 15-24%","5) 25%+"))))</f>
        <v>2) 5-9%</v>
      </c>
      <c r="N3495" s="0" t="str">
        <f aca="false">IF(F3495&lt;50,"1) Under Rs 50",IF(F3495&lt;100,"2) Rs 50-99",IF(F3495&lt;200,"3) Rs 100-199",IF(F3495&lt;500,"4) Rs 200-499","5) Rs 500+"))))</f>
        <v>5) Rs 500+</v>
      </c>
      <c r="O3495" s="0" t="n">
        <f aca="false">G3495*E3495/1000</f>
        <v>4</v>
      </c>
    </row>
    <row r="3496" customFormat="false" ht="15" hidden="false" customHeight="false" outlineLevel="0" collapsed="false">
      <c r="A3496" s="0" t="s">
        <v>111</v>
      </c>
      <c r="B3496" s="0" t="s">
        <v>1616</v>
      </c>
      <c r="C3496" s="0" t="n">
        <v>85</v>
      </c>
      <c r="D3496" s="0" t="n">
        <v>7</v>
      </c>
      <c r="E3496" s="0" t="n">
        <v>1</v>
      </c>
      <c r="F3496" s="0" t="n">
        <v>79</v>
      </c>
      <c r="G3496" s="0" t="n">
        <v>50</v>
      </c>
      <c r="H3496" s="0" t="s">
        <v>145</v>
      </c>
      <c r="I3496" s="0" t="n">
        <v>50</v>
      </c>
      <c r="J3496" s="0" t="n">
        <f aca="false">F3496*E3496</f>
        <v>79</v>
      </c>
      <c r="K3496" s="0" t="str">
        <f aca="false">IF(G3496&lt;1000,"1-Low",IF(G3496&lt;5000,"2-Medium","3-Bulk"))</f>
        <v>1-Low</v>
      </c>
      <c r="L3496" s="0" t="str">
        <f aca="false">IF(H3496="TRUE","Out of stock","In stock")</f>
        <v>In stock</v>
      </c>
      <c r="M3496" s="0" t="str">
        <f aca="false">IF(D3496&lt;5,"1) Under 5%",IF(D3496&lt;10,"2) 5-9%",IF(D3496&lt;15,"3) 10-14%",IF(D3496&lt;25,"4) 15-24%","5) 25%+"))))</f>
        <v>2) 5-9%</v>
      </c>
      <c r="N3496" s="0" t="str">
        <f aca="false">IF(F3496&lt;50,"1) Under Rs 50",IF(F3496&lt;100,"2) Rs 50-99",IF(F3496&lt;200,"3) Rs 100-199",IF(F3496&lt;500,"4) Rs 200-499","5) Rs 500+"))))</f>
        <v>2) Rs 50-99</v>
      </c>
      <c r="O3496" s="0" t="n">
        <f aca="false">G3496*E3496/1000</f>
        <v>0.05</v>
      </c>
    </row>
    <row r="3497" customFormat="false" ht="15" hidden="false" customHeight="false" outlineLevel="0" collapsed="false">
      <c r="A3497" s="0" t="s">
        <v>111</v>
      </c>
      <c r="B3497" s="0" t="s">
        <v>1617</v>
      </c>
      <c r="C3497" s="0" t="n">
        <v>149</v>
      </c>
      <c r="D3497" s="0" t="n">
        <v>5</v>
      </c>
      <c r="E3497" s="0" t="n">
        <v>4</v>
      </c>
      <c r="F3497" s="0" t="n">
        <v>141</v>
      </c>
      <c r="G3497" s="0" t="n">
        <v>240</v>
      </c>
      <c r="H3497" s="0" t="s">
        <v>145</v>
      </c>
      <c r="I3497" s="0" t="n">
        <v>240</v>
      </c>
      <c r="J3497" s="0" t="n">
        <f aca="false">F3497*E3497</f>
        <v>564</v>
      </c>
      <c r="K3497" s="0" t="str">
        <f aca="false">IF(G3497&lt;1000,"1-Low",IF(G3497&lt;5000,"2-Medium","3-Bulk"))</f>
        <v>1-Low</v>
      </c>
      <c r="L3497" s="0" t="str">
        <f aca="false">IF(H3497="TRUE","Out of stock","In stock")</f>
        <v>In stock</v>
      </c>
      <c r="M3497" s="0" t="str">
        <f aca="false">IF(D3497&lt;5,"1) Under 5%",IF(D3497&lt;10,"2) 5-9%",IF(D3497&lt;15,"3) 10-14%",IF(D3497&lt;25,"4) 15-24%","5) 25%+"))))</f>
        <v>2) 5-9%</v>
      </c>
      <c r="N3497" s="0" t="str">
        <f aca="false">IF(F3497&lt;50,"1) Under Rs 50",IF(F3497&lt;100,"2) Rs 50-99",IF(F3497&lt;200,"3) Rs 100-199",IF(F3497&lt;500,"4) Rs 200-499","5) Rs 500+"))))</f>
        <v>3) Rs 100-199</v>
      </c>
      <c r="O3497" s="0" t="n">
        <f aca="false">G3497*E3497/1000</f>
        <v>0.96</v>
      </c>
    </row>
    <row r="3498" customFormat="false" ht="15" hidden="false" customHeight="false" outlineLevel="0" collapsed="false">
      <c r="A3498" s="0" t="s">
        <v>111</v>
      </c>
      <c r="B3498" s="0" t="s">
        <v>1618</v>
      </c>
      <c r="C3498" s="0" t="n">
        <v>110</v>
      </c>
      <c r="D3498" s="0" t="n">
        <v>2</v>
      </c>
      <c r="E3498" s="0" t="n">
        <v>4</v>
      </c>
      <c r="F3498" s="0" t="n">
        <v>107</v>
      </c>
      <c r="G3498" s="0" t="n">
        <v>58</v>
      </c>
      <c r="H3498" s="0" t="s">
        <v>145</v>
      </c>
      <c r="I3498" s="0" t="n">
        <v>1</v>
      </c>
      <c r="J3498" s="0" t="n">
        <f aca="false">F3498*E3498</f>
        <v>428</v>
      </c>
      <c r="K3498" s="0" t="str">
        <f aca="false">IF(G3498&lt;1000,"1-Low",IF(G3498&lt;5000,"2-Medium","3-Bulk"))</f>
        <v>1-Low</v>
      </c>
      <c r="L3498" s="0" t="str">
        <f aca="false">IF(H3498="TRUE","Out of stock","In stock")</f>
        <v>In stock</v>
      </c>
      <c r="M3498" s="0" t="str">
        <f aca="false">IF(D3498&lt;5,"1) Under 5%",IF(D3498&lt;10,"2) 5-9%",IF(D3498&lt;15,"3) 10-14%",IF(D3498&lt;25,"4) 15-24%","5) 25%+"))))</f>
        <v>1) Under 5%</v>
      </c>
      <c r="N3498" s="0" t="str">
        <f aca="false">IF(F3498&lt;50,"1) Under Rs 50",IF(F3498&lt;100,"2) Rs 50-99",IF(F3498&lt;200,"3) Rs 100-199",IF(F3498&lt;500,"4) Rs 200-499","5) Rs 500+"))))</f>
        <v>3) Rs 100-199</v>
      </c>
      <c r="O3498" s="0" t="n">
        <f aca="false">G3498*E3498/1000</f>
        <v>0.232</v>
      </c>
    </row>
    <row r="3499" customFormat="false" ht="15" hidden="false" customHeight="false" outlineLevel="0" collapsed="false">
      <c r="A3499" s="0" t="s">
        <v>111</v>
      </c>
      <c r="B3499" s="0" t="s">
        <v>1619</v>
      </c>
      <c r="C3499" s="0" t="n">
        <v>19</v>
      </c>
      <c r="D3499" s="0" t="n">
        <v>0</v>
      </c>
      <c r="E3499" s="0" t="n">
        <v>4</v>
      </c>
      <c r="F3499" s="0" t="n">
        <v>19</v>
      </c>
      <c r="G3499" s="0" t="n">
        <v>50</v>
      </c>
      <c r="H3499" s="0" t="s">
        <v>145</v>
      </c>
      <c r="I3499" s="0" t="n">
        <v>50</v>
      </c>
      <c r="J3499" s="0" t="n">
        <f aca="false">F3499*E3499</f>
        <v>76</v>
      </c>
      <c r="K3499" s="0" t="str">
        <f aca="false">IF(G3499&lt;1000,"1-Low",IF(G3499&lt;5000,"2-Medium","3-Bulk"))</f>
        <v>1-Low</v>
      </c>
      <c r="L3499" s="0" t="str">
        <f aca="false">IF(H3499="TRUE","Out of stock","In stock")</f>
        <v>In stock</v>
      </c>
      <c r="M3499" s="0" t="str">
        <f aca="false">IF(D3499&lt;5,"1) Under 5%",IF(D3499&lt;10,"2) 5-9%",IF(D3499&lt;15,"3) 10-14%",IF(D3499&lt;25,"4) 15-24%","5) 25%+"))))</f>
        <v>1) Under 5%</v>
      </c>
      <c r="N3499" s="0" t="str">
        <f aca="false">IF(F3499&lt;50,"1) Under Rs 50",IF(F3499&lt;100,"2) Rs 50-99",IF(F3499&lt;200,"3) Rs 100-199",IF(F3499&lt;500,"4) Rs 200-499","5) Rs 500+"))))</f>
        <v>1) Under Rs 50</v>
      </c>
      <c r="O3499" s="0" t="n">
        <f aca="false">G3499*E3499/1000</f>
        <v>0.2</v>
      </c>
    </row>
    <row r="3500" customFormat="false" ht="15" hidden="false" customHeight="false" outlineLevel="0" collapsed="false">
      <c r="A3500" s="0" t="s">
        <v>111</v>
      </c>
      <c r="B3500" s="0" t="s">
        <v>1620</v>
      </c>
      <c r="C3500" s="0" t="n">
        <v>190</v>
      </c>
      <c r="D3500" s="0" t="n">
        <v>14</v>
      </c>
      <c r="E3500" s="0" t="n">
        <v>4</v>
      </c>
      <c r="F3500" s="0" t="n">
        <v>162</v>
      </c>
      <c r="G3500" s="0" t="n">
        <v>80</v>
      </c>
      <c r="H3500" s="0" t="s">
        <v>145</v>
      </c>
      <c r="I3500" s="0" t="n">
        <v>80</v>
      </c>
      <c r="J3500" s="0" t="n">
        <f aca="false">F3500*E3500</f>
        <v>648</v>
      </c>
      <c r="K3500" s="0" t="str">
        <f aca="false">IF(G3500&lt;1000,"1-Low",IF(G3500&lt;5000,"2-Medium","3-Bulk"))</f>
        <v>1-Low</v>
      </c>
      <c r="L3500" s="0" t="str">
        <f aca="false">IF(H3500="TRUE","Out of stock","In stock")</f>
        <v>In stock</v>
      </c>
      <c r="M3500" s="0" t="str">
        <f aca="false">IF(D3500&lt;5,"1) Under 5%",IF(D3500&lt;10,"2) 5-9%",IF(D3500&lt;15,"3) 10-14%",IF(D3500&lt;25,"4) 15-24%","5) 25%+"))))</f>
        <v>3) 10-14%</v>
      </c>
      <c r="N3500" s="0" t="str">
        <f aca="false">IF(F3500&lt;50,"1) Under Rs 50",IF(F3500&lt;100,"2) Rs 50-99",IF(F3500&lt;200,"3) Rs 100-199",IF(F3500&lt;500,"4) Rs 200-499","5) Rs 500+"))))</f>
        <v>3) Rs 100-199</v>
      </c>
      <c r="O3500" s="0" t="n">
        <f aca="false">G3500*E3500/1000</f>
        <v>0.32</v>
      </c>
    </row>
    <row r="3501" customFormat="false" ht="15" hidden="false" customHeight="false" outlineLevel="0" collapsed="false">
      <c r="A3501" s="0" t="s">
        <v>111</v>
      </c>
      <c r="B3501" s="0" t="s">
        <v>1621</v>
      </c>
      <c r="C3501" s="0" t="n">
        <v>65</v>
      </c>
      <c r="D3501" s="0" t="n">
        <v>13</v>
      </c>
      <c r="E3501" s="0" t="n">
        <v>6</v>
      </c>
      <c r="F3501" s="0" t="n">
        <v>56</v>
      </c>
      <c r="G3501" s="0" t="n">
        <v>150</v>
      </c>
      <c r="H3501" s="0" t="s">
        <v>145</v>
      </c>
      <c r="I3501" s="0" t="n">
        <v>150</v>
      </c>
      <c r="J3501" s="0" t="n">
        <f aca="false">F3501*E3501</f>
        <v>336</v>
      </c>
      <c r="K3501" s="0" t="str">
        <f aca="false">IF(G3501&lt;1000,"1-Low",IF(G3501&lt;5000,"2-Medium","3-Bulk"))</f>
        <v>1-Low</v>
      </c>
      <c r="L3501" s="0" t="str">
        <f aca="false">IF(H3501="TRUE","Out of stock","In stock")</f>
        <v>In stock</v>
      </c>
      <c r="M3501" s="0" t="str">
        <f aca="false">IF(D3501&lt;5,"1) Under 5%",IF(D3501&lt;10,"2) 5-9%",IF(D3501&lt;15,"3) 10-14%",IF(D3501&lt;25,"4) 15-24%","5) 25%+"))))</f>
        <v>3) 10-14%</v>
      </c>
      <c r="N3501" s="0" t="str">
        <f aca="false">IF(F3501&lt;50,"1) Under Rs 50",IF(F3501&lt;100,"2) Rs 50-99",IF(F3501&lt;200,"3) Rs 100-199",IF(F3501&lt;500,"4) Rs 200-499","5) Rs 500+"))))</f>
        <v>2) Rs 50-99</v>
      </c>
      <c r="O3501" s="0" t="n">
        <f aca="false">G3501*E3501/1000</f>
        <v>0.9</v>
      </c>
    </row>
    <row r="3502" customFormat="false" ht="15" hidden="false" customHeight="false" outlineLevel="0" collapsed="false">
      <c r="A3502" s="0" t="s">
        <v>111</v>
      </c>
      <c r="B3502" s="0" t="s">
        <v>1622</v>
      </c>
      <c r="C3502" s="0" t="n">
        <v>95</v>
      </c>
      <c r="D3502" s="0" t="n">
        <v>9</v>
      </c>
      <c r="E3502" s="0" t="n">
        <v>6</v>
      </c>
      <c r="F3502" s="0" t="n">
        <v>86</v>
      </c>
      <c r="G3502" s="0" t="n">
        <v>500</v>
      </c>
      <c r="H3502" s="0" t="s">
        <v>145</v>
      </c>
      <c r="I3502" s="0" t="n">
        <v>500</v>
      </c>
      <c r="J3502" s="0" t="n">
        <f aca="false">F3502*E3502</f>
        <v>516</v>
      </c>
      <c r="K3502" s="0" t="str">
        <f aca="false">IF(G3502&lt;1000,"1-Low",IF(G3502&lt;5000,"2-Medium","3-Bulk"))</f>
        <v>1-Low</v>
      </c>
      <c r="L3502" s="0" t="str">
        <f aca="false">IF(H3502="TRUE","Out of stock","In stock")</f>
        <v>In stock</v>
      </c>
      <c r="M3502" s="0" t="str">
        <f aca="false">IF(D3502&lt;5,"1) Under 5%",IF(D3502&lt;10,"2) 5-9%",IF(D3502&lt;15,"3) 10-14%",IF(D3502&lt;25,"4) 15-24%","5) 25%+"))))</f>
        <v>2) 5-9%</v>
      </c>
      <c r="N3502" s="0" t="str">
        <f aca="false">IF(F3502&lt;50,"1) Under Rs 50",IF(F3502&lt;100,"2) Rs 50-99",IF(F3502&lt;200,"3) Rs 100-199",IF(F3502&lt;500,"4) Rs 200-499","5) Rs 500+"))))</f>
        <v>2) Rs 50-99</v>
      </c>
      <c r="O3502" s="0" t="n">
        <f aca="false">G3502*E3502/1000</f>
        <v>3</v>
      </c>
    </row>
    <row r="3503" customFormat="false" ht="15" hidden="false" customHeight="false" outlineLevel="0" collapsed="false">
      <c r="A3503" s="0" t="s">
        <v>111</v>
      </c>
      <c r="B3503" s="0" t="s">
        <v>1623</v>
      </c>
      <c r="C3503" s="0" t="n">
        <v>200</v>
      </c>
      <c r="D3503" s="0" t="n">
        <v>0</v>
      </c>
      <c r="E3503" s="0" t="n">
        <v>2</v>
      </c>
      <c r="F3503" s="0" t="n">
        <v>200</v>
      </c>
      <c r="G3503" s="0" t="n">
        <v>174</v>
      </c>
      <c r="H3503" s="0" t="s">
        <v>145</v>
      </c>
      <c r="I3503" s="0" t="n">
        <v>3</v>
      </c>
      <c r="J3503" s="0" t="n">
        <f aca="false">F3503*E3503</f>
        <v>400</v>
      </c>
      <c r="K3503" s="0" t="str">
        <f aca="false">IF(G3503&lt;1000,"1-Low",IF(G3503&lt;5000,"2-Medium","3-Bulk"))</f>
        <v>1-Low</v>
      </c>
      <c r="L3503" s="0" t="str">
        <f aca="false">IF(H3503="TRUE","Out of stock","In stock")</f>
        <v>In stock</v>
      </c>
      <c r="M3503" s="0" t="str">
        <f aca="false">IF(D3503&lt;5,"1) Under 5%",IF(D3503&lt;10,"2) 5-9%",IF(D3503&lt;15,"3) 10-14%",IF(D3503&lt;25,"4) 15-24%","5) 25%+"))))</f>
        <v>1) Under 5%</v>
      </c>
      <c r="N3503" s="0" t="str">
        <f aca="false">IF(F3503&lt;50,"1) Under Rs 50",IF(F3503&lt;100,"2) Rs 50-99",IF(F3503&lt;200,"3) Rs 100-199",IF(F3503&lt;500,"4) Rs 200-499","5) Rs 500+"))))</f>
        <v>4) Rs 200-499</v>
      </c>
      <c r="O3503" s="0" t="n">
        <f aca="false">G3503*E3503/1000</f>
        <v>0.348</v>
      </c>
    </row>
    <row r="3504" customFormat="false" ht="15" hidden="false" customHeight="false" outlineLevel="0" collapsed="false">
      <c r="A3504" s="0" t="s">
        <v>111</v>
      </c>
      <c r="B3504" s="0" t="s">
        <v>1624</v>
      </c>
      <c r="C3504" s="0" t="n">
        <v>150</v>
      </c>
      <c r="D3504" s="0" t="n">
        <v>16</v>
      </c>
      <c r="E3504" s="0" t="n">
        <v>2</v>
      </c>
      <c r="F3504" s="0" t="n">
        <v>126</v>
      </c>
      <c r="G3504" s="0" t="n">
        <v>240</v>
      </c>
      <c r="H3504" s="0" t="s">
        <v>145</v>
      </c>
      <c r="I3504" s="0" t="n">
        <v>240</v>
      </c>
      <c r="J3504" s="0" t="n">
        <f aca="false">F3504*E3504</f>
        <v>252</v>
      </c>
      <c r="K3504" s="0" t="str">
        <f aca="false">IF(G3504&lt;1000,"1-Low",IF(G3504&lt;5000,"2-Medium","3-Bulk"))</f>
        <v>1-Low</v>
      </c>
      <c r="L3504" s="0" t="str">
        <f aca="false">IF(H3504="TRUE","Out of stock","In stock")</f>
        <v>In stock</v>
      </c>
      <c r="M3504" s="0" t="str">
        <f aca="false">IF(D3504&lt;5,"1) Under 5%",IF(D3504&lt;10,"2) 5-9%",IF(D3504&lt;15,"3) 10-14%",IF(D3504&lt;25,"4) 15-24%","5) 25%+"))))</f>
        <v>4) 15-24%</v>
      </c>
      <c r="N3504" s="0" t="str">
        <f aca="false">IF(F3504&lt;50,"1) Under Rs 50",IF(F3504&lt;100,"2) Rs 50-99",IF(F3504&lt;200,"3) Rs 100-199",IF(F3504&lt;500,"4) Rs 200-499","5) Rs 500+"))))</f>
        <v>3) Rs 100-199</v>
      </c>
      <c r="O3504" s="0" t="n">
        <f aca="false">G3504*E3504/1000</f>
        <v>0.48</v>
      </c>
    </row>
    <row r="3505" customFormat="false" ht="15" hidden="false" customHeight="false" outlineLevel="0" collapsed="false">
      <c r="A3505" s="0" t="s">
        <v>111</v>
      </c>
      <c r="B3505" s="0" t="s">
        <v>1625</v>
      </c>
      <c r="C3505" s="0" t="n">
        <v>200</v>
      </c>
      <c r="D3505" s="0" t="n">
        <v>10</v>
      </c>
      <c r="E3505" s="0" t="n">
        <v>6</v>
      </c>
      <c r="F3505" s="0" t="n">
        <v>180</v>
      </c>
      <c r="G3505" s="0" t="n">
        <v>1000</v>
      </c>
      <c r="H3505" s="0" t="s">
        <v>145</v>
      </c>
      <c r="I3505" s="0" t="n">
        <v>1</v>
      </c>
      <c r="J3505" s="0" t="n">
        <f aca="false">F3505*E3505</f>
        <v>1080</v>
      </c>
      <c r="K3505" s="0" t="str">
        <f aca="false">IF(G3505&lt;1000,"1-Low",IF(G3505&lt;5000,"2-Medium","3-Bulk"))</f>
        <v>2-Medium</v>
      </c>
      <c r="L3505" s="0" t="str">
        <f aca="false">IF(H3505="TRUE","Out of stock","In stock")</f>
        <v>In stock</v>
      </c>
      <c r="M3505" s="0" t="str">
        <f aca="false">IF(D3505&lt;5,"1) Under 5%",IF(D3505&lt;10,"2) 5-9%",IF(D3505&lt;15,"3) 10-14%",IF(D3505&lt;25,"4) 15-24%","5) 25%+"))))</f>
        <v>3) 10-14%</v>
      </c>
      <c r="N3505" s="0" t="str">
        <f aca="false">IF(F3505&lt;50,"1) Under Rs 50",IF(F3505&lt;100,"2) Rs 50-99",IF(F3505&lt;200,"3) Rs 100-199",IF(F3505&lt;500,"4) Rs 200-499","5) Rs 500+"))))</f>
        <v>3) Rs 100-199</v>
      </c>
      <c r="O3505" s="0" t="n">
        <f aca="false">G3505*E3505/1000</f>
        <v>6</v>
      </c>
    </row>
    <row r="3506" customFormat="false" ht="15" hidden="false" customHeight="false" outlineLevel="0" collapsed="false">
      <c r="A3506" s="0" t="s">
        <v>111</v>
      </c>
      <c r="B3506" s="0" t="s">
        <v>1626</v>
      </c>
      <c r="C3506" s="0" t="n">
        <v>107</v>
      </c>
      <c r="D3506" s="0" t="n">
        <v>10</v>
      </c>
      <c r="E3506" s="0" t="n">
        <v>3</v>
      </c>
      <c r="F3506" s="0" t="n">
        <v>96</v>
      </c>
      <c r="G3506" s="0" t="n">
        <v>500</v>
      </c>
      <c r="H3506" s="0" t="s">
        <v>145</v>
      </c>
      <c r="I3506" s="0" t="n">
        <v>500</v>
      </c>
      <c r="J3506" s="0" t="n">
        <f aca="false">F3506*E3506</f>
        <v>288</v>
      </c>
      <c r="K3506" s="0" t="str">
        <f aca="false">IF(G3506&lt;1000,"1-Low",IF(G3506&lt;5000,"2-Medium","3-Bulk"))</f>
        <v>1-Low</v>
      </c>
      <c r="L3506" s="0" t="str">
        <f aca="false">IF(H3506="TRUE","Out of stock","In stock")</f>
        <v>In stock</v>
      </c>
      <c r="M3506" s="0" t="str">
        <f aca="false">IF(D3506&lt;5,"1) Under 5%",IF(D3506&lt;10,"2) 5-9%",IF(D3506&lt;15,"3) 10-14%",IF(D3506&lt;25,"4) 15-24%","5) 25%+"))))</f>
        <v>3) 10-14%</v>
      </c>
      <c r="N3506" s="0" t="str">
        <f aca="false">IF(F3506&lt;50,"1) Under Rs 50",IF(F3506&lt;100,"2) Rs 50-99",IF(F3506&lt;200,"3) Rs 100-199",IF(F3506&lt;500,"4) Rs 200-499","5) Rs 500+"))))</f>
        <v>2) Rs 50-99</v>
      </c>
      <c r="O3506" s="0" t="n">
        <f aca="false">G3506*E3506/1000</f>
        <v>1.5</v>
      </c>
    </row>
    <row r="3507" customFormat="false" ht="15" hidden="false" customHeight="false" outlineLevel="0" collapsed="false">
      <c r="A3507" s="0" t="s">
        <v>111</v>
      </c>
      <c r="B3507" s="0" t="s">
        <v>1627</v>
      </c>
      <c r="C3507" s="0" t="n">
        <v>150</v>
      </c>
      <c r="D3507" s="0" t="n">
        <v>0</v>
      </c>
      <c r="E3507" s="0" t="n">
        <v>4</v>
      </c>
      <c r="F3507" s="0" t="n">
        <v>149</v>
      </c>
      <c r="G3507" s="0" t="n">
        <v>240</v>
      </c>
      <c r="H3507" s="0" t="s">
        <v>145</v>
      </c>
      <c r="I3507" s="0" t="n">
        <v>240</v>
      </c>
      <c r="J3507" s="0" t="n">
        <f aca="false">F3507*E3507</f>
        <v>596</v>
      </c>
      <c r="K3507" s="0" t="str">
        <f aca="false">IF(G3507&lt;1000,"1-Low",IF(G3507&lt;5000,"2-Medium","3-Bulk"))</f>
        <v>1-Low</v>
      </c>
      <c r="L3507" s="0" t="str">
        <f aca="false">IF(H3507="TRUE","Out of stock","In stock")</f>
        <v>In stock</v>
      </c>
      <c r="M3507" s="0" t="str">
        <f aca="false">IF(D3507&lt;5,"1) Under 5%",IF(D3507&lt;10,"2) 5-9%",IF(D3507&lt;15,"3) 10-14%",IF(D3507&lt;25,"4) 15-24%","5) 25%+"))))</f>
        <v>1) Under 5%</v>
      </c>
      <c r="N3507" s="0" t="str">
        <f aca="false">IF(F3507&lt;50,"1) Under Rs 50",IF(F3507&lt;100,"2) Rs 50-99",IF(F3507&lt;200,"3) Rs 100-199",IF(F3507&lt;500,"4) Rs 200-499","5) Rs 500+"))))</f>
        <v>3) Rs 100-199</v>
      </c>
      <c r="O3507" s="0" t="n">
        <f aca="false">G3507*E3507/1000</f>
        <v>0.96</v>
      </c>
    </row>
    <row r="3508" customFormat="false" ht="15" hidden="false" customHeight="false" outlineLevel="0" collapsed="false">
      <c r="A3508" s="0" t="s">
        <v>111</v>
      </c>
      <c r="B3508" s="0" t="s">
        <v>1628</v>
      </c>
      <c r="C3508" s="0" t="n">
        <v>135</v>
      </c>
      <c r="D3508" s="0" t="n">
        <v>9</v>
      </c>
      <c r="E3508" s="0" t="n">
        <v>1</v>
      </c>
      <c r="F3508" s="0" t="n">
        <v>122</v>
      </c>
      <c r="G3508" s="0" t="n">
        <v>348</v>
      </c>
      <c r="H3508" s="0" t="s">
        <v>145</v>
      </c>
      <c r="I3508" s="0" t="n">
        <v>6</v>
      </c>
      <c r="J3508" s="0" t="n">
        <f aca="false">F3508*E3508</f>
        <v>122</v>
      </c>
      <c r="K3508" s="0" t="str">
        <f aca="false">IF(G3508&lt;1000,"1-Low",IF(G3508&lt;5000,"2-Medium","3-Bulk"))</f>
        <v>1-Low</v>
      </c>
      <c r="L3508" s="0" t="str">
        <f aca="false">IF(H3508="TRUE","Out of stock","In stock")</f>
        <v>In stock</v>
      </c>
      <c r="M3508" s="0" t="str">
        <f aca="false">IF(D3508&lt;5,"1) Under 5%",IF(D3508&lt;10,"2) 5-9%",IF(D3508&lt;15,"3) 10-14%",IF(D3508&lt;25,"4) 15-24%","5) 25%+"))))</f>
        <v>2) 5-9%</v>
      </c>
      <c r="N3508" s="0" t="str">
        <f aca="false">IF(F3508&lt;50,"1) Under Rs 50",IF(F3508&lt;100,"2) Rs 50-99",IF(F3508&lt;200,"3) Rs 100-199",IF(F3508&lt;500,"4) Rs 200-499","5) Rs 500+"))))</f>
        <v>3) Rs 100-199</v>
      </c>
      <c r="O3508" s="0" t="n">
        <f aca="false">G3508*E3508/1000</f>
        <v>0.348</v>
      </c>
    </row>
    <row r="3509" customFormat="false" ht="15" hidden="false" customHeight="false" outlineLevel="0" collapsed="false">
      <c r="A3509" s="0" t="s">
        <v>111</v>
      </c>
      <c r="B3509" s="0" t="s">
        <v>1629</v>
      </c>
      <c r="C3509" s="0" t="n">
        <v>80</v>
      </c>
      <c r="D3509" s="0" t="n">
        <v>10</v>
      </c>
      <c r="E3509" s="0" t="n">
        <v>3</v>
      </c>
      <c r="F3509" s="0" t="n">
        <v>72</v>
      </c>
      <c r="G3509" s="0" t="n">
        <v>1160</v>
      </c>
      <c r="H3509" s="0" t="s">
        <v>145</v>
      </c>
      <c r="I3509" s="0" t="n">
        <v>20</v>
      </c>
      <c r="J3509" s="0" t="n">
        <f aca="false">F3509*E3509</f>
        <v>216</v>
      </c>
      <c r="K3509" s="0" t="str">
        <f aca="false">IF(G3509&lt;1000,"1-Low",IF(G3509&lt;5000,"2-Medium","3-Bulk"))</f>
        <v>2-Medium</v>
      </c>
      <c r="L3509" s="0" t="str">
        <f aca="false">IF(H3509="TRUE","Out of stock","In stock")</f>
        <v>In stock</v>
      </c>
      <c r="M3509" s="0" t="str">
        <f aca="false">IF(D3509&lt;5,"1) Under 5%",IF(D3509&lt;10,"2) 5-9%",IF(D3509&lt;15,"3) 10-14%",IF(D3509&lt;25,"4) 15-24%","5) 25%+"))))</f>
        <v>3) 10-14%</v>
      </c>
      <c r="N3509" s="0" t="str">
        <f aca="false">IF(F3509&lt;50,"1) Under Rs 50",IF(F3509&lt;100,"2) Rs 50-99",IF(F3509&lt;200,"3) Rs 100-199",IF(F3509&lt;500,"4) Rs 200-499","5) Rs 500+"))))</f>
        <v>2) Rs 50-99</v>
      </c>
      <c r="O3509" s="0" t="n">
        <f aca="false">G3509*E3509/1000</f>
        <v>3.48</v>
      </c>
    </row>
    <row r="3510" customFormat="false" ht="15" hidden="false" customHeight="false" outlineLevel="0" collapsed="false">
      <c r="A3510" s="0" t="s">
        <v>111</v>
      </c>
      <c r="B3510" s="0" t="s">
        <v>1630</v>
      </c>
      <c r="C3510" s="0" t="n">
        <v>55</v>
      </c>
      <c r="D3510" s="0" t="n">
        <v>0</v>
      </c>
      <c r="E3510" s="0" t="n">
        <v>1</v>
      </c>
      <c r="F3510" s="0" t="n">
        <v>55</v>
      </c>
      <c r="G3510" s="0" t="n">
        <v>500</v>
      </c>
      <c r="H3510" s="0" t="s">
        <v>145</v>
      </c>
      <c r="I3510" s="0" t="n">
        <v>500</v>
      </c>
      <c r="J3510" s="0" t="n">
        <f aca="false">F3510*E3510</f>
        <v>55</v>
      </c>
      <c r="K3510" s="0" t="str">
        <f aca="false">IF(G3510&lt;1000,"1-Low",IF(G3510&lt;5000,"2-Medium","3-Bulk"))</f>
        <v>1-Low</v>
      </c>
      <c r="L3510" s="0" t="str">
        <f aca="false">IF(H3510="TRUE","Out of stock","In stock")</f>
        <v>In stock</v>
      </c>
      <c r="M3510" s="0" t="str">
        <f aca="false">IF(D3510&lt;5,"1) Under 5%",IF(D3510&lt;10,"2) 5-9%",IF(D3510&lt;15,"3) 10-14%",IF(D3510&lt;25,"4) 15-24%","5) 25%+"))))</f>
        <v>1) Under 5%</v>
      </c>
      <c r="N3510" s="0" t="str">
        <f aca="false">IF(F3510&lt;50,"1) Under Rs 50",IF(F3510&lt;100,"2) Rs 50-99",IF(F3510&lt;200,"3) Rs 100-199",IF(F3510&lt;500,"4) Rs 200-499","5) Rs 500+"))))</f>
        <v>2) Rs 50-99</v>
      </c>
      <c r="O3510" s="0" t="n">
        <f aca="false">G3510*E3510/1000</f>
        <v>0.5</v>
      </c>
    </row>
    <row r="3511" customFormat="false" ht="15" hidden="false" customHeight="false" outlineLevel="0" collapsed="false">
      <c r="A3511" s="0" t="s">
        <v>111</v>
      </c>
      <c r="B3511" s="0" t="s">
        <v>1631</v>
      </c>
      <c r="C3511" s="0" t="n">
        <v>19</v>
      </c>
      <c r="D3511" s="0" t="n">
        <v>0</v>
      </c>
      <c r="E3511" s="0" t="n">
        <v>4</v>
      </c>
      <c r="F3511" s="0" t="n">
        <v>19</v>
      </c>
      <c r="G3511" s="0" t="n">
        <v>60</v>
      </c>
      <c r="H3511" s="0" t="s">
        <v>145</v>
      </c>
      <c r="I3511" s="0" t="n">
        <v>60</v>
      </c>
      <c r="J3511" s="0" t="n">
        <f aca="false">F3511*E3511</f>
        <v>76</v>
      </c>
      <c r="K3511" s="0" t="str">
        <f aca="false">IF(G3511&lt;1000,"1-Low",IF(G3511&lt;5000,"2-Medium","3-Bulk"))</f>
        <v>1-Low</v>
      </c>
      <c r="L3511" s="0" t="str">
        <f aca="false">IF(H3511="TRUE","Out of stock","In stock")</f>
        <v>In stock</v>
      </c>
      <c r="M3511" s="0" t="str">
        <f aca="false">IF(D3511&lt;5,"1) Under 5%",IF(D3511&lt;10,"2) 5-9%",IF(D3511&lt;15,"3) 10-14%",IF(D3511&lt;25,"4) 15-24%","5) 25%+"))))</f>
        <v>1) Under 5%</v>
      </c>
      <c r="N3511" s="0" t="str">
        <f aca="false">IF(F3511&lt;50,"1) Under Rs 50",IF(F3511&lt;100,"2) Rs 50-99",IF(F3511&lt;200,"3) Rs 100-199",IF(F3511&lt;500,"4) Rs 200-499","5) Rs 500+"))))</f>
        <v>1) Under Rs 50</v>
      </c>
      <c r="O3511" s="0" t="n">
        <f aca="false">G3511*E3511/1000</f>
        <v>0.24</v>
      </c>
    </row>
    <row r="3512" customFormat="false" ht="15" hidden="false" customHeight="false" outlineLevel="0" collapsed="false">
      <c r="A3512" s="0" t="s">
        <v>111</v>
      </c>
      <c r="B3512" s="0" t="s">
        <v>1632</v>
      </c>
      <c r="C3512" s="0" t="n">
        <v>68</v>
      </c>
      <c r="D3512" s="0" t="n">
        <v>2</v>
      </c>
      <c r="E3512" s="0" t="n">
        <v>3</v>
      </c>
      <c r="F3512" s="0" t="n">
        <v>66</v>
      </c>
      <c r="G3512" s="0" t="n">
        <v>58</v>
      </c>
      <c r="H3512" s="0" t="s">
        <v>145</v>
      </c>
      <c r="I3512" s="0" t="n">
        <v>1</v>
      </c>
      <c r="J3512" s="0" t="n">
        <f aca="false">F3512*E3512</f>
        <v>198</v>
      </c>
      <c r="K3512" s="0" t="str">
        <f aca="false">IF(G3512&lt;1000,"1-Low",IF(G3512&lt;5000,"2-Medium","3-Bulk"))</f>
        <v>1-Low</v>
      </c>
      <c r="L3512" s="0" t="str">
        <f aca="false">IF(H3512="TRUE","Out of stock","In stock")</f>
        <v>In stock</v>
      </c>
      <c r="M3512" s="0" t="str">
        <f aca="false">IF(D3512&lt;5,"1) Under 5%",IF(D3512&lt;10,"2) 5-9%",IF(D3512&lt;15,"3) 10-14%",IF(D3512&lt;25,"4) 15-24%","5) 25%+"))))</f>
        <v>1) Under 5%</v>
      </c>
      <c r="N3512" s="0" t="str">
        <f aca="false">IF(F3512&lt;50,"1) Under Rs 50",IF(F3512&lt;100,"2) Rs 50-99",IF(F3512&lt;200,"3) Rs 100-199",IF(F3512&lt;500,"4) Rs 200-499","5) Rs 500+"))))</f>
        <v>2) Rs 50-99</v>
      </c>
      <c r="O3512" s="0" t="n">
        <f aca="false">G3512*E3512/1000</f>
        <v>0.174</v>
      </c>
    </row>
    <row r="3513" customFormat="false" ht="15" hidden="false" customHeight="false" outlineLevel="0" collapsed="false">
      <c r="A3513" s="0" t="s">
        <v>111</v>
      </c>
      <c r="B3513" s="0" t="s">
        <v>1633</v>
      </c>
      <c r="C3513" s="0" t="n">
        <v>205</v>
      </c>
      <c r="D3513" s="0" t="n">
        <v>8</v>
      </c>
      <c r="E3513" s="0" t="n">
        <v>3</v>
      </c>
      <c r="F3513" s="0" t="n">
        <v>188</v>
      </c>
      <c r="G3513" s="0" t="n">
        <v>975</v>
      </c>
      <c r="H3513" s="0" t="s">
        <v>145</v>
      </c>
      <c r="I3513" s="0" t="n">
        <v>975</v>
      </c>
      <c r="J3513" s="0" t="n">
        <f aca="false">F3513*E3513</f>
        <v>564</v>
      </c>
      <c r="K3513" s="0" t="str">
        <f aca="false">IF(G3513&lt;1000,"1-Low",IF(G3513&lt;5000,"2-Medium","3-Bulk"))</f>
        <v>1-Low</v>
      </c>
      <c r="L3513" s="0" t="str">
        <f aca="false">IF(H3513="TRUE","Out of stock","In stock")</f>
        <v>In stock</v>
      </c>
      <c r="M3513" s="0" t="str">
        <f aca="false">IF(D3513&lt;5,"1) Under 5%",IF(D3513&lt;10,"2) 5-9%",IF(D3513&lt;15,"3) 10-14%",IF(D3513&lt;25,"4) 15-24%","5) 25%+"))))</f>
        <v>2) 5-9%</v>
      </c>
      <c r="N3513" s="0" t="str">
        <f aca="false">IF(F3513&lt;50,"1) Under Rs 50",IF(F3513&lt;100,"2) Rs 50-99",IF(F3513&lt;200,"3) Rs 100-199",IF(F3513&lt;500,"4) Rs 200-499","5) Rs 500+"))))</f>
        <v>3) Rs 100-199</v>
      </c>
      <c r="O3513" s="0" t="n">
        <f aca="false">G3513*E3513/1000</f>
        <v>2.925</v>
      </c>
    </row>
    <row r="3514" customFormat="false" ht="15" hidden="false" customHeight="false" outlineLevel="0" collapsed="false">
      <c r="A3514" s="0" t="s">
        <v>111</v>
      </c>
      <c r="B3514" s="0" t="s">
        <v>1634</v>
      </c>
      <c r="C3514" s="0" t="n">
        <v>150</v>
      </c>
      <c r="D3514" s="0" t="n">
        <v>18</v>
      </c>
      <c r="E3514" s="0" t="n">
        <v>3</v>
      </c>
      <c r="F3514" s="0" t="n">
        <v>123</v>
      </c>
      <c r="G3514" s="0" t="n">
        <v>174</v>
      </c>
      <c r="H3514" s="0" t="s">
        <v>145</v>
      </c>
      <c r="I3514" s="0" t="n">
        <v>1</v>
      </c>
      <c r="J3514" s="0" t="n">
        <f aca="false">F3514*E3514</f>
        <v>369</v>
      </c>
      <c r="K3514" s="0" t="str">
        <f aca="false">IF(G3514&lt;1000,"1-Low",IF(G3514&lt;5000,"2-Medium","3-Bulk"))</f>
        <v>1-Low</v>
      </c>
      <c r="L3514" s="0" t="str">
        <f aca="false">IF(H3514="TRUE","Out of stock","In stock")</f>
        <v>In stock</v>
      </c>
      <c r="M3514" s="0" t="str">
        <f aca="false">IF(D3514&lt;5,"1) Under 5%",IF(D3514&lt;10,"2) 5-9%",IF(D3514&lt;15,"3) 10-14%",IF(D3514&lt;25,"4) 15-24%","5) 25%+"))))</f>
        <v>4) 15-24%</v>
      </c>
      <c r="N3514" s="0" t="str">
        <f aca="false">IF(F3514&lt;50,"1) Under Rs 50",IF(F3514&lt;100,"2) Rs 50-99",IF(F3514&lt;200,"3) Rs 100-199",IF(F3514&lt;500,"4) Rs 200-499","5) Rs 500+"))))</f>
        <v>3) Rs 100-199</v>
      </c>
      <c r="O3514" s="0" t="n">
        <f aca="false">G3514*E3514/1000</f>
        <v>0.522</v>
      </c>
    </row>
    <row r="3515" customFormat="false" ht="15" hidden="false" customHeight="false" outlineLevel="0" collapsed="false">
      <c r="A3515" s="0" t="s">
        <v>111</v>
      </c>
      <c r="B3515" s="0" t="s">
        <v>1635</v>
      </c>
      <c r="C3515" s="0" t="n">
        <v>210</v>
      </c>
      <c r="D3515" s="0" t="n">
        <v>10</v>
      </c>
      <c r="E3515" s="0" t="n">
        <v>2</v>
      </c>
      <c r="F3515" s="0" t="n">
        <v>189</v>
      </c>
      <c r="G3515" s="0" t="n">
        <v>400</v>
      </c>
      <c r="H3515" s="0" t="s">
        <v>145</v>
      </c>
      <c r="I3515" s="0" t="n">
        <v>400</v>
      </c>
      <c r="J3515" s="0" t="n">
        <f aca="false">F3515*E3515</f>
        <v>378</v>
      </c>
      <c r="K3515" s="0" t="str">
        <f aca="false">IF(G3515&lt;1000,"1-Low",IF(G3515&lt;5000,"2-Medium","3-Bulk"))</f>
        <v>1-Low</v>
      </c>
      <c r="L3515" s="0" t="str">
        <f aca="false">IF(H3515="TRUE","Out of stock","In stock")</f>
        <v>In stock</v>
      </c>
      <c r="M3515" s="0" t="str">
        <f aca="false">IF(D3515&lt;5,"1) Under 5%",IF(D3515&lt;10,"2) 5-9%",IF(D3515&lt;15,"3) 10-14%",IF(D3515&lt;25,"4) 15-24%","5) 25%+"))))</f>
        <v>3) 10-14%</v>
      </c>
      <c r="N3515" s="0" t="str">
        <f aca="false">IF(F3515&lt;50,"1) Under Rs 50",IF(F3515&lt;100,"2) Rs 50-99",IF(F3515&lt;200,"3) Rs 100-199",IF(F3515&lt;500,"4) Rs 200-499","5) Rs 500+"))))</f>
        <v>3) Rs 100-199</v>
      </c>
      <c r="O3515" s="0" t="n">
        <f aca="false">G3515*E3515/1000</f>
        <v>0.8</v>
      </c>
    </row>
    <row r="3516" customFormat="false" ht="15" hidden="false" customHeight="false" outlineLevel="0" collapsed="false">
      <c r="A3516" s="0" t="s">
        <v>111</v>
      </c>
      <c r="B3516" s="0" t="s">
        <v>1636</v>
      </c>
      <c r="C3516" s="0" t="n">
        <v>75</v>
      </c>
      <c r="D3516" s="0" t="n">
        <v>0</v>
      </c>
      <c r="E3516" s="0" t="n">
        <v>3</v>
      </c>
      <c r="F3516" s="0" t="n">
        <v>75</v>
      </c>
      <c r="G3516" s="0" t="n">
        <v>8</v>
      </c>
      <c r="H3516" s="0" t="s">
        <v>145</v>
      </c>
      <c r="I3516" s="0" t="n">
        <v>8</v>
      </c>
      <c r="J3516" s="0" t="n">
        <f aca="false">F3516*E3516</f>
        <v>225</v>
      </c>
      <c r="K3516" s="0" t="str">
        <f aca="false">IF(G3516&lt;1000,"1-Low",IF(G3516&lt;5000,"2-Medium","3-Bulk"))</f>
        <v>1-Low</v>
      </c>
      <c r="L3516" s="0" t="str">
        <f aca="false">IF(H3516="TRUE","Out of stock","In stock")</f>
        <v>In stock</v>
      </c>
      <c r="M3516" s="0" t="str">
        <f aca="false">IF(D3516&lt;5,"1) Under 5%",IF(D3516&lt;10,"2) 5-9%",IF(D3516&lt;15,"3) 10-14%",IF(D3516&lt;25,"4) 15-24%","5) 25%+"))))</f>
        <v>1) Under 5%</v>
      </c>
      <c r="N3516" s="0" t="str">
        <f aca="false">IF(F3516&lt;50,"1) Under Rs 50",IF(F3516&lt;100,"2) Rs 50-99",IF(F3516&lt;200,"3) Rs 100-199",IF(F3516&lt;500,"4) Rs 200-499","5) Rs 500+"))))</f>
        <v>2) Rs 50-99</v>
      </c>
      <c r="O3516" s="0" t="n">
        <f aca="false">G3516*E3516/1000</f>
        <v>0.024</v>
      </c>
    </row>
    <row r="3517" customFormat="false" ht="15" hidden="false" customHeight="false" outlineLevel="0" collapsed="false">
      <c r="A3517" s="0" t="s">
        <v>111</v>
      </c>
      <c r="B3517" s="0" t="s">
        <v>1637</v>
      </c>
      <c r="C3517" s="0" t="n">
        <v>140</v>
      </c>
      <c r="D3517" s="0" t="n">
        <v>10</v>
      </c>
      <c r="E3517" s="0" t="n">
        <v>6</v>
      </c>
      <c r="F3517" s="0" t="n">
        <v>126</v>
      </c>
      <c r="G3517" s="0" t="n">
        <v>174</v>
      </c>
      <c r="H3517" s="0" t="s">
        <v>145</v>
      </c>
      <c r="I3517" s="0" t="n">
        <v>3</v>
      </c>
      <c r="J3517" s="0" t="n">
        <f aca="false">F3517*E3517</f>
        <v>756</v>
      </c>
      <c r="K3517" s="0" t="str">
        <f aca="false">IF(G3517&lt;1000,"1-Low",IF(G3517&lt;5000,"2-Medium","3-Bulk"))</f>
        <v>1-Low</v>
      </c>
      <c r="L3517" s="0" t="str">
        <f aca="false">IF(H3517="TRUE","Out of stock","In stock")</f>
        <v>In stock</v>
      </c>
      <c r="M3517" s="0" t="str">
        <f aca="false">IF(D3517&lt;5,"1) Under 5%",IF(D3517&lt;10,"2) 5-9%",IF(D3517&lt;15,"3) 10-14%",IF(D3517&lt;25,"4) 15-24%","5) 25%+"))))</f>
        <v>3) 10-14%</v>
      </c>
      <c r="N3517" s="0" t="str">
        <f aca="false">IF(F3517&lt;50,"1) Under Rs 50",IF(F3517&lt;100,"2) Rs 50-99",IF(F3517&lt;200,"3) Rs 100-199",IF(F3517&lt;500,"4) Rs 200-499","5) Rs 500+"))))</f>
        <v>3) Rs 100-199</v>
      </c>
      <c r="O3517" s="0" t="n">
        <f aca="false">G3517*E3517/1000</f>
        <v>1.044</v>
      </c>
    </row>
    <row r="3518" customFormat="false" ht="15" hidden="false" customHeight="false" outlineLevel="0" collapsed="false">
      <c r="A3518" s="0" t="s">
        <v>111</v>
      </c>
      <c r="B3518" s="0" t="s">
        <v>1638</v>
      </c>
      <c r="C3518" s="0" t="n">
        <v>215</v>
      </c>
      <c r="D3518" s="0" t="n">
        <v>1</v>
      </c>
      <c r="E3518" s="0" t="n">
        <v>6</v>
      </c>
      <c r="F3518" s="0" t="n">
        <v>211</v>
      </c>
      <c r="G3518" s="0" t="n">
        <v>2000</v>
      </c>
      <c r="H3518" s="0" t="s">
        <v>145</v>
      </c>
      <c r="I3518" s="0" t="n">
        <v>2</v>
      </c>
      <c r="J3518" s="0" t="n">
        <f aca="false">F3518*E3518</f>
        <v>1266</v>
      </c>
      <c r="K3518" s="0" t="str">
        <f aca="false">IF(G3518&lt;1000,"1-Low",IF(G3518&lt;5000,"2-Medium","3-Bulk"))</f>
        <v>2-Medium</v>
      </c>
      <c r="L3518" s="0" t="str">
        <f aca="false">IF(H3518="TRUE","Out of stock","In stock")</f>
        <v>In stock</v>
      </c>
      <c r="M3518" s="0" t="str">
        <f aca="false">IF(D3518&lt;5,"1) Under 5%",IF(D3518&lt;10,"2) 5-9%",IF(D3518&lt;15,"3) 10-14%",IF(D3518&lt;25,"4) 15-24%","5) 25%+"))))</f>
        <v>1) Under 5%</v>
      </c>
      <c r="N3518" s="0" t="str">
        <f aca="false">IF(F3518&lt;50,"1) Under Rs 50",IF(F3518&lt;100,"2) Rs 50-99",IF(F3518&lt;200,"3) Rs 100-199",IF(F3518&lt;500,"4) Rs 200-499","5) Rs 500+"))))</f>
        <v>4) Rs 200-499</v>
      </c>
      <c r="O3518" s="0" t="n">
        <f aca="false">G3518*E3518/1000</f>
        <v>12</v>
      </c>
    </row>
    <row r="3519" customFormat="false" ht="15" hidden="false" customHeight="false" outlineLevel="0" collapsed="false">
      <c r="A3519" s="0" t="s">
        <v>111</v>
      </c>
      <c r="B3519" s="0" t="s">
        <v>1639</v>
      </c>
      <c r="C3519" s="0" t="n">
        <v>70</v>
      </c>
      <c r="D3519" s="0" t="n">
        <v>2</v>
      </c>
      <c r="E3519" s="0" t="n">
        <v>5</v>
      </c>
      <c r="F3519" s="0" t="n">
        <v>68</v>
      </c>
      <c r="G3519" s="0" t="n">
        <v>58</v>
      </c>
      <c r="H3519" s="0" t="s">
        <v>145</v>
      </c>
      <c r="I3519" s="0" t="n">
        <v>1</v>
      </c>
      <c r="J3519" s="0" t="n">
        <f aca="false">F3519*E3519</f>
        <v>340</v>
      </c>
      <c r="K3519" s="0" t="str">
        <f aca="false">IF(G3519&lt;1000,"1-Low",IF(G3519&lt;5000,"2-Medium","3-Bulk"))</f>
        <v>1-Low</v>
      </c>
      <c r="L3519" s="0" t="str">
        <f aca="false">IF(H3519="TRUE","Out of stock","In stock")</f>
        <v>In stock</v>
      </c>
      <c r="M3519" s="0" t="str">
        <f aca="false">IF(D3519&lt;5,"1) Under 5%",IF(D3519&lt;10,"2) 5-9%",IF(D3519&lt;15,"3) 10-14%",IF(D3519&lt;25,"4) 15-24%","5) 25%+"))))</f>
        <v>1) Under 5%</v>
      </c>
      <c r="N3519" s="0" t="str">
        <f aca="false">IF(F3519&lt;50,"1) Under Rs 50",IF(F3519&lt;100,"2) Rs 50-99",IF(F3519&lt;200,"3) Rs 100-199",IF(F3519&lt;500,"4) Rs 200-499","5) Rs 500+"))))</f>
        <v>2) Rs 50-99</v>
      </c>
      <c r="O3519" s="0" t="n">
        <f aca="false">G3519*E3519/1000</f>
        <v>0.29</v>
      </c>
    </row>
    <row r="3520" customFormat="false" ht="15" hidden="false" customHeight="false" outlineLevel="0" collapsed="false">
      <c r="A3520" s="0" t="s">
        <v>111</v>
      </c>
      <c r="B3520" s="0" t="s">
        <v>1640</v>
      </c>
      <c r="C3520" s="0" t="n">
        <v>64</v>
      </c>
      <c r="D3520" s="0" t="n">
        <v>6</v>
      </c>
      <c r="E3520" s="0" t="n">
        <v>6</v>
      </c>
      <c r="F3520" s="0" t="n">
        <v>60</v>
      </c>
      <c r="G3520" s="0" t="n">
        <v>100</v>
      </c>
      <c r="H3520" s="0" t="s">
        <v>145</v>
      </c>
      <c r="I3520" s="0" t="n">
        <v>100</v>
      </c>
      <c r="J3520" s="0" t="n">
        <f aca="false">F3520*E3520</f>
        <v>360</v>
      </c>
      <c r="K3520" s="0" t="str">
        <f aca="false">IF(G3520&lt;1000,"1-Low",IF(G3520&lt;5000,"2-Medium","3-Bulk"))</f>
        <v>1-Low</v>
      </c>
      <c r="L3520" s="0" t="str">
        <f aca="false">IF(H3520="TRUE","Out of stock","In stock")</f>
        <v>In stock</v>
      </c>
      <c r="M3520" s="0" t="str">
        <f aca="false">IF(D3520&lt;5,"1) Under 5%",IF(D3520&lt;10,"2) 5-9%",IF(D3520&lt;15,"3) 10-14%",IF(D3520&lt;25,"4) 15-24%","5) 25%+"))))</f>
        <v>2) 5-9%</v>
      </c>
      <c r="N3520" s="0" t="str">
        <f aca="false">IF(F3520&lt;50,"1) Under Rs 50",IF(F3520&lt;100,"2) Rs 50-99",IF(F3520&lt;200,"3) Rs 100-199",IF(F3520&lt;500,"4) Rs 200-499","5) Rs 500+"))))</f>
        <v>2) Rs 50-99</v>
      </c>
      <c r="O3520" s="0" t="n">
        <f aca="false">G3520*E3520/1000</f>
        <v>0.6</v>
      </c>
    </row>
    <row r="3521" customFormat="false" ht="15" hidden="false" customHeight="false" outlineLevel="0" collapsed="false">
      <c r="A3521" s="0" t="s">
        <v>111</v>
      </c>
      <c r="B3521" s="0" t="s">
        <v>1641</v>
      </c>
      <c r="C3521" s="0" t="n">
        <v>25</v>
      </c>
      <c r="D3521" s="0" t="n">
        <v>0</v>
      </c>
      <c r="E3521" s="0" t="n">
        <v>1</v>
      </c>
      <c r="F3521" s="0" t="n">
        <v>25</v>
      </c>
      <c r="G3521" s="0" t="n">
        <v>23</v>
      </c>
      <c r="H3521" s="0" t="s">
        <v>145</v>
      </c>
      <c r="I3521" s="0" t="n">
        <v>25</v>
      </c>
      <c r="J3521" s="0" t="n">
        <f aca="false">F3521*E3521</f>
        <v>25</v>
      </c>
      <c r="K3521" s="0" t="str">
        <f aca="false">IF(G3521&lt;1000,"1-Low",IF(G3521&lt;5000,"2-Medium","3-Bulk"))</f>
        <v>1-Low</v>
      </c>
      <c r="L3521" s="0" t="str">
        <f aca="false">IF(H3521="TRUE","Out of stock","In stock")</f>
        <v>In stock</v>
      </c>
      <c r="M3521" s="0" t="str">
        <f aca="false">IF(D3521&lt;5,"1) Under 5%",IF(D3521&lt;10,"2) 5-9%",IF(D3521&lt;15,"3) 10-14%",IF(D3521&lt;25,"4) 15-24%","5) 25%+"))))</f>
        <v>1) Under 5%</v>
      </c>
      <c r="N3521" s="0" t="str">
        <f aca="false">IF(F3521&lt;50,"1) Under Rs 50",IF(F3521&lt;100,"2) Rs 50-99",IF(F3521&lt;200,"3) Rs 100-199",IF(F3521&lt;500,"4) Rs 200-499","5) Rs 500+"))))</f>
        <v>1) Under Rs 50</v>
      </c>
      <c r="O3521" s="0" t="n">
        <f aca="false">G3521*E3521/1000</f>
        <v>0.023</v>
      </c>
    </row>
    <row r="3522" customFormat="false" ht="15" hidden="false" customHeight="false" outlineLevel="0" collapsed="false">
      <c r="A3522" s="0" t="s">
        <v>111</v>
      </c>
      <c r="B3522" s="0" t="s">
        <v>1642</v>
      </c>
      <c r="C3522" s="0" t="n">
        <v>65</v>
      </c>
      <c r="D3522" s="0" t="n">
        <v>13</v>
      </c>
      <c r="E3522" s="0" t="n">
        <v>6</v>
      </c>
      <c r="F3522" s="0" t="n">
        <v>56</v>
      </c>
      <c r="G3522" s="0" t="n">
        <v>100</v>
      </c>
      <c r="H3522" s="0" t="s">
        <v>145</v>
      </c>
      <c r="I3522" s="0" t="n">
        <v>100</v>
      </c>
      <c r="J3522" s="0" t="n">
        <f aca="false">F3522*E3522</f>
        <v>336</v>
      </c>
      <c r="K3522" s="0" t="str">
        <f aca="false">IF(G3522&lt;1000,"1-Low",IF(G3522&lt;5000,"2-Medium","3-Bulk"))</f>
        <v>1-Low</v>
      </c>
      <c r="L3522" s="0" t="str">
        <f aca="false">IF(H3522="TRUE","Out of stock","In stock")</f>
        <v>In stock</v>
      </c>
      <c r="M3522" s="0" t="str">
        <f aca="false">IF(D3522&lt;5,"1) Under 5%",IF(D3522&lt;10,"2) 5-9%",IF(D3522&lt;15,"3) 10-14%",IF(D3522&lt;25,"4) 15-24%","5) 25%+"))))</f>
        <v>3) 10-14%</v>
      </c>
      <c r="N3522" s="0" t="str">
        <f aca="false">IF(F3522&lt;50,"1) Under Rs 50",IF(F3522&lt;100,"2) Rs 50-99",IF(F3522&lt;200,"3) Rs 100-199",IF(F3522&lt;500,"4) Rs 200-499","5) Rs 500+"))))</f>
        <v>2) Rs 50-99</v>
      </c>
      <c r="O3522" s="0" t="n">
        <f aca="false">G3522*E3522/1000</f>
        <v>0.6</v>
      </c>
    </row>
    <row r="3523" customFormat="false" ht="15" hidden="false" customHeight="false" outlineLevel="0" collapsed="false">
      <c r="A3523" s="0" t="s">
        <v>111</v>
      </c>
      <c r="B3523" s="0" t="s">
        <v>1643</v>
      </c>
      <c r="C3523" s="0" t="n">
        <v>68</v>
      </c>
      <c r="D3523" s="0" t="n">
        <v>5</v>
      </c>
      <c r="E3523" s="0" t="n">
        <v>6</v>
      </c>
      <c r="F3523" s="0" t="n">
        <v>64</v>
      </c>
      <c r="G3523" s="0" t="n">
        <v>40</v>
      </c>
      <c r="H3523" s="0" t="s">
        <v>145</v>
      </c>
      <c r="I3523" s="0" t="n">
        <v>40</v>
      </c>
      <c r="J3523" s="0" t="n">
        <f aca="false">F3523*E3523</f>
        <v>384</v>
      </c>
      <c r="K3523" s="0" t="str">
        <f aca="false">IF(G3523&lt;1000,"1-Low",IF(G3523&lt;5000,"2-Medium","3-Bulk"))</f>
        <v>1-Low</v>
      </c>
      <c r="L3523" s="0" t="str">
        <f aca="false">IF(H3523="TRUE","Out of stock","In stock")</f>
        <v>In stock</v>
      </c>
      <c r="M3523" s="0" t="str">
        <f aca="false">IF(D3523&lt;5,"1) Under 5%",IF(D3523&lt;10,"2) 5-9%",IF(D3523&lt;15,"3) 10-14%",IF(D3523&lt;25,"4) 15-24%","5) 25%+"))))</f>
        <v>2) 5-9%</v>
      </c>
      <c r="N3523" s="0" t="str">
        <f aca="false">IF(F3523&lt;50,"1) Under Rs 50",IF(F3523&lt;100,"2) Rs 50-99",IF(F3523&lt;200,"3) Rs 100-199",IF(F3523&lt;500,"4) Rs 200-499","5) Rs 500+"))))</f>
        <v>2) Rs 50-99</v>
      </c>
      <c r="O3523" s="0" t="n">
        <f aca="false">G3523*E3523/1000</f>
        <v>0.24</v>
      </c>
    </row>
    <row r="3524" customFormat="false" ht="15" hidden="false" customHeight="false" outlineLevel="0" collapsed="false">
      <c r="A3524" s="0" t="s">
        <v>111</v>
      </c>
      <c r="B3524" s="0" t="s">
        <v>1644</v>
      </c>
      <c r="C3524" s="0" t="n">
        <v>240</v>
      </c>
      <c r="D3524" s="0" t="n">
        <v>15</v>
      </c>
      <c r="E3524" s="0" t="n">
        <v>5</v>
      </c>
      <c r="F3524" s="0" t="n">
        <v>204</v>
      </c>
      <c r="G3524" s="0" t="n">
        <v>50</v>
      </c>
      <c r="H3524" s="0" t="s">
        <v>145</v>
      </c>
      <c r="I3524" s="0" t="n">
        <v>50</v>
      </c>
      <c r="J3524" s="0" t="n">
        <f aca="false">F3524*E3524</f>
        <v>1020</v>
      </c>
      <c r="K3524" s="0" t="str">
        <f aca="false">IF(G3524&lt;1000,"1-Low",IF(G3524&lt;5000,"2-Medium","3-Bulk"))</f>
        <v>1-Low</v>
      </c>
      <c r="L3524" s="0" t="str">
        <f aca="false">IF(H3524="TRUE","Out of stock","In stock")</f>
        <v>In stock</v>
      </c>
      <c r="M3524" s="0" t="str">
        <f aca="false">IF(D3524&lt;5,"1) Under 5%",IF(D3524&lt;10,"2) 5-9%",IF(D3524&lt;15,"3) 10-14%",IF(D3524&lt;25,"4) 15-24%","5) 25%+"))))</f>
        <v>4) 15-24%</v>
      </c>
      <c r="N3524" s="0" t="str">
        <f aca="false">IF(F3524&lt;50,"1) Under Rs 50",IF(F3524&lt;100,"2) Rs 50-99",IF(F3524&lt;200,"3) Rs 100-199",IF(F3524&lt;500,"4) Rs 200-499","5) Rs 500+"))))</f>
        <v>4) Rs 200-499</v>
      </c>
      <c r="O3524" s="0" t="n">
        <f aca="false">G3524*E3524/1000</f>
        <v>0.25</v>
      </c>
    </row>
    <row r="3525" customFormat="false" ht="15" hidden="false" customHeight="false" outlineLevel="0" collapsed="false">
      <c r="A3525" s="0" t="s">
        <v>111</v>
      </c>
      <c r="B3525" s="0" t="s">
        <v>1645</v>
      </c>
      <c r="C3525" s="0" t="n">
        <v>175</v>
      </c>
      <c r="D3525" s="0" t="n">
        <v>9</v>
      </c>
      <c r="E3525" s="0" t="n">
        <v>6</v>
      </c>
      <c r="F3525" s="0" t="n">
        <v>158</v>
      </c>
      <c r="G3525" s="0" t="n">
        <v>58</v>
      </c>
      <c r="H3525" s="0" t="s">
        <v>145</v>
      </c>
      <c r="I3525" s="0" t="n">
        <v>1</v>
      </c>
      <c r="J3525" s="0" t="n">
        <f aca="false">F3525*E3525</f>
        <v>948</v>
      </c>
      <c r="K3525" s="0" t="str">
        <f aca="false">IF(G3525&lt;1000,"1-Low",IF(G3525&lt;5000,"2-Medium","3-Bulk"))</f>
        <v>1-Low</v>
      </c>
      <c r="L3525" s="0" t="str">
        <f aca="false">IF(H3525="TRUE","Out of stock","In stock")</f>
        <v>In stock</v>
      </c>
      <c r="M3525" s="0" t="str">
        <f aca="false">IF(D3525&lt;5,"1) Under 5%",IF(D3525&lt;10,"2) 5-9%",IF(D3525&lt;15,"3) 10-14%",IF(D3525&lt;25,"4) 15-24%","5) 25%+"))))</f>
        <v>2) 5-9%</v>
      </c>
      <c r="N3525" s="0" t="str">
        <f aca="false">IF(F3525&lt;50,"1) Under Rs 50",IF(F3525&lt;100,"2) Rs 50-99",IF(F3525&lt;200,"3) Rs 100-199",IF(F3525&lt;500,"4) Rs 200-499","5) Rs 500+"))))</f>
        <v>3) Rs 100-199</v>
      </c>
      <c r="O3525" s="0" t="n">
        <f aca="false">G3525*E3525/1000</f>
        <v>0.348</v>
      </c>
    </row>
    <row r="3526" customFormat="false" ht="15" hidden="false" customHeight="false" outlineLevel="0" collapsed="false">
      <c r="A3526" s="0" t="s">
        <v>111</v>
      </c>
      <c r="B3526" s="0" t="s">
        <v>1646</v>
      </c>
      <c r="C3526" s="0" t="n">
        <v>160</v>
      </c>
      <c r="D3526" s="0" t="n">
        <v>6</v>
      </c>
      <c r="E3526" s="0" t="n">
        <v>4</v>
      </c>
      <c r="F3526" s="0" t="n">
        <v>149</v>
      </c>
      <c r="G3526" s="0" t="n">
        <v>375</v>
      </c>
      <c r="H3526" s="0" t="s">
        <v>145</v>
      </c>
      <c r="I3526" s="0" t="n">
        <v>375</v>
      </c>
      <c r="J3526" s="0" t="n">
        <f aca="false">F3526*E3526</f>
        <v>596</v>
      </c>
      <c r="K3526" s="0" t="str">
        <f aca="false">IF(G3526&lt;1000,"1-Low",IF(G3526&lt;5000,"2-Medium","3-Bulk"))</f>
        <v>1-Low</v>
      </c>
      <c r="L3526" s="0" t="str">
        <f aca="false">IF(H3526="TRUE","Out of stock","In stock")</f>
        <v>In stock</v>
      </c>
      <c r="M3526" s="0" t="str">
        <f aca="false">IF(D3526&lt;5,"1) Under 5%",IF(D3526&lt;10,"2) 5-9%",IF(D3526&lt;15,"3) 10-14%",IF(D3526&lt;25,"4) 15-24%","5) 25%+"))))</f>
        <v>2) 5-9%</v>
      </c>
      <c r="N3526" s="0" t="str">
        <f aca="false">IF(F3526&lt;50,"1) Under Rs 50",IF(F3526&lt;100,"2) Rs 50-99",IF(F3526&lt;200,"3) Rs 100-199",IF(F3526&lt;500,"4) Rs 200-499","5) Rs 500+"))))</f>
        <v>3) Rs 100-199</v>
      </c>
      <c r="O3526" s="0" t="n">
        <f aca="false">G3526*E3526/1000</f>
        <v>1.5</v>
      </c>
    </row>
    <row r="3527" customFormat="false" ht="15" hidden="false" customHeight="false" outlineLevel="0" collapsed="false">
      <c r="A3527" s="0" t="s">
        <v>111</v>
      </c>
      <c r="B3527" s="0" t="s">
        <v>1647</v>
      </c>
      <c r="C3527" s="0" t="n">
        <v>103</v>
      </c>
      <c r="D3527" s="0" t="n">
        <v>5</v>
      </c>
      <c r="E3527" s="0" t="n">
        <v>6</v>
      </c>
      <c r="F3527" s="0" t="n">
        <v>97</v>
      </c>
      <c r="G3527" s="0" t="n">
        <v>500</v>
      </c>
      <c r="H3527" s="0" t="s">
        <v>145</v>
      </c>
      <c r="I3527" s="0" t="n">
        <v>500</v>
      </c>
      <c r="J3527" s="0" t="n">
        <f aca="false">F3527*E3527</f>
        <v>582</v>
      </c>
      <c r="K3527" s="0" t="str">
        <f aca="false">IF(G3527&lt;1000,"1-Low",IF(G3527&lt;5000,"2-Medium","3-Bulk"))</f>
        <v>1-Low</v>
      </c>
      <c r="L3527" s="0" t="str">
        <f aca="false">IF(H3527="TRUE","Out of stock","In stock")</f>
        <v>In stock</v>
      </c>
      <c r="M3527" s="0" t="str">
        <f aca="false">IF(D3527&lt;5,"1) Under 5%",IF(D3527&lt;10,"2) 5-9%",IF(D3527&lt;15,"3) 10-14%",IF(D3527&lt;25,"4) 15-24%","5) 25%+"))))</f>
        <v>2) 5-9%</v>
      </c>
      <c r="N3527" s="0" t="str">
        <f aca="false">IF(F3527&lt;50,"1) Under Rs 50",IF(F3527&lt;100,"2) Rs 50-99",IF(F3527&lt;200,"3) Rs 100-199",IF(F3527&lt;500,"4) Rs 200-499","5) Rs 500+"))))</f>
        <v>2) Rs 50-99</v>
      </c>
      <c r="O3527" s="0" t="n">
        <f aca="false">G3527*E3527/1000</f>
        <v>3</v>
      </c>
    </row>
    <row r="3528" customFormat="false" ht="15" hidden="false" customHeight="false" outlineLevel="0" collapsed="false">
      <c r="A3528" s="0" t="s">
        <v>111</v>
      </c>
      <c r="B3528" s="0" t="s">
        <v>1648</v>
      </c>
      <c r="C3528" s="0" t="n">
        <v>150</v>
      </c>
      <c r="D3528" s="0" t="n">
        <v>12</v>
      </c>
      <c r="E3528" s="0" t="n">
        <v>4</v>
      </c>
      <c r="F3528" s="0" t="n">
        <v>132</v>
      </c>
      <c r="G3528" s="0" t="n">
        <v>137</v>
      </c>
      <c r="H3528" s="0" t="s">
        <v>145</v>
      </c>
      <c r="I3528" s="0" t="n">
        <v>137</v>
      </c>
      <c r="J3528" s="0" t="n">
        <f aca="false">F3528*E3528</f>
        <v>528</v>
      </c>
      <c r="K3528" s="0" t="str">
        <f aca="false">IF(G3528&lt;1000,"1-Low",IF(G3528&lt;5000,"2-Medium","3-Bulk"))</f>
        <v>1-Low</v>
      </c>
      <c r="L3528" s="0" t="str">
        <f aca="false">IF(H3528="TRUE","Out of stock","In stock")</f>
        <v>In stock</v>
      </c>
      <c r="M3528" s="0" t="str">
        <f aca="false">IF(D3528&lt;5,"1) Under 5%",IF(D3528&lt;10,"2) 5-9%",IF(D3528&lt;15,"3) 10-14%",IF(D3528&lt;25,"4) 15-24%","5) 25%+"))))</f>
        <v>3) 10-14%</v>
      </c>
      <c r="N3528" s="0" t="str">
        <f aca="false">IF(F3528&lt;50,"1) Under Rs 50",IF(F3528&lt;100,"2) Rs 50-99",IF(F3528&lt;200,"3) Rs 100-199",IF(F3528&lt;500,"4) Rs 200-499","5) Rs 500+"))))</f>
        <v>3) Rs 100-199</v>
      </c>
      <c r="O3528" s="0" t="n">
        <f aca="false">G3528*E3528/1000</f>
        <v>0.548</v>
      </c>
    </row>
    <row r="3529" customFormat="false" ht="15" hidden="false" customHeight="false" outlineLevel="0" collapsed="false">
      <c r="A3529" s="0" t="s">
        <v>111</v>
      </c>
      <c r="B3529" s="0" t="s">
        <v>1649</v>
      </c>
      <c r="C3529" s="0" t="n">
        <v>50</v>
      </c>
      <c r="D3529" s="0" t="n">
        <v>2</v>
      </c>
      <c r="E3529" s="0" t="n">
        <v>6</v>
      </c>
      <c r="F3529" s="0" t="n">
        <v>49</v>
      </c>
      <c r="G3529" s="0" t="n">
        <v>58</v>
      </c>
      <c r="H3529" s="0" t="s">
        <v>145</v>
      </c>
      <c r="I3529" s="0" t="n">
        <v>1</v>
      </c>
      <c r="J3529" s="0" t="n">
        <f aca="false">F3529*E3529</f>
        <v>294</v>
      </c>
      <c r="K3529" s="0" t="str">
        <f aca="false">IF(G3529&lt;1000,"1-Low",IF(G3529&lt;5000,"2-Medium","3-Bulk"))</f>
        <v>1-Low</v>
      </c>
      <c r="L3529" s="0" t="str">
        <f aca="false">IF(H3529="TRUE","Out of stock","In stock")</f>
        <v>In stock</v>
      </c>
      <c r="M3529" s="0" t="str">
        <f aca="false">IF(D3529&lt;5,"1) Under 5%",IF(D3529&lt;10,"2) 5-9%",IF(D3529&lt;15,"3) 10-14%",IF(D3529&lt;25,"4) 15-24%","5) 25%+"))))</f>
        <v>1) Under 5%</v>
      </c>
      <c r="N3529" s="0" t="str">
        <f aca="false">IF(F3529&lt;50,"1) Under Rs 50",IF(F3529&lt;100,"2) Rs 50-99",IF(F3529&lt;200,"3) Rs 100-199",IF(F3529&lt;500,"4) Rs 200-499","5) Rs 500+"))))</f>
        <v>1) Under Rs 50</v>
      </c>
      <c r="O3529" s="0" t="n">
        <f aca="false">G3529*E3529/1000</f>
        <v>0.348</v>
      </c>
    </row>
    <row r="3530" customFormat="false" ht="15" hidden="false" customHeight="false" outlineLevel="0" collapsed="false">
      <c r="A3530" s="0" t="s">
        <v>111</v>
      </c>
      <c r="B3530" s="0" t="s">
        <v>1650</v>
      </c>
      <c r="C3530" s="0" t="n">
        <v>275</v>
      </c>
      <c r="D3530" s="0" t="n">
        <v>14</v>
      </c>
      <c r="E3530" s="0" t="n">
        <v>6</v>
      </c>
      <c r="F3530" s="0" t="n">
        <v>234</v>
      </c>
      <c r="G3530" s="0" t="n">
        <v>232</v>
      </c>
      <c r="H3530" s="0" t="s">
        <v>145</v>
      </c>
      <c r="I3530" s="0" t="n">
        <v>1</v>
      </c>
      <c r="J3530" s="0" t="n">
        <f aca="false">F3530*E3530</f>
        <v>1404</v>
      </c>
      <c r="K3530" s="0" t="str">
        <f aca="false">IF(G3530&lt;1000,"1-Low",IF(G3530&lt;5000,"2-Medium","3-Bulk"))</f>
        <v>1-Low</v>
      </c>
      <c r="L3530" s="0" t="str">
        <f aca="false">IF(H3530="TRUE","Out of stock","In stock")</f>
        <v>In stock</v>
      </c>
      <c r="M3530" s="0" t="str">
        <f aca="false">IF(D3530&lt;5,"1) Under 5%",IF(D3530&lt;10,"2) 5-9%",IF(D3530&lt;15,"3) 10-14%",IF(D3530&lt;25,"4) 15-24%","5) 25%+"))))</f>
        <v>3) 10-14%</v>
      </c>
      <c r="N3530" s="0" t="str">
        <f aca="false">IF(F3530&lt;50,"1) Under Rs 50",IF(F3530&lt;100,"2) Rs 50-99",IF(F3530&lt;200,"3) Rs 100-199",IF(F3530&lt;500,"4) Rs 200-499","5) Rs 500+"))))</f>
        <v>4) Rs 200-499</v>
      </c>
      <c r="O3530" s="0" t="n">
        <f aca="false">G3530*E3530/1000</f>
        <v>1.392</v>
      </c>
    </row>
    <row r="3531" customFormat="false" ht="15" hidden="false" customHeight="false" outlineLevel="0" collapsed="false">
      <c r="A3531" s="0" t="s">
        <v>111</v>
      </c>
      <c r="B3531" s="0" t="s">
        <v>1651</v>
      </c>
      <c r="C3531" s="0" t="n">
        <v>80</v>
      </c>
      <c r="D3531" s="0" t="n">
        <v>6</v>
      </c>
      <c r="E3531" s="0" t="n">
        <v>4</v>
      </c>
      <c r="F3531" s="0" t="n">
        <v>75</v>
      </c>
      <c r="G3531" s="0" t="n">
        <v>696</v>
      </c>
      <c r="H3531" s="0" t="s">
        <v>145</v>
      </c>
      <c r="I3531" s="0" t="n">
        <v>12</v>
      </c>
      <c r="J3531" s="0" t="n">
        <f aca="false">F3531*E3531</f>
        <v>300</v>
      </c>
      <c r="K3531" s="0" t="str">
        <f aca="false">IF(G3531&lt;1000,"1-Low",IF(G3531&lt;5000,"2-Medium","3-Bulk"))</f>
        <v>1-Low</v>
      </c>
      <c r="L3531" s="0" t="str">
        <f aca="false">IF(H3531="TRUE","Out of stock","In stock")</f>
        <v>In stock</v>
      </c>
      <c r="M3531" s="0" t="str">
        <f aca="false">IF(D3531&lt;5,"1) Under 5%",IF(D3531&lt;10,"2) 5-9%",IF(D3531&lt;15,"3) 10-14%",IF(D3531&lt;25,"4) 15-24%","5) 25%+"))))</f>
        <v>2) 5-9%</v>
      </c>
      <c r="N3531" s="0" t="str">
        <f aca="false">IF(F3531&lt;50,"1) Under Rs 50",IF(F3531&lt;100,"2) Rs 50-99",IF(F3531&lt;200,"3) Rs 100-199",IF(F3531&lt;500,"4) Rs 200-499","5) Rs 500+"))))</f>
        <v>2) Rs 50-99</v>
      </c>
      <c r="O3531" s="0" t="n">
        <f aca="false">G3531*E3531/1000</f>
        <v>2.784</v>
      </c>
    </row>
    <row r="3532" customFormat="false" ht="15" hidden="false" customHeight="false" outlineLevel="0" collapsed="false">
      <c r="A3532" s="0" t="s">
        <v>111</v>
      </c>
      <c r="B3532" s="0" t="s">
        <v>1652</v>
      </c>
      <c r="C3532" s="0" t="n">
        <v>75</v>
      </c>
      <c r="D3532" s="0" t="n">
        <v>9</v>
      </c>
      <c r="E3532" s="0" t="n">
        <v>5</v>
      </c>
      <c r="F3532" s="0" t="n">
        <v>68</v>
      </c>
      <c r="G3532" s="0" t="n">
        <v>290</v>
      </c>
      <c r="H3532" s="0" t="s">
        <v>145</v>
      </c>
      <c r="I3532" s="0" t="n">
        <v>5</v>
      </c>
      <c r="J3532" s="0" t="n">
        <f aca="false">F3532*E3532</f>
        <v>340</v>
      </c>
      <c r="K3532" s="0" t="str">
        <f aca="false">IF(G3532&lt;1000,"1-Low",IF(G3532&lt;5000,"2-Medium","3-Bulk"))</f>
        <v>1-Low</v>
      </c>
      <c r="L3532" s="0" t="str">
        <f aca="false">IF(H3532="TRUE","Out of stock","In stock")</f>
        <v>In stock</v>
      </c>
      <c r="M3532" s="0" t="str">
        <f aca="false">IF(D3532&lt;5,"1) Under 5%",IF(D3532&lt;10,"2) 5-9%",IF(D3532&lt;15,"3) 10-14%",IF(D3532&lt;25,"4) 15-24%","5) 25%+"))))</f>
        <v>2) 5-9%</v>
      </c>
      <c r="N3532" s="0" t="str">
        <f aca="false">IF(F3532&lt;50,"1) Under Rs 50",IF(F3532&lt;100,"2) Rs 50-99",IF(F3532&lt;200,"3) Rs 100-199",IF(F3532&lt;500,"4) Rs 200-499","5) Rs 500+"))))</f>
        <v>2) Rs 50-99</v>
      </c>
      <c r="O3532" s="0" t="n">
        <f aca="false">G3532*E3532/1000</f>
        <v>1.45</v>
      </c>
    </row>
    <row r="3533" customFormat="false" ht="15" hidden="false" customHeight="false" outlineLevel="0" collapsed="false">
      <c r="A3533" s="0" t="s">
        <v>111</v>
      </c>
      <c r="B3533" s="0" t="s">
        <v>1653</v>
      </c>
      <c r="C3533" s="0" t="n">
        <v>80</v>
      </c>
      <c r="D3533" s="0" t="n">
        <v>0</v>
      </c>
      <c r="E3533" s="0" t="n">
        <v>1</v>
      </c>
      <c r="F3533" s="0" t="n">
        <v>80</v>
      </c>
      <c r="G3533" s="0" t="n">
        <v>58</v>
      </c>
      <c r="H3533" s="0" t="s">
        <v>145</v>
      </c>
      <c r="I3533" s="0" t="n">
        <v>1</v>
      </c>
      <c r="J3533" s="0" t="n">
        <f aca="false">F3533*E3533</f>
        <v>80</v>
      </c>
      <c r="K3533" s="0" t="str">
        <f aca="false">IF(G3533&lt;1000,"1-Low",IF(G3533&lt;5000,"2-Medium","3-Bulk"))</f>
        <v>1-Low</v>
      </c>
      <c r="L3533" s="0" t="str">
        <f aca="false">IF(H3533="TRUE","Out of stock","In stock")</f>
        <v>In stock</v>
      </c>
      <c r="M3533" s="0" t="str">
        <f aca="false">IF(D3533&lt;5,"1) Under 5%",IF(D3533&lt;10,"2) 5-9%",IF(D3533&lt;15,"3) 10-14%",IF(D3533&lt;25,"4) 15-24%","5) 25%+"))))</f>
        <v>1) Under 5%</v>
      </c>
      <c r="N3533" s="0" t="str">
        <f aca="false">IF(F3533&lt;50,"1) Under Rs 50",IF(F3533&lt;100,"2) Rs 50-99",IF(F3533&lt;200,"3) Rs 100-199",IF(F3533&lt;500,"4) Rs 200-499","5) Rs 500+"))))</f>
        <v>2) Rs 50-99</v>
      </c>
      <c r="O3533" s="0" t="n">
        <f aca="false">G3533*E3533/1000</f>
        <v>0.058</v>
      </c>
    </row>
    <row r="3534" customFormat="false" ht="15" hidden="false" customHeight="false" outlineLevel="0" collapsed="false">
      <c r="A3534" s="0" t="s">
        <v>111</v>
      </c>
      <c r="B3534" s="0" t="s">
        <v>1654</v>
      </c>
      <c r="C3534" s="0" t="n">
        <v>90</v>
      </c>
      <c r="D3534" s="0" t="n">
        <v>8</v>
      </c>
      <c r="E3534" s="0" t="n">
        <v>6</v>
      </c>
      <c r="F3534" s="0" t="n">
        <v>82</v>
      </c>
      <c r="G3534" s="0" t="n">
        <v>120</v>
      </c>
      <c r="H3534" s="0" t="s">
        <v>145</v>
      </c>
      <c r="I3534" s="0" t="n">
        <v>120</v>
      </c>
      <c r="J3534" s="0" t="n">
        <f aca="false">F3534*E3534</f>
        <v>492</v>
      </c>
      <c r="K3534" s="0" t="str">
        <f aca="false">IF(G3534&lt;1000,"1-Low",IF(G3534&lt;5000,"2-Medium","3-Bulk"))</f>
        <v>1-Low</v>
      </c>
      <c r="L3534" s="0" t="str">
        <f aca="false">IF(H3534="TRUE","Out of stock","In stock")</f>
        <v>In stock</v>
      </c>
      <c r="M3534" s="0" t="str">
        <f aca="false">IF(D3534&lt;5,"1) Under 5%",IF(D3534&lt;10,"2) 5-9%",IF(D3534&lt;15,"3) 10-14%",IF(D3534&lt;25,"4) 15-24%","5) 25%+"))))</f>
        <v>2) 5-9%</v>
      </c>
      <c r="N3534" s="0" t="str">
        <f aca="false">IF(F3534&lt;50,"1) Under Rs 50",IF(F3534&lt;100,"2) Rs 50-99",IF(F3534&lt;200,"3) Rs 100-199",IF(F3534&lt;500,"4) Rs 200-499","5) Rs 500+"))))</f>
        <v>2) Rs 50-99</v>
      </c>
      <c r="O3534" s="0" t="n">
        <f aca="false">G3534*E3534/1000</f>
        <v>0.72</v>
      </c>
    </row>
    <row r="3535" customFormat="false" ht="15" hidden="false" customHeight="false" outlineLevel="0" collapsed="false">
      <c r="A3535" s="0" t="s">
        <v>111</v>
      </c>
      <c r="B3535" s="0" t="s">
        <v>1655</v>
      </c>
      <c r="C3535" s="0" t="n">
        <v>530</v>
      </c>
      <c r="D3535" s="0" t="n">
        <v>4</v>
      </c>
      <c r="E3535" s="0" t="n">
        <v>6</v>
      </c>
      <c r="F3535" s="0" t="n">
        <v>507</v>
      </c>
      <c r="G3535" s="0" t="n">
        <v>2000</v>
      </c>
      <c r="H3535" s="0" t="s">
        <v>145</v>
      </c>
      <c r="I3535" s="0" t="n">
        <v>2</v>
      </c>
      <c r="J3535" s="0" t="n">
        <f aca="false">F3535*E3535</f>
        <v>3042</v>
      </c>
      <c r="K3535" s="0" t="str">
        <f aca="false">IF(G3535&lt;1000,"1-Low",IF(G3535&lt;5000,"2-Medium","3-Bulk"))</f>
        <v>2-Medium</v>
      </c>
      <c r="L3535" s="0" t="str">
        <f aca="false">IF(H3535="TRUE","Out of stock","In stock")</f>
        <v>In stock</v>
      </c>
      <c r="M3535" s="0" t="str">
        <f aca="false">IF(D3535&lt;5,"1) Under 5%",IF(D3535&lt;10,"2) 5-9%",IF(D3535&lt;15,"3) 10-14%",IF(D3535&lt;25,"4) 15-24%","5) 25%+"))))</f>
        <v>1) Under 5%</v>
      </c>
      <c r="N3535" s="0" t="str">
        <f aca="false">IF(F3535&lt;50,"1) Under Rs 50",IF(F3535&lt;100,"2) Rs 50-99",IF(F3535&lt;200,"3) Rs 100-199",IF(F3535&lt;500,"4) Rs 200-499","5) Rs 500+"))))</f>
        <v>5) Rs 500+</v>
      </c>
      <c r="O3535" s="0" t="n">
        <f aca="false">G3535*E3535/1000</f>
        <v>12</v>
      </c>
    </row>
    <row r="3536" customFormat="false" ht="15" hidden="false" customHeight="false" outlineLevel="0" collapsed="false">
      <c r="A3536" s="0" t="s">
        <v>111</v>
      </c>
      <c r="B3536" s="0" t="s">
        <v>1656</v>
      </c>
      <c r="C3536" s="0" t="n">
        <v>50</v>
      </c>
      <c r="D3536" s="0" t="n">
        <v>2</v>
      </c>
      <c r="E3536" s="0" t="n">
        <v>6</v>
      </c>
      <c r="F3536" s="0" t="n">
        <v>49</v>
      </c>
      <c r="G3536" s="0" t="n">
        <v>105</v>
      </c>
      <c r="H3536" s="0" t="s">
        <v>145</v>
      </c>
      <c r="I3536" s="0" t="n">
        <v>100</v>
      </c>
      <c r="J3536" s="0" t="n">
        <f aca="false">F3536*E3536</f>
        <v>294</v>
      </c>
      <c r="K3536" s="0" t="str">
        <f aca="false">IF(G3536&lt;1000,"1-Low",IF(G3536&lt;5000,"2-Medium","3-Bulk"))</f>
        <v>1-Low</v>
      </c>
      <c r="L3536" s="0" t="str">
        <f aca="false">IF(H3536="TRUE","Out of stock","In stock")</f>
        <v>In stock</v>
      </c>
      <c r="M3536" s="0" t="str">
        <f aca="false">IF(D3536&lt;5,"1) Under 5%",IF(D3536&lt;10,"2) 5-9%",IF(D3536&lt;15,"3) 10-14%",IF(D3536&lt;25,"4) 15-24%","5) 25%+"))))</f>
        <v>1) Under 5%</v>
      </c>
      <c r="N3536" s="0" t="str">
        <f aca="false">IF(F3536&lt;50,"1) Under Rs 50",IF(F3536&lt;100,"2) Rs 50-99",IF(F3536&lt;200,"3) Rs 100-199",IF(F3536&lt;500,"4) Rs 200-499","5) Rs 500+"))))</f>
        <v>1) Under Rs 50</v>
      </c>
      <c r="O3536" s="0" t="n">
        <f aca="false">G3536*E3536/1000</f>
        <v>0.63</v>
      </c>
    </row>
    <row r="3537" customFormat="false" ht="15" hidden="false" customHeight="false" outlineLevel="0" collapsed="false">
      <c r="A3537" s="0" t="s">
        <v>111</v>
      </c>
      <c r="B3537" s="0" t="s">
        <v>1657</v>
      </c>
      <c r="C3537" s="0" t="n">
        <v>75</v>
      </c>
      <c r="D3537" s="0" t="n">
        <v>9</v>
      </c>
      <c r="E3537" s="0" t="n">
        <v>3</v>
      </c>
      <c r="F3537" s="0" t="n">
        <v>68</v>
      </c>
      <c r="G3537" s="0" t="n">
        <v>25</v>
      </c>
      <c r="H3537" s="0" t="s">
        <v>145</v>
      </c>
      <c r="I3537" s="0" t="n">
        <v>25</v>
      </c>
      <c r="J3537" s="0" t="n">
        <f aca="false">F3537*E3537</f>
        <v>204</v>
      </c>
      <c r="K3537" s="0" t="str">
        <f aca="false">IF(G3537&lt;1000,"1-Low",IF(G3537&lt;5000,"2-Medium","3-Bulk"))</f>
        <v>1-Low</v>
      </c>
      <c r="L3537" s="0" t="str">
        <f aca="false">IF(H3537="TRUE","Out of stock","In stock")</f>
        <v>In stock</v>
      </c>
      <c r="M3537" s="0" t="str">
        <f aca="false">IF(D3537&lt;5,"1) Under 5%",IF(D3537&lt;10,"2) 5-9%",IF(D3537&lt;15,"3) 10-14%",IF(D3537&lt;25,"4) 15-24%","5) 25%+"))))</f>
        <v>2) 5-9%</v>
      </c>
      <c r="N3537" s="0" t="str">
        <f aca="false">IF(F3537&lt;50,"1) Under Rs 50",IF(F3537&lt;100,"2) Rs 50-99",IF(F3537&lt;200,"3) Rs 100-199",IF(F3537&lt;500,"4) Rs 200-499","5) Rs 500+"))))</f>
        <v>2) Rs 50-99</v>
      </c>
      <c r="O3537" s="0" t="n">
        <f aca="false">G3537*E3537/1000</f>
        <v>0.075</v>
      </c>
    </row>
    <row r="3538" customFormat="false" ht="15" hidden="false" customHeight="false" outlineLevel="0" collapsed="false">
      <c r="A3538" s="0" t="s">
        <v>111</v>
      </c>
      <c r="B3538" s="0" t="s">
        <v>1658</v>
      </c>
      <c r="C3538" s="0" t="n">
        <v>188</v>
      </c>
      <c r="D3538" s="0" t="n">
        <v>10</v>
      </c>
      <c r="E3538" s="0" t="n">
        <v>6</v>
      </c>
      <c r="F3538" s="0" t="n">
        <v>169</v>
      </c>
      <c r="G3538" s="0" t="n">
        <v>35</v>
      </c>
      <c r="H3538" s="0" t="s">
        <v>145</v>
      </c>
      <c r="I3538" s="0" t="n">
        <v>35</v>
      </c>
      <c r="J3538" s="0" t="n">
        <f aca="false">F3538*E3538</f>
        <v>1014</v>
      </c>
      <c r="K3538" s="0" t="str">
        <f aca="false">IF(G3538&lt;1000,"1-Low",IF(G3538&lt;5000,"2-Medium","3-Bulk"))</f>
        <v>1-Low</v>
      </c>
      <c r="L3538" s="0" t="str">
        <f aca="false">IF(H3538="TRUE","Out of stock","In stock")</f>
        <v>In stock</v>
      </c>
      <c r="M3538" s="0" t="str">
        <f aca="false">IF(D3538&lt;5,"1) Under 5%",IF(D3538&lt;10,"2) 5-9%",IF(D3538&lt;15,"3) 10-14%",IF(D3538&lt;25,"4) 15-24%","5) 25%+"))))</f>
        <v>3) 10-14%</v>
      </c>
      <c r="N3538" s="0" t="str">
        <f aca="false">IF(F3538&lt;50,"1) Under Rs 50",IF(F3538&lt;100,"2) Rs 50-99",IF(F3538&lt;200,"3) Rs 100-199",IF(F3538&lt;500,"4) Rs 200-499","5) Rs 500+"))))</f>
        <v>3) Rs 100-199</v>
      </c>
      <c r="O3538" s="0" t="n">
        <f aca="false">G3538*E3538/1000</f>
        <v>0.21</v>
      </c>
    </row>
    <row r="3539" customFormat="false" ht="15" hidden="false" customHeight="false" outlineLevel="0" collapsed="false">
      <c r="A3539" s="0" t="s">
        <v>111</v>
      </c>
      <c r="B3539" s="0" t="s">
        <v>1659</v>
      </c>
      <c r="C3539" s="0" t="n">
        <v>390</v>
      </c>
      <c r="D3539" s="0" t="n">
        <v>11</v>
      </c>
      <c r="E3539" s="0" t="n">
        <v>6</v>
      </c>
      <c r="F3539" s="0" t="n">
        <v>347</v>
      </c>
      <c r="G3539" s="0" t="n">
        <v>696</v>
      </c>
      <c r="H3539" s="0" t="s">
        <v>145</v>
      </c>
      <c r="I3539" s="0" t="n">
        <v>12</v>
      </c>
      <c r="J3539" s="0" t="n">
        <f aca="false">F3539*E3539</f>
        <v>2082</v>
      </c>
      <c r="K3539" s="0" t="str">
        <f aca="false">IF(G3539&lt;1000,"1-Low",IF(G3539&lt;5000,"2-Medium","3-Bulk"))</f>
        <v>1-Low</v>
      </c>
      <c r="L3539" s="0" t="str">
        <f aca="false">IF(H3539="TRUE","Out of stock","In stock")</f>
        <v>In stock</v>
      </c>
      <c r="M3539" s="0" t="str">
        <f aca="false">IF(D3539&lt;5,"1) Under 5%",IF(D3539&lt;10,"2) 5-9%",IF(D3539&lt;15,"3) 10-14%",IF(D3539&lt;25,"4) 15-24%","5) 25%+"))))</f>
        <v>3) 10-14%</v>
      </c>
      <c r="N3539" s="0" t="str">
        <f aca="false">IF(F3539&lt;50,"1) Under Rs 50",IF(F3539&lt;100,"2) Rs 50-99",IF(F3539&lt;200,"3) Rs 100-199",IF(F3539&lt;500,"4) Rs 200-499","5) Rs 500+"))))</f>
        <v>4) Rs 200-499</v>
      </c>
      <c r="O3539" s="0" t="n">
        <f aca="false">G3539*E3539/1000</f>
        <v>4.176</v>
      </c>
    </row>
    <row r="3540" customFormat="false" ht="15" hidden="false" customHeight="false" outlineLevel="0" collapsed="false">
      <c r="A3540" s="0" t="s">
        <v>111</v>
      </c>
      <c r="B3540" s="0" t="s">
        <v>1660</v>
      </c>
      <c r="C3540" s="0" t="n">
        <v>800</v>
      </c>
      <c r="D3540" s="0" t="n">
        <v>15</v>
      </c>
      <c r="E3540" s="0" t="n">
        <v>6</v>
      </c>
      <c r="F3540" s="0" t="n">
        <v>680</v>
      </c>
      <c r="G3540" s="0" t="n">
        <v>3000</v>
      </c>
      <c r="H3540" s="0" t="s">
        <v>145</v>
      </c>
      <c r="I3540" s="0" t="n">
        <v>3</v>
      </c>
      <c r="J3540" s="0" t="n">
        <f aca="false">F3540*E3540</f>
        <v>4080</v>
      </c>
      <c r="K3540" s="0" t="str">
        <f aca="false">IF(G3540&lt;1000,"1-Low",IF(G3540&lt;5000,"2-Medium","3-Bulk"))</f>
        <v>2-Medium</v>
      </c>
      <c r="L3540" s="0" t="str">
        <f aca="false">IF(H3540="TRUE","Out of stock","In stock")</f>
        <v>In stock</v>
      </c>
      <c r="M3540" s="0" t="str">
        <f aca="false">IF(D3540&lt;5,"1) Under 5%",IF(D3540&lt;10,"2) 5-9%",IF(D3540&lt;15,"3) 10-14%",IF(D3540&lt;25,"4) 15-24%","5) 25%+"))))</f>
        <v>4) 15-24%</v>
      </c>
      <c r="N3540" s="0" t="str">
        <f aca="false">IF(F3540&lt;50,"1) Under Rs 50",IF(F3540&lt;100,"2) Rs 50-99",IF(F3540&lt;200,"3) Rs 100-199",IF(F3540&lt;500,"4) Rs 200-499","5) Rs 500+"))))</f>
        <v>5) Rs 500+</v>
      </c>
      <c r="O3540" s="0" t="n">
        <f aca="false">G3540*E3540/1000</f>
        <v>18</v>
      </c>
    </row>
    <row r="3541" customFormat="false" ht="15" hidden="false" customHeight="false" outlineLevel="0" collapsed="false">
      <c r="A3541" s="0" t="s">
        <v>111</v>
      </c>
      <c r="B3541" s="0" t="s">
        <v>1661</v>
      </c>
      <c r="C3541" s="0" t="n">
        <v>150</v>
      </c>
      <c r="D3541" s="0" t="n">
        <v>10</v>
      </c>
      <c r="E3541" s="0" t="n">
        <v>6</v>
      </c>
      <c r="F3541" s="0" t="n">
        <v>135</v>
      </c>
      <c r="G3541" s="0" t="n">
        <v>58</v>
      </c>
      <c r="H3541" s="0" t="s">
        <v>145</v>
      </c>
      <c r="I3541" s="0" t="n">
        <v>1</v>
      </c>
      <c r="J3541" s="0" t="n">
        <f aca="false">F3541*E3541</f>
        <v>810</v>
      </c>
      <c r="K3541" s="0" t="str">
        <f aca="false">IF(G3541&lt;1000,"1-Low",IF(G3541&lt;5000,"2-Medium","3-Bulk"))</f>
        <v>1-Low</v>
      </c>
      <c r="L3541" s="0" t="str">
        <f aca="false">IF(H3541="TRUE","Out of stock","In stock")</f>
        <v>In stock</v>
      </c>
      <c r="M3541" s="0" t="str">
        <f aca="false">IF(D3541&lt;5,"1) Under 5%",IF(D3541&lt;10,"2) 5-9%",IF(D3541&lt;15,"3) 10-14%",IF(D3541&lt;25,"4) 15-24%","5) 25%+"))))</f>
        <v>3) 10-14%</v>
      </c>
      <c r="N3541" s="0" t="str">
        <f aca="false">IF(F3541&lt;50,"1) Under Rs 50",IF(F3541&lt;100,"2) Rs 50-99",IF(F3541&lt;200,"3) Rs 100-199",IF(F3541&lt;500,"4) Rs 200-499","5) Rs 500+"))))</f>
        <v>3) Rs 100-199</v>
      </c>
      <c r="O3541" s="0" t="n">
        <f aca="false">G3541*E3541/1000</f>
        <v>0.348</v>
      </c>
    </row>
    <row r="3542" customFormat="false" ht="15" hidden="false" customHeight="false" outlineLevel="0" collapsed="false">
      <c r="A3542" s="0" t="s">
        <v>111</v>
      </c>
      <c r="B3542" s="0" t="s">
        <v>1662</v>
      </c>
      <c r="C3542" s="0" t="n">
        <v>114</v>
      </c>
      <c r="D3542" s="0" t="n">
        <v>0</v>
      </c>
      <c r="E3542" s="0" t="n">
        <v>6</v>
      </c>
      <c r="F3542" s="0" t="n">
        <v>114</v>
      </c>
      <c r="G3542" s="0" t="n">
        <v>800</v>
      </c>
      <c r="H3542" s="0" t="s">
        <v>145</v>
      </c>
      <c r="I3542" s="0" t="n">
        <v>800</v>
      </c>
      <c r="J3542" s="0" t="n">
        <f aca="false">F3542*E3542</f>
        <v>684</v>
      </c>
      <c r="K3542" s="0" t="str">
        <f aca="false">IF(G3542&lt;1000,"1-Low",IF(G3542&lt;5000,"2-Medium","3-Bulk"))</f>
        <v>1-Low</v>
      </c>
      <c r="L3542" s="0" t="str">
        <f aca="false">IF(H3542="TRUE","Out of stock","In stock")</f>
        <v>In stock</v>
      </c>
      <c r="M3542" s="0" t="str">
        <f aca="false">IF(D3542&lt;5,"1) Under 5%",IF(D3542&lt;10,"2) 5-9%",IF(D3542&lt;15,"3) 10-14%",IF(D3542&lt;25,"4) 15-24%","5) 25%+"))))</f>
        <v>1) Under 5%</v>
      </c>
      <c r="N3542" s="0" t="str">
        <f aca="false">IF(F3542&lt;50,"1) Under Rs 50",IF(F3542&lt;100,"2) Rs 50-99",IF(F3542&lt;200,"3) Rs 100-199",IF(F3542&lt;500,"4) Rs 200-499","5) Rs 500+"))))</f>
        <v>3) Rs 100-199</v>
      </c>
      <c r="O3542" s="0" t="n">
        <f aca="false">G3542*E3542/1000</f>
        <v>4.8</v>
      </c>
    </row>
    <row r="3543" customFormat="false" ht="15" hidden="false" customHeight="false" outlineLevel="0" collapsed="false">
      <c r="A3543" s="0" t="s">
        <v>111</v>
      </c>
      <c r="B3543" s="0" t="s">
        <v>1663</v>
      </c>
      <c r="C3543" s="0" t="n">
        <v>55</v>
      </c>
      <c r="D3543" s="0" t="n">
        <v>0</v>
      </c>
      <c r="E3543" s="0" t="n">
        <v>1</v>
      </c>
      <c r="F3543" s="0" t="n">
        <v>55</v>
      </c>
      <c r="G3543" s="0" t="n">
        <v>10</v>
      </c>
      <c r="H3543" s="0" t="s">
        <v>145</v>
      </c>
      <c r="I3543" s="0" t="n">
        <v>10</v>
      </c>
      <c r="J3543" s="0" t="n">
        <f aca="false">F3543*E3543</f>
        <v>55</v>
      </c>
      <c r="K3543" s="0" t="str">
        <f aca="false">IF(G3543&lt;1000,"1-Low",IF(G3543&lt;5000,"2-Medium","3-Bulk"))</f>
        <v>1-Low</v>
      </c>
      <c r="L3543" s="0" t="str">
        <f aca="false">IF(H3543="TRUE","Out of stock","In stock")</f>
        <v>In stock</v>
      </c>
      <c r="M3543" s="0" t="str">
        <f aca="false">IF(D3543&lt;5,"1) Under 5%",IF(D3543&lt;10,"2) 5-9%",IF(D3543&lt;15,"3) 10-14%",IF(D3543&lt;25,"4) 15-24%","5) 25%+"))))</f>
        <v>1) Under 5%</v>
      </c>
      <c r="N3543" s="0" t="str">
        <f aca="false">IF(F3543&lt;50,"1) Under Rs 50",IF(F3543&lt;100,"2) Rs 50-99",IF(F3543&lt;200,"3) Rs 100-199",IF(F3543&lt;500,"4) Rs 200-499","5) Rs 500+"))))</f>
        <v>2) Rs 50-99</v>
      </c>
      <c r="O3543" s="0" t="n">
        <f aca="false">G3543*E3543/1000</f>
        <v>0.01</v>
      </c>
    </row>
    <row r="3544" customFormat="false" ht="15" hidden="false" customHeight="false" outlineLevel="0" collapsed="false">
      <c r="A3544" s="0" t="s">
        <v>111</v>
      </c>
      <c r="B3544" s="0" t="s">
        <v>1664</v>
      </c>
      <c r="C3544" s="0" t="n">
        <v>150</v>
      </c>
      <c r="D3544" s="0" t="n">
        <v>0</v>
      </c>
      <c r="E3544" s="0" t="n">
        <v>2</v>
      </c>
      <c r="F3544" s="0" t="n">
        <v>150</v>
      </c>
      <c r="G3544" s="0" t="n">
        <v>58</v>
      </c>
      <c r="H3544" s="0" t="s">
        <v>145</v>
      </c>
      <c r="I3544" s="0" t="n">
        <v>1</v>
      </c>
      <c r="J3544" s="0" t="n">
        <f aca="false">F3544*E3544</f>
        <v>300</v>
      </c>
      <c r="K3544" s="0" t="str">
        <f aca="false">IF(G3544&lt;1000,"1-Low",IF(G3544&lt;5000,"2-Medium","3-Bulk"))</f>
        <v>1-Low</v>
      </c>
      <c r="L3544" s="0" t="str">
        <f aca="false">IF(H3544="TRUE","Out of stock","In stock")</f>
        <v>In stock</v>
      </c>
      <c r="M3544" s="0" t="str">
        <f aca="false">IF(D3544&lt;5,"1) Under 5%",IF(D3544&lt;10,"2) 5-9%",IF(D3544&lt;15,"3) 10-14%",IF(D3544&lt;25,"4) 15-24%","5) 25%+"))))</f>
        <v>1) Under 5%</v>
      </c>
      <c r="N3544" s="0" t="str">
        <f aca="false">IF(F3544&lt;50,"1) Under Rs 50",IF(F3544&lt;100,"2) Rs 50-99",IF(F3544&lt;200,"3) Rs 100-199",IF(F3544&lt;500,"4) Rs 200-499","5) Rs 500+"))))</f>
        <v>3) Rs 100-199</v>
      </c>
      <c r="O3544" s="0" t="n">
        <f aca="false">G3544*E3544/1000</f>
        <v>0.116</v>
      </c>
    </row>
    <row r="3545" customFormat="false" ht="15" hidden="false" customHeight="false" outlineLevel="0" collapsed="false">
      <c r="A3545" s="0" t="s">
        <v>111</v>
      </c>
      <c r="B3545" s="0" t="s">
        <v>1665</v>
      </c>
      <c r="C3545" s="0" t="n">
        <v>330</v>
      </c>
      <c r="D3545" s="0" t="n">
        <v>10</v>
      </c>
      <c r="E3545" s="0" t="n">
        <v>6</v>
      </c>
      <c r="F3545" s="0" t="n">
        <v>297</v>
      </c>
      <c r="G3545" s="0" t="n">
        <v>290</v>
      </c>
      <c r="H3545" s="0" t="s">
        <v>145</v>
      </c>
      <c r="I3545" s="0" t="n">
        <v>5</v>
      </c>
      <c r="J3545" s="0" t="n">
        <f aca="false">F3545*E3545</f>
        <v>1782</v>
      </c>
      <c r="K3545" s="0" t="str">
        <f aca="false">IF(G3545&lt;1000,"1-Low",IF(G3545&lt;5000,"2-Medium","3-Bulk"))</f>
        <v>1-Low</v>
      </c>
      <c r="L3545" s="0" t="str">
        <f aca="false">IF(H3545="TRUE","Out of stock","In stock")</f>
        <v>In stock</v>
      </c>
      <c r="M3545" s="0" t="str">
        <f aca="false">IF(D3545&lt;5,"1) Under 5%",IF(D3545&lt;10,"2) 5-9%",IF(D3545&lt;15,"3) 10-14%",IF(D3545&lt;25,"4) 15-24%","5) 25%+"))))</f>
        <v>3) 10-14%</v>
      </c>
      <c r="N3545" s="0" t="str">
        <f aca="false">IF(F3545&lt;50,"1) Under Rs 50",IF(F3545&lt;100,"2) Rs 50-99",IF(F3545&lt;200,"3) Rs 100-199",IF(F3545&lt;500,"4) Rs 200-499","5) Rs 500+"))))</f>
        <v>4) Rs 200-499</v>
      </c>
      <c r="O3545" s="0" t="n">
        <f aca="false">G3545*E3545/1000</f>
        <v>1.74</v>
      </c>
    </row>
    <row r="3546" customFormat="false" ht="15" hidden="false" customHeight="false" outlineLevel="0" collapsed="false">
      <c r="A3546" s="0" t="s">
        <v>111</v>
      </c>
      <c r="B3546" s="0" t="s">
        <v>1666</v>
      </c>
      <c r="C3546" s="0" t="n">
        <v>180</v>
      </c>
      <c r="D3546" s="0" t="n">
        <v>5</v>
      </c>
      <c r="E3546" s="0" t="n">
        <v>6</v>
      </c>
      <c r="F3546" s="0" t="n">
        <v>170</v>
      </c>
      <c r="G3546" s="0" t="n">
        <v>1000</v>
      </c>
      <c r="H3546" s="0" t="s">
        <v>145</v>
      </c>
      <c r="I3546" s="0" t="n">
        <v>1</v>
      </c>
      <c r="J3546" s="0" t="n">
        <f aca="false">F3546*E3546</f>
        <v>1020</v>
      </c>
      <c r="K3546" s="0" t="str">
        <f aca="false">IF(G3546&lt;1000,"1-Low",IF(G3546&lt;5000,"2-Medium","3-Bulk"))</f>
        <v>2-Medium</v>
      </c>
      <c r="L3546" s="0" t="str">
        <f aca="false">IF(H3546="TRUE","Out of stock","In stock")</f>
        <v>In stock</v>
      </c>
      <c r="M3546" s="0" t="str">
        <f aca="false">IF(D3546&lt;5,"1) Under 5%",IF(D3546&lt;10,"2) 5-9%",IF(D3546&lt;15,"3) 10-14%",IF(D3546&lt;25,"4) 15-24%","5) 25%+"))))</f>
        <v>2) 5-9%</v>
      </c>
      <c r="N3546" s="0" t="str">
        <f aca="false">IF(F3546&lt;50,"1) Under Rs 50",IF(F3546&lt;100,"2) Rs 50-99",IF(F3546&lt;200,"3) Rs 100-199",IF(F3546&lt;500,"4) Rs 200-499","5) Rs 500+"))))</f>
        <v>3) Rs 100-199</v>
      </c>
      <c r="O3546" s="0" t="n">
        <f aca="false">G3546*E3546/1000</f>
        <v>6</v>
      </c>
    </row>
    <row r="3547" customFormat="false" ht="15" hidden="false" customHeight="false" outlineLevel="0" collapsed="false">
      <c r="A3547" s="0" t="s">
        <v>111</v>
      </c>
      <c r="B3547" s="0" t="s">
        <v>1667</v>
      </c>
      <c r="C3547" s="0" t="n">
        <v>810</v>
      </c>
      <c r="D3547" s="0" t="n">
        <v>7</v>
      </c>
      <c r="E3547" s="0" t="n">
        <v>2</v>
      </c>
      <c r="F3547" s="0" t="n">
        <v>750</v>
      </c>
      <c r="G3547" s="0" t="n">
        <v>4000</v>
      </c>
      <c r="H3547" s="0" t="s">
        <v>145</v>
      </c>
      <c r="I3547" s="0" t="n">
        <v>4</v>
      </c>
      <c r="J3547" s="0" t="n">
        <f aca="false">F3547*E3547</f>
        <v>1500</v>
      </c>
      <c r="K3547" s="0" t="str">
        <f aca="false">IF(G3547&lt;1000,"1-Low",IF(G3547&lt;5000,"2-Medium","3-Bulk"))</f>
        <v>2-Medium</v>
      </c>
      <c r="L3547" s="0" t="str">
        <f aca="false">IF(H3547="TRUE","Out of stock","In stock")</f>
        <v>In stock</v>
      </c>
      <c r="M3547" s="0" t="str">
        <f aca="false">IF(D3547&lt;5,"1) Under 5%",IF(D3547&lt;10,"2) 5-9%",IF(D3547&lt;15,"3) 10-14%",IF(D3547&lt;25,"4) 15-24%","5) 25%+"))))</f>
        <v>2) 5-9%</v>
      </c>
      <c r="N3547" s="0" t="str">
        <f aca="false">IF(F3547&lt;50,"1) Under Rs 50",IF(F3547&lt;100,"2) Rs 50-99",IF(F3547&lt;200,"3) Rs 100-199",IF(F3547&lt;500,"4) Rs 200-499","5) Rs 500+"))))</f>
        <v>5) Rs 500+</v>
      </c>
      <c r="O3547" s="0" t="n">
        <f aca="false">G3547*E3547/1000</f>
        <v>8</v>
      </c>
    </row>
    <row r="3548" customFormat="false" ht="15" hidden="false" customHeight="false" outlineLevel="0" collapsed="false">
      <c r="A3548" s="0" t="s">
        <v>111</v>
      </c>
      <c r="B3548" s="0" t="s">
        <v>1668</v>
      </c>
      <c r="C3548" s="0" t="n">
        <v>90</v>
      </c>
      <c r="D3548" s="0" t="n">
        <v>10</v>
      </c>
      <c r="E3548" s="0" t="n">
        <v>6</v>
      </c>
      <c r="F3548" s="0" t="n">
        <v>81</v>
      </c>
      <c r="G3548" s="0" t="n">
        <v>348</v>
      </c>
      <c r="H3548" s="0" t="s">
        <v>145</v>
      </c>
      <c r="I3548" s="0" t="n">
        <v>3</v>
      </c>
      <c r="J3548" s="0" t="n">
        <f aca="false">F3548*E3548</f>
        <v>486</v>
      </c>
      <c r="K3548" s="0" t="str">
        <f aca="false">IF(G3548&lt;1000,"1-Low",IF(G3548&lt;5000,"2-Medium","3-Bulk"))</f>
        <v>1-Low</v>
      </c>
      <c r="L3548" s="0" t="str">
        <f aca="false">IF(H3548="TRUE","Out of stock","In stock")</f>
        <v>In stock</v>
      </c>
      <c r="M3548" s="0" t="str">
        <f aca="false">IF(D3548&lt;5,"1) Under 5%",IF(D3548&lt;10,"2) 5-9%",IF(D3548&lt;15,"3) 10-14%",IF(D3548&lt;25,"4) 15-24%","5) 25%+"))))</f>
        <v>3) 10-14%</v>
      </c>
      <c r="N3548" s="0" t="str">
        <f aca="false">IF(F3548&lt;50,"1) Under Rs 50",IF(F3548&lt;100,"2) Rs 50-99",IF(F3548&lt;200,"3) Rs 100-199",IF(F3548&lt;500,"4) Rs 200-499","5) Rs 500+"))))</f>
        <v>2) Rs 50-99</v>
      </c>
      <c r="O3548" s="0" t="n">
        <f aca="false">G3548*E3548/1000</f>
        <v>2.088</v>
      </c>
    </row>
    <row r="3549" customFormat="false" ht="15" hidden="false" customHeight="false" outlineLevel="0" collapsed="false">
      <c r="A3549" s="0" t="s">
        <v>111</v>
      </c>
      <c r="B3549" s="0" t="s">
        <v>1669</v>
      </c>
      <c r="C3549" s="0" t="n">
        <v>161</v>
      </c>
      <c r="D3549" s="0" t="n">
        <v>5</v>
      </c>
      <c r="E3549" s="0" t="n">
        <v>6</v>
      </c>
      <c r="F3549" s="0" t="n">
        <v>152</v>
      </c>
      <c r="G3549" s="0" t="n">
        <v>245</v>
      </c>
      <c r="H3549" s="0" t="s">
        <v>145</v>
      </c>
      <c r="I3549" s="0" t="n">
        <v>245</v>
      </c>
      <c r="J3549" s="0" t="n">
        <f aca="false">F3549*E3549</f>
        <v>912</v>
      </c>
      <c r="K3549" s="0" t="str">
        <f aca="false">IF(G3549&lt;1000,"1-Low",IF(G3549&lt;5000,"2-Medium","3-Bulk"))</f>
        <v>1-Low</v>
      </c>
      <c r="L3549" s="0" t="str">
        <f aca="false">IF(H3549="TRUE","Out of stock","In stock")</f>
        <v>In stock</v>
      </c>
      <c r="M3549" s="0" t="str">
        <f aca="false">IF(D3549&lt;5,"1) Under 5%",IF(D3549&lt;10,"2) 5-9%",IF(D3549&lt;15,"3) 10-14%",IF(D3549&lt;25,"4) 15-24%","5) 25%+"))))</f>
        <v>2) 5-9%</v>
      </c>
      <c r="N3549" s="0" t="str">
        <f aca="false">IF(F3549&lt;50,"1) Under Rs 50",IF(F3549&lt;100,"2) Rs 50-99",IF(F3549&lt;200,"3) Rs 100-199",IF(F3549&lt;500,"4) Rs 200-499","5) Rs 500+"))))</f>
        <v>3) Rs 100-199</v>
      </c>
      <c r="O3549" s="0" t="n">
        <f aca="false">G3549*E3549/1000</f>
        <v>1.47</v>
      </c>
    </row>
    <row r="3550" customFormat="false" ht="15" hidden="false" customHeight="false" outlineLevel="0" collapsed="false">
      <c r="A3550" s="0" t="s">
        <v>111</v>
      </c>
      <c r="B3550" s="0" t="s">
        <v>1670</v>
      </c>
      <c r="C3550" s="0" t="n">
        <v>95</v>
      </c>
      <c r="D3550" s="0" t="n">
        <v>9</v>
      </c>
      <c r="E3550" s="0" t="n">
        <v>6</v>
      </c>
      <c r="F3550" s="0" t="n">
        <v>86</v>
      </c>
      <c r="G3550" s="0" t="n">
        <v>50</v>
      </c>
      <c r="H3550" s="0" t="s">
        <v>145</v>
      </c>
      <c r="I3550" s="0" t="n">
        <v>50</v>
      </c>
      <c r="J3550" s="0" t="n">
        <f aca="false">F3550*E3550</f>
        <v>516</v>
      </c>
      <c r="K3550" s="0" t="str">
        <f aca="false">IF(G3550&lt;1000,"1-Low",IF(G3550&lt;5000,"2-Medium","3-Bulk"))</f>
        <v>1-Low</v>
      </c>
      <c r="L3550" s="0" t="str">
        <f aca="false">IF(H3550="TRUE","Out of stock","In stock")</f>
        <v>In stock</v>
      </c>
      <c r="M3550" s="0" t="str">
        <f aca="false">IF(D3550&lt;5,"1) Under 5%",IF(D3550&lt;10,"2) 5-9%",IF(D3550&lt;15,"3) 10-14%",IF(D3550&lt;25,"4) 15-24%","5) 25%+"))))</f>
        <v>2) 5-9%</v>
      </c>
      <c r="N3550" s="0" t="str">
        <f aca="false">IF(F3550&lt;50,"1) Under Rs 50",IF(F3550&lt;100,"2) Rs 50-99",IF(F3550&lt;200,"3) Rs 100-199",IF(F3550&lt;500,"4) Rs 200-499","5) Rs 500+"))))</f>
        <v>2) Rs 50-99</v>
      </c>
      <c r="O3550" s="0" t="n">
        <f aca="false">G3550*E3550/1000</f>
        <v>0.3</v>
      </c>
    </row>
    <row r="3551" customFormat="false" ht="15" hidden="false" customHeight="false" outlineLevel="0" collapsed="false">
      <c r="A3551" s="0" t="s">
        <v>111</v>
      </c>
      <c r="B3551" s="0" t="s">
        <v>1671</v>
      </c>
      <c r="C3551" s="0" t="n">
        <v>102</v>
      </c>
      <c r="D3551" s="0" t="n">
        <v>0</v>
      </c>
      <c r="E3551" s="0" t="n">
        <v>1</v>
      </c>
      <c r="F3551" s="0" t="n">
        <v>102</v>
      </c>
      <c r="G3551" s="0" t="n">
        <v>400</v>
      </c>
      <c r="H3551" s="0" t="s">
        <v>145</v>
      </c>
      <c r="I3551" s="0" t="n">
        <v>400</v>
      </c>
      <c r="J3551" s="0" t="n">
        <f aca="false">F3551*E3551</f>
        <v>102</v>
      </c>
      <c r="K3551" s="0" t="str">
        <f aca="false">IF(G3551&lt;1000,"1-Low",IF(G3551&lt;5000,"2-Medium","3-Bulk"))</f>
        <v>1-Low</v>
      </c>
      <c r="L3551" s="0" t="str">
        <f aca="false">IF(H3551="TRUE","Out of stock","In stock")</f>
        <v>In stock</v>
      </c>
      <c r="M3551" s="0" t="str">
        <f aca="false">IF(D3551&lt;5,"1) Under 5%",IF(D3551&lt;10,"2) 5-9%",IF(D3551&lt;15,"3) 10-14%",IF(D3551&lt;25,"4) 15-24%","5) 25%+"))))</f>
        <v>1) Under 5%</v>
      </c>
      <c r="N3551" s="0" t="str">
        <f aca="false">IF(F3551&lt;50,"1) Under Rs 50",IF(F3551&lt;100,"2) Rs 50-99",IF(F3551&lt;200,"3) Rs 100-199",IF(F3551&lt;500,"4) Rs 200-499","5) Rs 500+"))))</f>
        <v>3) Rs 100-199</v>
      </c>
      <c r="O3551" s="0" t="n">
        <f aca="false">G3551*E3551/1000</f>
        <v>0.4</v>
      </c>
    </row>
    <row r="3552" customFormat="false" ht="15" hidden="false" customHeight="false" outlineLevel="0" collapsed="false">
      <c r="A3552" s="0" t="s">
        <v>111</v>
      </c>
      <c r="B3552" s="0" t="s">
        <v>1672</v>
      </c>
      <c r="C3552" s="0" t="n">
        <v>150</v>
      </c>
      <c r="D3552" s="0" t="n">
        <v>6</v>
      </c>
      <c r="E3552" s="0" t="n">
        <v>6</v>
      </c>
      <c r="F3552" s="0" t="n">
        <v>140</v>
      </c>
      <c r="G3552" s="0" t="n">
        <v>58</v>
      </c>
      <c r="H3552" s="0" t="s">
        <v>145</v>
      </c>
      <c r="I3552" s="0" t="n">
        <v>1</v>
      </c>
      <c r="J3552" s="0" t="n">
        <f aca="false">F3552*E3552</f>
        <v>840</v>
      </c>
      <c r="K3552" s="0" t="str">
        <f aca="false">IF(G3552&lt;1000,"1-Low",IF(G3552&lt;5000,"2-Medium","3-Bulk"))</f>
        <v>1-Low</v>
      </c>
      <c r="L3552" s="0" t="str">
        <f aca="false">IF(H3552="TRUE","Out of stock","In stock")</f>
        <v>In stock</v>
      </c>
      <c r="M3552" s="0" t="str">
        <f aca="false">IF(D3552&lt;5,"1) Under 5%",IF(D3552&lt;10,"2) 5-9%",IF(D3552&lt;15,"3) 10-14%",IF(D3552&lt;25,"4) 15-24%","5) 25%+"))))</f>
        <v>2) 5-9%</v>
      </c>
      <c r="N3552" s="0" t="str">
        <f aca="false">IF(F3552&lt;50,"1) Under Rs 50",IF(F3552&lt;100,"2) Rs 50-99",IF(F3552&lt;200,"3) Rs 100-199",IF(F3552&lt;500,"4) Rs 200-499","5) Rs 500+"))))</f>
        <v>3) Rs 100-199</v>
      </c>
      <c r="O3552" s="0" t="n">
        <f aca="false">G3552*E3552/1000</f>
        <v>0.348</v>
      </c>
    </row>
    <row r="3553" customFormat="false" ht="15" hidden="false" customHeight="false" outlineLevel="0" collapsed="false">
      <c r="A3553" s="0" t="s">
        <v>111</v>
      </c>
      <c r="B3553" s="0" t="s">
        <v>1673</v>
      </c>
      <c r="C3553" s="0" t="n">
        <v>280</v>
      </c>
      <c r="D3553" s="0" t="n">
        <v>10</v>
      </c>
      <c r="E3553" s="0" t="n">
        <v>6</v>
      </c>
      <c r="F3553" s="0" t="n">
        <v>252</v>
      </c>
      <c r="G3553" s="0" t="n">
        <v>600</v>
      </c>
      <c r="H3553" s="0" t="s">
        <v>145</v>
      </c>
      <c r="I3553" s="0" t="n">
        <v>600</v>
      </c>
      <c r="J3553" s="0" t="n">
        <f aca="false">F3553*E3553</f>
        <v>1512</v>
      </c>
      <c r="K3553" s="0" t="str">
        <f aca="false">IF(G3553&lt;1000,"1-Low",IF(G3553&lt;5000,"2-Medium","3-Bulk"))</f>
        <v>1-Low</v>
      </c>
      <c r="L3553" s="0" t="str">
        <f aca="false">IF(H3553="TRUE","Out of stock","In stock")</f>
        <v>In stock</v>
      </c>
      <c r="M3553" s="0" t="str">
        <f aca="false">IF(D3553&lt;5,"1) Under 5%",IF(D3553&lt;10,"2) 5-9%",IF(D3553&lt;15,"3) 10-14%",IF(D3553&lt;25,"4) 15-24%","5) 25%+"))))</f>
        <v>3) 10-14%</v>
      </c>
      <c r="N3553" s="0" t="str">
        <f aca="false">IF(F3553&lt;50,"1) Under Rs 50",IF(F3553&lt;100,"2) Rs 50-99",IF(F3553&lt;200,"3) Rs 100-199",IF(F3553&lt;500,"4) Rs 200-499","5) Rs 500+"))))</f>
        <v>4) Rs 200-499</v>
      </c>
      <c r="O3553" s="0" t="n">
        <f aca="false">G3553*E3553/1000</f>
        <v>3.6</v>
      </c>
    </row>
    <row r="3554" customFormat="false" ht="15" hidden="false" customHeight="false" outlineLevel="0" collapsed="false">
      <c r="A3554" s="0" t="s">
        <v>111</v>
      </c>
      <c r="B3554" s="0" t="s">
        <v>1674</v>
      </c>
      <c r="C3554" s="0" t="n">
        <v>325</v>
      </c>
      <c r="D3554" s="0" t="n">
        <v>10</v>
      </c>
      <c r="E3554" s="0" t="n">
        <v>6</v>
      </c>
      <c r="F3554" s="0" t="n">
        <v>292</v>
      </c>
      <c r="G3554" s="0" t="n">
        <v>900</v>
      </c>
      <c r="H3554" s="0" t="s">
        <v>145</v>
      </c>
      <c r="I3554" s="0" t="n">
        <v>900</v>
      </c>
      <c r="J3554" s="0" t="n">
        <f aca="false">F3554*E3554</f>
        <v>1752</v>
      </c>
      <c r="K3554" s="0" t="str">
        <f aca="false">IF(G3554&lt;1000,"1-Low",IF(G3554&lt;5000,"2-Medium","3-Bulk"))</f>
        <v>1-Low</v>
      </c>
      <c r="L3554" s="0" t="str">
        <f aca="false">IF(H3554="TRUE","Out of stock","In stock")</f>
        <v>In stock</v>
      </c>
      <c r="M3554" s="0" t="str">
        <f aca="false">IF(D3554&lt;5,"1) Under 5%",IF(D3554&lt;10,"2) 5-9%",IF(D3554&lt;15,"3) 10-14%",IF(D3554&lt;25,"4) 15-24%","5) 25%+"))))</f>
        <v>3) 10-14%</v>
      </c>
      <c r="N3554" s="0" t="str">
        <f aca="false">IF(F3554&lt;50,"1) Under Rs 50",IF(F3554&lt;100,"2) Rs 50-99",IF(F3554&lt;200,"3) Rs 100-199",IF(F3554&lt;500,"4) Rs 200-499","5) Rs 500+"))))</f>
        <v>4) Rs 200-499</v>
      </c>
      <c r="O3554" s="0" t="n">
        <f aca="false">G3554*E3554/1000</f>
        <v>5.4</v>
      </c>
    </row>
    <row r="3555" customFormat="false" ht="15" hidden="false" customHeight="false" outlineLevel="0" collapsed="false">
      <c r="A3555" s="0" t="s">
        <v>111</v>
      </c>
      <c r="B3555" s="0" t="s">
        <v>1675</v>
      </c>
      <c r="C3555" s="0" t="n">
        <v>68</v>
      </c>
      <c r="D3555" s="0" t="n">
        <v>0</v>
      </c>
      <c r="E3555" s="0" t="n">
        <v>6</v>
      </c>
      <c r="F3555" s="0" t="n">
        <v>68</v>
      </c>
      <c r="G3555" s="0" t="n">
        <v>116</v>
      </c>
      <c r="H3555" s="0" t="s">
        <v>145</v>
      </c>
      <c r="I3555" s="0" t="n">
        <v>2</v>
      </c>
      <c r="J3555" s="0" t="n">
        <f aca="false">F3555*E3555</f>
        <v>408</v>
      </c>
      <c r="K3555" s="0" t="str">
        <f aca="false">IF(G3555&lt;1000,"1-Low",IF(G3555&lt;5000,"2-Medium","3-Bulk"))</f>
        <v>1-Low</v>
      </c>
      <c r="L3555" s="0" t="str">
        <f aca="false">IF(H3555="TRUE","Out of stock","In stock")</f>
        <v>In stock</v>
      </c>
      <c r="M3555" s="0" t="str">
        <f aca="false">IF(D3555&lt;5,"1) Under 5%",IF(D3555&lt;10,"2) 5-9%",IF(D3555&lt;15,"3) 10-14%",IF(D3555&lt;25,"4) 15-24%","5) 25%+"))))</f>
        <v>1) Under 5%</v>
      </c>
      <c r="N3555" s="0" t="str">
        <f aca="false">IF(F3555&lt;50,"1) Under Rs 50",IF(F3555&lt;100,"2) Rs 50-99",IF(F3555&lt;200,"3) Rs 100-199",IF(F3555&lt;500,"4) Rs 200-499","5) Rs 500+"))))</f>
        <v>2) Rs 50-99</v>
      </c>
      <c r="O3555" s="0" t="n">
        <f aca="false">G3555*E3555/1000</f>
        <v>0.696</v>
      </c>
    </row>
    <row r="3556" customFormat="false" ht="15" hidden="false" customHeight="false" outlineLevel="0" collapsed="false">
      <c r="A3556" s="0" t="s">
        <v>111</v>
      </c>
      <c r="B3556" s="0" t="s">
        <v>1676</v>
      </c>
      <c r="C3556" s="0" t="n">
        <v>30</v>
      </c>
      <c r="D3556" s="0" t="n">
        <v>6</v>
      </c>
      <c r="E3556" s="0" t="n">
        <v>6</v>
      </c>
      <c r="F3556" s="0" t="n">
        <v>28</v>
      </c>
      <c r="G3556" s="0" t="n">
        <v>1000</v>
      </c>
      <c r="H3556" s="0" t="s">
        <v>145</v>
      </c>
      <c r="I3556" s="0" t="n">
        <v>1000</v>
      </c>
      <c r="J3556" s="0" t="n">
        <f aca="false">F3556*E3556</f>
        <v>168</v>
      </c>
      <c r="K3556" s="0" t="str">
        <f aca="false">IF(G3556&lt;1000,"1-Low",IF(G3556&lt;5000,"2-Medium","3-Bulk"))</f>
        <v>2-Medium</v>
      </c>
      <c r="L3556" s="0" t="str">
        <f aca="false">IF(H3556="TRUE","Out of stock","In stock")</f>
        <v>In stock</v>
      </c>
      <c r="M3556" s="0" t="str">
        <f aca="false">IF(D3556&lt;5,"1) Under 5%",IF(D3556&lt;10,"2) 5-9%",IF(D3556&lt;15,"3) 10-14%",IF(D3556&lt;25,"4) 15-24%","5) 25%+"))))</f>
        <v>2) 5-9%</v>
      </c>
      <c r="N3556" s="0" t="str">
        <f aca="false">IF(F3556&lt;50,"1) Under Rs 50",IF(F3556&lt;100,"2) Rs 50-99",IF(F3556&lt;200,"3) Rs 100-199",IF(F3556&lt;500,"4) Rs 200-499","5) Rs 500+"))))</f>
        <v>1) Under Rs 50</v>
      </c>
      <c r="O3556" s="0" t="n">
        <f aca="false">G3556*E3556/1000</f>
        <v>6</v>
      </c>
    </row>
    <row r="3557" customFormat="false" ht="15" hidden="false" customHeight="false" outlineLevel="0" collapsed="false">
      <c r="A3557" s="0" t="s">
        <v>111</v>
      </c>
      <c r="B3557" s="0" t="s">
        <v>1677</v>
      </c>
      <c r="C3557" s="0" t="n">
        <v>650</v>
      </c>
      <c r="D3557" s="0" t="n">
        <v>8</v>
      </c>
      <c r="E3557" s="0" t="n">
        <v>6</v>
      </c>
      <c r="F3557" s="0" t="n">
        <v>598</v>
      </c>
      <c r="G3557" s="0" t="n">
        <v>1900</v>
      </c>
      <c r="H3557" s="0" t="s">
        <v>145</v>
      </c>
      <c r="I3557" s="0" t="n">
        <v>1</v>
      </c>
      <c r="J3557" s="0" t="n">
        <f aca="false">F3557*E3557</f>
        <v>3588</v>
      </c>
      <c r="K3557" s="0" t="str">
        <f aca="false">IF(G3557&lt;1000,"1-Low",IF(G3557&lt;5000,"2-Medium","3-Bulk"))</f>
        <v>2-Medium</v>
      </c>
      <c r="L3557" s="0" t="str">
        <f aca="false">IF(H3557="TRUE","Out of stock","In stock")</f>
        <v>In stock</v>
      </c>
      <c r="M3557" s="0" t="str">
        <f aca="false">IF(D3557&lt;5,"1) Under 5%",IF(D3557&lt;10,"2) 5-9%",IF(D3557&lt;15,"3) 10-14%",IF(D3557&lt;25,"4) 15-24%","5) 25%+"))))</f>
        <v>2) 5-9%</v>
      </c>
      <c r="N3557" s="0" t="str">
        <f aca="false">IF(F3557&lt;50,"1) Under Rs 50",IF(F3557&lt;100,"2) Rs 50-99",IF(F3557&lt;200,"3) Rs 100-199",IF(F3557&lt;500,"4) Rs 200-499","5) Rs 500+"))))</f>
        <v>5) Rs 500+</v>
      </c>
      <c r="O3557" s="0" t="n">
        <f aca="false">G3557*E3557/1000</f>
        <v>11.4</v>
      </c>
    </row>
    <row r="3558" customFormat="false" ht="15" hidden="false" customHeight="false" outlineLevel="0" collapsed="false">
      <c r="A3558" s="0" t="s">
        <v>111</v>
      </c>
      <c r="B3558" s="0" t="s">
        <v>1678</v>
      </c>
      <c r="C3558" s="0" t="n">
        <v>720</v>
      </c>
      <c r="D3558" s="0" t="n">
        <v>9</v>
      </c>
      <c r="E3558" s="0" t="n">
        <v>4</v>
      </c>
      <c r="F3558" s="0" t="n">
        <v>649</v>
      </c>
      <c r="G3558" s="0" t="n">
        <v>4000</v>
      </c>
      <c r="H3558" s="0" t="s">
        <v>145</v>
      </c>
      <c r="I3558" s="0" t="n">
        <v>4</v>
      </c>
      <c r="J3558" s="0" t="n">
        <f aca="false">F3558*E3558</f>
        <v>2596</v>
      </c>
      <c r="K3558" s="0" t="str">
        <f aca="false">IF(G3558&lt;1000,"1-Low",IF(G3558&lt;5000,"2-Medium","3-Bulk"))</f>
        <v>2-Medium</v>
      </c>
      <c r="L3558" s="0" t="str">
        <f aca="false">IF(H3558="TRUE","Out of stock","In stock")</f>
        <v>In stock</v>
      </c>
      <c r="M3558" s="0" t="str">
        <f aca="false">IF(D3558&lt;5,"1) Under 5%",IF(D3558&lt;10,"2) 5-9%",IF(D3558&lt;15,"3) 10-14%",IF(D3558&lt;25,"4) 15-24%","5) 25%+"))))</f>
        <v>2) 5-9%</v>
      </c>
      <c r="N3558" s="0" t="str">
        <f aca="false">IF(F3558&lt;50,"1) Under Rs 50",IF(F3558&lt;100,"2) Rs 50-99",IF(F3558&lt;200,"3) Rs 100-199",IF(F3558&lt;500,"4) Rs 200-499","5) Rs 500+"))))</f>
        <v>5) Rs 500+</v>
      </c>
      <c r="O3558" s="0" t="n">
        <f aca="false">G3558*E3558/1000</f>
        <v>16</v>
      </c>
    </row>
    <row r="3559" customFormat="false" ht="15" hidden="false" customHeight="false" outlineLevel="0" collapsed="false">
      <c r="A3559" s="0" t="s">
        <v>111</v>
      </c>
      <c r="B3559" s="0" t="s">
        <v>1679</v>
      </c>
      <c r="C3559" s="0" t="n">
        <v>105</v>
      </c>
      <c r="D3559" s="0" t="n">
        <v>6</v>
      </c>
      <c r="E3559" s="0" t="n">
        <v>6</v>
      </c>
      <c r="F3559" s="0" t="n">
        <v>98</v>
      </c>
      <c r="G3559" s="0" t="n">
        <v>500</v>
      </c>
      <c r="H3559" s="0" t="s">
        <v>145</v>
      </c>
      <c r="I3559" s="0" t="n">
        <v>500</v>
      </c>
      <c r="J3559" s="0" t="n">
        <f aca="false">F3559*E3559</f>
        <v>588</v>
      </c>
      <c r="K3559" s="0" t="str">
        <f aca="false">IF(G3559&lt;1000,"1-Low",IF(G3559&lt;5000,"2-Medium","3-Bulk"))</f>
        <v>1-Low</v>
      </c>
      <c r="L3559" s="0" t="str">
        <f aca="false">IF(H3559="TRUE","Out of stock","In stock")</f>
        <v>In stock</v>
      </c>
      <c r="M3559" s="0" t="str">
        <f aca="false">IF(D3559&lt;5,"1) Under 5%",IF(D3559&lt;10,"2) 5-9%",IF(D3559&lt;15,"3) 10-14%",IF(D3559&lt;25,"4) 15-24%","5) 25%+"))))</f>
        <v>2) 5-9%</v>
      </c>
      <c r="N3559" s="0" t="str">
        <f aca="false">IF(F3559&lt;50,"1) Under Rs 50",IF(F3559&lt;100,"2) Rs 50-99",IF(F3559&lt;200,"3) Rs 100-199",IF(F3559&lt;500,"4) Rs 200-499","5) Rs 500+"))))</f>
        <v>2) Rs 50-99</v>
      </c>
      <c r="O3559" s="0" t="n">
        <f aca="false">G3559*E3559/1000</f>
        <v>3</v>
      </c>
    </row>
    <row r="3560" customFormat="false" ht="15" hidden="false" customHeight="false" outlineLevel="0" collapsed="false">
      <c r="A3560" s="0" t="s">
        <v>111</v>
      </c>
      <c r="B3560" s="0" t="s">
        <v>1680</v>
      </c>
      <c r="C3560" s="0" t="n">
        <v>100</v>
      </c>
      <c r="D3560" s="0" t="n">
        <v>10</v>
      </c>
      <c r="E3560" s="0" t="n">
        <v>6</v>
      </c>
      <c r="F3560" s="0" t="n">
        <v>90</v>
      </c>
      <c r="G3560" s="0" t="n">
        <v>50</v>
      </c>
      <c r="H3560" s="0" t="s">
        <v>145</v>
      </c>
      <c r="I3560" s="0" t="n">
        <v>50</v>
      </c>
      <c r="J3560" s="0" t="n">
        <f aca="false">F3560*E3560</f>
        <v>540</v>
      </c>
      <c r="K3560" s="0" t="str">
        <f aca="false">IF(G3560&lt;1000,"1-Low",IF(G3560&lt;5000,"2-Medium","3-Bulk"))</f>
        <v>1-Low</v>
      </c>
      <c r="L3560" s="0" t="str">
        <f aca="false">IF(H3560="TRUE","Out of stock","In stock")</f>
        <v>In stock</v>
      </c>
      <c r="M3560" s="0" t="str">
        <f aca="false">IF(D3560&lt;5,"1) Under 5%",IF(D3560&lt;10,"2) 5-9%",IF(D3560&lt;15,"3) 10-14%",IF(D3560&lt;25,"4) 15-24%","5) 25%+"))))</f>
        <v>3) 10-14%</v>
      </c>
      <c r="N3560" s="0" t="str">
        <f aca="false">IF(F3560&lt;50,"1) Under Rs 50",IF(F3560&lt;100,"2) Rs 50-99",IF(F3560&lt;200,"3) Rs 100-199",IF(F3560&lt;500,"4) Rs 200-499","5) Rs 500+"))))</f>
        <v>2) Rs 50-99</v>
      </c>
      <c r="O3560" s="0" t="n">
        <f aca="false">G3560*E3560/1000</f>
        <v>0.3</v>
      </c>
    </row>
    <row r="3561" customFormat="false" ht="15" hidden="false" customHeight="false" outlineLevel="0" collapsed="false">
      <c r="A3561" s="0" t="s">
        <v>111</v>
      </c>
      <c r="B3561" s="0" t="s">
        <v>1681</v>
      </c>
      <c r="C3561" s="0" t="n">
        <v>98</v>
      </c>
      <c r="D3561" s="0" t="n">
        <v>5</v>
      </c>
      <c r="E3561" s="0" t="n">
        <v>6</v>
      </c>
      <c r="F3561" s="0" t="n">
        <v>93</v>
      </c>
      <c r="G3561" s="0" t="n">
        <v>75</v>
      </c>
      <c r="H3561" s="0" t="s">
        <v>145</v>
      </c>
      <c r="I3561" s="0" t="n">
        <v>75</v>
      </c>
      <c r="J3561" s="0" t="n">
        <f aca="false">F3561*E3561</f>
        <v>558</v>
      </c>
      <c r="K3561" s="0" t="str">
        <f aca="false">IF(G3561&lt;1000,"1-Low",IF(G3561&lt;5000,"2-Medium","3-Bulk"))</f>
        <v>1-Low</v>
      </c>
      <c r="L3561" s="0" t="str">
        <f aca="false">IF(H3561="TRUE","Out of stock","In stock")</f>
        <v>In stock</v>
      </c>
      <c r="M3561" s="0" t="str">
        <f aca="false">IF(D3561&lt;5,"1) Under 5%",IF(D3561&lt;10,"2) 5-9%",IF(D3561&lt;15,"3) 10-14%",IF(D3561&lt;25,"4) 15-24%","5) 25%+"))))</f>
        <v>2) 5-9%</v>
      </c>
      <c r="N3561" s="0" t="str">
        <f aca="false">IF(F3561&lt;50,"1) Under Rs 50",IF(F3561&lt;100,"2) Rs 50-99",IF(F3561&lt;200,"3) Rs 100-199",IF(F3561&lt;500,"4) Rs 200-499","5) Rs 500+"))))</f>
        <v>2) Rs 50-99</v>
      </c>
      <c r="O3561" s="0" t="n">
        <f aca="false">G3561*E3561/1000</f>
        <v>0.45</v>
      </c>
    </row>
    <row r="3562" customFormat="false" ht="15" hidden="false" customHeight="false" outlineLevel="0" collapsed="false">
      <c r="A3562" s="0" t="s">
        <v>111</v>
      </c>
      <c r="B3562" s="0" t="s">
        <v>1682</v>
      </c>
      <c r="C3562" s="0" t="n">
        <v>150</v>
      </c>
      <c r="D3562" s="0" t="n">
        <v>10</v>
      </c>
      <c r="E3562" s="0" t="n">
        <v>6</v>
      </c>
      <c r="F3562" s="0" t="n">
        <v>135</v>
      </c>
      <c r="G3562" s="0" t="n">
        <v>58</v>
      </c>
      <c r="H3562" s="0" t="s">
        <v>145</v>
      </c>
      <c r="I3562" s="0" t="n">
        <v>1</v>
      </c>
      <c r="J3562" s="0" t="n">
        <f aca="false">F3562*E3562</f>
        <v>810</v>
      </c>
      <c r="K3562" s="0" t="str">
        <f aca="false">IF(G3562&lt;1000,"1-Low",IF(G3562&lt;5000,"2-Medium","3-Bulk"))</f>
        <v>1-Low</v>
      </c>
      <c r="L3562" s="0" t="str">
        <f aca="false">IF(H3562="TRUE","Out of stock","In stock")</f>
        <v>In stock</v>
      </c>
      <c r="M3562" s="0" t="str">
        <f aca="false">IF(D3562&lt;5,"1) Under 5%",IF(D3562&lt;10,"2) 5-9%",IF(D3562&lt;15,"3) 10-14%",IF(D3562&lt;25,"4) 15-24%","5) 25%+"))))</f>
        <v>3) 10-14%</v>
      </c>
      <c r="N3562" s="0" t="str">
        <f aca="false">IF(F3562&lt;50,"1) Under Rs 50",IF(F3562&lt;100,"2) Rs 50-99",IF(F3562&lt;200,"3) Rs 100-199",IF(F3562&lt;500,"4) Rs 200-499","5) Rs 500+"))))</f>
        <v>3) Rs 100-199</v>
      </c>
      <c r="O3562" s="0" t="n">
        <f aca="false">G3562*E3562/1000</f>
        <v>0.348</v>
      </c>
    </row>
    <row r="3563" customFormat="false" ht="15" hidden="false" customHeight="false" outlineLevel="0" collapsed="false">
      <c r="A3563" s="0" t="s">
        <v>111</v>
      </c>
      <c r="B3563" s="0" t="s">
        <v>1683</v>
      </c>
      <c r="C3563" s="0" t="n">
        <v>205</v>
      </c>
      <c r="D3563" s="0" t="n">
        <v>8</v>
      </c>
      <c r="E3563" s="0" t="n">
        <v>6</v>
      </c>
      <c r="F3563" s="0" t="n">
        <v>188</v>
      </c>
      <c r="G3563" s="0" t="n">
        <v>975</v>
      </c>
      <c r="H3563" s="0" t="s">
        <v>145</v>
      </c>
      <c r="I3563" s="0" t="n">
        <v>975</v>
      </c>
      <c r="J3563" s="0" t="n">
        <f aca="false">F3563*E3563</f>
        <v>1128</v>
      </c>
      <c r="K3563" s="0" t="str">
        <f aca="false">IF(G3563&lt;1000,"1-Low",IF(G3563&lt;5000,"2-Medium","3-Bulk"))</f>
        <v>1-Low</v>
      </c>
      <c r="L3563" s="0" t="str">
        <f aca="false">IF(H3563="TRUE","Out of stock","In stock")</f>
        <v>In stock</v>
      </c>
      <c r="M3563" s="0" t="str">
        <f aca="false">IF(D3563&lt;5,"1) Under 5%",IF(D3563&lt;10,"2) 5-9%",IF(D3563&lt;15,"3) 10-14%",IF(D3563&lt;25,"4) 15-24%","5) 25%+"))))</f>
        <v>2) 5-9%</v>
      </c>
      <c r="N3563" s="0" t="str">
        <f aca="false">IF(F3563&lt;50,"1) Under Rs 50",IF(F3563&lt;100,"2) Rs 50-99",IF(F3563&lt;200,"3) Rs 100-199",IF(F3563&lt;500,"4) Rs 200-499","5) Rs 500+"))))</f>
        <v>3) Rs 100-199</v>
      </c>
      <c r="O3563" s="0" t="n">
        <f aca="false">G3563*E3563/1000</f>
        <v>5.85</v>
      </c>
    </row>
    <row r="3564" customFormat="false" ht="15" hidden="false" customHeight="false" outlineLevel="0" collapsed="false">
      <c r="A3564" s="0" t="s">
        <v>111</v>
      </c>
      <c r="B3564" s="0" t="s">
        <v>1684</v>
      </c>
      <c r="C3564" s="0" t="n">
        <v>390</v>
      </c>
      <c r="D3564" s="0" t="n">
        <v>16</v>
      </c>
      <c r="E3564" s="0" t="n">
        <v>6</v>
      </c>
      <c r="F3564" s="0" t="n">
        <v>324</v>
      </c>
      <c r="G3564" s="0" t="n">
        <v>58</v>
      </c>
      <c r="H3564" s="0" t="s">
        <v>145</v>
      </c>
      <c r="I3564" s="0" t="n">
        <v>1</v>
      </c>
      <c r="J3564" s="0" t="n">
        <f aca="false">F3564*E3564</f>
        <v>1944</v>
      </c>
      <c r="K3564" s="0" t="str">
        <f aca="false">IF(G3564&lt;1000,"1-Low",IF(G3564&lt;5000,"2-Medium","3-Bulk"))</f>
        <v>1-Low</v>
      </c>
      <c r="L3564" s="0" t="str">
        <f aca="false">IF(H3564="TRUE","Out of stock","In stock")</f>
        <v>In stock</v>
      </c>
      <c r="M3564" s="0" t="str">
        <f aca="false">IF(D3564&lt;5,"1) Under 5%",IF(D3564&lt;10,"2) 5-9%",IF(D3564&lt;15,"3) 10-14%",IF(D3564&lt;25,"4) 15-24%","5) 25%+"))))</f>
        <v>4) 15-24%</v>
      </c>
      <c r="N3564" s="0" t="str">
        <f aca="false">IF(F3564&lt;50,"1) Under Rs 50",IF(F3564&lt;100,"2) Rs 50-99",IF(F3564&lt;200,"3) Rs 100-199",IF(F3564&lt;500,"4) Rs 200-499","5) Rs 500+"))))</f>
        <v>4) Rs 200-499</v>
      </c>
      <c r="O3564" s="0" t="n">
        <f aca="false">G3564*E3564/1000</f>
        <v>0.348</v>
      </c>
    </row>
    <row r="3565" customFormat="false" ht="15" hidden="false" customHeight="false" outlineLevel="0" collapsed="false">
      <c r="A3565" s="0" t="s">
        <v>111</v>
      </c>
      <c r="B3565" s="0" t="s">
        <v>1685</v>
      </c>
      <c r="C3565" s="0" t="n">
        <v>70</v>
      </c>
      <c r="D3565" s="0" t="n">
        <v>10</v>
      </c>
      <c r="E3565" s="0" t="n">
        <v>6</v>
      </c>
      <c r="F3565" s="0" t="n">
        <v>63</v>
      </c>
      <c r="G3565" s="0" t="n">
        <v>50</v>
      </c>
      <c r="H3565" s="0" t="s">
        <v>145</v>
      </c>
      <c r="I3565" s="0" t="n">
        <v>50</v>
      </c>
      <c r="J3565" s="0" t="n">
        <f aca="false">F3565*E3565</f>
        <v>378</v>
      </c>
      <c r="K3565" s="0" t="str">
        <f aca="false">IF(G3565&lt;1000,"1-Low",IF(G3565&lt;5000,"2-Medium","3-Bulk"))</f>
        <v>1-Low</v>
      </c>
      <c r="L3565" s="0" t="str">
        <f aca="false">IF(H3565="TRUE","Out of stock","In stock")</f>
        <v>In stock</v>
      </c>
      <c r="M3565" s="0" t="str">
        <f aca="false">IF(D3565&lt;5,"1) Under 5%",IF(D3565&lt;10,"2) 5-9%",IF(D3565&lt;15,"3) 10-14%",IF(D3565&lt;25,"4) 15-24%","5) 25%+"))))</f>
        <v>3) 10-14%</v>
      </c>
      <c r="N3565" s="0" t="str">
        <f aca="false">IF(F3565&lt;50,"1) Under Rs 50",IF(F3565&lt;100,"2) Rs 50-99",IF(F3565&lt;200,"3) Rs 100-199",IF(F3565&lt;500,"4) Rs 200-499","5) Rs 500+"))))</f>
        <v>2) Rs 50-99</v>
      </c>
      <c r="O3565" s="0" t="n">
        <f aca="false">G3565*E3565/1000</f>
        <v>0.3</v>
      </c>
    </row>
    <row r="3566" customFormat="false" ht="15" hidden="false" customHeight="false" outlineLevel="0" collapsed="false">
      <c r="A3566" s="0" t="s">
        <v>111</v>
      </c>
      <c r="B3566" s="0" t="s">
        <v>1686</v>
      </c>
      <c r="C3566" s="0" t="n">
        <v>155</v>
      </c>
      <c r="D3566" s="0" t="n">
        <v>14</v>
      </c>
      <c r="E3566" s="0" t="n">
        <v>5</v>
      </c>
      <c r="F3566" s="0" t="n">
        <v>132</v>
      </c>
      <c r="G3566" s="0" t="n">
        <v>100</v>
      </c>
      <c r="H3566" s="0" t="s">
        <v>145</v>
      </c>
      <c r="I3566" s="0" t="n">
        <v>100</v>
      </c>
      <c r="J3566" s="0" t="n">
        <f aca="false">F3566*E3566</f>
        <v>660</v>
      </c>
      <c r="K3566" s="0" t="str">
        <f aca="false">IF(G3566&lt;1000,"1-Low",IF(G3566&lt;5000,"2-Medium","3-Bulk"))</f>
        <v>1-Low</v>
      </c>
      <c r="L3566" s="0" t="str">
        <f aca="false">IF(H3566="TRUE","Out of stock","In stock")</f>
        <v>In stock</v>
      </c>
      <c r="M3566" s="0" t="str">
        <f aca="false">IF(D3566&lt;5,"1) Under 5%",IF(D3566&lt;10,"2) 5-9%",IF(D3566&lt;15,"3) 10-14%",IF(D3566&lt;25,"4) 15-24%","5) 25%+"))))</f>
        <v>3) 10-14%</v>
      </c>
      <c r="N3566" s="0" t="str">
        <f aca="false">IF(F3566&lt;50,"1) Under Rs 50",IF(F3566&lt;100,"2) Rs 50-99",IF(F3566&lt;200,"3) Rs 100-199",IF(F3566&lt;500,"4) Rs 200-499","5) Rs 500+"))))</f>
        <v>3) Rs 100-199</v>
      </c>
      <c r="O3566" s="0" t="n">
        <f aca="false">G3566*E3566/1000</f>
        <v>0.5</v>
      </c>
    </row>
    <row r="3567" customFormat="false" ht="15" hidden="false" customHeight="false" outlineLevel="0" collapsed="false">
      <c r="A3567" s="0" t="s">
        <v>111</v>
      </c>
      <c r="B3567" s="0" t="s">
        <v>1687</v>
      </c>
      <c r="C3567" s="0" t="n">
        <v>70</v>
      </c>
      <c r="D3567" s="0" t="n">
        <v>10</v>
      </c>
      <c r="E3567" s="0" t="n">
        <v>6</v>
      </c>
      <c r="F3567" s="0" t="n">
        <v>63</v>
      </c>
      <c r="G3567" s="0" t="n">
        <v>50</v>
      </c>
      <c r="H3567" s="0" t="s">
        <v>145</v>
      </c>
      <c r="I3567" s="0" t="n">
        <v>50</v>
      </c>
      <c r="J3567" s="0" t="n">
        <f aca="false">F3567*E3567</f>
        <v>378</v>
      </c>
      <c r="K3567" s="0" t="str">
        <f aca="false">IF(G3567&lt;1000,"1-Low",IF(G3567&lt;5000,"2-Medium","3-Bulk"))</f>
        <v>1-Low</v>
      </c>
      <c r="L3567" s="0" t="str">
        <f aca="false">IF(H3567="TRUE","Out of stock","In stock")</f>
        <v>In stock</v>
      </c>
      <c r="M3567" s="0" t="str">
        <f aca="false">IF(D3567&lt;5,"1) Under 5%",IF(D3567&lt;10,"2) 5-9%",IF(D3567&lt;15,"3) 10-14%",IF(D3567&lt;25,"4) 15-24%","5) 25%+"))))</f>
        <v>3) 10-14%</v>
      </c>
      <c r="N3567" s="0" t="str">
        <f aca="false">IF(F3567&lt;50,"1) Under Rs 50",IF(F3567&lt;100,"2) Rs 50-99",IF(F3567&lt;200,"3) Rs 100-199",IF(F3567&lt;500,"4) Rs 200-499","5) Rs 500+"))))</f>
        <v>2) Rs 50-99</v>
      </c>
      <c r="O3567" s="0" t="n">
        <f aca="false">G3567*E3567/1000</f>
        <v>0.3</v>
      </c>
    </row>
    <row r="3568" customFormat="false" ht="15" hidden="false" customHeight="false" outlineLevel="0" collapsed="false">
      <c r="A3568" s="0" t="s">
        <v>111</v>
      </c>
      <c r="B3568" s="0" t="s">
        <v>1688</v>
      </c>
      <c r="C3568" s="0" t="n">
        <v>250</v>
      </c>
      <c r="D3568" s="0" t="n">
        <v>0</v>
      </c>
      <c r="E3568" s="0" t="n">
        <v>6</v>
      </c>
      <c r="F3568" s="0" t="n">
        <v>250</v>
      </c>
      <c r="G3568" s="0" t="n">
        <v>1000</v>
      </c>
      <c r="H3568" s="0" t="s">
        <v>145</v>
      </c>
      <c r="I3568" s="0" t="n">
        <v>1</v>
      </c>
      <c r="J3568" s="0" t="n">
        <f aca="false">F3568*E3568</f>
        <v>1500</v>
      </c>
      <c r="K3568" s="0" t="str">
        <f aca="false">IF(G3568&lt;1000,"1-Low",IF(G3568&lt;5000,"2-Medium","3-Bulk"))</f>
        <v>2-Medium</v>
      </c>
      <c r="L3568" s="0" t="str">
        <f aca="false">IF(H3568="TRUE","Out of stock","In stock")</f>
        <v>In stock</v>
      </c>
      <c r="M3568" s="0" t="str">
        <f aca="false">IF(D3568&lt;5,"1) Under 5%",IF(D3568&lt;10,"2) 5-9%",IF(D3568&lt;15,"3) 10-14%",IF(D3568&lt;25,"4) 15-24%","5) 25%+"))))</f>
        <v>1) Under 5%</v>
      </c>
      <c r="N3568" s="0" t="str">
        <f aca="false">IF(F3568&lt;50,"1) Under Rs 50",IF(F3568&lt;100,"2) Rs 50-99",IF(F3568&lt;200,"3) Rs 100-199",IF(F3568&lt;500,"4) Rs 200-499","5) Rs 500+"))))</f>
        <v>4) Rs 200-499</v>
      </c>
      <c r="O3568" s="0" t="n">
        <f aca="false">G3568*E3568/1000</f>
        <v>6</v>
      </c>
    </row>
    <row r="3569" customFormat="false" ht="15" hidden="false" customHeight="false" outlineLevel="0" collapsed="false">
      <c r="A3569" s="0" t="s">
        <v>111</v>
      </c>
      <c r="B3569" s="0" t="s">
        <v>1689</v>
      </c>
      <c r="C3569" s="0" t="n">
        <v>30</v>
      </c>
      <c r="D3569" s="0" t="n">
        <v>3</v>
      </c>
      <c r="E3569" s="0" t="n">
        <v>6</v>
      </c>
      <c r="F3569" s="0" t="n">
        <v>29</v>
      </c>
      <c r="G3569" s="0" t="n">
        <v>220</v>
      </c>
      <c r="H3569" s="0" t="s">
        <v>145</v>
      </c>
      <c r="I3569" s="0" t="n">
        <v>220</v>
      </c>
      <c r="J3569" s="0" t="n">
        <f aca="false">F3569*E3569</f>
        <v>174</v>
      </c>
      <c r="K3569" s="0" t="str">
        <f aca="false">IF(G3569&lt;1000,"1-Low",IF(G3569&lt;5000,"2-Medium","3-Bulk"))</f>
        <v>1-Low</v>
      </c>
      <c r="L3569" s="0" t="str">
        <f aca="false">IF(H3569="TRUE","Out of stock","In stock")</f>
        <v>In stock</v>
      </c>
      <c r="M3569" s="0" t="str">
        <f aca="false">IF(D3569&lt;5,"1) Under 5%",IF(D3569&lt;10,"2) 5-9%",IF(D3569&lt;15,"3) 10-14%",IF(D3569&lt;25,"4) 15-24%","5) 25%+"))))</f>
        <v>1) Under 5%</v>
      </c>
      <c r="N3569" s="0" t="str">
        <f aca="false">IF(F3569&lt;50,"1) Under Rs 50",IF(F3569&lt;100,"2) Rs 50-99",IF(F3569&lt;200,"3) Rs 100-199",IF(F3569&lt;500,"4) Rs 200-499","5) Rs 500+"))))</f>
        <v>1) Under Rs 50</v>
      </c>
      <c r="O3569" s="0" t="n">
        <f aca="false">G3569*E3569/1000</f>
        <v>1.32</v>
      </c>
    </row>
    <row r="3570" customFormat="false" ht="15" hidden="false" customHeight="false" outlineLevel="0" collapsed="false">
      <c r="A3570" s="0" t="s">
        <v>111</v>
      </c>
      <c r="B3570" s="0" t="s">
        <v>1690</v>
      </c>
      <c r="C3570" s="0" t="n">
        <v>75</v>
      </c>
      <c r="D3570" s="0" t="n">
        <v>5</v>
      </c>
      <c r="E3570" s="0" t="n">
        <v>4</v>
      </c>
      <c r="F3570" s="0" t="n">
        <v>71</v>
      </c>
      <c r="G3570" s="0" t="n">
        <v>75</v>
      </c>
      <c r="H3570" s="0" t="s">
        <v>145</v>
      </c>
      <c r="I3570" s="0" t="n">
        <v>75</v>
      </c>
      <c r="J3570" s="0" t="n">
        <f aca="false">F3570*E3570</f>
        <v>284</v>
      </c>
      <c r="K3570" s="0" t="str">
        <f aca="false">IF(G3570&lt;1000,"1-Low",IF(G3570&lt;5000,"2-Medium","3-Bulk"))</f>
        <v>1-Low</v>
      </c>
      <c r="L3570" s="0" t="str">
        <f aca="false">IF(H3570="TRUE","Out of stock","In stock")</f>
        <v>In stock</v>
      </c>
      <c r="M3570" s="0" t="str">
        <f aca="false">IF(D3570&lt;5,"1) Under 5%",IF(D3570&lt;10,"2) 5-9%",IF(D3570&lt;15,"3) 10-14%",IF(D3570&lt;25,"4) 15-24%","5) 25%+"))))</f>
        <v>2) 5-9%</v>
      </c>
      <c r="N3570" s="0" t="str">
        <f aca="false">IF(F3570&lt;50,"1) Under Rs 50",IF(F3570&lt;100,"2) Rs 50-99",IF(F3570&lt;200,"3) Rs 100-199",IF(F3570&lt;500,"4) Rs 200-499","5) Rs 500+"))))</f>
        <v>2) Rs 50-99</v>
      </c>
      <c r="O3570" s="0" t="n">
        <f aca="false">G3570*E3570/1000</f>
        <v>0.3</v>
      </c>
    </row>
    <row r="3571" customFormat="false" ht="15" hidden="false" customHeight="false" outlineLevel="0" collapsed="false">
      <c r="A3571" s="0" t="s">
        <v>111</v>
      </c>
      <c r="B3571" s="0" t="s">
        <v>1691</v>
      </c>
      <c r="C3571" s="0" t="n">
        <v>12</v>
      </c>
      <c r="D3571" s="0" t="n">
        <v>0</v>
      </c>
      <c r="E3571" s="0" t="n">
        <v>4</v>
      </c>
      <c r="F3571" s="0" t="n">
        <v>12</v>
      </c>
      <c r="G3571" s="0" t="n">
        <v>15</v>
      </c>
      <c r="H3571" s="0" t="s">
        <v>145</v>
      </c>
      <c r="I3571" s="0" t="n">
        <v>15</v>
      </c>
      <c r="J3571" s="0" t="n">
        <f aca="false">F3571*E3571</f>
        <v>48</v>
      </c>
      <c r="K3571" s="0" t="str">
        <f aca="false">IF(G3571&lt;1000,"1-Low",IF(G3571&lt;5000,"2-Medium","3-Bulk"))</f>
        <v>1-Low</v>
      </c>
      <c r="L3571" s="0" t="str">
        <f aca="false">IF(H3571="TRUE","Out of stock","In stock")</f>
        <v>In stock</v>
      </c>
      <c r="M3571" s="0" t="str">
        <f aca="false">IF(D3571&lt;5,"1) Under 5%",IF(D3571&lt;10,"2) 5-9%",IF(D3571&lt;15,"3) 10-14%",IF(D3571&lt;25,"4) 15-24%","5) 25%+"))))</f>
        <v>1) Under 5%</v>
      </c>
      <c r="N3571" s="0" t="str">
        <f aca="false">IF(F3571&lt;50,"1) Under Rs 50",IF(F3571&lt;100,"2) Rs 50-99",IF(F3571&lt;200,"3) Rs 100-199",IF(F3571&lt;500,"4) Rs 200-499","5) Rs 500+"))))</f>
        <v>1) Under Rs 50</v>
      </c>
      <c r="O3571" s="0" t="n">
        <f aca="false">G3571*E3571/1000</f>
        <v>0.06</v>
      </c>
    </row>
    <row r="3572" customFormat="false" ht="15" hidden="false" customHeight="false" outlineLevel="0" collapsed="false">
      <c r="A3572" s="0" t="s">
        <v>111</v>
      </c>
      <c r="B3572" s="0" t="s">
        <v>1692</v>
      </c>
      <c r="C3572" s="0" t="n">
        <v>68</v>
      </c>
      <c r="D3572" s="0" t="n">
        <v>5</v>
      </c>
      <c r="E3572" s="0" t="n">
        <v>6</v>
      </c>
      <c r="F3572" s="0" t="n">
        <v>64</v>
      </c>
      <c r="G3572" s="0" t="n">
        <v>40</v>
      </c>
      <c r="H3572" s="0" t="s">
        <v>145</v>
      </c>
      <c r="I3572" s="0" t="n">
        <v>40</v>
      </c>
      <c r="J3572" s="0" t="n">
        <f aca="false">F3572*E3572</f>
        <v>384</v>
      </c>
      <c r="K3572" s="0" t="str">
        <f aca="false">IF(G3572&lt;1000,"1-Low",IF(G3572&lt;5000,"2-Medium","3-Bulk"))</f>
        <v>1-Low</v>
      </c>
      <c r="L3572" s="0" t="str">
        <f aca="false">IF(H3572="TRUE","Out of stock","In stock")</f>
        <v>In stock</v>
      </c>
      <c r="M3572" s="0" t="str">
        <f aca="false">IF(D3572&lt;5,"1) Under 5%",IF(D3572&lt;10,"2) 5-9%",IF(D3572&lt;15,"3) 10-14%",IF(D3572&lt;25,"4) 15-24%","5) 25%+"))))</f>
        <v>2) 5-9%</v>
      </c>
      <c r="N3572" s="0" t="str">
        <f aca="false">IF(F3572&lt;50,"1) Under Rs 50",IF(F3572&lt;100,"2) Rs 50-99",IF(F3572&lt;200,"3) Rs 100-199",IF(F3572&lt;500,"4) Rs 200-499","5) Rs 500+"))))</f>
        <v>2) Rs 50-99</v>
      </c>
      <c r="O3572" s="0" t="n">
        <f aca="false">G3572*E3572/1000</f>
        <v>0.24</v>
      </c>
    </row>
    <row r="3573" customFormat="false" ht="15" hidden="false" customHeight="false" outlineLevel="0" collapsed="false">
      <c r="A3573" s="0" t="s">
        <v>111</v>
      </c>
      <c r="B3573" s="0" t="s">
        <v>1693</v>
      </c>
      <c r="C3573" s="0" t="n">
        <v>75</v>
      </c>
      <c r="D3573" s="0" t="n">
        <v>8</v>
      </c>
      <c r="E3573" s="0" t="n">
        <v>4</v>
      </c>
      <c r="F3573" s="0" t="n">
        <v>69</v>
      </c>
      <c r="G3573" s="0" t="n">
        <v>80</v>
      </c>
      <c r="H3573" s="0" t="s">
        <v>145</v>
      </c>
      <c r="I3573" s="0" t="n">
        <v>80</v>
      </c>
      <c r="J3573" s="0" t="n">
        <f aca="false">F3573*E3573</f>
        <v>276</v>
      </c>
      <c r="K3573" s="0" t="str">
        <f aca="false">IF(G3573&lt;1000,"1-Low",IF(G3573&lt;5000,"2-Medium","3-Bulk"))</f>
        <v>1-Low</v>
      </c>
      <c r="L3573" s="0" t="str">
        <f aca="false">IF(H3573="TRUE","Out of stock","In stock")</f>
        <v>In stock</v>
      </c>
      <c r="M3573" s="0" t="str">
        <f aca="false">IF(D3573&lt;5,"1) Under 5%",IF(D3573&lt;10,"2) 5-9%",IF(D3573&lt;15,"3) 10-14%",IF(D3573&lt;25,"4) 15-24%","5) 25%+"))))</f>
        <v>2) 5-9%</v>
      </c>
      <c r="N3573" s="0" t="str">
        <f aca="false">IF(F3573&lt;50,"1) Under Rs 50",IF(F3573&lt;100,"2) Rs 50-99",IF(F3573&lt;200,"3) Rs 100-199",IF(F3573&lt;500,"4) Rs 200-499","5) Rs 500+"))))</f>
        <v>2) Rs 50-99</v>
      </c>
      <c r="O3573" s="0" t="n">
        <f aca="false">G3573*E3573/1000</f>
        <v>0.32</v>
      </c>
    </row>
    <row r="3574" customFormat="false" ht="15" hidden="false" customHeight="false" outlineLevel="0" collapsed="false">
      <c r="A3574" s="0" t="s">
        <v>111</v>
      </c>
      <c r="B3574" s="0" t="s">
        <v>1694</v>
      </c>
      <c r="C3574" s="0" t="n">
        <v>30</v>
      </c>
      <c r="D3574" s="0" t="n">
        <v>6</v>
      </c>
      <c r="E3574" s="0" t="n">
        <v>6</v>
      </c>
      <c r="F3574" s="0" t="n">
        <v>28</v>
      </c>
      <c r="G3574" s="0" t="n">
        <v>1160</v>
      </c>
      <c r="H3574" s="0" t="s">
        <v>145</v>
      </c>
      <c r="I3574" s="0" t="n">
        <v>20</v>
      </c>
      <c r="J3574" s="0" t="n">
        <f aca="false">F3574*E3574</f>
        <v>168</v>
      </c>
      <c r="K3574" s="0" t="str">
        <f aca="false">IF(G3574&lt;1000,"1-Low",IF(G3574&lt;5000,"2-Medium","3-Bulk"))</f>
        <v>2-Medium</v>
      </c>
      <c r="L3574" s="0" t="str">
        <f aca="false">IF(H3574="TRUE","Out of stock","In stock")</f>
        <v>In stock</v>
      </c>
      <c r="M3574" s="0" t="str">
        <f aca="false">IF(D3574&lt;5,"1) Under 5%",IF(D3574&lt;10,"2) 5-9%",IF(D3574&lt;15,"3) 10-14%",IF(D3574&lt;25,"4) 15-24%","5) 25%+"))))</f>
        <v>2) 5-9%</v>
      </c>
      <c r="N3574" s="0" t="str">
        <f aca="false">IF(F3574&lt;50,"1) Under Rs 50",IF(F3574&lt;100,"2) Rs 50-99",IF(F3574&lt;200,"3) Rs 100-199",IF(F3574&lt;500,"4) Rs 200-499","5) Rs 500+"))))</f>
        <v>1) Under Rs 50</v>
      </c>
      <c r="O3574" s="0" t="n">
        <f aca="false">G3574*E3574/1000</f>
        <v>6.96</v>
      </c>
    </row>
    <row r="3575" customFormat="false" ht="15" hidden="false" customHeight="false" outlineLevel="0" collapsed="false">
      <c r="A3575" s="0" t="s">
        <v>111</v>
      </c>
      <c r="B3575" s="0" t="s">
        <v>1605</v>
      </c>
      <c r="C3575" s="0" t="n">
        <v>205</v>
      </c>
      <c r="D3575" s="0" t="n">
        <v>8</v>
      </c>
      <c r="E3575" s="0" t="n">
        <v>6</v>
      </c>
      <c r="F3575" s="0" t="n">
        <v>188</v>
      </c>
      <c r="G3575" s="0" t="n">
        <v>975</v>
      </c>
      <c r="H3575" s="0" t="s">
        <v>145</v>
      </c>
      <c r="I3575" s="0" t="n">
        <v>975</v>
      </c>
      <c r="J3575" s="0" t="n">
        <f aca="false">F3575*E3575</f>
        <v>1128</v>
      </c>
      <c r="K3575" s="0" t="str">
        <f aca="false">IF(G3575&lt;1000,"1-Low",IF(G3575&lt;5000,"2-Medium","3-Bulk"))</f>
        <v>1-Low</v>
      </c>
      <c r="L3575" s="0" t="str">
        <f aca="false">IF(H3575="TRUE","Out of stock","In stock")</f>
        <v>In stock</v>
      </c>
      <c r="M3575" s="0" t="str">
        <f aca="false">IF(D3575&lt;5,"1) Under 5%",IF(D3575&lt;10,"2) 5-9%",IF(D3575&lt;15,"3) 10-14%",IF(D3575&lt;25,"4) 15-24%","5) 25%+"))))</f>
        <v>2) 5-9%</v>
      </c>
      <c r="N3575" s="0" t="str">
        <f aca="false">IF(F3575&lt;50,"1) Under Rs 50",IF(F3575&lt;100,"2) Rs 50-99",IF(F3575&lt;200,"3) Rs 100-199",IF(F3575&lt;500,"4) Rs 200-499","5) Rs 500+"))))</f>
        <v>3) Rs 100-199</v>
      </c>
      <c r="O3575" s="0" t="n">
        <f aca="false">G3575*E3575/1000</f>
        <v>5.85</v>
      </c>
    </row>
    <row r="3576" customFormat="false" ht="15" hidden="false" customHeight="false" outlineLevel="0" collapsed="false">
      <c r="A3576" s="0" t="s">
        <v>111</v>
      </c>
      <c r="B3576" s="0" t="s">
        <v>1695</v>
      </c>
      <c r="C3576" s="0" t="n">
        <v>189</v>
      </c>
      <c r="D3576" s="0" t="n">
        <v>10</v>
      </c>
      <c r="E3576" s="0" t="n">
        <v>6</v>
      </c>
      <c r="F3576" s="0" t="n">
        <v>170</v>
      </c>
      <c r="G3576" s="0" t="n">
        <v>30</v>
      </c>
      <c r="H3576" s="0" t="s">
        <v>145</v>
      </c>
      <c r="I3576" s="0" t="n">
        <v>30</v>
      </c>
      <c r="J3576" s="0" t="n">
        <f aca="false">F3576*E3576</f>
        <v>1020</v>
      </c>
      <c r="K3576" s="0" t="str">
        <f aca="false">IF(G3576&lt;1000,"1-Low",IF(G3576&lt;5000,"2-Medium","3-Bulk"))</f>
        <v>1-Low</v>
      </c>
      <c r="L3576" s="0" t="str">
        <f aca="false">IF(H3576="TRUE","Out of stock","In stock")</f>
        <v>In stock</v>
      </c>
      <c r="M3576" s="0" t="str">
        <f aca="false">IF(D3576&lt;5,"1) Under 5%",IF(D3576&lt;10,"2) 5-9%",IF(D3576&lt;15,"3) 10-14%",IF(D3576&lt;25,"4) 15-24%","5) 25%+"))))</f>
        <v>3) 10-14%</v>
      </c>
      <c r="N3576" s="0" t="str">
        <f aca="false">IF(F3576&lt;50,"1) Under Rs 50",IF(F3576&lt;100,"2) Rs 50-99",IF(F3576&lt;200,"3) Rs 100-199",IF(F3576&lt;500,"4) Rs 200-499","5) Rs 500+"))))</f>
        <v>3) Rs 100-199</v>
      </c>
      <c r="O3576" s="0" t="n">
        <f aca="false">G3576*E3576/1000</f>
        <v>0.18</v>
      </c>
    </row>
    <row r="3577" customFormat="false" ht="15" hidden="false" customHeight="false" outlineLevel="0" collapsed="false">
      <c r="A3577" s="0" t="s">
        <v>111</v>
      </c>
      <c r="B3577" s="0" t="s">
        <v>1696</v>
      </c>
      <c r="C3577" s="0" t="n">
        <v>161</v>
      </c>
      <c r="D3577" s="0" t="n">
        <v>5</v>
      </c>
      <c r="E3577" s="0" t="n">
        <v>6</v>
      </c>
      <c r="F3577" s="0" t="n">
        <v>152</v>
      </c>
      <c r="G3577" s="0" t="n">
        <v>245</v>
      </c>
      <c r="H3577" s="0" t="s">
        <v>145</v>
      </c>
      <c r="I3577" s="0" t="n">
        <v>245</v>
      </c>
      <c r="J3577" s="0" t="n">
        <f aca="false">F3577*E3577</f>
        <v>912</v>
      </c>
      <c r="K3577" s="0" t="str">
        <f aca="false">IF(G3577&lt;1000,"1-Low",IF(G3577&lt;5000,"2-Medium","3-Bulk"))</f>
        <v>1-Low</v>
      </c>
      <c r="L3577" s="0" t="str">
        <f aca="false">IF(H3577="TRUE","Out of stock","In stock")</f>
        <v>In stock</v>
      </c>
      <c r="M3577" s="0" t="str">
        <f aca="false">IF(D3577&lt;5,"1) Under 5%",IF(D3577&lt;10,"2) 5-9%",IF(D3577&lt;15,"3) 10-14%",IF(D3577&lt;25,"4) 15-24%","5) 25%+"))))</f>
        <v>2) 5-9%</v>
      </c>
      <c r="N3577" s="0" t="str">
        <f aca="false">IF(F3577&lt;50,"1) Under Rs 50",IF(F3577&lt;100,"2) Rs 50-99",IF(F3577&lt;200,"3) Rs 100-199",IF(F3577&lt;500,"4) Rs 200-499","5) Rs 500+"))))</f>
        <v>3) Rs 100-199</v>
      </c>
      <c r="O3577" s="0" t="n">
        <f aca="false">G3577*E3577/1000</f>
        <v>1.47</v>
      </c>
    </row>
    <row r="3578" customFormat="false" ht="15" hidden="false" customHeight="false" outlineLevel="0" collapsed="false">
      <c r="A3578" s="0" t="s">
        <v>111</v>
      </c>
      <c r="B3578" s="0" t="s">
        <v>1697</v>
      </c>
      <c r="C3578" s="0" t="n">
        <v>135</v>
      </c>
      <c r="D3578" s="0" t="n">
        <v>9</v>
      </c>
      <c r="E3578" s="0" t="n">
        <v>5</v>
      </c>
      <c r="F3578" s="0" t="n">
        <v>122</v>
      </c>
      <c r="G3578" s="0" t="n">
        <v>58</v>
      </c>
      <c r="H3578" s="0" t="s">
        <v>145</v>
      </c>
      <c r="I3578" s="0" t="n">
        <v>1</v>
      </c>
      <c r="J3578" s="0" t="n">
        <f aca="false">F3578*E3578</f>
        <v>610</v>
      </c>
      <c r="K3578" s="0" t="str">
        <f aca="false">IF(G3578&lt;1000,"1-Low",IF(G3578&lt;5000,"2-Medium","3-Bulk"))</f>
        <v>1-Low</v>
      </c>
      <c r="L3578" s="0" t="str">
        <f aca="false">IF(H3578="TRUE","Out of stock","In stock")</f>
        <v>In stock</v>
      </c>
      <c r="M3578" s="0" t="str">
        <f aca="false">IF(D3578&lt;5,"1) Under 5%",IF(D3578&lt;10,"2) 5-9%",IF(D3578&lt;15,"3) 10-14%",IF(D3578&lt;25,"4) 15-24%","5) 25%+"))))</f>
        <v>2) 5-9%</v>
      </c>
      <c r="N3578" s="0" t="str">
        <f aca="false">IF(F3578&lt;50,"1) Under Rs 50",IF(F3578&lt;100,"2) Rs 50-99",IF(F3578&lt;200,"3) Rs 100-199",IF(F3578&lt;500,"4) Rs 200-499","5) Rs 500+"))))</f>
        <v>3) Rs 100-199</v>
      </c>
      <c r="O3578" s="0" t="n">
        <f aca="false">G3578*E3578/1000</f>
        <v>0.29</v>
      </c>
    </row>
    <row r="3579" customFormat="false" ht="15" hidden="false" customHeight="false" outlineLevel="0" collapsed="false">
      <c r="A3579" s="0" t="s">
        <v>111</v>
      </c>
      <c r="B3579" s="0" t="s">
        <v>1698</v>
      </c>
      <c r="C3579" s="0" t="n">
        <v>150</v>
      </c>
      <c r="D3579" s="0" t="n">
        <v>12</v>
      </c>
      <c r="E3579" s="0" t="n">
        <v>1</v>
      </c>
      <c r="F3579" s="0" t="n">
        <v>132</v>
      </c>
      <c r="G3579" s="0" t="n">
        <v>137</v>
      </c>
      <c r="H3579" s="0" t="s">
        <v>145</v>
      </c>
      <c r="I3579" s="0" t="n">
        <v>137</v>
      </c>
      <c r="J3579" s="0" t="n">
        <f aca="false">F3579*E3579</f>
        <v>132</v>
      </c>
      <c r="K3579" s="0" t="str">
        <f aca="false">IF(G3579&lt;1000,"1-Low",IF(G3579&lt;5000,"2-Medium","3-Bulk"))</f>
        <v>1-Low</v>
      </c>
      <c r="L3579" s="0" t="str">
        <f aca="false">IF(H3579="TRUE","Out of stock","In stock")</f>
        <v>In stock</v>
      </c>
      <c r="M3579" s="0" t="str">
        <f aca="false">IF(D3579&lt;5,"1) Under 5%",IF(D3579&lt;10,"2) 5-9%",IF(D3579&lt;15,"3) 10-14%",IF(D3579&lt;25,"4) 15-24%","5) 25%+"))))</f>
        <v>3) 10-14%</v>
      </c>
      <c r="N3579" s="0" t="str">
        <f aca="false">IF(F3579&lt;50,"1) Under Rs 50",IF(F3579&lt;100,"2) Rs 50-99",IF(F3579&lt;200,"3) Rs 100-199",IF(F3579&lt;500,"4) Rs 200-499","5) Rs 500+"))))</f>
        <v>3) Rs 100-199</v>
      </c>
      <c r="O3579" s="0" t="n">
        <f aca="false">G3579*E3579/1000</f>
        <v>0.137</v>
      </c>
    </row>
    <row r="3580" customFormat="false" ht="15" hidden="false" customHeight="false" outlineLevel="0" collapsed="false">
      <c r="A3580" s="0" t="s">
        <v>111</v>
      </c>
      <c r="B3580" s="0" t="s">
        <v>1699</v>
      </c>
      <c r="C3580" s="0" t="n">
        <v>55</v>
      </c>
      <c r="D3580" s="0" t="n">
        <v>0</v>
      </c>
      <c r="E3580" s="0" t="n">
        <v>4</v>
      </c>
      <c r="F3580" s="0" t="n">
        <v>55</v>
      </c>
      <c r="G3580" s="0" t="n">
        <v>10</v>
      </c>
      <c r="H3580" s="0" t="s">
        <v>145</v>
      </c>
      <c r="I3580" s="0" t="n">
        <v>10</v>
      </c>
      <c r="J3580" s="0" t="n">
        <f aca="false">F3580*E3580</f>
        <v>220</v>
      </c>
      <c r="K3580" s="0" t="str">
        <f aca="false">IF(G3580&lt;1000,"1-Low",IF(G3580&lt;5000,"2-Medium","3-Bulk"))</f>
        <v>1-Low</v>
      </c>
      <c r="L3580" s="0" t="str">
        <f aca="false">IF(H3580="TRUE","Out of stock","In stock")</f>
        <v>In stock</v>
      </c>
      <c r="M3580" s="0" t="str">
        <f aca="false">IF(D3580&lt;5,"1) Under 5%",IF(D3580&lt;10,"2) 5-9%",IF(D3580&lt;15,"3) 10-14%",IF(D3580&lt;25,"4) 15-24%","5) 25%+"))))</f>
        <v>1) Under 5%</v>
      </c>
      <c r="N3580" s="0" t="str">
        <f aca="false">IF(F3580&lt;50,"1) Under Rs 50",IF(F3580&lt;100,"2) Rs 50-99",IF(F3580&lt;200,"3) Rs 100-199",IF(F3580&lt;500,"4) Rs 200-499","5) Rs 500+"))))</f>
        <v>2) Rs 50-99</v>
      </c>
      <c r="O3580" s="0" t="n">
        <f aca="false">G3580*E3580/1000</f>
        <v>0.04</v>
      </c>
    </row>
    <row r="3581" customFormat="false" ht="15" hidden="false" customHeight="false" outlineLevel="0" collapsed="false">
      <c r="A3581" s="0" t="s">
        <v>111</v>
      </c>
      <c r="B3581" s="0" t="s">
        <v>1700</v>
      </c>
      <c r="C3581" s="0" t="n">
        <v>80</v>
      </c>
      <c r="D3581" s="0" t="n">
        <v>10</v>
      </c>
      <c r="E3581" s="0" t="n">
        <v>6</v>
      </c>
      <c r="F3581" s="0" t="n">
        <v>72</v>
      </c>
      <c r="G3581" s="0" t="n">
        <v>50</v>
      </c>
      <c r="H3581" s="0" t="s">
        <v>145</v>
      </c>
      <c r="I3581" s="0" t="n">
        <v>50</v>
      </c>
      <c r="J3581" s="0" t="n">
        <f aca="false">F3581*E3581</f>
        <v>432</v>
      </c>
      <c r="K3581" s="0" t="str">
        <f aca="false">IF(G3581&lt;1000,"1-Low",IF(G3581&lt;5000,"2-Medium","3-Bulk"))</f>
        <v>1-Low</v>
      </c>
      <c r="L3581" s="0" t="str">
        <f aca="false">IF(H3581="TRUE","Out of stock","In stock")</f>
        <v>In stock</v>
      </c>
      <c r="M3581" s="0" t="str">
        <f aca="false">IF(D3581&lt;5,"1) Under 5%",IF(D3581&lt;10,"2) 5-9%",IF(D3581&lt;15,"3) 10-14%",IF(D3581&lt;25,"4) 15-24%","5) 25%+"))))</f>
        <v>3) 10-14%</v>
      </c>
      <c r="N3581" s="0" t="str">
        <f aca="false">IF(F3581&lt;50,"1) Under Rs 50",IF(F3581&lt;100,"2) Rs 50-99",IF(F3581&lt;200,"3) Rs 100-199",IF(F3581&lt;500,"4) Rs 200-499","5) Rs 500+"))))</f>
        <v>2) Rs 50-99</v>
      </c>
      <c r="O3581" s="0" t="n">
        <f aca="false">G3581*E3581/1000</f>
        <v>0.3</v>
      </c>
    </row>
    <row r="3582" customFormat="false" ht="15" hidden="false" customHeight="false" outlineLevel="0" collapsed="false">
      <c r="A3582" s="0" t="s">
        <v>111</v>
      </c>
      <c r="B3582" s="0" t="s">
        <v>1701</v>
      </c>
      <c r="C3582" s="0" t="n">
        <v>115</v>
      </c>
      <c r="D3582" s="0" t="n">
        <v>14</v>
      </c>
      <c r="E3582" s="0" t="n">
        <v>6</v>
      </c>
      <c r="F3582" s="0" t="n">
        <v>98</v>
      </c>
      <c r="G3582" s="0" t="n">
        <v>58</v>
      </c>
      <c r="H3582" s="0" t="s">
        <v>145</v>
      </c>
      <c r="I3582" s="0" t="n">
        <v>1</v>
      </c>
      <c r="J3582" s="0" t="n">
        <f aca="false">F3582*E3582</f>
        <v>588</v>
      </c>
      <c r="K3582" s="0" t="str">
        <f aca="false">IF(G3582&lt;1000,"1-Low",IF(G3582&lt;5000,"2-Medium","3-Bulk"))</f>
        <v>1-Low</v>
      </c>
      <c r="L3582" s="0" t="str">
        <f aca="false">IF(H3582="TRUE","Out of stock","In stock")</f>
        <v>In stock</v>
      </c>
      <c r="M3582" s="0" t="str">
        <f aca="false">IF(D3582&lt;5,"1) Under 5%",IF(D3582&lt;10,"2) 5-9%",IF(D3582&lt;15,"3) 10-14%",IF(D3582&lt;25,"4) 15-24%","5) 25%+"))))</f>
        <v>3) 10-14%</v>
      </c>
      <c r="N3582" s="0" t="str">
        <f aca="false">IF(F3582&lt;50,"1) Under Rs 50",IF(F3582&lt;100,"2) Rs 50-99",IF(F3582&lt;200,"3) Rs 100-199",IF(F3582&lt;500,"4) Rs 200-499","5) Rs 500+"))))</f>
        <v>2) Rs 50-99</v>
      </c>
      <c r="O3582" s="0" t="n">
        <f aca="false">G3582*E3582/1000</f>
        <v>0.348</v>
      </c>
    </row>
    <row r="3583" customFormat="false" ht="15" hidden="false" customHeight="false" outlineLevel="0" collapsed="false">
      <c r="A3583" s="0" t="s">
        <v>111</v>
      </c>
      <c r="B3583" s="0" t="s">
        <v>1702</v>
      </c>
      <c r="C3583" s="0" t="n">
        <v>299</v>
      </c>
      <c r="D3583" s="0" t="n">
        <v>10</v>
      </c>
      <c r="E3583" s="0" t="n">
        <v>2</v>
      </c>
      <c r="F3583" s="0" t="n">
        <v>269</v>
      </c>
      <c r="G3583" s="0" t="n">
        <v>75</v>
      </c>
      <c r="H3583" s="0" t="s">
        <v>145</v>
      </c>
      <c r="I3583" s="0" t="n">
        <v>75</v>
      </c>
      <c r="J3583" s="0" t="n">
        <f aca="false">F3583*E3583</f>
        <v>538</v>
      </c>
      <c r="K3583" s="0" t="str">
        <f aca="false">IF(G3583&lt;1000,"1-Low",IF(G3583&lt;5000,"2-Medium","3-Bulk"))</f>
        <v>1-Low</v>
      </c>
      <c r="L3583" s="0" t="str">
        <f aca="false">IF(H3583="TRUE","Out of stock","In stock")</f>
        <v>In stock</v>
      </c>
      <c r="M3583" s="0" t="str">
        <f aca="false">IF(D3583&lt;5,"1) Under 5%",IF(D3583&lt;10,"2) 5-9%",IF(D3583&lt;15,"3) 10-14%",IF(D3583&lt;25,"4) 15-24%","5) 25%+"))))</f>
        <v>3) 10-14%</v>
      </c>
      <c r="N3583" s="0" t="str">
        <f aca="false">IF(F3583&lt;50,"1) Under Rs 50",IF(F3583&lt;100,"2) Rs 50-99",IF(F3583&lt;200,"3) Rs 100-199",IF(F3583&lt;500,"4) Rs 200-499","5) Rs 500+"))))</f>
        <v>4) Rs 200-499</v>
      </c>
      <c r="O3583" s="0" t="n">
        <f aca="false">G3583*E3583/1000</f>
        <v>0.15</v>
      </c>
    </row>
    <row r="3584" customFormat="false" ht="15" hidden="false" customHeight="false" outlineLevel="0" collapsed="false">
      <c r="A3584" s="0" t="s">
        <v>111</v>
      </c>
      <c r="B3584" s="0" t="s">
        <v>1703</v>
      </c>
      <c r="C3584" s="0" t="n">
        <v>265</v>
      </c>
      <c r="D3584" s="0" t="n">
        <v>0</v>
      </c>
      <c r="E3584" s="0" t="n">
        <v>6</v>
      </c>
      <c r="F3584" s="0" t="n">
        <v>265</v>
      </c>
      <c r="G3584" s="0" t="n">
        <v>58</v>
      </c>
      <c r="H3584" s="0" t="s">
        <v>145</v>
      </c>
      <c r="I3584" s="0" t="n">
        <v>1</v>
      </c>
      <c r="J3584" s="0" t="n">
        <f aca="false">F3584*E3584</f>
        <v>1590</v>
      </c>
      <c r="K3584" s="0" t="str">
        <f aca="false">IF(G3584&lt;1000,"1-Low",IF(G3584&lt;5000,"2-Medium","3-Bulk"))</f>
        <v>1-Low</v>
      </c>
      <c r="L3584" s="0" t="str">
        <f aca="false">IF(H3584="TRUE","Out of stock","In stock")</f>
        <v>In stock</v>
      </c>
      <c r="M3584" s="0" t="str">
        <f aca="false">IF(D3584&lt;5,"1) Under 5%",IF(D3584&lt;10,"2) 5-9%",IF(D3584&lt;15,"3) 10-14%",IF(D3584&lt;25,"4) 15-24%","5) 25%+"))))</f>
        <v>1) Under 5%</v>
      </c>
      <c r="N3584" s="0" t="str">
        <f aca="false">IF(F3584&lt;50,"1) Under Rs 50",IF(F3584&lt;100,"2) Rs 50-99",IF(F3584&lt;200,"3) Rs 100-199",IF(F3584&lt;500,"4) Rs 200-499","5) Rs 500+"))))</f>
        <v>4) Rs 200-499</v>
      </c>
      <c r="O3584" s="0" t="n">
        <f aca="false">G3584*E3584/1000</f>
        <v>0.348</v>
      </c>
    </row>
    <row r="3585" customFormat="false" ht="15" hidden="false" customHeight="false" outlineLevel="0" collapsed="false">
      <c r="A3585" s="0" t="s">
        <v>111</v>
      </c>
      <c r="B3585" s="0" t="s">
        <v>1688</v>
      </c>
      <c r="C3585" s="0" t="n">
        <v>225</v>
      </c>
      <c r="D3585" s="0" t="n">
        <v>0</v>
      </c>
      <c r="E3585" s="0" t="n">
        <v>6</v>
      </c>
      <c r="F3585" s="0" t="n">
        <v>225</v>
      </c>
      <c r="G3585" s="0" t="n">
        <v>1000</v>
      </c>
      <c r="H3585" s="0" t="s">
        <v>145</v>
      </c>
      <c r="I3585" s="0" t="n">
        <v>1</v>
      </c>
      <c r="J3585" s="0" t="n">
        <f aca="false">F3585*E3585</f>
        <v>1350</v>
      </c>
      <c r="K3585" s="0" t="str">
        <f aca="false">IF(G3585&lt;1000,"1-Low",IF(G3585&lt;5000,"2-Medium","3-Bulk"))</f>
        <v>2-Medium</v>
      </c>
      <c r="L3585" s="0" t="str">
        <f aca="false">IF(H3585="TRUE","Out of stock","In stock")</f>
        <v>In stock</v>
      </c>
      <c r="M3585" s="0" t="str">
        <f aca="false">IF(D3585&lt;5,"1) Under 5%",IF(D3585&lt;10,"2) 5-9%",IF(D3585&lt;15,"3) 10-14%",IF(D3585&lt;25,"4) 15-24%","5) 25%+"))))</f>
        <v>1) Under 5%</v>
      </c>
      <c r="N3585" s="0" t="str">
        <f aca="false">IF(F3585&lt;50,"1) Under Rs 50",IF(F3585&lt;100,"2) Rs 50-99",IF(F3585&lt;200,"3) Rs 100-199",IF(F3585&lt;500,"4) Rs 200-499","5) Rs 500+"))))</f>
        <v>4) Rs 200-499</v>
      </c>
      <c r="O3585" s="0" t="n">
        <f aca="false">G3585*E3585/1000</f>
        <v>6</v>
      </c>
    </row>
    <row r="3586" customFormat="false" ht="15" hidden="false" customHeight="false" outlineLevel="0" collapsed="false">
      <c r="A3586" s="0" t="s">
        <v>111</v>
      </c>
      <c r="B3586" s="0" t="s">
        <v>1704</v>
      </c>
      <c r="C3586" s="0" t="n">
        <v>139</v>
      </c>
      <c r="D3586" s="0" t="n">
        <v>10</v>
      </c>
      <c r="E3586" s="0" t="n">
        <v>6</v>
      </c>
      <c r="F3586" s="0" t="n">
        <v>125</v>
      </c>
      <c r="G3586" s="0" t="n">
        <v>30</v>
      </c>
      <c r="H3586" s="0" t="s">
        <v>145</v>
      </c>
      <c r="I3586" s="0" t="n">
        <v>30</v>
      </c>
      <c r="J3586" s="0" t="n">
        <f aca="false">F3586*E3586</f>
        <v>750</v>
      </c>
      <c r="K3586" s="0" t="str">
        <f aca="false">IF(G3586&lt;1000,"1-Low",IF(G3586&lt;5000,"2-Medium","3-Bulk"))</f>
        <v>1-Low</v>
      </c>
      <c r="L3586" s="0" t="str">
        <f aca="false">IF(H3586="TRUE","Out of stock","In stock")</f>
        <v>In stock</v>
      </c>
      <c r="M3586" s="0" t="str">
        <f aca="false">IF(D3586&lt;5,"1) Under 5%",IF(D3586&lt;10,"2) 5-9%",IF(D3586&lt;15,"3) 10-14%",IF(D3586&lt;25,"4) 15-24%","5) 25%+"))))</f>
        <v>3) 10-14%</v>
      </c>
      <c r="N3586" s="0" t="str">
        <f aca="false">IF(F3586&lt;50,"1) Under Rs 50",IF(F3586&lt;100,"2) Rs 50-99",IF(F3586&lt;200,"3) Rs 100-199",IF(F3586&lt;500,"4) Rs 200-499","5) Rs 500+"))))</f>
        <v>3) Rs 100-199</v>
      </c>
      <c r="O3586" s="0" t="n">
        <f aca="false">G3586*E3586/1000</f>
        <v>0.18</v>
      </c>
    </row>
    <row r="3587" customFormat="false" ht="15" hidden="false" customHeight="false" outlineLevel="0" collapsed="false">
      <c r="A3587" s="0" t="s">
        <v>111</v>
      </c>
      <c r="B3587" s="0" t="s">
        <v>1705</v>
      </c>
      <c r="C3587" s="0" t="n">
        <v>29</v>
      </c>
      <c r="D3587" s="0" t="n">
        <v>3</v>
      </c>
      <c r="E3587" s="0" t="n">
        <v>5</v>
      </c>
      <c r="F3587" s="0" t="n">
        <v>28</v>
      </c>
      <c r="G3587" s="0" t="n">
        <v>58</v>
      </c>
      <c r="H3587" s="0" t="s">
        <v>145</v>
      </c>
      <c r="I3587" s="0" t="n">
        <v>1</v>
      </c>
      <c r="J3587" s="0" t="n">
        <f aca="false">F3587*E3587</f>
        <v>140</v>
      </c>
      <c r="K3587" s="0" t="str">
        <f aca="false">IF(G3587&lt;1000,"1-Low",IF(G3587&lt;5000,"2-Medium","3-Bulk"))</f>
        <v>1-Low</v>
      </c>
      <c r="L3587" s="0" t="str">
        <f aca="false">IF(H3587="TRUE","Out of stock","In stock")</f>
        <v>In stock</v>
      </c>
      <c r="M3587" s="0" t="str">
        <f aca="false">IF(D3587&lt;5,"1) Under 5%",IF(D3587&lt;10,"2) 5-9%",IF(D3587&lt;15,"3) 10-14%",IF(D3587&lt;25,"4) 15-24%","5) 25%+"))))</f>
        <v>1) Under 5%</v>
      </c>
      <c r="N3587" s="0" t="str">
        <f aca="false">IF(F3587&lt;50,"1) Under Rs 50",IF(F3587&lt;100,"2) Rs 50-99",IF(F3587&lt;200,"3) Rs 100-199",IF(F3587&lt;500,"4) Rs 200-499","5) Rs 500+"))))</f>
        <v>1) Under Rs 50</v>
      </c>
      <c r="O3587" s="0" t="n">
        <f aca="false">G3587*E3587/1000</f>
        <v>0.29</v>
      </c>
    </row>
    <row r="3588" customFormat="false" ht="15" hidden="false" customHeight="false" outlineLevel="0" collapsed="false">
      <c r="A3588" s="0" t="s">
        <v>111</v>
      </c>
      <c r="B3588" s="0" t="s">
        <v>1706</v>
      </c>
      <c r="C3588" s="0" t="n">
        <v>165</v>
      </c>
      <c r="D3588" s="0" t="n">
        <v>5</v>
      </c>
      <c r="E3588" s="0" t="n">
        <v>5</v>
      </c>
      <c r="F3588" s="0" t="n">
        <v>156</v>
      </c>
      <c r="G3588" s="0" t="n">
        <v>975</v>
      </c>
      <c r="H3588" s="0" t="s">
        <v>145</v>
      </c>
      <c r="I3588" s="0" t="n">
        <v>975</v>
      </c>
      <c r="J3588" s="0" t="n">
        <f aca="false">F3588*E3588</f>
        <v>780</v>
      </c>
      <c r="K3588" s="0" t="str">
        <f aca="false">IF(G3588&lt;1000,"1-Low",IF(G3588&lt;5000,"2-Medium","3-Bulk"))</f>
        <v>1-Low</v>
      </c>
      <c r="L3588" s="0" t="str">
        <f aca="false">IF(H3588="TRUE","Out of stock","In stock")</f>
        <v>In stock</v>
      </c>
      <c r="M3588" s="0" t="str">
        <f aca="false">IF(D3588&lt;5,"1) Under 5%",IF(D3588&lt;10,"2) 5-9%",IF(D3588&lt;15,"3) 10-14%",IF(D3588&lt;25,"4) 15-24%","5) 25%+"))))</f>
        <v>2) 5-9%</v>
      </c>
      <c r="N3588" s="0" t="str">
        <f aca="false">IF(F3588&lt;50,"1) Under Rs 50",IF(F3588&lt;100,"2) Rs 50-99",IF(F3588&lt;200,"3) Rs 100-199",IF(F3588&lt;500,"4) Rs 200-499","5) Rs 500+"))))</f>
        <v>3) Rs 100-199</v>
      </c>
      <c r="O3588" s="0" t="n">
        <f aca="false">G3588*E3588/1000</f>
        <v>4.875</v>
      </c>
    </row>
    <row r="3589" customFormat="false" ht="15" hidden="false" customHeight="false" outlineLevel="0" collapsed="false">
      <c r="A3589" s="0" t="s">
        <v>111</v>
      </c>
      <c r="B3589" s="0" t="s">
        <v>1707</v>
      </c>
      <c r="C3589" s="0" t="n">
        <v>179</v>
      </c>
      <c r="D3589" s="0" t="n">
        <v>10</v>
      </c>
      <c r="E3589" s="0" t="n">
        <v>6</v>
      </c>
      <c r="F3589" s="0" t="n">
        <v>161</v>
      </c>
      <c r="G3589" s="0" t="n">
        <v>1000</v>
      </c>
      <c r="H3589" s="0" t="s">
        <v>145</v>
      </c>
      <c r="I3589" s="0" t="n">
        <v>1</v>
      </c>
      <c r="J3589" s="0" t="n">
        <f aca="false">F3589*E3589</f>
        <v>966</v>
      </c>
      <c r="K3589" s="0" t="str">
        <f aca="false">IF(G3589&lt;1000,"1-Low",IF(G3589&lt;5000,"2-Medium","3-Bulk"))</f>
        <v>2-Medium</v>
      </c>
      <c r="L3589" s="0" t="str">
        <f aca="false">IF(H3589="TRUE","Out of stock","In stock")</f>
        <v>In stock</v>
      </c>
      <c r="M3589" s="0" t="str">
        <f aca="false">IF(D3589&lt;5,"1) Under 5%",IF(D3589&lt;10,"2) 5-9%",IF(D3589&lt;15,"3) 10-14%",IF(D3589&lt;25,"4) 15-24%","5) 25%+"))))</f>
        <v>3) 10-14%</v>
      </c>
      <c r="N3589" s="0" t="str">
        <f aca="false">IF(F3589&lt;50,"1) Under Rs 50",IF(F3589&lt;100,"2) Rs 50-99",IF(F3589&lt;200,"3) Rs 100-199",IF(F3589&lt;500,"4) Rs 200-499","5) Rs 500+"))))</f>
        <v>3) Rs 100-199</v>
      </c>
      <c r="O3589" s="0" t="n">
        <f aca="false">G3589*E3589/1000</f>
        <v>6</v>
      </c>
    </row>
    <row r="3590" customFormat="false" ht="15" hidden="false" customHeight="false" outlineLevel="0" collapsed="false">
      <c r="A3590" s="0" t="s">
        <v>111</v>
      </c>
      <c r="B3590" s="0" t="s">
        <v>1708</v>
      </c>
      <c r="C3590" s="0" t="n">
        <v>161</v>
      </c>
      <c r="D3590" s="0" t="n">
        <v>5</v>
      </c>
      <c r="E3590" s="0" t="n">
        <v>5</v>
      </c>
      <c r="F3590" s="0" t="n">
        <v>152</v>
      </c>
      <c r="G3590" s="0" t="n">
        <v>245</v>
      </c>
      <c r="H3590" s="0" t="s">
        <v>145</v>
      </c>
      <c r="I3590" s="0" t="n">
        <v>245</v>
      </c>
      <c r="J3590" s="0" t="n">
        <f aca="false">F3590*E3590</f>
        <v>760</v>
      </c>
      <c r="K3590" s="0" t="str">
        <f aca="false">IF(G3590&lt;1000,"1-Low",IF(G3590&lt;5000,"2-Medium","3-Bulk"))</f>
        <v>1-Low</v>
      </c>
      <c r="L3590" s="0" t="str">
        <f aca="false">IF(H3590="TRUE","Out of stock","In stock")</f>
        <v>In stock</v>
      </c>
      <c r="M3590" s="0" t="str">
        <f aca="false">IF(D3590&lt;5,"1) Under 5%",IF(D3590&lt;10,"2) 5-9%",IF(D3590&lt;15,"3) 10-14%",IF(D3590&lt;25,"4) 15-24%","5) 25%+"))))</f>
        <v>2) 5-9%</v>
      </c>
      <c r="N3590" s="0" t="str">
        <f aca="false">IF(F3590&lt;50,"1) Under Rs 50",IF(F3590&lt;100,"2) Rs 50-99",IF(F3590&lt;200,"3) Rs 100-199",IF(F3590&lt;500,"4) Rs 200-499","5) Rs 500+"))))</f>
        <v>3) Rs 100-199</v>
      </c>
      <c r="O3590" s="0" t="n">
        <f aca="false">G3590*E3590/1000</f>
        <v>1.225</v>
      </c>
    </row>
    <row r="3591" customFormat="false" ht="15" hidden="false" customHeight="false" outlineLevel="0" collapsed="false">
      <c r="A3591" s="0" t="s">
        <v>111</v>
      </c>
      <c r="B3591" s="0" t="s">
        <v>1709</v>
      </c>
      <c r="C3591" s="0" t="n">
        <v>320</v>
      </c>
      <c r="D3591" s="0" t="n">
        <v>0</v>
      </c>
      <c r="E3591" s="0" t="n">
        <v>2</v>
      </c>
      <c r="F3591" s="0" t="n">
        <v>320</v>
      </c>
      <c r="G3591" s="0" t="n">
        <v>58</v>
      </c>
      <c r="H3591" s="0" t="s">
        <v>145</v>
      </c>
      <c r="I3591" s="0" t="n">
        <v>1</v>
      </c>
      <c r="J3591" s="0" t="n">
        <f aca="false">F3591*E3591</f>
        <v>640</v>
      </c>
      <c r="K3591" s="0" t="str">
        <f aca="false">IF(G3591&lt;1000,"1-Low",IF(G3591&lt;5000,"2-Medium","3-Bulk"))</f>
        <v>1-Low</v>
      </c>
      <c r="L3591" s="0" t="str">
        <f aca="false">IF(H3591="TRUE","Out of stock","In stock")</f>
        <v>In stock</v>
      </c>
      <c r="M3591" s="0" t="str">
        <f aca="false">IF(D3591&lt;5,"1) Under 5%",IF(D3591&lt;10,"2) 5-9%",IF(D3591&lt;15,"3) 10-14%",IF(D3591&lt;25,"4) 15-24%","5) 25%+"))))</f>
        <v>1) Under 5%</v>
      </c>
      <c r="N3591" s="0" t="str">
        <f aca="false">IF(F3591&lt;50,"1) Under Rs 50",IF(F3591&lt;100,"2) Rs 50-99",IF(F3591&lt;200,"3) Rs 100-199",IF(F3591&lt;500,"4) Rs 200-499","5) Rs 500+"))))</f>
        <v>4) Rs 200-499</v>
      </c>
      <c r="O3591" s="0" t="n">
        <f aca="false">G3591*E3591/1000</f>
        <v>0.116</v>
      </c>
    </row>
    <row r="3592" customFormat="false" ht="15" hidden="false" customHeight="false" outlineLevel="0" collapsed="false">
      <c r="A3592" s="0" t="s">
        <v>111</v>
      </c>
      <c r="B3592" s="0" t="s">
        <v>1710</v>
      </c>
      <c r="C3592" s="0" t="n">
        <v>220</v>
      </c>
      <c r="D3592" s="0" t="n">
        <v>10</v>
      </c>
      <c r="E3592" s="0" t="n">
        <v>6</v>
      </c>
      <c r="F3592" s="0" t="n">
        <v>198</v>
      </c>
      <c r="G3592" s="0" t="n">
        <v>58</v>
      </c>
      <c r="H3592" s="0" t="s">
        <v>145</v>
      </c>
      <c r="I3592" s="0" t="n">
        <v>1</v>
      </c>
      <c r="J3592" s="0" t="n">
        <f aca="false">F3592*E3592</f>
        <v>1188</v>
      </c>
      <c r="K3592" s="0" t="str">
        <f aca="false">IF(G3592&lt;1000,"1-Low",IF(G3592&lt;5000,"2-Medium","3-Bulk"))</f>
        <v>1-Low</v>
      </c>
      <c r="L3592" s="0" t="str">
        <f aca="false">IF(H3592="TRUE","Out of stock","In stock")</f>
        <v>In stock</v>
      </c>
      <c r="M3592" s="0" t="str">
        <f aca="false">IF(D3592&lt;5,"1) Under 5%",IF(D3592&lt;10,"2) 5-9%",IF(D3592&lt;15,"3) 10-14%",IF(D3592&lt;25,"4) 15-24%","5) 25%+"))))</f>
        <v>3) 10-14%</v>
      </c>
      <c r="N3592" s="0" t="str">
        <f aca="false">IF(F3592&lt;50,"1) Under Rs 50",IF(F3592&lt;100,"2) Rs 50-99",IF(F3592&lt;200,"3) Rs 100-199",IF(F3592&lt;500,"4) Rs 200-499","5) Rs 500+"))))</f>
        <v>3) Rs 100-199</v>
      </c>
      <c r="O3592" s="0" t="n">
        <f aca="false">G3592*E3592/1000</f>
        <v>0.348</v>
      </c>
    </row>
    <row r="3593" customFormat="false" ht="15" hidden="false" customHeight="false" outlineLevel="0" collapsed="false">
      <c r="A3593" s="0" t="s">
        <v>111</v>
      </c>
      <c r="B3593" s="0" t="s">
        <v>1711</v>
      </c>
      <c r="C3593" s="0" t="n">
        <v>280</v>
      </c>
      <c r="D3593" s="0" t="n">
        <v>10</v>
      </c>
      <c r="E3593" s="0" t="n">
        <v>6</v>
      </c>
      <c r="F3593" s="0" t="n">
        <v>252</v>
      </c>
      <c r="G3593" s="0" t="n">
        <v>100</v>
      </c>
      <c r="H3593" s="0" t="s">
        <v>145</v>
      </c>
      <c r="I3593" s="0" t="n">
        <v>100</v>
      </c>
      <c r="J3593" s="0" t="n">
        <f aca="false">F3593*E3593</f>
        <v>1512</v>
      </c>
      <c r="K3593" s="0" t="str">
        <f aca="false">IF(G3593&lt;1000,"1-Low",IF(G3593&lt;5000,"2-Medium","3-Bulk"))</f>
        <v>1-Low</v>
      </c>
      <c r="L3593" s="0" t="str">
        <f aca="false">IF(H3593="TRUE","Out of stock","In stock")</f>
        <v>In stock</v>
      </c>
      <c r="M3593" s="0" t="str">
        <f aca="false">IF(D3593&lt;5,"1) Under 5%",IF(D3593&lt;10,"2) 5-9%",IF(D3593&lt;15,"3) 10-14%",IF(D3593&lt;25,"4) 15-24%","5) 25%+"))))</f>
        <v>3) 10-14%</v>
      </c>
      <c r="N3593" s="0" t="str">
        <f aca="false">IF(F3593&lt;50,"1) Under Rs 50",IF(F3593&lt;100,"2) Rs 50-99",IF(F3593&lt;200,"3) Rs 100-199",IF(F3593&lt;500,"4) Rs 200-499","5) Rs 500+"))))</f>
        <v>4) Rs 200-499</v>
      </c>
      <c r="O3593" s="0" t="n">
        <f aca="false">G3593*E3593/1000</f>
        <v>0.6</v>
      </c>
    </row>
    <row r="3594" customFormat="false" ht="15" hidden="false" customHeight="false" outlineLevel="0" collapsed="false">
      <c r="A3594" s="0" t="s">
        <v>111</v>
      </c>
      <c r="B3594" s="0" t="s">
        <v>1712</v>
      </c>
      <c r="C3594" s="0" t="n">
        <v>140</v>
      </c>
      <c r="D3594" s="0" t="n">
        <v>0</v>
      </c>
      <c r="E3594" s="0" t="n">
        <v>6</v>
      </c>
      <c r="F3594" s="0" t="n">
        <v>140</v>
      </c>
      <c r="G3594" s="0" t="n">
        <v>174</v>
      </c>
      <c r="H3594" s="0" t="s">
        <v>145</v>
      </c>
      <c r="I3594" s="0" t="n">
        <v>3</v>
      </c>
      <c r="J3594" s="0" t="n">
        <f aca="false">F3594*E3594</f>
        <v>840</v>
      </c>
      <c r="K3594" s="0" t="str">
        <f aca="false">IF(G3594&lt;1000,"1-Low",IF(G3594&lt;5000,"2-Medium","3-Bulk"))</f>
        <v>1-Low</v>
      </c>
      <c r="L3594" s="0" t="str">
        <f aca="false">IF(H3594="TRUE","Out of stock","In stock")</f>
        <v>In stock</v>
      </c>
      <c r="M3594" s="0" t="str">
        <f aca="false">IF(D3594&lt;5,"1) Under 5%",IF(D3594&lt;10,"2) 5-9%",IF(D3594&lt;15,"3) 10-14%",IF(D3594&lt;25,"4) 15-24%","5) 25%+"))))</f>
        <v>1) Under 5%</v>
      </c>
      <c r="N3594" s="0" t="str">
        <f aca="false">IF(F3594&lt;50,"1) Under Rs 50",IF(F3594&lt;100,"2) Rs 50-99",IF(F3594&lt;200,"3) Rs 100-199",IF(F3594&lt;500,"4) Rs 200-499","5) Rs 500+"))))</f>
        <v>3) Rs 100-199</v>
      </c>
      <c r="O3594" s="0" t="n">
        <f aca="false">G3594*E3594/1000</f>
        <v>1.044</v>
      </c>
    </row>
    <row r="3595" customFormat="false" ht="15" hidden="false" customHeight="false" outlineLevel="0" collapsed="false">
      <c r="A3595" s="0" t="s">
        <v>111</v>
      </c>
      <c r="B3595" s="0" t="s">
        <v>1713</v>
      </c>
      <c r="C3595" s="0" t="n">
        <v>78</v>
      </c>
      <c r="D3595" s="0" t="n">
        <v>10</v>
      </c>
      <c r="E3595" s="0" t="n">
        <v>6</v>
      </c>
      <c r="F3595" s="0" t="n">
        <v>70</v>
      </c>
      <c r="G3595" s="0" t="n">
        <v>58</v>
      </c>
      <c r="H3595" s="0" t="s">
        <v>145</v>
      </c>
      <c r="I3595" s="0" t="n">
        <v>1</v>
      </c>
      <c r="J3595" s="0" t="n">
        <f aca="false">F3595*E3595</f>
        <v>420</v>
      </c>
      <c r="K3595" s="0" t="str">
        <f aca="false">IF(G3595&lt;1000,"1-Low",IF(G3595&lt;5000,"2-Medium","3-Bulk"))</f>
        <v>1-Low</v>
      </c>
      <c r="L3595" s="0" t="str">
        <f aca="false">IF(H3595="TRUE","Out of stock","In stock")</f>
        <v>In stock</v>
      </c>
      <c r="M3595" s="0" t="str">
        <f aca="false">IF(D3595&lt;5,"1) Under 5%",IF(D3595&lt;10,"2) 5-9%",IF(D3595&lt;15,"3) 10-14%",IF(D3595&lt;25,"4) 15-24%","5) 25%+"))))</f>
        <v>3) 10-14%</v>
      </c>
      <c r="N3595" s="0" t="str">
        <f aca="false">IF(F3595&lt;50,"1) Under Rs 50",IF(F3595&lt;100,"2) Rs 50-99",IF(F3595&lt;200,"3) Rs 100-199",IF(F3595&lt;500,"4) Rs 200-499","5) Rs 500+"))))</f>
        <v>2) Rs 50-99</v>
      </c>
      <c r="O3595" s="0" t="n">
        <f aca="false">G3595*E3595/1000</f>
        <v>0.348</v>
      </c>
    </row>
    <row r="3596" customFormat="false" ht="15" hidden="false" customHeight="false" outlineLevel="0" collapsed="false">
      <c r="A3596" s="0" t="s">
        <v>111</v>
      </c>
      <c r="B3596" s="0" t="s">
        <v>1714</v>
      </c>
      <c r="C3596" s="0" t="n">
        <v>74</v>
      </c>
      <c r="D3596" s="0" t="n">
        <v>5</v>
      </c>
      <c r="E3596" s="0" t="n">
        <v>6</v>
      </c>
      <c r="F3596" s="0" t="n">
        <v>70</v>
      </c>
      <c r="G3596" s="0" t="n">
        <v>200</v>
      </c>
      <c r="H3596" s="0" t="s">
        <v>145</v>
      </c>
      <c r="I3596" s="0" t="n">
        <v>200</v>
      </c>
      <c r="J3596" s="0" t="n">
        <f aca="false">F3596*E3596</f>
        <v>420</v>
      </c>
      <c r="K3596" s="0" t="str">
        <f aca="false">IF(G3596&lt;1000,"1-Low",IF(G3596&lt;5000,"2-Medium","3-Bulk"))</f>
        <v>1-Low</v>
      </c>
      <c r="L3596" s="0" t="str">
        <f aca="false">IF(H3596="TRUE","Out of stock","In stock")</f>
        <v>In stock</v>
      </c>
      <c r="M3596" s="0" t="str">
        <f aca="false">IF(D3596&lt;5,"1) Under 5%",IF(D3596&lt;10,"2) 5-9%",IF(D3596&lt;15,"3) 10-14%",IF(D3596&lt;25,"4) 15-24%","5) 25%+"))))</f>
        <v>2) 5-9%</v>
      </c>
      <c r="N3596" s="0" t="str">
        <f aca="false">IF(F3596&lt;50,"1) Under Rs 50",IF(F3596&lt;100,"2) Rs 50-99",IF(F3596&lt;200,"3) Rs 100-199",IF(F3596&lt;500,"4) Rs 200-499","5) Rs 500+"))))</f>
        <v>2) Rs 50-99</v>
      </c>
      <c r="O3596" s="0" t="n">
        <f aca="false">G3596*E3596/1000</f>
        <v>1.2</v>
      </c>
    </row>
    <row r="3597" customFormat="false" ht="15" hidden="false" customHeight="false" outlineLevel="0" collapsed="false">
      <c r="A3597" s="0" t="s">
        <v>111</v>
      </c>
      <c r="B3597" s="0" t="s">
        <v>1715</v>
      </c>
      <c r="C3597" s="0" t="n">
        <v>119</v>
      </c>
      <c r="D3597" s="0" t="n">
        <v>10</v>
      </c>
      <c r="E3597" s="0" t="n">
        <v>6</v>
      </c>
      <c r="F3597" s="0" t="n">
        <v>107</v>
      </c>
      <c r="G3597" s="0" t="n">
        <v>40</v>
      </c>
      <c r="H3597" s="0" t="s">
        <v>145</v>
      </c>
      <c r="I3597" s="0" t="n">
        <v>40</v>
      </c>
      <c r="J3597" s="0" t="n">
        <f aca="false">F3597*E3597</f>
        <v>642</v>
      </c>
      <c r="K3597" s="0" t="str">
        <f aca="false">IF(G3597&lt;1000,"1-Low",IF(G3597&lt;5000,"2-Medium","3-Bulk"))</f>
        <v>1-Low</v>
      </c>
      <c r="L3597" s="0" t="str">
        <f aca="false">IF(H3597="TRUE","Out of stock","In stock")</f>
        <v>In stock</v>
      </c>
      <c r="M3597" s="0" t="str">
        <f aca="false">IF(D3597&lt;5,"1) Under 5%",IF(D3597&lt;10,"2) 5-9%",IF(D3597&lt;15,"3) 10-14%",IF(D3597&lt;25,"4) 15-24%","5) 25%+"))))</f>
        <v>3) 10-14%</v>
      </c>
      <c r="N3597" s="0" t="str">
        <f aca="false">IF(F3597&lt;50,"1) Under Rs 50",IF(F3597&lt;100,"2) Rs 50-99",IF(F3597&lt;200,"3) Rs 100-199",IF(F3597&lt;500,"4) Rs 200-499","5) Rs 500+"))))</f>
        <v>3) Rs 100-199</v>
      </c>
      <c r="O3597" s="0" t="n">
        <f aca="false">G3597*E3597/1000</f>
        <v>0.24</v>
      </c>
    </row>
    <row r="3598" customFormat="false" ht="15" hidden="false" customHeight="false" outlineLevel="0" collapsed="false">
      <c r="A3598" s="0" t="s">
        <v>111</v>
      </c>
      <c r="B3598" s="0" t="s">
        <v>1619</v>
      </c>
      <c r="C3598" s="0" t="n">
        <v>20</v>
      </c>
      <c r="D3598" s="0" t="n">
        <v>0</v>
      </c>
      <c r="E3598" s="0" t="n">
        <v>6</v>
      </c>
      <c r="F3598" s="0" t="n">
        <v>20</v>
      </c>
      <c r="G3598" s="0" t="n">
        <v>75</v>
      </c>
      <c r="H3598" s="0" t="s">
        <v>145</v>
      </c>
      <c r="I3598" s="0" t="n">
        <v>75</v>
      </c>
      <c r="J3598" s="0" t="n">
        <f aca="false">F3598*E3598</f>
        <v>120</v>
      </c>
      <c r="K3598" s="0" t="str">
        <f aca="false">IF(G3598&lt;1000,"1-Low",IF(G3598&lt;5000,"2-Medium","3-Bulk"))</f>
        <v>1-Low</v>
      </c>
      <c r="L3598" s="0" t="str">
        <f aca="false">IF(H3598="TRUE","Out of stock","In stock")</f>
        <v>In stock</v>
      </c>
      <c r="M3598" s="0" t="str">
        <f aca="false">IF(D3598&lt;5,"1) Under 5%",IF(D3598&lt;10,"2) 5-9%",IF(D3598&lt;15,"3) 10-14%",IF(D3598&lt;25,"4) 15-24%","5) 25%+"))))</f>
        <v>1) Under 5%</v>
      </c>
      <c r="N3598" s="0" t="str">
        <f aca="false">IF(F3598&lt;50,"1) Under Rs 50",IF(F3598&lt;100,"2) Rs 50-99",IF(F3598&lt;200,"3) Rs 100-199",IF(F3598&lt;500,"4) Rs 200-499","5) Rs 500+"))))</f>
        <v>1) Under Rs 50</v>
      </c>
      <c r="O3598" s="0" t="n">
        <f aca="false">G3598*E3598/1000</f>
        <v>0.45</v>
      </c>
    </row>
    <row r="3599" customFormat="false" ht="15" hidden="false" customHeight="false" outlineLevel="0" collapsed="false">
      <c r="A3599" s="0" t="s">
        <v>111</v>
      </c>
      <c r="B3599" s="0" t="s">
        <v>1716</v>
      </c>
      <c r="C3599" s="0" t="n">
        <v>79</v>
      </c>
      <c r="D3599" s="0" t="n">
        <v>10</v>
      </c>
      <c r="E3599" s="0" t="n">
        <v>6</v>
      </c>
      <c r="F3599" s="0" t="n">
        <v>71</v>
      </c>
      <c r="G3599" s="0" t="n">
        <v>25</v>
      </c>
      <c r="H3599" s="0" t="s">
        <v>145</v>
      </c>
      <c r="I3599" s="0" t="n">
        <v>25</v>
      </c>
      <c r="J3599" s="0" t="n">
        <f aca="false">F3599*E3599</f>
        <v>426</v>
      </c>
      <c r="K3599" s="0" t="str">
        <f aca="false">IF(G3599&lt;1000,"1-Low",IF(G3599&lt;5000,"2-Medium","3-Bulk"))</f>
        <v>1-Low</v>
      </c>
      <c r="L3599" s="0" t="str">
        <f aca="false">IF(H3599="TRUE","Out of stock","In stock")</f>
        <v>In stock</v>
      </c>
      <c r="M3599" s="0" t="str">
        <f aca="false">IF(D3599&lt;5,"1) Under 5%",IF(D3599&lt;10,"2) 5-9%",IF(D3599&lt;15,"3) 10-14%",IF(D3599&lt;25,"4) 15-24%","5) 25%+"))))</f>
        <v>3) 10-14%</v>
      </c>
      <c r="N3599" s="0" t="str">
        <f aca="false">IF(F3599&lt;50,"1) Under Rs 50",IF(F3599&lt;100,"2) Rs 50-99",IF(F3599&lt;200,"3) Rs 100-199",IF(F3599&lt;500,"4) Rs 200-499","5) Rs 500+"))))</f>
        <v>2) Rs 50-99</v>
      </c>
      <c r="O3599" s="0" t="n">
        <f aca="false">G3599*E3599/1000</f>
        <v>0.15</v>
      </c>
    </row>
    <row r="3600" customFormat="false" ht="15" hidden="false" customHeight="false" outlineLevel="0" collapsed="false">
      <c r="A3600" s="0" t="s">
        <v>111</v>
      </c>
      <c r="B3600" s="0" t="s">
        <v>1598</v>
      </c>
      <c r="C3600" s="0" t="n">
        <v>499</v>
      </c>
      <c r="D3600" s="0" t="n">
        <v>0</v>
      </c>
      <c r="E3600" s="0" t="n">
        <v>1</v>
      </c>
      <c r="F3600" s="0" t="n">
        <v>499</v>
      </c>
      <c r="G3600" s="0" t="n">
        <v>2000</v>
      </c>
      <c r="H3600" s="0" t="s">
        <v>145</v>
      </c>
      <c r="I3600" s="0" t="n">
        <v>2</v>
      </c>
      <c r="J3600" s="0" t="n">
        <f aca="false">F3600*E3600</f>
        <v>499</v>
      </c>
      <c r="K3600" s="0" t="str">
        <f aca="false">IF(G3600&lt;1000,"1-Low",IF(G3600&lt;5000,"2-Medium","3-Bulk"))</f>
        <v>2-Medium</v>
      </c>
      <c r="L3600" s="0" t="str">
        <f aca="false">IF(H3600="TRUE","Out of stock","In stock")</f>
        <v>In stock</v>
      </c>
      <c r="M3600" s="0" t="str">
        <f aca="false">IF(D3600&lt;5,"1) Under 5%",IF(D3600&lt;10,"2) 5-9%",IF(D3600&lt;15,"3) 10-14%",IF(D3600&lt;25,"4) 15-24%","5) 25%+"))))</f>
        <v>1) Under 5%</v>
      </c>
      <c r="N3600" s="0" t="str">
        <f aca="false">IF(F3600&lt;50,"1) Under Rs 50",IF(F3600&lt;100,"2) Rs 50-99",IF(F3600&lt;200,"3) Rs 100-199",IF(F3600&lt;500,"4) Rs 200-499","5) Rs 500+"))))</f>
        <v>4) Rs 200-499</v>
      </c>
      <c r="O3600" s="0" t="n">
        <f aca="false">G3600*E3600/1000</f>
        <v>2</v>
      </c>
    </row>
    <row r="3601" customFormat="false" ht="15" hidden="false" customHeight="false" outlineLevel="0" collapsed="false">
      <c r="A3601" s="0" t="s">
        <v>111</v>
      </c>
      <c r="B3601" s="0" t="s">
        <v>1717</v>
      </c>
      <c r="C3601" s="0" t="n">
        <v>700</v>
      </c>
      <c r="D3601" s="0" t="n">
        <v>17</v>
      </c>
      <c r="E3601" s="0" t="n">
        <v>6</v>
      </c>
      <c r="F3601" s="0" t="n">
        <v>581</v>
      </c>
      <c r="G3601" s="0" t="n">
        <v>580</v>
      </c>
      <c r="H3601" s="0" t="s">
        <v>145</v>
      </c>
      <c r="I3601" s="0" t="n">
        <v>10</v>
      </c>
      <c r="J3601" s="0" t="n">
        <f aca="false">F3601*E3601</f>
        <v>3486</v>
      </c>
      <c r="K3601" s="0" t="str">
        <f aca="false">IF(G3601&lt;1000,"1-Low",IF(G3601&lt;5000,"2-Medium","3-Bulk"))</f>
        <v>1-Low</v>
      </c>
      <c r="L3601" s="0" t="str">
        <f aca="false">IF(H3601="TRUE","Out of stock","In stock")</f>
        <v>In stock</v>
      </c>
      <c r="M3601" s="0" t="str">
        <f aca="false">IF(D3601&lt;5,"1) Under 5%",IF(D3601&lt;10,"2) 5-9%",IF(D3601&lt;15,"3) 10-14%",IF(D3601&lt;25,"4) 15-24%","5) 25%+"))))</f>
        <v>4) 15-24%</v>
      </c>
      <c r="N3601" s="0" t="str">
        <f aca="false">IF(F3601&lt;50,"1) Under Rs 50",IF(F3601&lt;100,"2) Rs 50-99",IF(F3601&lt;200,"3) Rs 100-199",IF(F3601&lt;500,"4) Rs 200-499","5) Rs 500+"))))</f>
        <v>5) Rs 500+</v>
      </c>
      <c r="O3601" s="0" t="n">
        <f aca="false">G3601*E3601/1000</f>
        <v>3.48</v>
      </c>
    </row>
    <row r="3602" customFormat="false" ht="15" hidden="false" customHeight="false" outlineLevel="0" collapsed="false">
      <c r="A3602" s="0" t="s">
        <v>111</v>
      </c>
      <c r="B3602" s="0" t="s">
        <v>1718</v>
      </c>
      <c r="C3602" s="0" t="n">
        <v>50</v>
      </c>
      <c r="D3602" s="0" t="n">
        <v>2</v>
      </c>
      <c r="E3602" s="0" t="n">
        <v>6</v>
      </c>
      <c r="F3602" s="0" t="n">
        <v>49</v>
      </c>
      <c r="G3602" s="0" t="n">
        <v>25</v>
      </c>
      <c r="H3602" s="0" t="s">
        <v>145</v>
      </c>
      <c r="I3602" s="0" t="n">
        <v>25</v>
      </c>
      <c r="J3602" s="0" t="n">
        <f aca="false">F3602*E3602</f>
        <v>294</v>
      </c>
      <c r="K3602" s="0" t="str">
        <f aca="false">IF(G3602&lt;1000,"1-Low",IF(G3602&lt;5000,"2-Medium","3-Bulk"))</f>
        <v>1-Low</v>
      </c>
      <c r="L3602" s="0" t="str">
        <f aca="false">IF(H3602="TRUE","Out of stock","In stock")</f>
        <v>In stock</v>
      </c>
      <c r="M3602" s="0" t="str">
        <f aca="false">IF(D3602&lt;5,"1) Under 5%",IF(D3602&lt;10,"2) 5-9%",IF(D3602&lt;15,"3) 10-14%",IF(D3602&lt;25,"4) 15-24%","5) 25%+"))))</f>
        <v>1) Under 5%</v>
      </c>
      <c r="N3602" s="0" t="str">
        <f aca="false">IF(F3602&lt;50,"1) Under Rs 50",IF(F3602&lt;100,"2) Rs 50-99",IF(F3602&lt;200,"3) Rs 100-199",IF(F3602&lt;500,"4) Rs 200-499","5) Rs 500+"))))</f>
        <v>1) Under Rs 50</v>
      </c>
      <c r="O3602" s="0" t="n">
        <f aca="false">G3602*E3602/1000</f>
        <v>0.15</v>
      </c>
    </row>
    <row r="3603" customFormat="false" ht="15" hidden="false" customHeight="false" outlineLevel="0" collapsed="false">
      <c r="A3603" s="0" t="s">
        <v>111</v>
      </c>
      <c r="B3603" s="0" t="s">
        <v>1677</v>
      </c>
      <c r="C3603" s="0" t="n">
        <v>325</v>
      </c>
      <c r="D3603" s="0" t="n">
        <v>5</v>
      </c>
      <c r="E3603" s="0" t="n">
        <v>6</v>
      </c>
      <c r="F3603" s="0" t="n">
        <v>308</v>
      </c>
      <c r="G3603" s="0" t="n">
        <v>900</v>
      </c>
      <c r="H3603" s="0" t="s">
        <v>145</v>
      </c>
      <c r="I3603" s="0" t="n">
        <v>900</v>
      </c>
      <c r="J3603" s="0" t="n">
        <f aca="false">F3603*E3603</f>
        <v>1848</v>
      </c>
      <c r="K3603" s="0" t="str">
        <f aca="false">IF(G3603&lt;1000,"1-Low",IF(G3603&lt;5000,"2-Medium","3-Bulk"))</f>
        <v>1-Low</v>
      </c>
      <c r="L3603" s="0" t="str">
        <f aca="false">IF(H3603="TRUE","Out of stock","In stock")</f>
        <v>In stock</v>
      </c>
      <c r="M3603" s="0" t="str">
        <f aca="false">IF(D3603&lt;5,"1) Under 5%",IF(D3603&lt;10,"2) 5-9%",IF(D3603&lt;15,"3) 10-14%",IF(D3603&lt;25,"4) 15-24%","5) 25%+"))))</f>
        <v>2) 5-9%</v>
      </c>
      <c r="N3603" s="0" t="str">
        <f aca="false">IF(F3603&lt;50,"1) Under Rs 50",IF(F3603&lt;100,"2) Rs 50-99",IF(F3603&lt;200,"3) Rs 100-199",IF(F3603&lt;500,"4) Rs 200-499","5) Rs 500+"))))</f>
        <v>4) Rs 200-499</v>
      </c>
      <c r="O3603" s="0" t="n">
        <f aca="false">G3603*E3603/1000</f>
        <v>5.4</v>
      </c>
    </row>
    <row r="3604" customFormat="false" ht="15" hidden="false" customHeight="false" outlineLevel="0" collapsed="false">
      <c r="A3604" s="0" t="s">
        <v>111</v>
      </c>
      <c r="B3604" s="0" t="s">
        <v>1719</v>
      </c>
      <c r="C3604" s="0" t="n">
        <v>50</v>
      </c>
      <c r="D3604" s="0" t="n">
        <v>0</v>
      </c>
      <c r="E3604" s="0" t="n">
        <v>1</v>
      </c>
      <c r="F3604" s="0" t="n">
        <v>50</v>
      </c>
      <c r="G3604" s="0" t="n">
        <v>58</v>
      </c>
      <c r="H3604" s="0" t="s">
        <v>145</v>
      </c>
      <c r="I3604" s="0" t="n">
        <v>1</v>
      </c>
      <c r="J3604" s="0" t="n">
        <f aca="false">F3604*E3604</f>
        <v>50</v>
      </c>
      <c r="K3604" s="0" t="str">
        <f aca="false">IF(G3604&lt;1000,"1-Low",IF(G3604&lt;5000,"2-Medium","3-Bulk"))</f>
        <v>1-Low</v>
      </c>
      <c r="L3604" s="0" t="str">
        <f aca="false">IF(H3604="TRUE","Out of stock","In stock")</f>
        <v>In stock</v>
      </c>
      <c r="M3604" s="0" t="str">
        <f aca="false">IF(D3604&lt;5,"1) Under 5%",IF(D3604&lt;10,"2) 5-9%",IF(D3604&lt;15,"3) 10-14%",IF(D3604&lt;25,"4) 15-24%","5) 25%+"))))</f>
        <v>1) Under 5%</v>
      </c>
      <c r="N3604" s="0" t="str">
        <f aca="false">IF(F3604&lt;50,"1) Under Rs 50",IF(F3604&lt;100,"2) Rs 50-99",IF(F3604&lt;200,"3) Rs 100-199",IF(F3604&lt;500,"4) Rs 200-499","5) Rs 500+"))))</f>
        <v>2) Rs 50-99</v>
      </c>
      <c r="O3604" s="0" t="n">
        <f aca="false">G3604*E3604/1000</f>
        <v>0.058</v>
      </c>
    </row>
    <row r="3605" customFormat="false" ht="15" hidden="false" customHeight="false" outlineLevel="0" collapsed="false">
      <c r="A3605" s="0" t="s">
        <v>111</v>
      </c>
      <c r="B3605" s="0" t="s">
        <v>1720</v>
      </c>
      <c r="C3605" s="0" t="n">
        <v>220</v>
      </c>
      <c r="D3605" s="0" t="n">
        <v>0</v>
      </c>
      <c r="E3605" s="0" t="n">
        <v>4</v>
      </c>
      <c r="F3605" s="0" t="n">
        <v>220</v>
      </c>
      <c r="G3605" s="0" t="n">
        <v>1000</v>
      </c>
      <c r="H3605" s="0" t="s">
        <v>145</v>
      </c>
      <c r="I3605" s="0" t="n">
        <v>1</v>
      </c>
      <c r="J3605" s="0" t="n">
        <f aca="false">F3605*E3605</f>
        <v>880</v>
      </c>
      <c r="K3605" s="0" t="str">
        <f aca="false">IF(G3605&lt;1000,"1-Low",IF(G3605&lt;5000,"2-Medium","3-Bulk"))</f>
        <v>2-Medium</v>
      </c>
      <c r="L3605" s="0" t="str">
        <f aca="false">IF(H3605="TRUE","Out of stock","In stock")</f>
        <v>In stock</v>
      </c>
      <c r="M3605" s="0" t="str">
        <f aca="false">IF(D3605&lt;5,"1) Under 5%",IF(D3605&lt;10,"2) 5-9%",IF(D3605&lt;15,"3) 10-14%",IF(D3605&lt;25,"4) 15-24%","5) 25%+"))))</f>
        <v>1) Under 5%</v>
      </c>
      <c r="N3605" s="0" t="str">
        <f aca="false">IF(F3605&lt;50,"1) Under Rs 50",IF(F3605&lt;100,"2) Rs 50-99",IF(F3605&lt;200,"3) Rs 100-199",IF(F3605&lt;500,"4) Rs 200-499","5) Rs 500+"))))</f>
        <v>4) Rs 200-499</v>
      </c>
      <c r="O3605" s="0" t="n">
        <f aca="false">G3605*E3605/1000</f>
        <v>4</v>
      </c>
    </row>
    <row r="3606" customFormat="false" ht="15" hidden="false" customHeight="false" outlineLevel="0" collapsed="false">
      <c r="A3606" s="0" t="s">
        <v>111</v>
      </c>
      <c r="B3606" s="0" t="s">
        <v>1721</v>
      </c>
      <c r="C3606" s="0" t="n">
        <v>188</v>
      </c>
      <c r="D3606" s="0" t="n">
        <v>10</v>
      </c>
      <c r="E3606" s="0" t="n">
        <v>4</v>
      </c>
      <c r="F3606" s="0" t="n">
        <v>169</v>
      </c>
      <c r="G3606" s="0" t="n">
        <v>35</v>
      </c>
      <c r="H3606" s="0" t="s">
        <v>145</v>
      </c>
      <c r="I3606" s="0" t="n">
        <v>35</v>
      </c>
      <c r="J3606" s="0" t="n">
        <f aca="false">F3606*E3606</f>
        <v>676</v>
      </c>
      <c r="K3606" s="0" t="str">
        <f aca="false">IF(G3606&lt;1000,"1-Low",IF(G3606&lt;5000,"2-Medium","3-Bulk"))</f>
        <v>1-Low</v>
      </c>
      <c r="L3606" s="0" t="str">
        <f aca="false">IF(H3606="TRUE","Out of stock","In stock")</f>
        <v>In stock</v>
      </c>
      <c r="M3606" s="0" t="str">
        <f aca="false">IF(D3606&lt;5,"1) Under 5%",IF(D3606&lt;10,"2) 5-9%",IF(D3606&lt;15,"3) 10-14%",IF(D3606&lt;25,"4) 15-24%","5) 25%+"))))</f>
        <v>3) 10-14%</v>
      </c>
      <c r="N3606" s="0" t="str">
        <f aca="false">IF(F3606&lt;50,"1) Under Rs 50",IF(F3606&lt;100,"2) Rs 50-99",IF(F3606&lt;200,"3) Rs 100-199",IF(F3606&lt;500,"4) Rs 200-499","5) Rs 500+"))))</f>
        <v>3) Rs 100-199</v>
      </c>
      <c r="O3606" s="0" t="n">
        <f aca="false">G3606*E3606/1000</f>
        <v>0.14</v>
      </c>
    </row>
    <row r="3607" customFormat="false" ht="15" hidden="false" customHeight="false" outlineLevel="0" collapsed="false">
      <c r="A3607" s="0" t="s">
        <v>111</v>
      </c>
      <c r="B3607" s="0" t="s">
        <v>1722</v>
      </c>
      <c r="C3607" s="0" t="n">
        <v>180</v>
      </c>
      <c r="D3607" s="0" t="n">
        <v>2</v>
      </c>
      <c r="E3607" s="0" t="n">
        <v>6</v>
      </c>
      <c r="F3607" s="0" t="n">
        <v>175</v>
      </c>
      <c r="G3607" s="0" t="n">
        <v>58</v>
      </c>
      <c r="H3607" s="0" t="s">
        <v>145</v>
      </c>
      <c r="I3607" s="0" t="n">
        <v>1</v>
      </c>
      <c r="J3607" s="0" t="n">
        <f aca="false">F3607*E3607</f>
        <v>1050</v>
      </c>
      <c r="K3607" s="0" t="str">
        <f aca="false">IF(G3607&lt;1000,"1-Low",IF(G3607&lt;5000,"2-Medium","3-Bulk"))</f>
        <v>1-Low</v>
      </c>
      <c r="L3607" s="0" t="str">
        <f aca="false">IF(H3607="TRUE","Out of stock","In stock")</f>
        <v>In stock</v>
      </c>
      <c r="M3607" s="0" t="str">
        <f aca="false">IF(D3607&lt;5,"1) Under 5%",IF(D3607&lt;10,"2) 5-9%",IF(D3607&lt;15,"3) 10-14%",IF(D3607&lt;25,"4) 15-24%","5) 25%+"))))</f>
        <v>1) Under 5%</v>
      </c>
      <c r="N3607" s="0" t="str">
        <f aca="false">IF(F3607&lt;50,"1) Under Rs 50",IF(F3607&lt;100,"2) Rs 50-99",IF(F3607&lt;200,"3) Rs 100-199",IF(F3607&lt;500,"4) Rs 200-499","5) Rs 500+"))))</f>
        <v>3) Rs 100-199</v>
      </c>
      <c r="O3607" s="0" t="n">
        <f aca="false">G3607*E3607/1000</f>
        <v>0.348</v>
      </c>
    </row>
    <row r="3608" customFormat="false" ht="15" hidden="false" customHeight="false" outlineLevel="0" collapsed="false">
      <c r="A3608" s="0" t="s">
        <v>111</v>
      </c>
      <c r="B3608" s="0" t="s">
        <v>1723</v>
      </c>
      <c r="C3608" s="0" t="n">
        <v>12</v>
      </c>
      <c r="D3608" s="0" t="n">
        <v>0</v>
      </c>
      <c r="E3608" s="0" t="n">
        <v>6</v>
      </c>
      <c r="F3608" s="0" t="n">
        <v>12</v>
      </c>
      <c r="G3608" s="0" t="n">
        <v>15</v>
      </c>
      <c r="H3608" s="0" t="s">
        <v>145</v>
      </c>
      <c r="I3608" s="0" t="n">
        <v>15</v>
      </c>
      <c r="J3608" s="0" t="n">
        <f aca="false">F3608*E3608</f>
        <v>72</v>
      </c>
      <c r="K3608" s="0" t="str">
        <f aca="false">IF(G3608&lt;1000,"1-Low",IF(G3608&lt;5000,"2-Medium","3-Bulk"))</f>
        <v>1-Low</v>
      </c>
      <c r="L3608" s="0" t="str">
        <f aca="false">IF(H3608="TRUE","Out of stock","In stock")</f>
        <v>In stock</v>
      </c>
      <c r="M3608" s="0" t="str">
        <f aca="false">IF(D3608&lt;5,"1) Under 5%",IF(D3608&lt;10,"2) 5-9%",IF(D3608&lt;15,"3) 10-14%",IF(D3608&lt;25,"4) 15-24%","5) 25%+"))))</f>
        <v>1) Under 5%</v>
      </c>
      <c r="N3608" s="0" t="str">
        <f aca="false">IF(F3608&lt;50,"1) Under Rs 50",IF(F3608&lt;100,"2) Rs 50-99",IF(F3608&lt;200,"3) Rs 100-199",IF(F3608&lt;500,"4) Rs 200-499","5) Rs 500+"))))</f>
        <v>1) Under Rs 50</v>
      </c>
      <c r="O3608" s="0" t="n">
        <f aca="false">G3608*E3608/1000</f>
        <v>0.09</v>
      </c>
    </row>
    <row r="3609" customFormat="false" ht="15" hidden="false" customHeight="false" outlineLevel="0" collapsed="false">
      <c r="A3609" s="0" t="s">
        <v>111</v>
      </c>
      <c r="B3609" s="0" t="s">
        <v>1724</v>
      </c>
      <c r="C3609" s="0" t="n">
        <v>60</v>
      </c>
      <c r="D3609" s="0" t="n">
        <v>10</v>
      </c>
      <c r="E3609" s="0" t="n">
        <v>5</v>
      </c>
      <c r="F3609" s="0" t="n">
        <v>54</v>
      </c>
      <c r="G3609" s="0" t="n">
        <v>1160</v>
      </c>
      <c r="H3609" s="0" t="s">
        <v>145</v>
      </c>
      <c r="I3609" s="0" t="n">
        <v>20</v>
      </c>
      <c r="J3609" s="0" t="n">
        <f aca="false">F3609*E3609</f>
        <v>270</v>
      </c>
      <c r="K3609" s="0" t="str">
        <f aca="false">IF(G3609&lt;1000,"1-Low",IF(G3609&lt;5000,"2-Medium","3-Bulk"))</f>
        <v>2-Medium</v>
      </c>
      <c r="L3609" s="0" t="str">
        <f aca="false">IF(H3609="TRUE","Out of stock","In stock")</f>
        <v>In stock</v>
      </c>
      <c r="M3609" s="0" t="str">
        <f aca="false">IF(D3609&lt;5,"1) Under 5%",IF(D3609&lt;10,"2) 5-9%",IF(D3609&lt;15,"3) 10-14%",IF(D3609&lt;25,"4) 15-24%","5) 25%+"))))</f>
        <v>3) 10-14%</v>
      </c>
      <c r="N3609" s="0" t="str">
        <f aca="false">IF(F3609&lt;50,"1) Under Rs 50",IF(F3609&lt;100,"2) Rs 50-99",IF(F3609&lt;200,"3) Rs 100-199",IF(F3609&lt;500,"4) Rs 200-499","5) Rs 500+"))))</f>
        <v>2) Rs 50-99</v>
      </c>
      <c r="O3609" s="0" t="n">
        <f aca="false">G3609*E3609/1000</f>
        <v>5.8</v>
      </c>
    </row>
    <row r="3610" customFormat="false" ht="15" hidden="false" customHeight="false" outlineLevel="0" collapsed="false">
      <c r="A3610" s="0" t="s">
        <v>111</v>
      </c>
      <c r="B3610" s="0" t="s">
        <v>1725</v>
      </c>
      <c r="C3610" s="0" t="n">
        <v>42</v>
      </c>
      <c r="D3610" s="0" t="n">
        <v>2</v>
      </c>
      <c r="E3610" s="0" t="n">
        <v>6</v>
      </c>
      <c r="F3610" s="0" t="n">
        <v>41</v>
      </c>
      <c r="G3610" s="0" t="n">
        <v>116</v>
      </c>
      <c r="H3610" s="0" t="s">
        <v>145</v>
      </c>
      <c r="I3610" s="0" t="n">
        <v>2</v>
      </c>
      <c r="J3610" s="0" t="n">
        <f aca="false">F3610*E3610</f>
        <v>246</v>
      </c>
      <c r="K3610" s="0" t="str">
        <f aca="false">IF(G3610&lt;1000,"1-Low",IF(G3610&lt;5000,"2-Medium","3-Bulk"))</f>
        <v>1-Low</v>
      </c>
      <c r="L3610" s="0" t="str">
        <f aca="false">IF(H3610="TRUE","Out of stock","In stock")</f>
        <v>In stock</v>
      </c>
      <c r="M3610" s="0" t="str">
        <f aca="false">IF(D3610&lt;5,"1) Under 5%",IF(D3610&lt;10,"2) 5-9%",IF(D3610&lt;15,"3) 10-14%",IF(D3610&lt;25,"4) 15-24%","5) 25%+"))))</f>
        <v>1) Under 5%</v>
      </c>
      <c r="N3610" s="0" t="str">
        <f aca="false">IF(F3610&lt;50,"1) Under Rs 50",IF(F3610&lt;100,"2) Rs 50-99",IF(F3610&lt;200,"3) Rs 100-199",IF(F3610&lt;500,"4) Rs 200-499","5) Rs 500+"))))</f>
        <v>1) Under Rs 50</v>
      </c>
      <c r="O3610" s="0" t="n">
        <f aca="false">G3610*E3610/1000</f>
        <v>0.696</v>
      </c>
    </row>
    <row r="3611" customFormat="false" ht="15" hidden="false" customHeight="false" outlineLevel="0" collapsed="false">
      <c r="A3611" s="0" t="s">
        <v>111</v>
      </c>
      <c r="B3611" s="0" t="s">
        <v>1726</v>
      </c>
      <c r="C3611" s="0" t="n">
        <v>69</v>
      </c>
      <c r="D3611" s="0" t="n">
        <v>11</v>
      </c>
      <c r="E3611" s="0" t="n">
        <v>6</v>
      </c>
      <c r="F3611" s="0" t="n">
        <v>61</v>
      </c>
      <c r="G3611" s="0" t="n">
        <v>30</v>
      </c>
      <c r="H3611" s="0" t="s">
        <v>145</v>
      </c>
      <c r="I3611" s="0" t="n">
        <v>30</v>
      </c>
      <c r="J3611" s="0" t="n">
        <f aca="false">F3611*E3611</f>
        <v>366</v>
      </c>
      <c r="K3611" s="0" t="str">
        <f aca="false">IF(G3611&lt;1000,"1-Low",IF(G3611&lt;5000,"2-Medium","3-Bulk"))</f>
        <v>1-Low</v>
      </c>
      <c r="L3611" s="0" t="str">
        <f aca="false">IF(H3611="TRUE","Out of stock","In stock")</f>
        <v>In stock</v>
      </c>
      <c r="M3611" s="0" t="str">
        <f aca="false">IF(D3611&lt;5,"1) Under 5%",IF(D3611&lt;10,"2) 5-9%",IF(D3611&lt;15,"3) 10-14%",IF(D3611&lt;25,"4) 15-24%","5) 25%+"))))</f>
        <v>3) 10-14%</v>
      </c>
      <c r="N3611" s="0" t="str">
        <f aca="false">IF(F3611&lt;50,"1) Under Rs 50",IF(F3611&lt;100,"2) Rs 50-99",IF(F3611&lt;200,"3) Rs 100-199",IF(F3611&lt;500,"4) Rs 200-499","5) Rs 500+"))))</f>
        <v>2) Rs 50-99</v>
      </c>
      <c r="O3611" s="0" t="n">
        <f aca="false">G3611*E3611/1000</f>
        <v>0.18</v>
      </c>
    </row>
    <row r="3612" customFormat="false" ht="15" hidden="false" customHeight="false" outlineLevel="0" collapsed="false">
      <c r="A3612" s="0" t="s">
        <v>111</v>
      </c>
      <c r="B3612" s="0" t="s">
        <v>1727</v>
      </c>
      <c r="C3612" s="0" t="n">
        <v>250</v>
      </c>
      <c r="D3612" s="0" t="n">
        <v>10</v>
      </c>
      <c r="E3612" s="0" t="n">
        <v>3</v>
      </c>
      <c r="F3612" s="0" t="n">
        <v>225</v>
      </c>
      <c r="G3612" s="0" t="n">
        <v>85</v>
      </c>
      <c r="H3612" s="0" t="s">
        <v>145</v>
      </c>
      <c r="I3612" s="0" t="n">
        <v>1</v>
      </c>
      <c r="J3612" s="0" t="n">
        <f aca="false">F3612*E3612</f>
        <v>675</v>
      </c>
      <c r="K3612" s="0" t="str">
        <f aca="false">IF(G3612&lt;1000,"1-Low",IF(G3612&lt;5000,"2-Medium","3-Bulk"))</f>
        <v>1-Low</v>
      </c>
      <c r="L3612" s="0" t="str">
        <f aca="false">IF(H3612="TRUE","Out of stock","In stock")</f>
        <v>In stock</v>
      </c>
      <c r="M3612" s="0" t="str">
        <f aca="false">IF(D3612&lt;5,"1) Under 5%",IF(D3612&lt;10,"2) 5-9%",IF(D3612&lt;15,"3) 10-14%",IF(D3612&lt;25,"4) 15-24%","5) 25%+"))))</f>
        <v>3) 10-14%</v>
      </c>
      <c r="N3612" s="0" t="str">
        <f aca="false">IF(F3612&lt;50,"1) Under Rs 50",IF(F3612&lt;100,"2) Rs 50-99",IF(F3612&lt;200,"3) Rs 100-199",IF(F3612&lt;500,"4) Rs 200-499","5) Rs 500+"))))</f>
        <v>4) Rs 200-499</v>
      </c>
      <c r="O3612" s="0" t="n">
        <f aca="false">G3612*E3612/1000</f>
        <v>0.255</v>
      </c>
    </row>
    <row r="3613" customFormat="false" ht="15" hidden="false" customHeight="false" outlineLevel="0" collapsed="false">
      <c r="A3613" s="0" t="s">
        <v>111</v>
      </c>
      <c r="B3613" s="0" t="s">
        <v>1728</v>
      </c>
      <c r="C3613" s="0" t="n">
        <v>240</v>
      </c>
      <c r="D3613" s="0" t="n">
        <v>0</v>
      </c>
      <c r="E3613" s="0" t="n">
        <v>6</v>
      </c>
      <c r="F3613" s="0" t="n">
        <v>240</v>
      </c>
      <c r="G3613" s="0" t="n">
        <v>580</v>
      </c>
      <c r="H3613" s="0" t="s">
        <v>145</v>
      </c>
      <c r="I3613" s="0" t="n">
        <v>50</v>
      </c>
      <c r="J3613" s="0" t="n">
        <f aca="false">F3613*E3613</f>
        <v>1440</v>
      </c>
      <c r="K3613" s="0" t="str">
        <f aca="false">IF(G3613&lt;1000,"1-Low",IF(G3613&lt;5000,"2-Medium","3-Bulk"))</f>
        <v>1-Low</v>
      </c>
      <c r="L3613" s="0" t="str">
        <f aca="false">IF(H3613="TRUE","Out of stock","In stock")</f>
        <v>In stock</v>
      </c>
      <c r="M3613" s="0" t="str">
        <f aca="false">IF(D3613&lt;5,"1) Under 5%",IF(D3613&lt;10,"2) 5-9%",IF(D3613&lt;15,"3) 10-14%",IF(D3613&lt;25,"4) 15-24%","5) 25%+"))))</f>
        <v>1) Under 5%</v>
      </c>
      <c r="N3613" s="0" t="str">
        <f aca="false">IF(F3613&lt;50,"1) Under Rs 50",IF(F3613&lt;100,"2) Rs 50-99",IF(F3613&lt;200,"3) Rs 100-199",IF(F3613&lt;500,"4) Rs 200-499","5) Rs 500+"))))</f>
        <v>4) Rs 200-499</v>
      </c>
      <c r="O3613" s="0" t="n">
        <f aca="false">G3613*E3613/1000</f>
        <v>3.48</v>
      </c>
    </row>
    <row r="3614" customFormat="false" ht="15" hidden="false" customHeight="false" outlineLevel="0" collapsed="false">
      <c r="A3614" s="0" t="s">
        <v>111</v>
      </c>
      <c r="B3614" s="0" t="s">
        <v>1729</v>
      </c>
      <c r="C3614" s="0" t="n">
        <v>140</v>
      </c>
      <c r="D3614" s="0" t="n">
        <v>7</v>
      </c>
      <c r="E3614" s="0" t="n">
        <v>6</v>
      </c>
      <c r="F3614" s="0" t="n">
        <v>129</v>
      </c>
      <c r="G3614" s="0" t="n">
        <v>58</v>
      </c>
      <c r="H3614" s="0" t="s">
        <v>145</v>
      </c>
      <c r="I3614" s="0" t="n">
        <v>1</v>
      </c>
      <c r="J3614" s="0" t="n">
        <f aca="false">F3614*E3614</f>
        <v>774</v>
      </c>
      <c r="K3614" s="0" t="str">
        <f aca="false">IF(G3614&lt;1000,"1-Low",IF(G3614&lt;5000,"2-Medium","3-Bulk"))</f>
        <v>1-Low</v>
      </c>
      <c r="L3614" s="0" t="str">
        <f aca="false">IF(H3614="TRUE","Out of stock","In stock")</f>
        <v>In stock</v>
      </c>
      <c r="M3614" s="0" t="str">
        <f aca="false">IF(D3614&lt;5,"1) Under 5%",IF(D3614&lt;10,"2) 5-9%",IF(D3614&lt;15,"3) 10-14%",IF(D3614&lt;25,"4) 15-24%","5) 25%+"))))</f>
        <v>2) 5-9%</v>
      </c>
      <c r="N3614" s="0" t="str">
        <f aca="false">IF(F3614&lt;50,"1) Under Rs 50",IF(F3614&lt;100,"2) Rs 50-99",IF(F3614&lt;200,"3) Rs 100-199",IF(F3614&lt;500,"4) Rs 200-499","5) Rs 500+"))))</f>
        <v>3) Rs 100-199</v>
      </c>
      <c r="O3614" s="0" t="n">
        <f aca="false">G3614*E3614/1000</f>
        <v>0.348</v>
      </c>
    </row>
    <row r="3615" customFormat="false" ht="15" hidden="false" customHeight="false" outlineLevel="0" collapsed="false">
      <c r="A3615" s="0" t="s">
        <v>111</v>
      </c>
      <c r="B3615" s="0" t="s">
        <v>1730</v>
      </c>
      <c r="C3615" s="0" t="n">
        <v>260</v>
      </c>
      <c r="D3615" s="0" t="n">
        <v>0</v>
      </c>
      <c r="E3615" s="0" t="n">
        <v>6</v>
      </c>
      <c r="F3615" s="0" t="n">
        <v>260</v>
      </c>
      <c r="G3615" s="0" t="n">
        <v>1000</v>
      </c>
      <c r="H3615" s="0" t="s">
        <v>145</v>
      </c>
      <c r="I3615" s="0" t="n">
        <v>1</v>
      </c>
      <c r="J3615" s="0" t="n">
        <f aca="false">F3615*E3615</f>
        <v>1560</v>
      </c>
      <c r="K3615" s="0" t="str">
        <f aca="false">IF(G3615&lt;1000,"1-Low",IF(G3615&lt;5000,"2-Medium","3-Bulk"))</f>
        <v>2-Medium</v>
      </c>
      <c r="L3615" s="0" t="str">
        <f aca="false">IF(H3615="TRUE","Out of stock","In stock")</f>
        <v>In stock</v>
      </c>
      <c r="M3615" s="0" t="str">
        <f aca="false">IF(D3615&lt;5,"1) Under 5%",IF(D3615&lt;10,"2) 5-9%",IF(D3615&lt;15,"3) 10-14%",IF(D3615&lt;25,"4) 15-24%","5) 25%+"))))</f>
        <v>1) Under 5%</v>
      </c>
      <c r="N3615" s="0" t="str">
        <f aca="false">IF(F3615&lt;50,"1) Under Rs 50",IF(F3615&lt;100,"2) Rs 50-99",IF(F3615&lt;200,"3) Rs 100-199",IF(F3615&lt;500,"4) Rs 200-499","5) Rs 500+"))))</f>
        <v>4) Rs 200-499</v>
      </c>
      <c r="O3615" s="0" t="n">
        <f aca="false">G3615*E3615/1000</f>
        <v>6</v>
      </c>
    </row>
    <row r="3616" customFormat="false" ht="15" hidden="false" customHeight="false" outlineLevel="0" collapsed="false">
      <c r="A3616" s="0" t="s">
        <v>111</v>
      </c>
      <c r="B3616" s="0" t="s">
        <v>1688</v>
      </c>
      <c r="C3616" s="0" t="n">
        <v>250</v>
      </c>
      <c r="D3616" s="0" t="n">
        <v>0</v>
      </c>
      <c r="E3616" s="0" t="n">
        <v>4</v>
      </c>
      <c r="F3616" s="0" t="n">
        <v>250</v>
      </c>
      <c r="G3616" s="0" t="n">
        <v>1000</v>
      </c>
      <c r="H3616" s="0" t="s">
        <v>145</v>
      </c>
      <c r="I3616" s="0" t="n">
        <v>1</v>
      </c>
      <c r="J3616" s="0" t="n">
        <f aca="false">F3616*E3616</f>
        <v>1000</v>
      </c>
      <c r="K3616" s="0" t="str">
        <f aca="false">IF(G3616&lt;1000,"1-Low",IF(G3616&lt;5000,"2-Medium","3-Bulk"))</f>
        <v>2-Medium</v>
      </c>
      <c r="L3616" s="0" t="str">
        <f aca="false">IF(H3616="TRUE","Out of stock","In stock")</f>
        <v>In stock</v>
      </c>
      <c r="M3616" s="0" t="str">
        <f aca="false">IF(D3616&lt;5,"1) Under 5%",IF(D3616&lt;10,"2) 5-9%",IF(D3616&lt;15,"3) 10-14%",IF(D3616&lt;25,"4) 15-24%","5) 25%+"))))</f>
        <v>1) Under 5%</v>
      </c>
      <c r="N3616" s="0" t="str">
        <f aca="false">IF(F3616&lt;50,"1) Under Rs 50",IF(F3616&lt;100,"2) Rs 50-99",IF(F3616&lt;200,"3) Rs 100-199",IF(F3616&lt;500,"4) Rs 200-499","5) Rs 500+"))))</f>
        <v>4) Rs 200-499</v>
      </c>
      <c r="O3616" s="0" t="n">
        <f aca="false">G3616*E3616/1000</f>
        <v>4</v>
      </c>
    </row>
    <row r="3617" customFormat="false" ht="15" hidden="false" customHeight="false" outlineLevel="0" collapsed="false">
      <c r="A3617" s="0" t="s">
        <v>111</v>
      </c>
      <c r="B3617" s="0" t="s">
        <v>1731</v>
      </c>
      <c r="C3617" s="0" t="n">
        <v>23</v>
      </c>
      <c r="D3617" s="0" t="n">
        <v>4</v>
      </c>
      <c r="E3617" s="0" t="n">
        <v>0</v>
      </c>
      <c r="F3617" s="0" t="n">
        <v>22</v>
      </c>
      <c r="G3617" s="0" t="n">
        <v>300</v>
      </c>
      <c r="H3617" s="0" t="s">
        <v>230</v>
      </c>
      <c r="I3617" s="0" t="n">
        <v>300</v>
      </c>
      <c r="J3617" s="0" t="n">
        <f aca="false">F3617*E3617</f>
        <v>0</v>
      </c>
      <c r="K3617" s="0" t="str">
        <f aca="false">IF(G3617&lt;1000,"1-Low",IF(G3617&lt;5000,"2-Medium","3-Bulk"))</f>
        <v>1-Low</v>
      </c>
      <c r="L3617" s="0" t="str">
        <f aca="false">IF(H3617="TRUE","Out of stock","In stock")</f>
        <v>Out of stock</v>
      </c>
      <c r="M3617" s="0" t="str">
        <f aca="false">IF(D3617&lt;5,"1) Under 5%",IF(D3617&lt;10,"2) 5-9%",IF(D3617&lt;15,"3) 10-14%",IF(D3617&lt;25,"4) 15-24%","5) 25%+"))))</f>
        <v>1) Under 5%</v>
      </c>
      <c r="N3617" s="0" t="str">
        <f aca="false">IF(F3617&lt;50,"1) Under Rs 50",IF(F3617&lt;100,"2) Rs 50-99",IF(F3617&lt;200,"3) Rs 100-199",IF(F3617&lt;500,"4) Rs 200-499","5) Rs 500+"))))</f>
        <v>1) Under Rs 50</v>
      </c>
      <c r="O3617" s="0" t="n">
        <f aca="false">G3617*E3617/1000</f>
        <v>0</v>
      </c>
    </row>
    <row r="3618" customFormat="false" ht="15" hidden="false" customHeight="false" outlineLevel="0" collapsed="false">
      <c r="A3618" s="0" t="s">
        <v>111</v>
      </c>
      <c r="B3618" s="0" t="s">
        <v>1732</v>
      </c>
      <c r="C3618" s="0" t="n">
        <v>116</v>
      </c>
      <c r="D3618" s="0" t="n">
        <v>0</v>
      </c>
      <c r="E3618" s="0" t="n">
        <v>0</v>
      </c>
      <c r="F3618" s="0" t="n">
        <v>116</v>
      </c>
      <c r="G3618" s="0" t="n">
        <v>250</v>
      </c>
      <c r="H3618" s="0" t="s">
        <v>230</v>
      </c>
      <c r="I3618" s="0" t="n">
        <v>250</v>
      </c>
      <c r="J3618" s="0" t="n">
        <f aca="false">F3618*E3618</f>
        <v>0</v>
      </c>
      <c r="K3618" s="0" t="str">
        <f aca="false">IF(G3618&lt;1000,"1-Low",IF(G3618&lt;5000,"2-Medium","3-Bulk"))</f>
        <v>1-Low</v>
      </c>
      <c r="L3618" s="0" t="str">
        <f aca="false">IF(H3618="TRUE","Out of stock","In stock")</f>
        <v>Out of stock</v>
      </c>
      <c r="M3618" s="0" t="str">
        <f aca="false">IF(D3618&lt;5,"1) Under 5%",IF(D3618&lt;10,"2) 5-9%",IF(D3618&lt;15,"3) 10-14%",IF(D3618&lt;25,"4) 15-24%","5) 25%+"))))</f>
        <v>1) Under 5%</v>
      </c>
      <c r="N3618" s="0" t="str">
        <f aca="false">IF(F3618&lt;50,"1) Under Rs 50",IF(F3618&lt;100,"2) Rs 50-99",IF(F3618&lt;200,"3) Rs 100-199",IF(F3618&lt;500,"4) Rs 200-499","5) Rs 500+"))))</f>
        <v>3) Rs 100-199</v>
      </c>
      <c r="O3618" s="0" t="n">
        <f aca="false">G3618*E3618/1000</f>
        <v>0</v>
      </c>
    </row>
    <row r="3619" customFormat="false" ht="15" hidden="false" customHeight="false" outlineLevel="0" collapsed="false">
      <c r="A3619" s="0" t="s">
        <v>111</v>
      </c>
      <c r="B3619" s="0" t="s">
        <v>1733</v>
      </c>
      <c r="C3619" s="0" t="n">
        <v>89</v>
      </c>
      <c r="D3619" s="0" t="n">
        <v>0</v>
      </c>
      <c r="E3619" s="0" t="n">
        <v>0</v>
      </c>
      <c r="F3619" s="0" t="n">
        <v>89</v>
      </c>
      <c r="G3619" s="0" t="n">
        <v>60</v>
      </c>
      <c r="H3619" s="0" t="s">
        <v>230</v>
      </c>
      <c r="I3619" s="0" t="n">
        <v>60</v>
      </c>
      <c r="J3619" s="0" t="n">
        <f aca="false">F3619*E3619</f>
        <v>0</v>
      </c>
      <c r="K3619" s="0" t="str">
        <f aca="false">IF(G3619&lt;1000,"1-Low",IF(G3619&lt;5000,"2-Medium","3-Bulk"))</f>
        <v>1-Low</v>
      </c>
      <c r="L3619" s="0" t="str">
        <f aca="false">IF(H3619="TRUE","Out of stock","In stock")</f>
        <v>Out of stock</v>
      </c>
      <c r="M3619" s="0" t="str">
        <f aca="false">IF(D3619&lt;5,"1) Under 5%",IF(D3619&lt;10,"2) 5-9%",IF(D3619&lt;15,"3) 10-14%",IF(D3619&lt;25,"4) 15-24%","5) 25%+"))))</f>
        <v>1) Under 5%</v>
      </c>
      <c r="N3619" s="0" t="str">
        <f aca="false">IF(F3619&lt;50,"1) Under Rs 50",IF(F3619&lt;100,"2) Rs 50-99",IF(F3619&lt;200,"3) Rs 100-199",IF(F3619&lt;500,"4) Rs 200-499","5) Rs 500+"))))</f>
        <v>2) Rs 50-99</v>
      </c>
      <c r="O3619" s="0" t="n">
        <f aca="false">G3619*E3619/1000</f>
        <v>0</v>
      </c>
    </row>
    <row r="3620" customFormat="false" ht="15" hidden="false" customHeight="false" outlineLevel="0" collapsed="false">
      <c r="A3620" s="0" t="s">
        <v>111</v>
      </c>
      <c r="B3620" s="0" t="s">
        <v>1734</v>
      </c>
      <c r="C3620" s="0" t="n">
        <v>86</v>
      </c>
      <c r="D3620" s="0" t="n">
        <v>2</v>
      </c>
      <c r="E3620" s="0" t="n">
        <v>0</v>
      </c>
      <c r="F3620" s="0" t="n">
        <v>84</v>
      </c>
      <c r="G3620" s="0" t="n">
        <v>1000</v>
      </c>
      <c r="H3620" s="0" t="s">
        <v>230</v>
      </c>
      <c r="I3620" s="0" t="n">
        <v>1</v>
      </c>
      <c r="J3620" s="0" t="n">
        <f aca="false">F3620*E3620</f>
        <v>0</v>
      </c>
      <c r="K3620" s="0" t="str">
        <f aca="false">IF(G3620&lt;1000,"1-Low",IF(G3620&lt;5000,"2-Medium","3-Bulk"))</f>
        <v>2-Medium</v>
      </c>
      <c r="L3620" s="0" t="str">
        <f aca="false">IF(H3620="TRUE","Out of stock","In stock")</f>
        <v>Out of stock</v>
      </c>
      <c r="M3620" s="0" t="str">
        <f aca="false">IF(D3620&lt;5,"1) Under 5%",IF(D3620&lt;10,"2) 5-9%",IF(D3620&lt;15,"3) 10-14%",IF(D3620&lt;25,"4) 15-24%","5) 25%+"))))</f>
        <v>1) Under 5%</v>
      </c>
      <c r="N3620" s="0" t="str">
        <f aca="false">IF(F3620&lt;50,"1) Under Rs 50",IF(F3620&lt;100,"2) Rs 50-99",IF(F3620&lt;200,"3) Rs 100-199",IF(F3620&lt;500,"4) Rs 200-499","5) Rs 500+"))))</f>
        <v>2) Rs 50-99</v>
      </c>
      <c r="O3620" s="0" t="n">
        <f aca="false">G3620*E3620/1000</f>
        <v>0</v>
      </c>
    </row>
    <row r="3621" customFormat="false" ht="15" hidden="false" customHeight="false" outlineLevel="0" collapsed="false">
      <c r="A3621" s="0" t="s">
        <v>111</v>
      </c>
      <c r="B3621" s="0" t="s">
        <v>1735</v>
      </c>
      <c r="C3621" s="0" t="n">
        <v>136</v>
      </c>
      <c r="D3621" s="0" t="n">
        <v>3</v>
      </c>
      <c r="E3621" s="0" t="n">
        <v>0</v>
      </c>
      <c r="F3621" s="0" t="n">
        <v>131</v>
      </c>
      <c r="G3621" s="0" t="n">
        <v>1000</v>
      </c>
      <c r="H3621" s="0" t="s">
        <v>230</v>
      </c>
      <c r="I3621" s="0" t="n">
        <v>1</v>
      </c>
      <c r="J3621" s="0" t="n">
        <f aca="false">F3621*E3621</f>
        <v>0</v>
      </c>
      <c r="K3621" s="0" t="str">
        <f aca="false">IF(G3621&lt;1000,"1-Low",IF(G3621&lt;5000,"2-Medium","3-Bulk"))</f>
        <v>2-Medium</v>
      </c>
      <c r="L3621" s="0" t="str">
        <f aca="false">IF(H3621="TRUE","Out of stock","In stock")</f>
        <v>Out of stock</v>
      </c>
      <c r="M3621" s="0" t="str">
        <f aca="false">IF(D3621&lt;5,"1) Under 5%",IF(D3621&lt;10,"2) 5-9%",IF(D3621&lt;15,"3) 10-14%",IF(D3621&lt;25,"4) 15-24%","5) 25%+"))))</f>
        <v>1) Under 5%</v>
      </c>
      <c r="N3621" s="0" t="str">
        <f aca="false">IF(F3621&lt;50,"1) Under Rs 50",IF(F3621&lt;100,"2) Rs 50-99",IF(F3621&lt;200,"3) Rs 100-199",IF(F3621&lt;500,"4) Rs 200-499","5) Rs 500+"))))</f>
        <v>3) Rs 100-199</v>
      </c>
      <c r="O3621" s="0" t="n">
        <f aca="false">G3621*E3621/1000</f>
        <v>0</v>
      </c>
    </row>
    <row r="3622" customFormat="false" ht="15" hidden="false" customHeight="false" outlineLevel="0" collapsed="false">
      <c r="A3622" s="0" t="s">
        <v>111</v>
      </c>
      <c r="B3622" s="0" t="s">
        <v>1736</v>
      </c>
      <c r="C3622" s="0" t="n">
        <v>10</v>
      </c>
      <c r="D3622" s="0" t="n">
        <v>0</v>
      </c>
      <c r="E3622" s="0" t="n">
        <v>0</v>
      </c>
      <c r="F3622" s="0" t="n">
        <v>10</v>
      </c>
      <c r="G3622" s="0" t="n">
        <v>140</v>
      </c>
      <c r="H3622" s="0" t="s">
        <v>230</v>
      </c>
      <c r="I3622" s="0" t="n">
        <v>140</v>
      </c>
      <c r="J3622" s="0" t="n">
        <f aca="false">F3622*E3622</f>
        <v>0</v>
      </c>
      <c r="K3622" s="0" t="str">
        <f aca="false">IF(G3622&lt;1000,"1-Low",IF(G3622&lt;5000,"2-Medium","3-Bulk"))</f>
        <v>1-Low</v>
      </c>
      <c r="L3622" s="0" t="str">
        <f aca="false">IF(H3622="TRUE","Out of stock","In stock")</f>
        <v>Out of stock</v>
      </c>
      <c r="M3622" s="0" t="str">
        <f aca="false">IF(D3622&lt;5,"1) Under 5%",IF(D3622&lt;10,"2) 5-9%",IF(D3622&lt;15,"3) 10-14%",IF(D3622&lt;25,"4) 15-24%","5) 25%+"))))</f>
        <v>1) Under 5%</v>
      </c>
      <c r="N3622" s="0" t="str">
        <f aca="false">IF(F3622&lt;50,"1) Under Rs 50",IF(F3622&lt;100,"2) Rs 50-99",IF(F3622&lt;200,"3) Rs 100-199",IF(F3622&lt;500,"4) Rs 200-499","5) Rs 500+"))))</f>
        <v>1) Under Rs 50</v>
      </c>
      <c r="O3622" s="0" t="n">
        <f aca="false">G3622*E3622/1000</f>
        <v>0</v>
      </c>
    </row>
    <row r="3623" customFormat="false" ht="15" hidden="false" customHeight="false" outlineLevel="0" collapsed="false">
      <c r="A3623" s="0" t="s">
        <v>111</v>
      </c>
      <c r="B3623" s="0" t="s">
        <v>1737</v>
      </c>
      <c r="C3623" s="0" t="n">
        <v>90</v>
      </c>
      <c r="D3623" s="0" t="n">
        <v>8</v>
      </c>
      <c r="E3623" s="0" t="n">
        <v>0</v>
      </c>
      <c r="F3623" s="0" t="n">
        <v>82</v>
      </c>
      <c r="G3623" s="0" t="n">
        <v>100</v>
      </c>
      <c r="H3623" s="0" t="s">
        <v>230</v>
      </c>
      <c r="I3623" s="0" t="n">
        <v>100</v>
      </c>
      <c r="J3623" s="0" t="n">
        <f aca="false">F3623*E3623</f>
        <v>0</v>
      </c>
      <c r="K3623" s="0" t="str">
        <f aca="false">IF(G3623&lt;1000,"1-Low",IF(G3623&lt;5000,"2-Medium","3-Bulk"))</f>
        <v>1-Low</v>
      </c>
      <c r="L3623" s="0" t="str">
        <f aca="false">IF(H3623="TRUE","Out of stock","In stock")</f>
        <v>Out of stock</v>
      </c>
      <c r="M3623" s="0" t="str">
        <f aca="false">IF(D3623&lt;5,"1) Under 5%",IF(D3623&lt;10,"2) 5-9%",IF(D3623&lt;15,"3) 10-14%",IF(D3623&lt;25,"4) 15-24%","5) 25%+"))))</f>
        <v>2) 5-9%</v>
      </c>
      <c r="N3623" s="0" t="str">
        <f aca="false">IF(F3623&lt;50,"1) Under Rs 50",IF(F3623&lt;100,"2) Rs 50-99",IF(F3623&lt;200,"3) Rs 100-199",IF(F3623&lt;500,"4) Rs 200-499","5) Rs 500+"))))</f>
        <v>2) Rs 50-99</v>
      </c>
      <c r="O3623" s="0" t="n">
        <f aca="false">G3623*E3623/1000</f>
        <v>0</v>
      </c>
    </row>
    <row r="3624" customFormat="false" ht="15" hidden="false" customHeight="false" outlineLevel="0" collapsed="false">
      <c r="A3624" s="0" t="s">
        <v>111</v>
      </c>
      <c r="B3624" s="0" t="s">
        <v>1738</v>
      </c>
      <c r="C3624" s="0" t="n">
        <v>12</v>
      </c>
      <c r="D3624" s="0" t="n">
        <v>8</v>
      </c>
      <c r="E3624" s="0" t="n">
        <v>0</v>
      </c>
      <c r="F3624" s="0" t="n">
        <v>11</v>
      </c>
      <c r="G3624" s="0" t="n">
        <v>58</v>
      </c>
      <c r="H3624" s="0" t="s">
        <v>230</v>
      </c>
      <c r="I3624" s="0" t="n">
        <v>1</v>
      </c>
      <c r="J3624" s="0" t="n">
        <f aca="false">F3624*E3624</f>
        <v>0</v>
      </c>
      <c r="K3624" s="0" t="str">
        <f aca="false">IF(G3624&lt;1000,"1-Low",IF(G3624&lt;5000,"2-Medium","3-Bulk"))</f>
        <v>1-Low</v>
      </c>
      <c r="L3624" s="0" t="str">
        <f aca="false">IF(H3624="TRUE","Out of stock","In stock")</f>
        <v>Out of stock</v>
      </c>
      <c r="M3624" s="0" t="str">
        <f aca="false">IF(D3624&lt;5,"1) Under 5%",IF(D3624&lt;10,"2) 5-9%",IF(D3624&lt;15,"3) 10-14%",IF(D3624&lt;25,"4) 15-24%","5) 25%+"))))</f>
        <v>2) 5-9%</v>
      </c>
      <c r="N3624" s="0" t="str">
        <f aca="false">IF(F3624&lt;50,"1) Under Rs 50",IF(F3624&lt;100,"2) Rs 50-99",IF(F3624&lt;200,"3) Rs 100-199",IF(F3624&lt;500,"4) Rs 200-499","5) Rs 500+"))))</f>
        <v>1) Under Rs 50</v>
      </c>
      <c r="O3624" s="0" t="n">
        <f aca="false">G3624*E3624/1000</f>
        <v>0</v>
      </c>
    </row>
    <row r="3625" customFormat="false" ht="15" hidden="false" customHeight="false" outlineLevel="0" collapsed="false">
      <c r="A3625" s="0" t="s">
        <v>111</v>
      </c>
      <c r="B3625" s="0" t="s">
        <v>1739</v>
      </c>
      <c r="C3625" s="0" t="n">
        <v>65</v>
      </c>
      <c r="D3625" s="0" t="n">
        <v>9</v>
      </c>
      <c r="E3625" s="0" t="n">
        <v>0</v>
      </c>
      <c r="F3625" s="0" t="n">
        <v>59</v>
      </c>
      <c r="G3625" s="0" t="n">
        <v>116</v>
      </c>
      <c r="H3625" s="0" t="s">
        <v>230</v>
      </c>
      <c r="I3625" s="0" t="n">
        <v>2</v>
      </c>
      <c r="J3625" s="0" t="n">
        <f aca="false">F3625*E3625</f>
        <v>0</v>
      </c>
      <c r="K3625" s="0" t="str">
        <f aca="false">IF(G3625&lt;1000,"1-Low",IF(G3625&lt;5000,"2-Medium","3-Bulk"))</f>
        <v>1-Low</v>
      </c>
      <c r="L3625" s="0" t="str">
        <f aca="false">IF(H3625="TRUE","Out of stock","In stock")</f>
        <v>Out of stock</v>
      </c>
      <c r="M3625" s="0" t="str">
        <f aca="false">IF(D3625&lt;5,"1) Under 5%",IF(D3625&lt;10,"2) 5-9%",IF(D3625&lt;15,"3) 10-14%",IF(D3625&lt;25,"4) 15-24%","5) 25%+"))))</f>
        <v>2) 5-9%</v>
      </c>
      <c r="N3625" s="0" t="str">
        <f aca="false">IF(F3625&lt;50,"1) Under Rs 50",IF(F3625&lt;100,"2) Rs 50-99",IF(F3625&lt;200,"3) Rs 100-199",IF(F3625&lt;500,"4) Rs 200-499","5) Rs 500+"))))</f>
        <v>2) Rs 50-99</v>
      </c>
      <c r="O3625" s="0" t="n">
        <f aca="false">G3625*E3625/1000</f>
        <v>0</v>
      </c>
    </row>
    <row r="3626" customFormat="false" ht="15" hidden="false" customHeight="false" outlineLevel="0" collapsed="false">
      <c r="A3626" s="0" t="s">
        <v>111</v>
      </c>
      <c r="B3626" s="0" t="s">
        <v>1740</v>
      </c>
      <c r="C3626" s="0" t="n">
        <v>190</v>
      </c>
      <c r="D3626" s="0" t="n">
        <v>7</v>
      </c>
      <c r="E3626" s="0" t="n">
        <v>0</v>
      </c>
      <c r="F3626" s="0" t="n">
        <v>175</v>
      </c>
      <c r="G3626" s="0" t="n">
        <v>58</v>
      </c>
      <c r="H3626" s="0" t="s">
        <v>230</v>
      </c>
      <c r="I3626" s="0" t="n">
        <v>1</v>
      </c>
      <c r="J3626" s="0" t="n">
        <f aca="false">F3626*E3626</f>
        <v>0</v>
      </c>
      <c r="K3626" s="0" t="str">
        <f aca="false">IF(G3626&lt;1000,"1-Low",IF(G3626&lt;5000,"2-Medium","3-Bulk"))</f>
        <v>1-Low</v>
      </c>
      <c r="L3626" s="0" t="str">
        <f aca="false">IF(H3626="TRUE","Out of stock","In stock")</f>
        <v>Out of stock</v>
      </c>
      <c r="M3626" s="0" t="str">
        <f aca="false">IF(D3626&lt;5,"1) Under 5%",IF(D3626&lt;10,"2) 5-9%",IF(D3626&lt;15,"3) 10-14%",IF(D3626&lt;25,"4) 15-24%","5) 25%+"))))</f>
        <v>2) 5-9%</v>
      </c>
      <c r="N3626" s="0" t="str">
        <f aca="false">IF(F3626&lt;50,"1) Under Rs 50",IF(F3626&lt;100,"2) Rs 50-99",IF(F3626&lt;200,"3) Rs 100-199",IF(F3626&lt;500,"4) Rs 200-499","5) Rs 500+"))))</f>
        <v>3) Rs 100-199</v>
      </c>
      <c r="O3626" s="0" t="n">
        <f aca="false">G3626*E3626/1000</f>
        <v>0</v>
      </c>
    </row>
    <row r="3627" customFormat="false" ht="15" hidden="false" customHeight="false" outlineLevel="0" collapsed="false">
      <c r="A3627" s="0" t="s">
        <v>111</v>
      </c>
      <c r="B3627" s="0" t="s">
        <v>1741</v>
      </c>
      <c r="C3627" s="0" t="n">
        <v>105</v>
      </c>
      <c r="D3627" s="0" t="n">
        <v>2</v>
      </c>
      <c r="E3627" s="0" t="n">
        <v>0</v>
      </c>
      <c r="F3627" s="0" t="n">
        <v>102</v>
      </c>
      <c r="G3627" s="0" t="n">
        <v>58</v>
      </c>
      <c r="H3627" s="0" t="s">
        <v>230</v>
      </c>
      <c r="I3627" s="0" t="n">
        <v>1</v>
      </c>
      <c r="J3627" s="0" t="n">
        <f aca="false">F3627*E3627</f>
        <v>0</v>
      </c>
      <c r="K3627" s="0" t="str">
        <f aca="false">IF(G3627&lt;1000,"1-Low",IF(G3627&lt;5000,"2-Medium","3-Bulk"))</f>
        <v>1-Low</v>
      </c>
      <c r="L3627" s="0" t="str">
        <f aca="false">IF(H3627="TRUE","Out of stock","In stock")</f>
        <v>Out of stock</v>
      </c>
      <c r="M3627" s="0" t="str">
        <f aca="false">IF(D3627&lt;5,"1) Under 5%",IF(D3627&lt;10,"2) 5-9%",IF(D3627&lt;15,"3) 10-14%",IF(D3627&lt;25,"4) 15-24%","5) 25%+"))))</f>
        <v>1) Under 5%</v>
      </c>
      <c r="N3627" s="0" t="str">
        <f aca="false">IF(F3627&lt;50,"1) Under Rs 50",IF(F3627&lt;100,"2) Rs 50-99",IF(F3627&lt;200,"3) Rs 100-199",IF(F3627&lt;500,"4) Rs 200-499","5) Rs 500+"))))</f>
        <v>3) Rs 100-199</v>
      </c>
      <c r="O3627" s="0" t="n">
        <f aca="false">G3627*E3627/1000</f>
        <v>0</v>
      </c>
    </row>
    <row r="3628" customFormat="false" ht="15" hidden="false" customHeight="false" outlineLevel="0" collapsed="false">
      <c r="A3628" s="0" t="s">
        <v>111</v>
      </c>
      <c r="B3628" s="0" t="s">
        <v>1731</v>
      </c>
      <c r="C3628" s="0" t="n">
        <v>45</v>
      </c>
      <c r="D3628" s="0" t="n">
        <v>0</v>
      </c>
      <c r="E3628" s="0" t="n">
        <v>0</v>
      </c>
      <c r="F3628" s="0" t="n">
        <v>45</v>
      </c>
      <c r="G3628" s="0" t="n">
        <v>600</v>
      </c>
      <c r="H3628" s="0" t="s">
        <v>230</v>
      </c>
      <c r="I3628" s="0" t="n">
        <v>600</v>
      </c>
      <c r="J3628" s="0" t="n">
        <f aca="false">F3628*E3628</f>
        <v>0</v>
      </c>
      <c r="K3628" s="0" t="str">
        <f aca="false">IF(G3628&lt;1000,"1-Low",IF(G3628&lt;5000,"2-Medium","3-Bulk"))</f>
        <v>1-Low</v>
      </c>
      <c r="L3628" s="0" t="str">
        <f aca="false">IF(H3628="TRUE","Out of stock","In stock")</f>
        <v>Out of stock</v>
      </c>
      <c r="M3628" s="0" t="str">
        <f aca="false">IF(D3628&lt;5,"1) Under 5%",IF(D3628&lt;10,"2) 5-9%",IF(D3628&lt;15,"3) 10-14%",IF(D3628&lt;25,"4) 15-24%","5) 25%+"))))</f>
        <v>1) Under 5%</v>
      </c>
      <c r="N3628" s="0" t="str">
        <f aca="false">IF(F3628&lt;50,"1) Under Rs 50",IF(F3628&lt;100,"2) Rs 50-99",IF(F3628&lt;200,"3) Rs 100-199",IF(F3628&lt;500,"4) Rs 200-499","5) Rs 500+"))))</f>
        <v>1) Under Rs 50</v>
      </c>
      <c r="O3628" s="0" t="n">
        <f aca="false">G3628*E3628/1000</f>
        <v>0</v>
      </c>
    </row>
    <row r="3629" customFormat="false" ht="15" hidden="false" customHeight="false" outlineLevel="0" collapsed="false">
      <c r="A3629" s="0" t="s">
        <v>111</v>
      </c>
      <c r="B3629" s="0" t="s">
        <v>1742</v>
      </c>
      <c r="C3629" s="0" t="n">
        <v>69</v>
      </c>
      <c r="D3629" s="0" t="n">
        <v>10</v>
      </c>
      <c r="E3629" s="0" t="n">
        <v>0</v>
      </c>
      <c r="F3629" s="0" t="n">
        <v>62</v>
      </c>
      <c r="G3629" s="0" t="n">
        <v>500</v>
      </c>
      <c r="H3629" s="0" t="s">
        <v>230</v>
      </c>
      <c r="I3629" s="0" t="n">
        <v>500</v>
      </c>
      <c r="J3629" s="0" t="n">
        <f aca="false">F3629*E3629</f>
        <v>0</v>
      </c>
      <c r="K3629" s="0" t="str">
        <f aca="false">IF(G3629&lt;1000,"1-Low",IF(G3629&lt;5000,"2-Medium","3-Bulk"))</f>
        <v>1-Low</v>
      </c>
      <c r="L3629" s="0" t="str">
        <f aca="false">IF(H3629="TRUE","Out of stock","In stock")</f>
        <v>Out of stock</v>
      </c>
      <c r="M3629" s="0" t="str">
        <f aca="false">IF(D3629&lt;5,"1) Under 5%",IF(D3629&lt;10,"2) 5-9%",IF(D3629&lt;15,"3) 10-14%",IF(D3629&lt;25,"4) 15-24%","5) 25%+"))))</f>
        <v>3) 10-14%</v>
      </c>
      <c r="N3629" s="0" t="str">
        <f aca="false">IF(F3629&lt;50,"1) Under Rs 50",IF(F3629&lt;100,"2) Rs 50-99",IF(F3629&lt;200,"3) Rs 100-199",IF(F3629&lt;500,"4) Rs 200-499","5) Rs 500+"))))</f>
        <v>2) Rs 50-99</v>
      </c>
      <c r="O3629" s="0" t="n">
        <f aca="false">G3629*E3629/1000</f>
        <v>0</v>
      </c>
    </row>
    <row r="3630" customFormat="false" ht="15" hidden="false" customHeight="false" outlineLevel="0" collapsed="false">
      <c r="A3630" s="0" t="s">
        <v>111</v>
      </c>
      <c r="B3630" s="0" t="s">
        <v>1743</v>
      </c>
      <c r="C3630" s="0" t="n">
        <v>235</v>
      </c>
      <c r="D3630" s="0" t="n">
        <v>9</v>
      </c>
      <c r="E3630" s="0" t="n">
        <v>0</v>
      </c>
      <c r="F3630" s="0" t="n">
        <v>212</v>
      </c>
      <c r="G3630" s="0" t="n">
        <v>860</v>
      </c>
      <c r="H3630" s="0" t="s">
        <v>230</v>
      </c>
      <c r="I3630" s="0" t="n">
        <v>860</v>
      </c>
      <c r="J3630" s="0" t="n">
        <f aca="false">F3630*E3630</f>
        <v>0</v>
      </c>
      <c r="K3630" s="0" t="str">
        <f aca="false">IF(G3630&lt;1000,"1-Low",IF(G3630&lt;5000,"2-Medium","3-Bulk"))</f>
        <v>1-Low</v>
      </c>
      <c r="L3630" s="0" t="str">
        <f aca="false">IF(H3630="TRUE","Out of stock","In stock")</f>
        <v>Out of stock</v>
      </c>
      <c r="M3630" s="0" t="str">
        <f aca="false">IF(D3630&lt;5,"1) Under 5%",IF(D3630&lt;10,"2) 5-9%",IF(D3630&lt;15,"3) 10-14%",IF(D3630&lt;25,"4) 15-24%","5) 25%+"))))</f>
        <v>2) 5-9%</v>
      </c>
      <c r="N3630" s="0" t="str">
        <f aca="false">IF(F3630&lt;50,"1) Under Rs 50",IF(F3630&lt;100,"2) Rs 50-99",IF(F3630&lt;200,"3) Rs 100-199",IF(F3630&lt;500,"4) Rs 200-499","5) Rs 500+"))))</f>
        <v>4) Rs 200-499</v>
      </c>
      <c r="O3630" s="0" t="n">
        <f aca="false">G3630*E3630/1000</f>
        <v>0</v>
      </c>
    </row>
    <row r="3631" customFormat="false" ht="15" hidden="false" customHeight="false" outlineLevel="0" collapsed="false">
      <c r="A3631" s="0" t="s">
        <v>111</v>
      </c>
      <c r="B3631" s="0" t="s">
        <v>1744</v>
      </c>
      <c r="C3631" s="0" t="n">
        <v>25</v>
      </c>
      <c r="D3631" s="0" t="n">
        <v>0</v>
      </c>
      <c r="E3631" s="0" t="n">
        <v>0</v>
      </c>
      <c r="F3631" s="0" t="n">
        <v>25</v>
      </c>
      <c r="G3631" s="0" t="n">
        <v>75</v>
      </c>
      <c r="H3631" s="0" t="s">
        <v>230</v>
      </c>
      <c r="I3631" s="0" t="n">
        <v>75</v>
      </c>
      <c r="J3631" s="0" t="n">
        <f aca="false">F3631*E3631</f>
        <v>0</v>
      </c>
      <c r="K3631" s="0" t="str">
        <f aca="false">IF(G3631&lt;1000,"1-Low",IF(G3631&lt;5000,"2-Medium","3-Bulk"))</f>
        <v>1-Low</v>
      </c>
      <c r="L3631" s="0" t="str">
        <f aca="false">IF(H3631="TRUE","Out of stock","In stock")</f>
        <v>Out of stock</v>
      </c>
      <c r="M3631" s="0" t="str">
        <f aca="false">IF(D3631&lt;5,"1) Under 5%",IF(D3631&lt;10,"2) 5-9%",IF(D3631&lt;15,"3) 10-14%",IF(D3631&lt;25,"4) 15-24%","5) 25%+"))))</f>
        <v>1) Under 5%</v>
      </c>
      <c r="N3631" s="0" t="str">
        <f aca="false">IF(F3631&lt;50,"1) Under Rs 50",IF(F3631&lt;100,"2) Rs 50-99",IF(F3631&lt;200,"3) Rs 100-199",IF(F3631&lt;500,"4) Rs 200-499","5) Rs 500+"))))</f>
        <v>1) Under Rs 50</v>
      </c>
      <c r="O3631" s="0" t="n">
        <f aca="false">G3631*E3631/1000</f>
        <v>0</v>
      </c>
    </row>
    <row r="3632" customFormat="false" ht="15" hidden="false" customHeight="false" outlineLevel="0" collapsed="false">
      <c r="A3632" s="0" t="s">
        <v>111</v>
      </c>
      <c r="B3632" s="0" t="s">
        <v>1615</v>
      </c>
      <c r="C3632" s="0" t="n">
        <v>208</v>
      </c>
      <c r="D3632" s="0" t="n">
        <v>6</v>
      </c>
      <c r="E3632" s="0" t="n">
        <v>0</v>
      </c>
      <c r="F3632" s="0" t="n">
        <v>195</v>
      </c>
      <c r="G3632" s="0" t="n">
        <v>1000</v>
      </c>
      <c r="H3632" s="0" t="s">
        <v>230</v>
      </c>
      <c r="I3632" s="0" t="n">
        <v>1</v>
      </c>
      <c r="J3632" s="0" t="n">
        <f aca="false">F3632*E3632</f>
        <v>0</v>
      </c>
      <c r="K3632" s="0" t="str">
        <f aca="false">IF(G3632&lt;1000,"1-Low",IF(G3632&lt;5000,"2-Medium","3-Bulk"))</f>
        <v>2-Medium</v>
      </c>
      <c r="L3632" s="0" t="str">
        <f aca="false">IF(H3632="TRUE","Out of stock","In stock")</f>
        <v>Out of stock</v>
      </c>
      <c r="M3632" s="0" t="str">
        <f aca="false">IF(D3632&lt;5,"1) Under 5%",IF(D3632&lt;10,"2) 5-9%",IF(D3632&lt;15,"3) 10-14%",IF(D3632&lt;25,"4) 15-24%","5) 25%+"))))</f>
        <v>2) 5-9%</v>
      </c>
      <c r="N3632" s="0" t="str">
        <f aca="false">IF(F3632&lt;50,"1) Under Rs 50",IF(F3632&lt;100,"2) Rs 50-99",IF(F3632&lt;200,"3) Rs 100-199",IF(F3632&lt;500,"4) Rs 200-499","5) Rs 500+"))))</f>
        <v>3) Rs 100-199</v>
      </c>
      <c r="O3632" s="0" t="n">
        <f aca="false">G3632*E3632/1000</f>
        <v>0</v>
      </c>
    </row>
    <row r="3633" customFormat="false" ht="15" hidden="false" customHeight="false" outlineLevel="0" collapsed="false">
      <c r="A3633" s="0" t="s">
        <v>111</v>
      </c>
      <c r="B3633" s="0" t="s">
        <v>1745</v>
      </c>
      <c r="C3633" s="0" t="n">
        <v>80</v>
      </c>
      <c r="D3633" s="0" t="n">
        <v>15</v>
      </c>
      <c r="E3633" s="0" t="n">
        <v>0</v>
      </c>
      <c r="F3633" s="0" t="n">
        <v>68</v>
      </c>
      <c r="G3633" s="0" t="n">
        <v>58</v>
      </c>
      <c r="H3633" s="0" t="s">
        <v>230</v>
      </c>
      <c r="I3633" s="0" t="n">
        <v>1</v>
      </c>
      <c r="J3633" s="0" t="n">
        <f aca="false">F3633*E3633</f>
        <v>0</v>
      </c>
      <c r="K3633" s="0" t="str">
        <f aca="false">IF(G3633&lt;1000,"1-Low",IF(G3633&lt;5000,"2-Medium","3-Bulk"))</f>
        <v>1-Low</v>
      </c>
      <c r="L3633" s="0" t="str">
        <f aca="false">IF(H3633="TRUE","Out of stock","In stock")</f>
        <v>Out of stock</v>
      </c>
      <c r="M3633" s="0" t="str">
        <f aca="false">IF(D3633&lt;5,"1) Under 5%",IF(D3633&lt;10,"2) 5-9%",IF(D3633&lt;15,"3) 10-14%",IF(D3633&lt;25,"4) 15-24%","5) 25%+"))))</f>
        <v>4) 15-24%</v>
      </c>
      <c r="N3633" s="0" t="str">
        <f aca="false">IF(F3633&lt;50,"1) Under Rs 50",IF(F3633&lt;100,"2) Rs 50-99",IF(F3633&lt;200,"3) Rs 100-199",IF(F3633&lt;500,"4) Rs 200-499","5) Rs 500+"))))</f>
        <v>2) Rs 50-99</v>
      </c>
      <c r="O3633" s="0" t="n">
        <f aca="false">G3633*E3633/1000</f>
        <v>0</v>
      </c>
    </row>
    <row r="3634" customFormat="false" ht="15" hidden="false" customHeight="false" outlineLevel="0" collapsed="false">
      <c r="A3634" s="0" t="s">
        <v>111</v>
      </c>
      <c r="B3634" s="0" t="s">
        <v>1746</v>
      </c>
      <c r="C3634" s="0" t="n">
        <v>250</v>
      </c>
      <c r="D3634" s="0" t="n">
        <v>10</v>
      </c>
      <c r="E3634" s="0" t="n">
        <v>0</v>
      </c>
      <c r="F3634" s="0" t="n">
        <v>225</v>
      </c>
      <c r="G3634" s="0" t="n">
        <v>100</v>
      </c>
      <c r="H3634" s="0" t="s">
        <v>230</v>
      </c>
      <c r="I3634" s="0" t="n">
        <v>100</v>
      </c>
      <c r="J3634" s="0" t="n">
        <f aca="false">F3634*E3634</f>
        <v>0</v>
      </c>
      <c r="K3634" s="0" t="str">
        <f aca="false">IF(G3634&lt;1000,"1-Low",IF(G3634&lt;5000,"2-Medium","3-Bulk"))</f>
        <v>1-Low</v>
      </c>
      <c r="L3634" s="0" t="str">
        <f aca="false">IF(H3634="TRUE","Out of stock","In stock")</f>
        <v>Out of stock</v>
      </c>
      <c r="M3634" s="0" t="str">
        <f aca="false">IF(D3634&lt;5,"1) Under 5%",IF(D3634&lt;10,"2) 5-9%",IF(D3634&lt;15,"3) 10-14%",IF(D3634&lt;25,"4) 15-24%","5) 25%+"))))</f>
        <v>3) 10-14%</v>
      </c>
      <c r="N3634" s="0" t="str">
        <f aca="false">IF(F3634&lt;50,"1) Under Rs 50",IF(F3634&lt;100,"2) Rs 50-99",IF(F3634&lt;200,"3) Rs 100-199",IF(F3634&lt;500,"4) Rs 200-499","5) Rs 500+"))))</f>
        <v>4) Rs 200-499</v>
      </c>
      <c r="O3634" s="0" t="n">
        <f aca="false">G3634*E3634/1000</f>
        <v>0</v>
      </c>
    </row>
    <row r="3635" customFormat="false" ht="15" hidden="false" customHeight="false" outlineLevel="0" collapsed="false">
      <c r="A3635" s="0" t="s">
        <v>111</v>
      </c>
      <c r="B3635" s="0" t="s">
        <v>1594</v>
      </c>
      <c r="C3635" s="0" t="n">
        <v>30</v>
      </c>
      <c r="D3635" s="0" t="n">
        <v>0</v>
      </c>
      <c r="E3635" s="0" t="n">
        <v>0</v>
      </c>
      <c r="F3635" s="0" t="n">
        <v>30</v>
      </c>
      <c r="G3635" s="0" t="n">
        <v>60</v>
      </c>
      <c r="H3635" s="0" t="s">
        <v>230</v>
      </c>
      <c r="I3635" s="0" t="n">
        <v>60</v>
      </c>
      <c r="J3635" s="0" t="n">
        <f aca="false">F3635*E3635</f>
        <v>0</v>
      </c>
      <c r="K3635" s="0" t="str">
        <f aca="false">IF(G3635&lt;1000,"1-Low",IF(G3635&lt;5000,"2-Medium","3-Bulk"))</f>
        <v>1-Low</v>
      </c>
      <c r="L3635" s="0" t="str">
        <f aca="false">IF(H3635="TRUE","Out of stock","In stock")</f>
        <v>Out of stock</v>
      </c>
      <c r="M3635" s="0" t="str">
        <f aca="false">IF(D3635&lt;5,"1) Under 5%",IF(D3635&lt;10,"2) 5-9%",IF(D3635&lt;15,"3) 10-14%",IF(D3635&lt;25,"4) 15-24%","5) 25%+"))))</f>
        <v>1) Under 5%</v>
      </c>
      <c r="N3635" s="0" t="str">
        <f aca="false">IF(F3635&lt;50,"1) Under Rs 50",IF(F3635&lt;100,"2) Rs 50-99",IF(F3635&lt;200,"3) Rs 100-199",IF(F3635&lt;500,"4) Rs 200-499","5) Rs 500+"))))</f>
        <v>1) Under Rs 50</v>
      </c>
      <c r="O3635" s="0" t="n">
        <f aca="false">G3635*E3635/1000</f>
        <v>0</v>
      </c>
    </row>
    <row r="3636" customFormat="false" ht="15" hidden="false" customHeight="false" outlineLevel="0" collapsed="false">
      <c r="A3636" s="0" t="s">
        <v>109</v>
      </c>
      <c r="B3636" s="0" t="s">
        <v>1747</v>
      </c>
      <c r="C3636" s="0" t="n">
        <v>40</v>
      </c>
      <c r="D3636" s="0" t="n">
        <v>50</v>
      </c>
      <c r="E3636" s="0" t="n">
        <v>6</v>
      </c>
      <c r="F3636" s="0" t="n">
        <v>20</v>
      </c>
      <c r="G3636" s="0" t="n">
        <v>75</v>
      </c>
      <c r="H3636" s="0" t="s">
        <v>145</v>
      </c>
      <c r="I3636" s="0" t="n">
        <v>75</v>
      </c>
      <c r="J3636" s="0" t="n">
        <f aca="false">F3636*E3636</f>
        <v>120</v>
      </c>
      <c r="K3636" s="0" t="str">
        <f aca="false">IF(G3636&lt;1000,"1-Low",IF(G3636&lt;5000,"2-Medium","3-Bulk"))</f>
        <v>1-Low</v>
      </c>
      <c r="L3636" s="0" t="str">
        <f aca="false">IF(H3636="TRUE","Out of stock","In stock")</f>
        <v>In stock</v>
      </c>
      <c r="M3636" s="0" t="str">
        <f aca="false">IF(D3636&lt;5,"1) Under 5%",IF(D3636&lt;10,"2) 5-9%",IF(D3636&lt;15,"3) 10-14%",IF(D3636&lt;25,"4) 15-24%","5) 25%+"))))</f>
        <v>5) 25%+</v>
      </c>
      <c r="N3636" s="0" t="str">
        <f aca="false">IF(F3636&lt;50,"1) Under Rs 50",IF(F3636&lt;100,"2) Rs 50-99",IF(F3636&lt;200,"3) Rs 100-199",IF(F3636&lt;500,"4) Rs 200-499","5) Rs 500+"))))</f>
        <v>1) Under Rs 50</v>
      </c>
      <c r="O3636" s="0" t="n">
        <f aca="false">G3636*E3636/1000</f>
        <v>0.45</v>
      </c>
    </row>
    <row r="3637" customFormat="false" ht="15" hidden="false" customHeight="false" outlineLevel="0" collapsed="false">
      <c r="A3637" s="0" t="s">
        <v>109</v>
      </c>
      <c r="B3637" s="0" t="s">
        <v>1748</v>
      </c>
      <c r="C3637" s="0" t="n">
        <v>40</v>
      </c>
      <c r="D3637" s="0" t="n">
        <v>50</v>
      </c>
      <c r="E3637" s="0" t="n">
        <v>6</v>
      </c>
      <c r="F3637" s="0" t="n">
        <v>20</v>
      </c>
      <c r="G3637" s="0" t="n">
        <v>75</v>
      </c>
      <c r="H3637" s="0" t="s">
        <v>145</v>
      </c>
      <c r="I3637" s="0" t="n">
        <v>75</v>
      </c>
      <c r="J3637" s="0" t="n">
        <f aca="false">F3637*E3637</f>
        <v>120</v>
      </c>
      <c r="K3637" s="0" t="str">
        <f aca="false">IF(G3637&lt;1000,"1-Low",IF(G3637&lt;5000,"2-Medium","3-Bulk"))</f>
        <v>1-Low</v>
      </c>
      <c r="L3637" s="0" t="str">
        <f aca="false">IF(H3637="TRUE","Out of stock","In stock")</f>
        <v>In stock</v>
      </c>
      <c r="M3637" s="0" t="str">
        <f aca="false">IF(D3637&lt;5,"1) Under 5%",IF(D3637&lt;10,"2) 5-9%",IF(D3637&lt;15,"3) 10-14%",IF(D3637&lt;25,"4) 15-24%","5) 25%+"))))</f>
        <v>5) 25%+</v>
      </c>
      <c r="N3637" s="0" t="str">
        <f aca="false">IF(F3637&lt;50,"1) Under Rs 50",IF(F3637&lt;100,"2) Rs 50-99",IF(F3637&lt;200,"3) Rs 100-199",IF(F3637&lt;500,"4) Rs 200-499","5) Rs 500+"))))</f>
        <v>1) Under Rs 50</v>
      </c>
      <c r="O3637" s="0" t="n">
        <f aca="false">G3637*E3637/1000</f>
        <v>0.45</v>
      </c>
    </row>
    <row r="3638" customFormat="false" ht="15" hidden="false" customHeight="false" outlineLevel="0" collapsed="false">
      <c r="A3638" s="0" t="s">
        <v>109</v>
      </c>
      <c r="B3638" s="0" t="s">
        <v>729</v>
      </c>
      <c r="C3638" s="0" t="n">
        <v>78</v>
      </c>
      <c r="D3638" s="0" t="n">
        <v>3</v>
      </c>
      <c r="E3638" s="0" t="n">
        <v>5</v>
      </c>
      <c r="F3638" s="0" t="n">
        <v>75</v>
      </c>
      <c r="G3638" s="0" t="n">
        <v>400</v>
      </c>
      <c r="H3638" s="0" t="s">
        <v>145</v>
      </c>
      <c r="I3638" s="0" t="n">
        <v>400</v>
      </c>
      <c r="J3638" s="0" t="n">
        <f aca="false">F3638*E3638</f>
        <v>375</v>
      </c>
      <c r="K3638" s="0" t="str">
        <f aca="false">IF(G3638&lt;1000,"1-Low",IF(G3638&lt;5000,"2-Medium","3-Bulk"))</f>
        <v>1-Low</v>
      </c>
      <c r="L3638" s="0" t="str">
        <f aca="false">IF(H3638="TRUE","Out of stock","In stock")</f>
        <v>In stock</v>
      </c>
      <c r="M3638" s="0" t="str">
        <f aca="false">IF(D3638&lt;5,"1) Under 5%",IF(D3638&lt;10,"2) 5-9%",IF(D3638&lt;15,"3) 10-14%",IF(D3638&lt;25,"4) 15-24%","5) 25%+"))))</f>
        <v>1) Under 5%</v>
      </c>
      <c r="N3638" s="0" t="str">
        <f aca="false">IF(F3638&lt;50,"1) Under Rs 50",IF(F3638&lt;100,"2) Rs 50-99",IF(F3638&lt;200,"3) Rs 100-199",IF(F3638&lt;500,"4) Rs 200-499","5) Rs 500+"))))</f>
        <v>2) Rs 50-99</v>
      </c>
      <c r="O3638" s="0" t="n">
        <f aca="false">G3638*E3638/1000</f>
        <v>2</v>
      </c>
    </row>
    <row r="3639" customFormat="false" ht="15" hidden="false" customHeight="false" outlineLevel="0" collapsed="false">
      <c r="A3639" s="0" t="s">
        <v>109</v>
      </c>
      <c r="B3639" s="0" t="s">
        <v>1256</v>
      </c>
      <c r="C3639" s="0" t="n">
        <v>25</v>
      </c>
      <c r="D3639" s="0" t="n">
        <v>0</v>
      </c>
      <c r="E3639" s="0" t="n">
        <v>6</v>
      </c>
      <c r="F3639" s="0" t="n">
        <v>25</v>
      </c>
      <c r="G3639" s="0" t="n">
        <v>50</v>
      </c>
      <c r="H3639" s="0" t="s">
        <v>145</v>
      </c>
      <c r="I3639" s="0" t="n">
        <v>50</v>
      </c>
      <c r="J3639" s="0" t="n">
        <f aca="false">F3639*E3639</f>
        <v>150</v>
      </c>
      <c r="K3639" s="0" t="str">
        <f aca="false">IF(G3639&lt;1000,"1-Low",IF(G3639&lt;5000,"2-Medium","3-Bulk"))</f>
        <v>1-Low</v>
      </c>
      <c r="L3639" s="0" t="str">
        <f aca="false">IF(H3639="TRUE","Out of stock","In stock")</f>
        <v>In stock</v>
      </c>
      <c r="M3639" s="0" t="str">
        <f aca="false">IF(D3639&lt;5,"1) Under 5%",IF(D3639&lt;10,"2) 5-9%",IF(D3639&lt;15,"3) 10-14%",IF(D3639&lt;25,"4) 15-24%","5) 25%+"))))</f>
        <v>1) Under 5%</v>
      </c>
      <c r="N3639" s="0" t="str">
        <f aca="false">IF(F3639&lt;50,"1) Under Rs 50",IF(F3639&lt;100,"2) Rs 50-99",IF(F3639&lt;200,"3) Rs 100-199",IF(F3639&lt;500,"4) Rs 200-499","5) Rs 500+"))))</f>
        <v>1) Under Rs 50</v>
      </c>
      <c r="O3639" s="0" t="n">
        <f aca="false">G3639*E3639/1000</f>
        <v>0.3</v>
      </c>
    </row>
    <row r="3640" customFormat="false" ht="15" hidden="false" customHeight="false" outlineLevel="0" collapsed="false">
      <c r="A3640" s="0" t="s">
        <v>109</v>
      </c>
      <c r="B3640" s="0" t="s">
        <v>1568</v>
      </c>
      <c r="C3640" s="0" t="n">
        <v>66</v>
      </c>
      <c r="D3640" s="0" t="n">
        <v>0</v>
      </c>
      <c r="E3640" s="0" t="n">
        <v>6</v>
      </c>
      <c r="F3640" s="0" t="n">
        <v>66</v>
      </c>
      <c r="G3640" s="0" t="n">
        <v>125</v>
      </c>
      <c r="H3640" s="0" t="s">
        <v>145</v>
      </c>
      <c r="I3640" s="0" t="n">
        <v>125</v>
      </c>
      <c r="J3640" s="0" t="n">
        <f aca="false">F3640*E3640</f>
        <v>396</v>
      </c>
      <c r="K3640" s="0" t="str">
        <f aca="false">IF(G3640&lt;1000,"1-Low",IF(G3640&lt;5000,"2-Medium","3-Bulk"))</f>
        <v>1-Low</v>
      </c>
      <c r="L3640" s="0" t="str">
        <f aca="false">IF(H3640="TRUE","Out of stock","In stock")</f>
        <v>In stock</v>
      </c>
      <c r="M3640" s="0" t="str">
        <f aca="false">IF(D3640&lt;5,"1) Under 5%",IF(D3640&lt;10,"2) 5-9%",IF(D3640&lt;15,"3) 10-14%",IF(D3640&lt;25,"4) 15-24%","5) 25%+"))))</f>
        <v>1) Under 5%</v>
      </c>
      <c r="N3640" s="0" t="str">
        <f aca="false">IF(F3640&lt;50,"1) Under Rs 50",IF(F3640&lt;100,"2) Rs 50-99",IF(F3640&lt;200,"3) Rs 100-199",IF(F3640&lt;500,"4) Rs 200-499","5) Rs 500+"))))</f>
        <v>2) Rs 50-99</v>
      </c>
      <c r="O3640" s="0" t="n">
        <f aca="false">G3640*E3640/1000</f>
        <v>0.75</v>
      </c>
    </row>
    <row r="3641" customFormat="false" ht="15" hidden="false" customHeight="false" outlineLevel="0" collapsed="false">
      <c r="A3641" s="0" t="s">
        <v>109</v>
      </c>
      <c r="B3641" s="0" t="s">
        <v>1749</v>
      </c>
      <c r="C3641" s="0" t="n">
        <v>82</v>
      </c>
      <c r="D3641" s="0" t="n">
        <v>0</v>
      </c>
      <c r="E3641" s="0" t="n">
        <v>6</v>
      </c>
      <c r="F3641" s="0" t="n">
        <v>82</v>
      </c>
      <c r="G3641" s="0" t="n">
        <v>174</v>
      </c>
      <c r="H3641" s="0" t="s">
        <v>145</v>
      </c>
      <c r="I3641" s="0" t="n">
        <v>3</v>
      </c>
      <c r="J3641" s="0" t="n">
        <f aca="false">F3641*E3641</f>
        <v>492</v>
      </c>
      <c r="K3641" s="0" t="str">
        <f aca="false">IF(G3641&lt;1000,"1-Low",IF(G3641&lt;5000,"2-Medium","3-Bulk"))</f>
        <v>1-Low</v>
      </c>
      <c r="L3641" s="0" t="str">
        <f aca="false">IF(H3641="TRUE","Out of stock","In stock")</f>
        <v>In stock</v>
      </c>
      <c r="M3641" s="0" t="str">
        <f aca="false">IF(D3641&lt;5,"1) Under 5%",IF(D3641&lt;10,"2) 5-9%",IF(D3641&lt;15,"3) 10-14%",IF(D3641&lt;25,"4) 15-24%","5) 25%+"))))</f>
        <v>1) Under 5%</v>
      </c>
      <c r="N3641" s="0" t="str">
        <f aca="false">IF(F3641&lt;50,"1) Under Rs 50",IF(F3641&lt;100,"2) Rs 50-99",IF(F3641&lt;200,"3) Rs 100-199",IF(F3641&lt;500,"4) Rs 200-499","5) Rs 500+"))))</f>
        <v>2) Rs 50-99</v>
      </c>
      <c r="O3641" s="0" t="n">
        <f aca="false">G3641*E3641/1000</f>
        <v>1.044</v>
      </c>
    </row>
    <row r="3642" customFormat="false" ht="15" hidden="false" customHeight="false" outlineLevel="0" collapsed="false">
      <c r="A3642" s="0" t="s">
        <v>109</v>
      </c>
      <c r="B3642" s="0" t="s">
        <v>1750</v>
      </c>
      <c r="C3642" s="0" t="n">
        <v>245</v>
      </c>
      <c r="D3642" s="0" t="n">
        <v>10</v>
      </c>
      <c r="E3642" s="0" t="n">
        <v>6</v>
      </c>
      <c r="F3642" s="0" t="n">
        <v>220</v>
      </c>
      <c r="G3642" s="0" t="n">
        <v>580</v>
      </c>
      <c r="H3642" s="0" t="s">
        <v>145</v>
      </c>
      <c r="I3642" s="0" t="n">
        <v>10</v>
      </c>
      <c r="J3642" s="0" t="n">
        <f aca="false">F3642*E3642</f>
        <v>1320</v>
      </c>
      <c r="K3642" s="0" t="str">
        <f aca="false">IF(G3642&lt;1000,"1-Low",IF(G3642&lt;5000,"2-Medium","3-Bulk"))</f>
        <v>1-Low</v>
      </c>
      <c r="L3642" s="0" t="str">
        <f aca="false">IF(H3642="TRUE","Out of stock","In stock")</f>
        <v>In stock</v>
      </c>
      <c r="M3642" s="0" t="str">
        <f aca="false">IF(D3642&lt;5,"1) Under 5%",IF(D3642&lt;10,"2) 5-9%",IF(D3642&lt;15,"3) 10-14%",IF(D3642&lt;25,"4) 15-24%","5) 25%+"))))</f>
        <v>3) 10-14%</v>
      </c>
      <c r="N3642" s="0" t="str">
        <f aca="false">IF(F3642&lt;50,"1) Under Rs 50",IF(F3642&lt;100,"2) Rs 50-99",IF(F3642&lt;200,"3) Rs 100-199",IF(F3642&lt;500,"4) Rs 200-499","5) Rs 500+"))))</f>
        <v>4) Rs 200-499</v>
      </c>
      <c r="O3642" s="0" t="n">
        <f aca="false">G3642*E3642/1000</f>
        <v>3.48</v>
      </c>
    </row>
    <row r="3643" customFormat="false" ht="15" hidden="false" customHeight="false" outlineLevel="0" collapsed="false">
      <c r="A3643" s="0" t="s">
        <v>109</v>
      </c>
      <c r="B3643" s="0" t="s">
        <v>1751</v>
      </c>
      <c r="C3643" s="0" t="n">
        <v>45</v>
      </c>
      <c r="D3643" s="0" t="n">
        <v>6</v>
      </c>
      <c r="E3643" s="0" t="n">
        <v>6</v>
      </c>
      <c r="F3643" s="0" t="n">
        <v>42</v>
      </c>
      <c r="G3643" s="0" t="n">
        <v>120</v>
      </c>
      <c r="H3643" s="0" t="s">
        <v>145</v>
      </c>
      <c r="I3643" s="0" t="n">
        <v>120</v>
      </c>
      <c r="J3643" s="0" t="n">
        <f aca="false">F3643*E3643</f>
        <v>252</v>
      </c>
      <c r="K3643" s="0" t="str">
        <f aca="false">IF(G3643&lt;1000,"1-Low",IF(G3643&lt;5000,"2-Medium","3-Bulk"))</f>
        <v>1-Low</v>
      </c>
      <c r="L3643" s="0" t="str">
        <f aca="false">IF(H3643="TRUE","Out of stock","In stock")</f>
        <v>In stock</v>
      </c>
      <c r="M3643" s="0" t="str">
        <f aca="false">IF(D3643&lt;5,"1) Under 5%",IF(D3643&lt;10,"2) 5-9%",IF(D3643&lt;15,"3) 10-14%",IF(D3643&lt;25,"4) 15-24%","5) 25%+"))))</f>
        <v>2) 5-9%</v>
      </c>
      <c r="N3643" s="0" t="str">
        <f aca="false">IF(F3643&lt;50,"1) Under Rs 50",IF(F3643&lt;100,"2) Rs 50-99",IF(F3643&lt;200,"3) Rs 100-199",IF(F3643&lt;500,"4) Rs 200-499","5) Rs 500+"))))</f>
        <v>1) Under Rs 50</v>
      </c>
      <c r="O3643" s="0" t="n">
        <f aca="false">G3643*E3643/1000</f>
        <v>0.72</v>
      </c>
    </row>
    <row r="3644" customFormat="false" ht="15" hidden="false" customHeight="false" outlineLevel="0" collapsed="false">
      <c r="A3644" s="0" t="s">
        <v>109</v>
      </c>
      <c r="B3644" s="0" t="s">
        <v>1752</v>
      </c>
      <c r="C3644" s="0" t="n">
        <v>45</v>
      </c>
      <c r="D3644" s="0" t="n">
        <v>6</v>
      </c>
      <c r="E3644" s="0" t="n">
        <v>2</v>
      </c>
      <c r="F3644" s="0" t="n">
        <v>42</v>
      </c>
      <c r="G3644" s="0" t="n">
        <v>120</v>
      </c>
      <c r="H3644" s="0" t="s">
        <v>145</v>
      </c>
      <c r="I3644" s="0" t="n">
        <v>180</v>
      </c>
      <c r="J3644" s="0" t="n">
        <f aca="false">F3644*E3644</f>
        <v>84</v>
      </c>
      <c r="K3644" s="0" t="str">
        <f aca="false">IF(G3644&lt;1000,"1-Low",IF(G3644&lt;5000,"2-Medium","3-Bulk"))</f>
        <v>1-Low</v>
      </c>
      <c r="L3644" s="0" t="str">
        <f aca="false">IF(H3644="TRUE","Out of stock","In stock")</f>
        <v>In stock</v>
      </c>
      <c r="M3644" s="0" t="str">
        <f aca="false">IF(D3644&lt;5,"1) Under 5%",IF(D3644&lt;10,"2) 5-9%",IF(D3644&lt;15,"3) 10-14%",IF(D3644&lt;25,"4) 15-24%","5) 25%+"))))</f>
        <v>2) 5-9%</v>
      </c>
      <c r="N3644" s="0" t="str">
        <f aca="false">IF(F3644&lt;50,"1) Under Rs 50",IF(F3644&lt;100,"2) Rs 50-99",IF(F3644&lt;200,"3) Rs 100-199",IF(F3644&lt;500,"4) Rs 200-499","5) Rs 500+"))))</f>
        <v>1) Under Rs 50</v>
      </c>
      <c r="O3644" s="0" t="n">
        <f aca="false">G3644*E3644/1000</f>
        <v>0.24</v>
      </c>
    </row>
    <row r="3645" customFormat="false" ht="15" hidden="false" customHeight="false" outlineLevel="0" collapsed="false">
      <c r="A3645" s="0" t="s">
        <v>109</v>
      </c>
      <c r="B3645" s="0" t="s">
        <v>1753</v>
      </c>
      <c r="C3645" s="0" t="n">
        <v>40</v>
      </c>
      <c r="D3645" s="0" t="n">
        <v>10</v>
      </c>
      <c r="E3645" s="0" t="n">
        <v>4</v>
      </c>
      <c r="F3645" s="0" t="n">
        <v>36</v>
      </c>
      <c r="G3645" s="0" t="n">
        <v>8</v>
      </c>
      <c r="H3645" s="0" t="s">
        <v>145</v>
      </c>
      <c r="I3645" s="0" t="n">
        <v>8</v>
      </c>
      <c r="J3645" s="0" t="n">
        <f aca="false">F3645*E3645</f>
        <v>144</v>
      </c>
      <c r="K3645" s="0" t="str">
        <f aca="false">IF(G3645&lt;1000,"1-Low",IF(G3645&lt;5000,"2-Medium","3-Bulk"))</f>
        <v>1-Low</v>
      </c>
      <c r="L3645" s="0" t="str">
        <f aca="false">IF(H3645="TRUE","Out of stock","In stock")</f>
        <v>In stock</v>
      </c>
      <c r="M3645" s="0" t="str">
        <f aca="false">IF(D3645&lt;5,"1) Under 5%",IF(D3645&lt;10,"2) 5-9%",IF(D3645&lt;15,"3) 10-14%",IF(D3645&lt;25,"4) 15-24%","5) 25%+"))))</f>
        <v>3) 10-14%</v>
      </c>
      <c r="N3645" s="0" t="str">
        <f aca="false">IF(F3645&lt;50,"1) Under Rs 50",IF(F3645&lt;100,"2) Rs 50-99",IF(F3645&lt;200,"3) Rs 100-199",IF(F3645&lt;500,"4) Rs 200-499","5) Rs 500+"))))</f>
        <v>1) Under Rs 50</v>
      </c>
      <c r="O3645" s="0" t="n">
        <f aca="false">G3645*E3645/1000</f>
        <v>0.032</v>
      </c>
    </row>
    <row r="3646" customFormat="false" ht="15" hidden="false" customHeight="false" outlineLevel="0" collapsed="false">
      <c r="A3646" s="0" t="s">
        <v>109</v>
      </c>
      <c r="B3646" s="0" t="s">
        <v>1754</v>
      </c>
      <c r="C3646" s="0" t="n">
        <v>20</v>
      </c>
      <c r="D3646" s="0" t="n">
        <v>0</v>
      </c>
      <c r="E3646" s="0" t="n">
        <v>6</v>
      </c>
      <c r="F3646" s="0" t="n">
        <v>20</v>
      </c>
      <c r="G3646" s="0" t="n">
        <v>1160</v>
      </c>
      <c r="H3646" s="0" t="s">
        <v>145</v>
      </c>
      <c r="I3646" s="0" t="n">
        <v>20</v>
      </c>
      <c r="J3646" s="0" t="n">
        <f aca="false">F3646*E3646</f>
        <v>120</v>
      </c>
      <c r="K3646" s="0" t="str">
        <f aca="false">IF(G3646&lt;1000,"1-Low",IF(G3646&lt;5000,"2-Medium","3-Bulk"))</f>
        <v>2-Medium</v>
      </c>
      <c r="L3646" s="0" t="str">
        <f aca="false">IF(H3646="TRUE","Out of stock","In stock")</f>
        <v>In stock</v>
      </c>
      <c r="M3646" s="0" t="str">
        <f aca="false">IF(D3646&lt;5,"1) Under 5%",IF(D3646&lt;10,"2) 5-9%",IF(D3646&lt;15,"3) 10-14%",IF(D3646&lt;25,"4) 15-24%","5) 25%+"))))</f>
        <v>1) Under 5%</v>
      </c>
      <c r="N3646" s="0" t="str">
        <f aca="false">IF(F3646&lt;50,"1) Under Rs 50",IF(F3646&lt;100,"2) Rs 50-99",IF(F3646&lt;200,"3) Rs 100-199",IF(F3646&lt;500,"4) Rs 200-499","5) Rs 500+"))))</f>
        <v>1) Under Rs 50</v>
      </c>
      <c r="O3646" s="0" t="n">
        <f aca="false">G3646*E3646/1000</f>
        <v>6.96</v>
      </c>
    </row>
    <row r="3647" customFormat="false" ht="15" hidden="false" customHeight="false" outlineLevel="0" collapsed="false">
      <c r="A3647" s="0" t="s">
        <v>109</v>
      </c>
      <c r="B3647" s="0" t="s">
        <v>1755</v>
      </c>
      <c r="C3647" s="0" t="n">
        <v>228</v>
      </c>
      <c r="D3647" s="0" t="n">
        <v>10</v>
      </c>
      <c r="E3647" s="0" t="n">
        <v>6</v>
      </c>
      <c r="F3647" s="0" t="n">
        <v>205</v>
      </c>
      <c r="G3647" s="0" t="n">
        <v>580</v>
      </c>
      <c r="H3647" s="0" t="s">
        <v>145</v>
      </c>
      <c r="I3647" s="0" t="n">
        <v>10</v>
      </c>
      <c r="J3647" s="0" t="n">
        <f aca="false">F3647*E3647</f>
        <v>1230</v>
      </c>
      <c r="K3647" s="0" t="str">
        <f aca="false">IF(G3647&lt;1000,"1-Low",IF(G3647&lt;5000,"2-Medium","3-Bulk"))</f>
        <v>1-Low</v>
      </c>
      <c r="L3647" s="0" t="str">
        <f aca="false">IF(H3647="TRUE","Out of stock","In stock")</f>
        <v>In stock</v>
      </c>
      <c r="M3647" s="0" t="str">
        <f aca="false">IF(D3647&lt;5,"1) Under 5%",IF(D3647&lt;10,"2) 5-9%",IF(D3647&lt;15,"3) 10-14%",IF(D3647&lt;25,"4) 15-24%","5) 25%+"))))</f>
        <v>3) 10-14%</v>
      </c>
      <c r="N3647" s="0" t="str">
        <f aca="false">IF(F3647&lt;50,"1) Under Rs 50",IF(F3647&lt;100,"2) Rs 50-99",IF(F3647&lt;200,"3) Rs 100-199",IF(F3647&lt;500,"4) Rs 200-499","5) Rs 500+"))))</f>
        <v>4) Rs 200-499</v>
      </c>
      <c r="O3647" s="0" t="n">
        <f aca="false">G3647*E3647/1000</f>
        <v>3.48</v>
      </c>
    </row>
    <row r="3648" customFormat="false" ht="15" hidden="false" customHeight="false" outlineLevel="0" collapsed="false">
      <c r="A3648" s="0" t="s">
        <v>109</v>
      </c>
      <c r="B3648" s="0" t="s">
        <v>1756</v>
      </c>
      <c r="C3648" s="0" t="n">
        <v>85</v>
      </c>
      <c r="D3648" s="0" t="n">
        <v>9</v>
      </c>
      <c r="E3648" s="0" t="n">
        <v>6</v>
      </c>
      <c r="F3648" s="0" t="n">
        <v>77</v>
      </c>
      <c r="G3648" s="0" t="n">
        <v>25</v>
      </c>
      <c r="H3648" s="0" t="s">
        <v>145</v>
      </c>
      <c r="I3648" s="0" t="n">
        <v>25</v>
      </c>
      <c r="J3648" s="0" t="n">
        <f aca="false">F3648*E3648</f>
        <v>462</v>
      </c>
      <c r="K3648" s="0" t="str">
        <f aca="false">IF(G3648&lt;1000,"1-Low",IF(G3648&lt;5000,"2-Medium","3-Bulk"))</f>
        <v>1-Low</v>
      </c>
      <c r="L3648" s="0" t="str">
        <f aca="false">IF(H3648="TRUE","Out of stock","In stock")</f>
        <v>In stock</v>
      </c>
      <c r="M3648" s="0" t="str">
        <f aca="false">IF(D3648&lt;5,"1) Under 5%",IF(D3648&lt;10,"2) 5-9%",IF(D3648&lt;15,"3) 10-14%",IF(D3648&lt;25,"4) 15-24%","5) 25%+"))))</f>
        <v>2) 5-9%</v>
      </c>
      <c r="N3648" s="0" t="str">
        <f aca="false">IF(F3648&lt;50,"1) Under Rs 50",IF(F3648&lt;100,"2) Rs 50-99",IF(F3648&lt;200,"3) Rs 100-199",IF(F3648&lt;500,"4) Rs 200-499","5) Rs 500+"))))</f>
        <v>2) Rs 50-99</v>
      </c>
      <c r="O3648" s="0" t="n">
        <f aca="false">G3648*E3648/1000</f>
        <v>0.15</v>
      </c>
    </row>
    <row r="3649" customFormat="false" ht="15" hidden="false" customHeight="false" outlineLevel="0" collapsed="false">
      <c r="A3649" s="0" t="s">
        <v>109</v>
      </c>
      <c r="B3649" s="0" t="s">
        <v>1594</v>
      </c>
      <c r="C3649" s="0" t="n">
        <v>33</v>
      </c>
      <c r="D3649" s="0" t="n">
        <v>0</v>
      </c>
      <c r="E3649" s="0" t="n">
        <v>4</v>
      </c>
      <c r="F3649" s="0" t="n">
        <v>33</v>
      </c>
      <c r="G3649" s="0" t="n">
        <v>60</v>
      </c>
      <c r="H3649" s="0" t="s">
        <v>145</v>
      </c>
      <c r="I3649" s="0" t="n">
        <v>60</v>
      </c>
      <c r="J3649" s="0" t="n">
        <f aca="false">F3649*E3649</f>
        <v>132</v>
      </c>
      <c r="K3649" s="0" t="str">
        <f aca="false">IF(G3649&lt;1000,"1-Low",IF(G3649&lt;5000,"2-Medium","3-Bulk"))</f>
        <v>1-Low</v>
      </c>
      <c r="L3649" s="0" t="str">
        <f aca="false">IF(H3649="TRUE","Out of stock","In stock")</f>
        <v>In stock</v>
      </c>
      <c r="M3649" s="0" t="str">
        <f aca="false">IF(D3649&lt;5,"1) Under 5%",IF(D3649&lt;10,"2) 5-9%",IF(D3649&lt;15,"3) 10-14%",IF(D3649&lt;25,"4) 15-24%","5) 25%+"))))</f>
        <v>1) Under 5%</v>
      </c>
      <c r="N3649" s="0" t="str">
        <f aca="false">IF(F3649&lt;50,"1) Under Rs 50",IF(F3649&lt;100,"2) Rs 50-99",IF(F3649&lt;200,"3) Rs 100-199",IF(F3649&lt;500,"4) Rs 200-499","5) Rs 500+"))))</f>
        <v>1) Under Rs 50</v>
      </c>
      <c r="O3649" s="0" t="n">
        <f aca="false">G3649*E3649/1000</f>
        <v>0.24</v>
      </c>
    </row>
    <row r="3650" customFormat="false" ht="15" hidden="false" customHeight="false" outlineLevel="0" collapsed="false">
      <c r="A3650" s="0" t="s">
        <v>109</v>
      </c>
      <c r="B3650" s="0" t="s">
        <v>1280</v>
      </c>
      <c r="C3650" s="0" t="n">
        <v>135</v>
      </c>
      <c r="D3650" s="0" t="n">
        <v>5</v>
      </c>
      <c r="E3650" s="0" t="n">
        <v>6</v>
      </c>
      <c r="F3650" s="0" t="n">
        <v>128</v>
      </c>
      <c r="G3650" s="0" t="n">
        <v>50</v>
      </c>
      <c r="H3650" s="0" t="s">
        <v>145</v>
      </c>
      <c r="I3650" s="0" t="n">
        <v>50</v>
      </c>
      <c r="J3650" s="0" t="n">
        <f aca="false">F3650*E3650</f>
        <v>768</v>
      </c>
      <c r="K3650" s="0" t="str">
        <f aca="false">IF(G3650&lt;1000,"1-Low",IF(G3650&lt;5000,"2-Medium","3-Bulk"))</f>
        <v>1-Low</v>
      </c>
      <c r="L3650" s="0" t="str">
        <f aca="false">IF(H3650="TRUE","Out of stock","In stock")</f>
        <v>In stock</v>
      </c>
      <c r="M3650" s="0" t="str">
        <f aca="false">IF(D3650&lt;5,"1) Under 5%",IF(D3650&lt;10,"2) 5-9%",IF(D3650&lt;15,"3) 10-14%",IF(D3650&lt;25,"4) 15-24%","5) 25%+"))))</f>
        <v>2) 5-9%</v>
      </c>
      <c r="N3650" s="0" t="str">
        <f aca="false">IF(F3650&lt;50,"1) Under Rs 50",IF(F3650&lt;100,"2) Rs 50-99",IF(F3650&lt;200,"3) Rs 100-199",IF(F3650&lt;500,"4) Rs 200-499","5) Rs 500+"))))</f>
        <v>3) Rs 100-199</v>
      </c>
      <c r="O3650" s="0" t="n">
        <f aca="false">G3650*E3650/1000</f>
        <v>0.3</v>
      </c>
    </row>
    <row r="3651" customFormat="false" ht="15" hidden="false" customHeight="false" outlineLevel="0" collapsed="false">
      <c r="A3651" s="0" t="s">
        <v>109</v>
      </c>
      <c r="B3651" s="0" t="s">
        <v>1757</v>
      </c>
      <c r="C3651" s="0" t="n">
        <v>145</v>
      </c>
      <c r="D3651" s="0" t="n">
        <v>11</v>
      </c>
      <c r="E3651" s="0" t="n">
        <v>2</v>
      </c>
      <c r="F3651" s="0" t="n">
        <v>129</v>
      </c>
      <c r="G3651" s="0" t="n">
        <v>50</v>
      </c>
      <c r="H3651" s="0" t="s">
        <v>145</v>
      </c>
      <c r="I3651" s="0" t="n">
        <v>50</v>
      </c>
      <c r="J3651" s="0" t="n">
        <f aca="false">F3651*E3651</f>
        <v>258</v>
      </c>
      <c r="K3651" s="0" t="str">
        <f aca="false">IF(G3651&lt;1000,"1-Low",IF(G3651&lt;5000,"2-Medium","3-Bulk"))</f>
        <v>1-Low</v>
      </c>
      <c r="L3651" s="0" t="str">
        <f aca="false">IF(H3651="TRUE","Out of stock","In stock")</f>
        <v>In stock</v>
      </c>
      <c r="M3651" s="0" t="str">
        <f aca="false">IF(D3651&lt;5,"1) Under 5%",IF(D3651&lt;10,"2) 5-9%",IF(D3651&lt;15,"3) 10-14%",IF(D3651&lt;25,"4) 15-24%","5) 25%+"))))</f>
        <v>3) 10-14%</v>
      </c>
      <c r="N3651" s="0" t="str">
        <f aca="false">IF(F3651&lt;50,"1) Under Rs 50",IF(F3651&lt;100,"2) Rs 50-99",IF(F3651&lt;200,"3) Rs 100-199",IF(F3651&lt;500,"4) Rs 200-499","5) Rs 500+"))))</f>
        <v>3) Rs 100-199</v>
      </c>
      <c r="O3651" s="0" t="n">
        <f aca="false">G3651*E3651/1000</f>
        <v>0.1</v>
      </c>
    </row>
    <row r="3652" customFormat="false" ht="15" hidden="false" customHeight="false" outlineLevel="0" collapsed="false">
      <c r="A3652" s="0" t="s">
        <v>109</v>
      </c>
      <c r="B3652" s="0" t="s">
        <v>1758</v>
      </c>
      <c r="C3652" s="0" t="n">
        <v>45</v>
      </c>
      <c r="D3652" s="0" t="n">
        <v>6</v>
      </c>
      <c r="E3652" s="0" t="n">
        <v>6</v>
      </c>
      <c r="F3652" s="0" t="n">
        <v>42</v>
      </c>
      <c r="G3652" s="0" t="n">
        <v>120</v>
      </c>
      <c r="H3652" s="0" t="s">
        <v>145</v>
      </c>
      <c r="I3652" s="0" t="n">
        <v>120</v>
      </c>
      <c r="J3652" s="0" t="n">
        <f aca="false">F3652*E3652</f>
        <v>252</v>
      </c>
      <c r="K3652" s="0" t="str">
        <f aca="false">IF(G3652&lt;1000,"1-Low",IF(G3652&lt;5000,"2-Medium","3-Bulk"))</f>
        <v>1-Low</v>
      </c>
      <c r="L3652" s="0" t="str">
        <f aca="false">IF(H3652="TRUE","Out of stock","In stock")</f>
        <v>In stock</v>
      </c>
      <c r="M3652" s="0" t="str">
        <f aca="false">IF(D3652&lt;5,"1) Under 5%",IF(D3652&lt;10,"2) 5-9%",IF(D3652&lt;15,"3) 10-14%",IF(D3652&lt;25,"4) 15-24%","5) 25%+"))))</f>
        <v>2) 5-9%</v>
      </c>
      <c r="N3652" s="0" t="str">
        <f aca="false">IF(F3652&lt;50,"1) Under Rs 50",IF(F3652&lt;100,"2) Rs 50-99",IF(F3652&lt;200,"3) Rs 100-199",IF(F3652&lt;500,"4) Rs 200-499","5) Rs 500+"))))</f>
        <v>1) Under Rs 50</v>
      </c>
      <c r="O3652" s="0" t="n">
        <f aca="false">G3652*E3652/1000</f>
        <v>0.72</v>
      </c>
    </row>
    <row r="3653" customFormat="false" ht="15" hidden="false" customHeight="false" outlineLevel="0" collapsed="false">
      <c r="A3653" s="0" t="s">
        <v>109</v>
      </c>
      <c r="B3653" s="0" t="s">
        <v>1759</v>
      </c>
      <c r="C3653" s="0" t="n">
        <v>159</v>
      </c>
      <c r="D3653" s="0" t="n">
        <v>10</v>
      </c>
      <c r="E3653" s="0" t="n">
        <v>6</v>
      </c>
      <c r="F3653" s="0" t="n">
        <v>143</v>
      </c>
      <c r="G3653" s="0" t="n">
        <v>225</v>
      </c>
      <c r="H3653" s="0" t="s">
        <v>145</v>
      </c>
      <c r="I3653" s="0" t="n">
        <v>225</v>
      </c>
      <c r="J3653" s="0" t="n">
        <f aca="false">F3653*E3653</f>
        <v>858</v>
      </c>
      <c r="K3653" s="0" t="str">
        <f aca="false">IF(G3653&lt;1000,"1-Low",IF(G3653&lt;5000,"2-Medium","3-Bulk"))</f>
        <v>1-Low</v>
      </c>
      <c r="L3653" s="0" t="str">
        <f aca="false">IF(H3653="TRUE","Out of stock","In stock")</f>
        <v>In stock</v>
      </c>
      <c r="M3653" s="0" t="str">
        <f aca="false">IF(D3653&lt;5,"1) Under 5%",IF(D3653&lt;10,"2) 5-9%",IF(D3653&lt;15,"3) 10-14%",IF(D3653&lt;25,"4) 15-24%","5) 25%+"))))</f>
        <v>3) 10-14%</v>
      </c>
      <c r="N3653" s="0" t="str">
        <f aca="false">IF(F3653&lt;50,"1) Under Rs 50",IF(F3653&lt;100,"2) Rs 50-99",IF(F3653&lt;200,"3) Rs 100-199",IF(F3653&lt;500,"4) Rs 200-499","5) Rs 500+"))))</f>
        <v>3) Rs 100-199</v>
      </c>
      <c r="O3653" s="0" t="n">
        <f aca="false">G3653*E3653/1000</f>
        <v>1.35</v>
      </c>
    </row>
    <row r="3654" customFormat="false" ht="15" hidden="false" customHeight="false" outlineLevel="0" collapsed="false">
      <c r="A3654" s="0" t="s">
        <v>109</v>
      </c>
      <c r="B3654" s="0" t="s">
        <v>1760</v>
      </c>
      <c r="C3654" s="0" t="n">
        <v>40</v>
      </c>
      <c r="D3654" s="0" t="n">
        <v>2</v>
      </c>
      <c r="E3654" s="0" t="n">
        <v>6</v>
      </c>
      <c r="F3654" s="0" t="n">
        <v>39</v>
      </c>
      <c r="G3654" s="0" t="n">
        <v>8</v>
      </c>
      <c r="H3654" s="0" t="s">
        <v>145</v>
      </c>
      <c r="I3654" s="0" t="n">
        <v>8</v>
      </c>
      <c r="J3654" s="0" t="n">
        <f aca="false">F3654*E3654</f>
        <v>234</v>
      </c>
      <c r="K3654" s="0" t="str">
        <f aca="false">IF(G3654&lt;1000,"1-Low",IF(G3654&lt;5000,"2-Medium","3-Bulk"))</f>
        <v>1-Low</v>
      </c>
      <c r="L3654" s="0" t="str">
        <f aca="false">IF(H3654="TRUE","Out of stock","In stock")</f>
        <v>In stock</v>
      </c>
      <c r="M3654" s="0" t="str">
        <f aca="false">IF(D3654&lt;5,"1) Under 5%",IF(D3654&lt;10,"2) 5-9%",IF(D3654&lt;15,"3) 10-14%",IF(D3654&lt;25,"4) 15-24%","5) 25%+"))))</f>
        <v>1) Under 5%</v>
      </c>
      <c r="N3654" s="0" t="str">
        <f aca="false">IF(F3654&lt;50,"1) Under Rs 50",IF(F3654&lt;100,"2) Rs 50-99",IF(F3654&lt;200,"3) Rs 100-199",IF(F3654&lt;500,"4) Rs 200-499","5) Rs 500+"))))</f>
        <v>1) Under Rs 50</v>
      </c>
      <c r="O3654" s="0" t="n">
        <f aca="false">G3654*E3654/1000</f>
        <v>0.048</v>
      </c>
    </row>
    <row r="3655" customFormat="false" ht="15" hidden="false" customHeight="false" outlineLevel="0" collapsed="false">
      <c r="A3655" s="0" t="s">
        <v>109</v>
      </c>
      <c r="B3655" s="0" t="s">
        <v>1761</v>
      </c>
      <c r="C3655" s="0" t="n">
        <v>65</v>
      </c>
      <c r="D3655" s="0" t="n">
        <v>10</v>
      </c>
      <c r="E3655" s="0" t="n">
        <v>4</v>
      </c>
      <c r="F3655" s="0" t="n">
        <v>58</v>
      </c>
      <c r="G3655" s="0" t="n">
        <v>100</v>
      </c>
      <c r="H3655" s="0" t="s">
        <v>145</v>
      </c>
      <c r="I3655" s="0" t="n">
        <v>100</v>
      </c>
      <c r="J3655" s="0" t="n">
        <f aca="false">F3655*E3655</f>
        <v>232</v>
      </c>
      <c r="K3655" s="0" t="str">
        <f aca="false">IF(G3655&lt;1000,"1-Low",IF(G3655&lt;5000,"2-Medium","3-Bulk"))</f>
        <v>1-Low</v>
      </c>
      <c r="L3655" s="0" t="str">
        <f aca="false">IF(H3655="TRUE","Out of stock","In stock")</f>
        <v>In stock</v>
      </c>
      <c r="M3655" s="0" t="str">
        <f aca="false">IF(D3655&lt;5,"1) Under 5%",IF(D3655&lt;10,"2) 5-9%",IF(D3655&lt;15,"3) 10-14%",IF(D3655&lt;25,"4) 15-24%","5) 25%+"))))</f>
        <v>3) 10-14%</v>
      </c>
      <c r="N3655" s="0" t="str">
        <f aca="false">IF(F3655&lt;50,"1) Under Rs 50",IF(F3655&lt;100,"2) Rs 50-99",IF(F3655&lt;200,"3) Rs 100-199",IF(F3655&lt;500,"4) Rs 200-499","5) Rs 500+"))))</f>
        <v>2) Rs 50-99</v>
      </c>
      <c r="O3655" s="0" t="n">
        <f aca="false">G3655*E3655/1000</f>
        <v>0.4</v>
      </c>
    </row>
    <row r="3656" customFormat="false" ht="15" hidden="false" customHeight="false" outlineLevel="0" collapsed="false">
      <c r="A3656" s="0" t="s">
        <v>109</v>
      </c>
      <c r="B3656" s="0" t="s">
        <v>1762</v>
      </c>
      <c r="C3656" s="0" t="n">
        <v>189</v>
      </c>
      <c r="D3656" s="0" t="n">
        <v>15</v>
      </c>
      <c r="E3656" s="0" t="n">
        <v>6</v>
      </c>
      <c r="F3656" s="0" t="n">
        <v>160</v>
      </c>
      <c r="G3656" s="0" t="n">
        <v>50</v>
      </c>
      <c r="H3656" s="0" t="s">
        <v>145</v>
      </c>
      <c r="I3656" s="0" t="n">
        <v>50</v>
      </c>
      <c r="J3656" s="0" t="n">
        <f aca="false">F3656*E3656</f>
        <v>960</v>
      </c>
      <c r="K3656" s="0" t="str">
        <f aca="false">IF(G3656&lt;1000,"1-Low",IF(G3656&lt;5000,"2-Medium","3-Bulk"))</f>
        <v>1-Low</v>
      </c>
      <c r="L3656" s="0" t="str">
        <f aca="false">IF(H3656="TRUE","Out of stock","In stock")</f>
        <v>In stock</v>
      </c>
      <c r="M3656" s="0" t="str">
        <f aca="false">IF(D3656&lt;5,"1) Under 5%",IF(D3656&lt;10,"2) 5-9%",IF(D3656&lt;15,"3) 10-14%",IF(D3656&lt;25,"4) 15-24%","5) 25%+"))))</f>
        <v>4) 15-24%</v>
      </c>
      <c r="N3656" s="0" t="str">
        <f aca="false">IF(F3656&lt;50,"1) Under Rs 50",IF(F3656&lt;100,"2) Rs 50-99",IF(F3656&lt;200,"3) Rs 100-199",IF(F3656&lt;500,"4) Rs 200-499","5) Rs 500+"))))</f>
        <v>3) Rs 100-199</v>
      </c>
      <c r="O3656" s="0" t="n">
        <f aca="false">G3656*E3656/1000</f>
        <v>0.3</v>
      </c>
    </row>
    <row r="3657" customFormat="false" ht="15" hidden="false" customHeight="false" outlineLevel="0" collapsed="false">
      <c r="A3657" s="0" t="s">
        <v>109</v>
      </c>
      <c r="B3657" s="0" t="s">
        <v>1292</v>
      </c>
      <c r="C3657" s="0" t="n">
        <v>100</v>
      </c>
      <c r="D3657" s="0" t="n">
        <v>5</v>
      </c>
      <c r="E3657" s="0" t="n">
        <v>6</v>
      </c>
      <c r="F3657" s="0" t="n">
        <v>95</v>
      </c>
      <c r="G3657" s="0" t="n">
        <v>200</v>
      </c>
      <c r="H3657" s="0" t="s">
        <v>145</v>
      </c>
      <c r="I3657" s="0" t="n">
        <v>200</v>
      </c>
      <c r="J3657" s="0" t="n">
        <f aca="false">F3657*E3657</f>
        <v>570</v>
      </c>
      <c r="K3657" s="0" t="str">
        <f aca="false">IF(G3657&lt;1000,"1-Low",IF(G3657&lt;5000,"2-Medium","3-Bulk"))</f>
        <v>1-Low</v>
      </c>
      <c r="L3657" s="0" t="str">
        <f aca="false">IF(H3657="TRUE","Out of stock","In stock")</f>
        <v>In stock</v>
      </c>
      <c r="M3657" s="0" t="str">
        <f aca="false">IF(D3657&lt;5,"1) Under 5%",IF(D3657&lt;10,"2) 5-9%",IF(D3657&lt;15,"3) 10-14%",IF(D3657&lt;25,"4) 15-24%","5) 25%+"))))</f>
        <v>2) 5-9%</v>
      </c>
      <c r="N3657" s="0" t="str">
        <f aca="false">IF(F3657&lt;50,"1) Under Rs 50",IF(F3657&lt;100,"2) Rs 50-99",IF(F3657&lt;200,"3) Rs 100-199",IF(F3657&lt;500,"4) Rs 200-499","5) Rs 500+"))))</f>
        <v>2) Rs 50-99</v>
      </c>
      <c r="O3657" s="0" t="n">
        <f aca="false">G3657*E3657/1000</f>
        <v>1.2</v>
      </c>
    </row>
    <row r="3658" customFormat="false" ht="15" hidden="false" customHeight="false" outlineLevel="0" collapsed="false">
      <c r="A3658" s="0" t="s">
        <v>109</v>
      </c>
      <c r="B3658" s="0" t="s">
        <v>1319</v>
      </c>
      <c r="C3658" s="0" t="n">
        <v>330</v>
      </c>
      <c r="D3658" s="0" t="n">
        <v>2</v>
      </c>
      <c r="E3658" s="0" t="n">
        <v>6</v>
      </c>
      <c r="F3658" s="0" t="n">
        <v>323</v>
      </c>
      <c r="G3658" s="0" t="n">
        <v>30</v>
      </c>
      <c r="H3658" s="0" t="s">
        <v>145</v>
      </c>
      <c r="I3658" s="0" t="n">
        <v>30</v>
      </c>
      <c r="J3658" s="0" t="n">
        <f aca="false">F3658*E3658</f>
        <v>1938</v>
      </c>
      <c r="K3658" s="0" t="str">
        <f aca="false">IF(G3658&lt;1000,"1-Low",IF(G3658&lt;5000,"2-Medium","3-Bulk"))</f>
        <v>1-Low</v>
      </c>
      <c r="L3658" s="0" t="str">
        <f aca="false">IF(H3658="TRUE","Out of stock","In stock")</f>
        <v>In stock</v>
      </c>
      <c r="M3658" s="0" t="str">
        <f aca="false">IF(D3658&lt;5,"1) Under 5%",IF(D3658&lt;10,"2) 5-9%",IF(D3658&lt;15,"3) 10-14%",IF(D3658&lt;25,"4) 15-24%","5) 25%+"))))</f>
        <v>1) Under 5%</v>
      </c>
      <c r="N3658" s="0" t="str">
        <f aca="false">IF(F3658&lt;50,"1) Under Rs 50",IF(F3658&lt;100,"2) Rs 50-99",IF(F3658&lt;200,"3) Rs 100-199",IF(F3658&lt;500,"4) Rs 200-499","5) Rs 500+"))))</f>
        <v>4) Rs 200-499</v>
      </c>
      <c r="O3658" s="0" t="n">
        <f aca="false">G3658*E3658/1000</f>
        <v>0.18</v>
      </c>
    </row>
    <row r="3659" customFormat="false" ht="15" hidden="false" customHeight="false" outlineLevel="0" collapsed="false">
      <c r="A3659" s="0" t="s">
        <v>109</v>
      </c>
      <c r="B3659" s="0" t="s">
        <v>1434</v>
      </c>
      <c r="C3659" s="0" t="n">
        <v>30</v>
      </c>
      <c r="D3659" s="0" t="n">
        <v>0</v>
      </c>
      <c r="E3659" s="0" t="n">
        <v>2</v>
      </c>
      <c r="F3659" s="0" t="n">
        <v>30</v>
      </c>
      <c r="G3659" s="0" t="n">
        <v>406</v>
      </c>
      <c r="H3659" s="0" t="s">
        <v>145</v>
      </c>
      <c r="I3659" s="0" t="n">
        <v>7</v>
      </c>
      <c r="J3659" s="0" t="n">
        <f aca="false">F3659*E3659</f>
        <v>60</v>
      </c>
      <c r="K3659" s="0" t="str">
        <f aca="false">IF(G3659&lt;1000,"1-Low",IF(G3659&lt;5000,"2-Medium","3-Bulk"))</f>
        <v>1-Low</v>
      </c>
      <c r="L3659" s="0" t="str">
        <f aca="false">IF(H3659="TRUE","Out of stock","In stock")</f>
        <v>In stock</v>
      </c>
      <c r="M3659" s="0" t="str">
        <f aca="false">IF(D3659&lt;5,"1) Under 5%",IF(D3659&lt;10,"2) 5-9%",IF(D3659&lt;15,"3) 10-14%",IF(D3659&lt;25,"4) 15-24%","5) 25%+"))))</f>
        <v>1) Under 5%</v>
      </c>
      <c r="N3659" s="0" t="str">
        <f aca="false">IF(F3659&lt;50,"1) Under Rs 50",IF(F3659&lt;100,"2) Rs 50-99",IF(F3659&lt;200,"3) Rs 100-199",IF(F3659&lt;500,"4) Rs 200-499","5) Rs 500+"))))</f>
        <v>1) Under Rs 50</v>
      </c>
      <c r="O3659" s="0" t="n">
        <f aca="false">G3659*E3659/1000</f>
        <v>0.812</v>
      </c>
    </row>
    <row r="3660" customFormat="false" ht="15" hidden="false" customHeight="false" outlineLevel="0" collapsed="false">
      <c r="A3660" s="0" t="s">
        <v>109</v>
      </c>
      <c r="B3660" s="0" t="s">
        <v>1763</v>
      </c>
      <c r="C3660" s="0" t="n">
        <v>165</v>
      </c>
      <c r="D3660" s="0" t="n">
        <v>10</v>
      </c>
      <c r="E3660" s="0" t="n">
        <v>6</v>
      </c>
      <c r="F3660" s="0" t="n">
        <v>148</v>
      </c>
      <c r="G3660" s="0" t="n">
        <v>170</v>
      </c>
      <c r="H3660" s="0" t="s">
        <v>145</v>
      </c>
      <c r="I3660" s="0" t="n">
        <v>170</v>
      </c>
      <c r="J3660" s="0" t="n">
        <f aca="false">F3660*E3660</f>
        <v>888</v>
      </c>
      <c r="K3660" s="0" t="str">
        <f aca="false">IF(G3660&lt;1000,"1-Low",IF(G3660&lt;5000,"2-Medium","3-Bulk"))</f>
        <v>1-Low</v>
      </c>
      <c r="L3660" s="0" t="str">
        <f aca="false">IF(H3660="TRUE","Out of stock","In stock")</f>
        <v>In stock</v>
      </c>
      <c r="M3660" s="0" t="str">
        <f aca="false">IF(D3660&lt;5,"1) Under 5%",IF(D3660&lt;10,"2) 5-9%",IF(D3660&lt;15,"3) 10-14%",IF(D3660&lt;25,"4) 15-24%","5) 25%+"))))</f>
        <v>3) 10-14%</v>
      </c>
      <c r="N3660" s="0" t="str">
        <f aca="false">IF(F3660&lt;50,"1) Under Rs 50",IF(F3660&lt;100,"2) Rs 50-99",IF(F3660&lt;200,"3) Rs 100-199",IF(F3660&lt;500,"4) Rs 200-499","5) Rs 500+"))))</f>
        <v>3) Rs 100-199</v>
      </c>
      <c r="O3660" s="0" t="n">
        <f aca="false">G3660*E3660/1000</f>
        <v>1.02</v>
      </c>
    </row>
    <row r="3661" customFormat="false" ht="15" hidden="false" customHeight="false" outlineLevel="0" collapsed="false">
      <c r="A3661" s="0" t="s">
        <v>109</v>
      </c>
      <c r="B3661" s="0" t="s">
        <v>1764</v>
      </c>
      <c r="C3661" s="0" t="n">
        <v>228</v>
      </c>
      <c r="D3661" s="0" t="n">
        <v>10</v>
      </c>
      <c r="E3661" s="0" t="n">
        <v>6</v>
      </c>
      <c r="F3661" s="0" t="n">
        <v>205</v>
      </c>
      <c r="G3661" s="0" t="n">
        <v>580</v>
      </c>
      <c r="H3661" s="0" t="s">
        <v>145</v>
      </c>
      <c r="I3661" s="0" t="n">
        <v>10</v>
      </c>
      <c r="J3661" s="0" t="n">
        <f aca="false">F3661*E3661</f>
        <v>1230</v>
      </c>
      <c r="K3661" s="0" t="str">
        <f aca="false">IF(G3661&lt;1000,"1-Low",IF(G3661&lt;5000,"2-Medium","3-Bulk"))</f>
        <v>1-Low</v>
      </c>
      <c r="L3661" s="0" t="str">
        <f aca="false">IF(H3661="TRUE","Out of stock","In stock")</f>
        <v>In stock</v>
      </c>
      <c r="M3661" s="0" t="str">
        <f aca="false">IF(D3661&lt;5,"1) Under 5%",IF(D3661&lt;10,"2) 5-9%",IF(D3661&lt;15,"3) 10-14%",IF(D3661&lt;25,"4) 15-24%","5) 25%+"))))</f>
        <v>3) 10-14%</v>
      </c>
      <c r="N3661" s="0" t="str">
        <f aca="false">IF(F3661&lt;50,"1) Under Rs 50",IF(F3661&lt;100,"2) Rs 50-99",IF(F3661&lt;200,"3) Rs 100-199",IF(F3661&lt;500,"4) Rs 200-499","5) Rs 500+"))))</f>
        <v>4) Rs 200-499</v>
      </c>
      <c r="O3661" s="0" t="n">
        <f aca="false">G3661*E3661/1000</f>
        <v>3.48</v>
      </c>
    </row>
    <row r="3662" customFormat="false" ht="15" hidden="false" customHeight="false" outlineLevel="0" collapsed="false">
      <c r="A3662" s="0" t="s">
        <v>109</v>
      </c>
      <c r="B3662" s="0" t="s">
        <v>1300</v>
      </c>
      <c r="C3662" s="0" t="n">
        <v>30</v>
      </c>
      <c r="D3662" s="0" t="n">
        <v>3</v>
      </c>
      <c r="E3662" s="0" t="n">
        <v>6</v>
      </c>
      <c r="F3662" s="0" t="n">
        <v>29</v>
      </c>
      <c r="G3662" s="0" t="n">
        <v>406</v>
      </c>
      <c r="H3662" s="0" t="s">
        <v>145</v>
      </c>
      <c r="I3662" s="0" t="n">
        <v>7</v>
      </c>
      <c r="J3662" s="0" t="n">
        <f aca="false">F3662*E3662</f>
        <v>174</v>
      </c>
      <c r="K3662" s="0" t="str">
        <f aca="false">IF(G3662&lt;1000,"1-Low",IF(G3662&lt;5000,"2-Medium","3-Bulk"))</f>
        <v>1-Low</v>
      </c>
      <c r="L3662" s="0" t="str">
        <f aca="false">IF(H3662="TRUE","Out of stock","In stock")</f>
        <v>In stock</v>
      </c>
      <c r="M3662" s="0" t="str">
        <f aca="false">IF(D3662&lt;5,"1) Under 5%",IF(D3662&lt;10,"2) 5-9%",IF(D3662&lt;15,"3) 10-14%",IF(D3662&lt;25,"4) 15-24%","5) 25%+"))))</f>
        <v>1) Under 5%</v>
      </c>
      <c r="N3662" s="0" t="str">
        <f aca="false">IF(F3662&lt;50,"1) Under Rs 50",IF(F3662&lt;100,"2) Rs 50-99",IF(F3662&lt;200,"3) Rs 100-199",IF(F3662&lt;500,"4) Rs 200-499","5) Rs 500+"))))</f>
        <v>1) Under Rs 50</v>
      </c>
      <c r="O3662" s="0" t="n">
        <f aca="false">G3662*E3662/1000</f>
        <v>2.436</v>
      </c>
    </row>
    <row r="3663" customFormat="false" ht="15" hidden="false" customHeight="false" outlineLevel="0" collapsed="false">
      <c r="A3663" s="0" t="s">
        <v>109</v>
      </c>
      <c r="B3663" s="0" t="s">
        <v>1765</v>
      </c>
      <c r="C3663" s="0" t="n">
        <v>130</v>
      </c>
      <c r="D3663" s="0" t="n">
        <v>10</v>
      </c>
      <c r="E3663" s="0" t="n">
        <v>6</v>
      </c>
      <c r="F3663" s="0" t="n">
        <v>117</v>
      </c>
      <c r="G3663" s="0" t="n">
        <v>100</v>
      </c>
      <c r="H3663" s="0" t="s">
        <v>145</v>
      </c>
      <c r="I3663" s="0" t="n">
        <v>100</v>
      </c>
      <c r="J3663" s="0" t="n">
        <f aca="false">F3663*E3663</f>
        <v>702</v>
      </c>
      <c r="K3663" s="0" t="str">
        <f aca="false">IF(G3663&lt;1000,"1-Low",IF(G3663&lt;5000,"2-Medium","3-Bulk"))</f>
        <v>1-Low</v>
      </c>
      <c r="L3663" s="0" t="str">
        <f aca="false">IF(H3663="TRUE","Out of stock","In stock")</f>
        <v>In stock</v>
      </c>
      <c r="M3663" s="0" t="str">
        <f aca="false">IF(D3663&lt;5,"1) Under 5%",IF(D3663&lt;10,"2) 5-9%",IF(D3663&lt;15,"3) 10-14%",IF(D3663&lt;25,"4) 15-24%","5) 25%+"))))</f>
        <v>3) 10-14%</v>
      </c>
      <c r="N3663" s="0" t="str">
        <f aca="false">IF(F3663&lt;50,"1) Under Rs 50",IF(F3663&lt;100,"2) Rs 50-99",IF(F3663&lt;200,"3) Rs 100-199",IF(F3663&lt;500,"4) Rs 200-499","5) Rs 500+"))))</f>
        <v>3) Rs 100-199</v>
      </c>
      <c r="O3663" s="0" t="n">
        <f aca="false">G3663*E3663/1000</f>
        <v>0.6</v>
      </c>
    </row>
    <row r="3664" customFormat="false" ht="15" hidden="false" customHeight="false" outlineLevel="0" collapsed="false">
      <c r="A3664" s="0" t="s">
        <v>109</v>
      </c>
      <c r="B3664" s="0" t="s">
        <v>1766</v>
      </c>
      <c r="C3664" s="0" t="n">
        <v>149</v>
      </c>
      <c r="D3664" s="0" t="n">
        <v>5</v>
      </c>
      <c r="E3664" s="0" t="n">
        <v>5</v>
      </c>
      <c r="F3664" s="0" t="n">
        <v>141</v>
      </c>
      <c r="G3664" s="0" t="n">
        <v>35</v>
      </c>
      <c r="H3664" s="0" t="s">
        <v>145</v>
      </c>
      <c r="I3664" s="0" t="n">
        <v>35</v>
      </c>
      <c r="J3664" s="0" t="n">
        <f aca="false">F3664*E3664</f>
        <v>705</v>
      </c>
      <c r="K3664" s="0" t="str">
        <f aca="false">IF(G3664&lt;1000,"1-Low",IF(G3664&lt;5000,"2-Medium","3-Bulk"))</f>
        <v>1-Low</v>
      </c>
      <c r="L3664" s="0" t="str">
        <f aca="false">IF(H3664="TRUE","Out of stock","In stock")</f>
        <v>In stock</v>
      </c>
      <c r="M3664" s="0" t="str">
        <f aca="false">IF(D3664&lt;5,"1) Under 5%",IF(D3664&lt;10,"2) 5-9%",IF(D3664&lt;15,"3) 10-14%",IF(D3664&lt;25,"4) 15-24%","5) 25%+"))))</f>
        <v>2) 5-9%</v>
      </c>
      <c r="N3664" s="0" t="str">
        <f aca="false">IF(F3664&lt;50,"1) Under Rs 50",IF(F3664&lt;100,"2) Rs 50-99",IF(F3664&lt;200,"3) Rs 100-199",IF(F3664&lt;500,"4) Rs 200-499","5) Rs 500+"))))</f>
        <v>3) Rs 100-199</v>
      </c>
      <c r="O3664" s="0" t="n">
        <f aca="false">G3664*E3664/1000</f>
        <v>0.175</v>
      </c>
    </row>
    <row r="3665" customFormat="false" ht="15" hidden="false" customHeight="false" outlineLevel="0" collapsed="false">
      <c r="A3665" s="0" t="s">
        <v>109</v>
      </c>
      <c r="B3665" s="0" t="s">
        <v>1767</v>
      </c>
      <c r="C3665" s="0" t="n">
        <v>189</v>
      </c>
      <c r="D3665" s="0" t="n">
        <v>10</v>
      </c>
      <c r="E3665" s="0" t="n">
        <v>6</v>
      </c>
      <c r="F3665" s="0" t="n">
        <v>170</v>
      </c>
      <c r="G3665" s="0" t="n">
        <v>72</v>
      </c>
      <c r="H3665" s="0" t="s">
        <v>145</v>
      </c>
      <c r="I3665" s="0" t="n">
        <v>72</v>
      </c>
      <c r="J3665" s="0" t="n">
        <f aca="false">F3665*E3665</f>
        <v>1020</v>
      </c>
      <c r="K3665" s="0" t="str">
        <f aca="false">IF(G3665&lt;1000,"1-Low",IF(G3665&lt;5000,"2-Medium","3-Bulk"))</f>
        <v>1-Low</v>
      </c>
      <c r="L3665" s="0" t="str">
        <f aca="false">IF(H3665="TRUE","Out of stock","In stock")</f>
        <v>In stock</v>
      </c>
      <c r="M3665" s="0" t="str">
        <f aca="false">IF(D3665&lt;5,"1) Under 5%",IF(D3665&lt;10,"2) 5-9%",IF(D3665&lt;15,"3) 10-14%",IF(D3665&lt;25,"4) 15-24%","5) 25%+"))))</f>
        <v>3) 10-14%</v>
      </c>
      <c r="N3665" s="0" t="str">
        <f aca="false">IF(F3665&lt;50,"1) Under Rs 50",IF(F3665&lt;100,"2) Rs 50-99",IF(F3665&lt;200,"3) Rs 100-199",IF(F3665&lt;500,"4) Rs 200-499","5) Rs 500+"))))</f>
        <v>3) Rs 100-199</v>
      </c>
      <c r="O3665" s="0" t="n">
        <f aca="false">G3665*E3665/1000</f>
        <v>0.432</v>
      </c>
    </row>
    <row r="3666" customFormat="false" ht="15" hidden="false" customHeight="false" outlineLevel="0" collapsed="false">
      <c r="A3666" s="0" t="s">
        <v>109</v>
      </c>
      <c r="B3666" s="0" t="s">
        <v>1308</v>
      </c>
      <c r="C3666" s="0" t="n">
        <v>135</v>
      </c>
      <c r="D3666" s="0" t="n">
        <v>5</v>
      </c>
      <c r="E3666" s="0" t="n">
        <v>5</v>
      </c>
      <c r="F3666" s="0" t="n">
        <v>128</v>
      </c>
      <c r="G3666" s="0" t="n">
        <v>50</v>
      </c>
      <c r="H3666" s="0" t="s">
        <v>145</v>
      </c>
      <c r="I3666" s="0" t="n">
        <v>50</v>
      </c>
      <c r="J3666" s="0" t="n">
        <f aca="false">F3666*E3666</f>
        <v>640</v>
      </c>
      <c r="K3666" s="0" t="str">
        <f aca="false">IF(G3666&lt;1000,"1-Low",IF(G3666&lt;5000,"2-Medium","3-Bulk"))</f>
        <v>1-Low</v>
      </c>
      <c r="L3666" s="0" t="str">
        <f aca="false">IF(H3666="TRUE","Out of stock","In stock")</f>
        <v>In stock</v>
      </c>
      <c r="M3666" s="0" t="str">
        <f aca="false">IF(D3666&lt;5,"1) Under 5%",IF(D3666&lt;10,"2) 5-9%",IF(D3666&lt;15,"3) 10-14%",IF(D3666&lt;25,"4) 15-24%","5) 25%+"))))</f>
        <v>2) 5-9%</v>
      </c>
      <c r="N3666" s="0" t="str">
        <f aca="false">IF(F3666&lt;50,"1) Under Rs 50",IF(F3666&lt;100,"2) Rs 50-99",IF(F3666&lt;200,"3) Rs 100-199",IF(F3666&lt;500,"4) Rs 200-499","5) Rs 500+"))))</f>
        <v>3) Rs 100-199</v>
      </c>
      <c r="O3666" s="0" t="n">
        <f aca="false">G3666*E3666/1000</f>
        <v>0.25</v>
      </c>
    </row>
    <row r="3667" customFormat="false" ht="15" hidden="false" customHeight="false" outlineLevel="0" collapsed="false">
      <c r="A3667" s="0" t="s">
        <v>109</v>
      </c>
      <c r="B3667" s="0" t="s">
        <v>1364</v>
      </c>
      <c r="C3667" s="0" t="n">
        <v>315</v>
      </c>
      <c r="D3667" s="0" t="n">
        <v>0</v>
      </c>
      <c r="E3667" s="0" t="n">
        <v>4</v>
      </c>
      <c r="F3667" s="0" t="n">
        <v>315</v>
      </c>
      <c r="G3667" s="0" t="n">
        <v>30</v>
      </c>
      <c r="H3667" s="0" t="s">
        <v>145</v>
      </c>
      <c r="I3667" s="0" t="n">
        <v>30</v>
      </c>
      <c r="J3667" s="0" t="n">
        <f aca="false">F3667*E3667</f>
        <v>1260</v>
      </c>
      <c r="K3667" s="0" t="str">
        <f aca="false">IF(G3667&lt;1000,"1-Low",IF(G3667&lt;5000,"2-Medium","3-Bulk"))</f>
        <v>1-Low</v>
      </c>
      <c r="L3667" s="0" t="str">
        <f aca="false">IF(H3667="TRUE","Out of stock","In stock")</f>
        <v>In stock</v>
      </c>
      <c r="M3667" s="0" t="str">
        <f aca="false">IF(D3667&lt;5,"1) Under 5%",IF(D3667&lt;10,"2) 5-9%",IF(D3667&lt;15,"3) 10-14%",IF(D3667&lt;25,"4) 15-24%","5) 25%+"))))</f>
        <v>1) Under 5%</v>
      </c>
      <c r="N3667" s="0" t="str">
        <f aca="false">IF(F3667&lt;50,"1) Under Rs 50",IF(F3667&lt;100,"2) Rs 50-99",IF(F3667&lt;200,"3) Rs 100-199",IF(F3667&lt;500,"4) Rs 200-499","5) Rs 500+"))))</f>
        <v>4) Rs 200-499</v>
      </c>
      <c r="O3667" s="0" t="n">
        <f aca="false">G3667*E3667/1000</f>
        <v>0.12</v>
      </c>
    </row>
    <row r="3668" customFormat="false" ht="15" hidden="false" customHeight="false" outlineLevel="0" collapsed="false">
      <c r="A3668" s="0" t="s">
        <v>109</v>
      </c>
      <c r="B3668" s="0" t="s">
        <v>1324</v>
      </c>
      <c r="C3668" s="0" t="n">
        <v>90</v>
      </c>
      <c r="D3668" s="0" t="n">
        <v>0</v>
      </c>
      <c r="E3668" s="0" t="n">
        <v>6</v>
      </c>
      <c r="F3668" s="0" t="n">
        <v>90</v>
      </c>
      <c r="G3668" s="0" t="n">
        <v>1160</v>
      </c>
      <c r="H3668" s="0" t="s">
        <v>145</v>
      </c>
      <c r="I3668" s="0" t="n">
        <v>20</v>
      </c>
      <c r="J3668" s="0" t="n">
        <f aca="false">F3668*E3668</f>
        <v>540</v>
      </c>
      <c r="K3668" s="0" t="str">
        <f aca="false">IF(G3668&lt;1000,"1-Low",IF(G3668&lt;5000,"2-Medium","3-Bulk"))</f>
        <v>2-Medium</v>
      </c>
      <c r="L3668" s="0" t="str">
        <f aca="false">IF(H3668="TRUE","Out of stock","In stock")</f>
        <v>In stock</v>
      </c>
      <c r="M3668" s="0" t="str">
        <f aca="false">IF(D3668&lt;5,"1) Under 5%",IF(D3668&lt;10,"2) 5-9%",IF(D3668&lt;15,"3) 10-14%",IF(D3668&lt;25,"4) 15-24%","5) 25%+"))))</f>
        <v>1) Under 5%</v>
      </c>
      <c r="N3668" s="0" t="str">
        <f aca="false">IF(F3668&lt;50,"1) Under Rs 50",IF(F3668&lt;100,"2) Rs 50-99",IF(F3668&lt;200,"3) Rs 100-199",IF(F3668&lt;500,"4) Rs 200-499","5) Rs 500+"))))</f>
        <v>2) Rs 50-99</v>
      </c>
      <c r="O3668" s="0" t="n">
        <f aca="false">G3668*E3668/1000</f>
        <v>6.96</v>
      </c>
    </row>
    <row r="3669" customFormat="false" ht="15" hidden="false" customHeight="false" outlineLevel="0" collapsed="false">
      <c r="A3669" s="0" t="s">
        <v>109</v>
      </c>
      <c r="B3669" s="0" t="s">
        <v>1323</v>
      </c>
      <c r="C3669" s="0" t="n">
        <v>449</v>
      </c>
      <c r="D3669" s="0" t="n">
        <v>7</v>
      </c>
      <c r="E3669" s="0" t="n">
        <v>6</v>
      </c>
      <c r="F3669" s="0" t="n">
        <v>415</v>
      </c>
      <c r="G3669" s="0" t="n">
        <v>44</v>
      </c>
      <c r="H3669" s="0" t="s">
        <v>145</v>
      </c>
      <c r="I3669" s="0" t="n">
        <v>44</v>
      </c>
      <c r="J3669" s="0" t="n">
        <f aca="false">F3669*E3669</f>
        <v>2490</v>
      </c>
      <c r="K3669" s="0" t="str">
        <f aca="false">IF(G3669&lt;1000,"1-Low",IF(G3669&lt;5000,"2-Medium","3-Bulk"))</f>
        <v>1-Low</v>
      </c>
      <c r="L3669" s="0" t="str">
        <f aca="false">IF(H3669="TRUE","Out of stock","In stock")</f>
        <v>In stock</v>
      </c>
      <c r="M3669" s="0" t="str">
        <f aca="false">IF(D3669&lt;5,"1) Under 5%",IF(D3669&lt;10,"2) 5-9%",IF(D3669&lt;15,"3) 10-14%",IF(D3669&lt;25,"4) 15-24%","5) 25%+"))))</f>
        <v>2) 5-9%</v>
      </c>
      <c r="N3669" s="0" t="str">
        <f aca="false">IF(F3669&lt;50,"1) Under Rs 50",IF(F3669&lt;100,"2) Rs 50-99",IF(F3669&lt;200,"3) Rs 100-199",IF(F3669&lt;500,"4) Rs 200-499","5) Rs 500+"))))</f>
        <v>4) Rs 200-499</v>
      </c>
      <c r="O3669" s="0" t="n">
        <f aca="false">G3669*E3669/1000</f>
        <v>0.264</v>
      </c>
    </row>
    <row r="3670" customFormat="false" ht="15" hidden="false" customHeight="false" outlineLevel="0" collapsed="false">
      <c r="A3670" s="0" t="s">
        <v>109</v>
      </c>
      <c r="B3670" s="0" t="s">
        <v>1768</v>
      </c>
      <c r="C3670" s="0" t="n">
        <v>245</v>
      </c>
      <c r="D3670" s="0" t="n">
        <v>10</v>
      </c>
      <c r="E3670" s="0" t="n">
        <v>2</v>
      </c>
      <c r="F3670" s="0" t="n">
        <v>220</v>
      </c>
      <c r="G3670" s="0" t="n">
        <v>580</v>
      </c>
      <c r="H3670" s="0" t="s">
        <v>145</v>
      </c>
      <c r="I3670" s="0" t="n">
        <v>10</v>
      </c>
      <c r="J3670" s="0" t="n">
        <f aca="false">F3670*E3670</f>
        <v>440</v>
      </c>
      <c r="K3670" s="0" t="str">
        <f aca="false">IF(G3670&lt;1000,"1-Low",IF(G3670&lt;5000,"2-Medium","3-Bulk"))</f>
        <v>1-Low</v>
      </c>
      <c r="L3670" s="0" t="str">
        <f aca="false">IF(H3670="TRUE","Out of stock","In stock")</f>
        <v>In stock</v>
      </c>
      <c r="M3670" s="0" t="str">
        <f aca="false">IF(D3670&lt;5,"1) Under 5%",IF(D3670&lt;10,"2) 5-9%",IF(D3670&lt;15,"3) 10-14%",IF(D3670&lt;25,"4) 15-24%","5) 25%+"))))</f>
        <v>3) 10-14%</v>
      </c>
      <c r="N3670" s="0" t="str">
        <f aca="false">IF(F3670&lt;50,"1) Under Rs 50",IF(F3670&lt;100,"2) Rs 50-99",IF(F3670&lt;200,"3) Rs 100-199",IF(F3670&lt;500,"4) Rs 200-499","5) Rs 500+"))))</f>
        <v>4) Rs 200-499</v>
      </c>
      <c r="O3670" s="0" t="n">
        <f aca="false">G3670*E3670/1000</f>
        <v>1.16</v>
      </c>
    </row>
    <row r="3671" customFormat="false" ht="15" hidden="false" customHeight="false" outlineLevel="0" collapsed="false">
      <c r="A3671" s="0" t="s">
        <v>109</v>
      </c>
      <c r="B3671" s="0" t="s">
        <v>1769</v>
      </c>
      <c r="C3671" s="0" t="n">
        <v>130</v>
      </c>
      <c r="D3671" s="0" t="n">
        <v>0</v>
      </c>
      <c r="E3671" s="0" t="n">
        <v>6</v>
      </c>
      <c r="F3671" s="0" t="n">
        <v>130</v>
      </c>
      <c r="G3671" s="0" t="n">
        <v>100</v>
      </c>
      <c r="H3671" s="0" t="s">
        <v>145</v>
      </c>
      <c r="I3671" s="0" t="n">
        <v>100</v>
      </c>
      <c r="J3671" s="0" t="n">
        <f aca="false">F3671*E3671</f>
        <v>780</v>
      </c>
      <c r="K3671" s="0" t="str">
        <f aca="false">IF(G3671&lt;1000,"1-Low",IF(G3671&lt;5000,"2-Medium","3-Bulk"))</f>
        <v>1-Low</v>
      </c>
      <c r="L3671" s="0" t="str">
        <f aca="false">IF(H3671="TRUE","Out of stock","In stock")</f>
        <v>In stock</v>
      </c>
      <c r="M3671" s="0" t="str">
        <f aca="false">IF(D3671&lt;5,"1) Under 5%",IF(D3671&lt;10,"2) 5-9%",IF(D3671&lt;15,"3) 10-14%",IF(D3671&lt;25,"4) 15-24%","5) 25%+"))))</f>
        <v>1) Under 5%</v>
      </c>
      <c r="N3671" s="0" t="str">
        <f aca="false">IF(F3671&lt;50,"1) Under Rs 50",IF(F3671&lt;100,"2) Rs 50-99",IF(F3671&lt;200,"3) Rs 100-199",IF(F3671&lt;500,"4) Rs 200-499","5) Rs 500+"))))</f>
        <v>3) Rs 100-199</v>
      </c>
      <c r="O3671" s="0" t="n">
        <f aca="false">G3671*E3671/1000</f>
        <v>0.6</v>
      </c>
    </row>
    <row r="3672" customFormat="false" ht="15" hidden="false" customHeight="false" outlineLevel="0" collapsed="false">
      <c r="A3672" s="0" t="s">
        <v>109</v>
      </c>
      <c r="B3672" s="0" t="s">
        <v>1770</v>
      </c>
      <c r="C3672" s="0" t="n">
        <v>150</v>
      </c>
      <c r="D3672" s="0" t="n">
        <v>10</v>
      </c>
      <c r="E3672" s="0" t="n">
        <v>6</v>
      </c>
      <c r="F3672" s="0" t="n">
        <v>135</v>
      </c>
      <c r="G3672" s="0" t="n">
        <v>580</v>
      </c>
      <c r="H3672" s="0" t="s">
        <v>145</v>
      </c>
      <c r="I3672" s="0" t="n">
        <v>10</v>
      </c>
      <c r="J3672" s="0" t="n">
        <f aca="false">F3672*E3672</f>
        <v>810</v>
      </c>
      <c r="K3672" s="0" t="str">
        <f aca="false">IF(G3672&lt;1000,"1-Low",IF(G3672&lt;5000,"2-Medium","3-Bulk"))</f>
        <v>1-Low</v>
      </c>
      <c r="L3672" s="0" t="str">
        <f aca="false">IF(H3672="TRUE","Out of stock","In stock")</f>
        <v>In stock</v>
      </c>
      <c r="M3672" s="0" t="str">
        <f aca="false">IF(D3672&lt;5,"1) Under 5%",IF(D3672&lt;10,"2) 5-9%",IF(D3672&lt;15,"3) 10-14%",IF(D3672&lt;25,"4) 15-24%","5) 25%+"))))</f>
        <v>3) 10-14%</v>
      </c>
      <c r="N3672" s="0" t="str">
        <f aca="false">IF(F3672&lt;50,"1) Under Rs 50",IF(F3672&lt;100,"2) Rs 50-99",IF(F3672&lt;200,"3) Rs 100-199",IF(F3672&lt;500,"4) Rs 200-499","5) Rs 500+"))))</f>
        <v>3) Rs 100-199</v>
      </c>
      <c r="O3672" s="0" t="n">
        <f aca="false">G3672*E3672/1000</f>
        <v>3.48</v>
      </c>
    </row>
    <row r="3673" customFormat="false" ht="15" hidden="false" customHeight="false" outlineLevel="0" collapsed="false">
      <c r="A3673" s="0" t="s">
        <v>109</v>
      </c>
      <c r="B3673" s="0" t="s">
        <v>1771</v>
      </c>
      <c r="C3673" s="0" t="n">
        <v>45</v>
      </c>
      <c r="D3673" s="0" t="n">
        <v>6</v>
      </c>
      <c r="E3673" s="0" t="n">
        <v>6</v>
      </c>
      <c r="F3673" s="0" t="n">
        <v>42</v>
      </c>
      <c r="G3673" s="0" t="n">
        <v>120</v>
      </c>
      <c r="H3673" s="0" t="s">
        <v>145</v>
      </c>
      <c r="I3673" s="0" t="n">
        <v>120</v>
      </c>
      <c r="J3673" s="0" t="n">
        <f aca="false">F3673*E3673</f>
        <v>252</v>
      </c>
      <c r="K3673" s="0" t="str">
        <f aca="false">IF(G3673&lt;1000,"1-Low",IF(G3673&lt;5000,"2-Medium","3-Bulk"))</f>
        <v>1-Low</v>
      </c>
      <c r="L3673" s="0" t="str">
        <f aca="false">IF(H3673="TRUE","Out of stock","In stock")</f>
        <v>In stock</v>
      </c>
      <c r="M3673" s="0" t="str">
        <f aca="false">IF(D3673&lt;5,"1) Under 5%",IF(D3673&lt;10,"2) 5-9%",IF(D3673&lt;15,"3) 10-14%",IF(D3673&lt;25,"4) 15-24%","5) 25%+"))))</f>
        <v>2) 5-9%</v>
      </c>
      <c r="N3673" s="0" t="str">
        <f aca="false">IF(F3673&lt;50,"1) Under Rs 50",IF(F3673&lt;100,"2) Rs 50-99",IF(F3673&lt;200,"3) Rs 100-199",IF(F3673&lt;500,"4) Rs 200-499","5) Rs 500+"))))</f>
        <v>1) Under Rs 50</v>
      </c>
      <c r="O3673" s="0" t="n">
        <f aca="false">G3673*E3673/1000</f>
        <v>0.72</v>
      </c>
    </row>
    <row r="3674" customFormat="false" ht="15" hidden="false" customHeight="false" outlineLevel="0" collapsed="false">
      <c r="A3674" s="0" t="s">
        <v>109</v>
      </c>
      <c r="B3674" s="0" t="s">
        <v>1772</v>
      </c>
      <c r="C3674" s="0" t="n">
        <v>110</v>
      </c>
      <c r="D3674" s="0" t="n">
        <v>22</v>
      </c>
      <c r="E3674" s="0" t="n">
        <v>3</v>
      </c>
      <c r="F3674" s="0" t="n">
        <v>85</v>
      </c>
      <c r="G3674" s="0" t="n">
        <v>100</v>
      </c>
      <c r="H3674" s="0" t="s">
        <v>145</v>
      </c>
      <c r="I3674" s="0" t="n">
        <v>100</v>
      </c>
      <c r="J3674" s="0" t="n">
        <f aca="false">F3674*E3674</f>
        <v>255</v>
      </c>
      <c r="K3674" s="0" t="str">
        <f aca="false">IF(G3674&lt;1000,"1-Low",IF(G3674&lt;5000,"2-Medium","3-Bulk"))</f>
        <v>1-Low</v>
      </c>
      <c r="L3674" s="0" t="str">
        <f aca="false">IF(H3674="TRUE","Out of stock","In stock")</f>
        <v>In stock</v>
      </c>
      <c r="M3674" s="0" t="str">
        <f aca="false">IF(D3674&lt;5,"1) Under 5%",IF(D3674&lt;10,"2) 5-9%",IF(D3674&lt;15,"3) 10-14%",IF(D3674&lt;25,"4) 15-24%","5) 25%+"))))</f>
        <v>4) 15-24%</v>
      </c>
      <c r="N3674" s="0" t="str">
        <f aca="false">IF(F3674&lt;50,"1) Under Rs 50",IF(F3674&lt;100,"2) Rs 50-99",IF(F3674&lt;200,"3) Rs 100-199",IF(F3674&lt;500,"4) Rs 200-499","5) Rs 500+"))))</f>
        <v>2) Rs 50-99</v>
      </c>
      <c r="O3674" s="0" t="n">
        <f aca="false">G3674*E3674/1000</f>
        <v>0.3</v>
      </c>
    </row>
    <row r="3675" customFormat="false" ht="15" hidden="false" customHeight="false" outlineLevel="0" collapsed="false">
      <c r="A3675" s="0" t="s">
        <v>109</v>
      </c>
      <c r="B3675" s="0" t="s">
        <v>1773</v>
      </c>
      <c r="C3675" s="0" t="n">
        <v>299</v>
      </c>
      <c r="D3675" s="0" t="n">
        <v>15</v>
      </c>
      <c r="E3675" s="0" t="n">
        <v>6</v>
      </c>
      <c r="F3675" s="0" t="n">
        <v>254</v>
      </c>
      <c r="G3675" s="0" t="n">
        <v>1000</v>
      </c>
      <c r="H3675" s="0" t="s">
        <v>145</v>
      </c>
      <c r="I3675" s="0" t="n">
        <v>1</v>
      </c>
      <c r="J3675" s="0" t="n">
        <f aca="false">F3675*E3675</f>
        <v>1524</v>
      </c>
      <c r="K3675" s="0" t="str">
        <f aca="false">IF(G3675&lt;1000,"1-Low",IF(G3675&lt;5000,"2-Medium","3-Bulk"))</f>
        <v>2-Medium</v>
      </c>
      <c r="L3675" s="0" t="str">
        <f aca="false">IF(H3675="TRUE","Out of stock","In stock")</f>
        <v>In stock</v>
      </c>
      <c r="M3675" s="0" t="str">
        <f aca="false">IF(D3675&lt;5,"1) Under 5%",IF(D3675&lt;10,"2) 5-9%",IF(D3675&lt;15,"3) 10-14%",IF(D3675&lt;25,"4) 15-24%","5) 25%+"))))</f>
        <v>4) 15-24%</v>
      </c>
      <c r="N3675" s="0" t="str">
        <f aca="false">IF(F3675&lt;50,"1) Under Rs 50",IF(F3675&lt;100,"2) Rs 50-99",IF(F3675&lt;200,"3) Rs 100-199",IF(F3675&lt;500,"4) Rs 200-499","5) Rs 500+"))))</f>
        <v>4) Rs 200-499</v>
      </c>
      <c r="O3675" s="0" t="n">
        <f aca="false">G3675*E3675/1000</f>
        <v>6</v>
      </c>
    </row>
    <row r="3676" customFormat="false" ht="15" hidden="false" customHeight="false" outlineLevel="0" collapsed="false">
      <c r="A3676" s="0" t="s">
        <v>109</v>
      </c>
      <c r="B3676" s="0" t="s">
        <v>1774</v>
      </c>
      <c r="C3676" s="0" t="n">
        <v>110</v>
      </c>
      <c r="D3676" s="0" t="n">
        <v>10</v>
      </c>
      <c r="E3676" s="0" t="n">
        <v>6</v>
      </c>
      <c r="F3676" s="0" t="n">
        <v>99</v>
      </c>
      <c r="G3676" s="0" t="n">
        <v>100</v>
      </c>
      <c r="H3676" s="0" t="s">
        <v>145</v>
      </c>
      <c r="I3676" s="0" t="n">
        <v>100</v>
      </c>
      <c r="J3676" s="0" t="n">
        <f aca="false">F3676*E3676</f>
        <v>594</v>
      </c>
      <c r="K3676" s="0" t="str">
        <f aca="false">IF(G3676&lt;1000,"1-Low",IF(G3676&lt;5000,"2-Medium","3-Bulk"))</f>
        <v>1-Low</v>
      </c>
      <c r="L3676" s="0" t="str">
        <f aca="false">IF(H3676="TRUE","Out of stock","In stock")</f>
        <v>In stock</v>
      </c>
      <c r="M3676" s="0" t="str">
        <f aca="false">IF(D3676&lt;5,"1) Under 5%",IF(D3676&lt;10,"2) 5-9%",IF(D3676&lt;15,"3) 10-14%",IF(D3676&lt;25,"4) 15-24%","5) 25%+"))))</f>
        <v>3) 10-14%</v>
      </c>
      <c r="N3676" s="0" t="str">
        <f aca="false">IF(F3676&lt;50,"1) Under Rs 50",IF(F3676&lt;100,"2) Rs 50-99",IF(F3676&lt;200,"3) Rs 100-199",IF(F3676&lt;500,"4) Rs 200-499","5) Rs 500+"))))</f>
        <v>2) Rs 50-99</v>
      </c>
      <c r="O3676" s="0" t="n">
        <f aca="false">G3676*E3676/1000</f>
        <v>0.6</v>
      </c>
    </row>
    <row r="3677" customFormat="false" ht="15" hidden="false" customHeight="false" outlineLevel="0" collapsed="false">
      <c r="A3677" s="0" t="s">
        <v>109</v>
      </c>
      <c r="B3677" s="0" t="s">
        <v>1349</v>
      </c>
      <c r="C3677" s="0" t="n">
        <v>340</v>
      </c>
      <c r="D3677" s="0" t="n">
        <v>12</v>
      </c>
      <c r="E3677" s="0" t="n">
        <v>6</v>
      </c>
      <c r="F3677" s="0" t="n">
        <v>298</v>
      </c>
      <c r="G3677" s="0" t="n">
        <v>28</v>
      </c>
      <c r="H3677" s="0" t="s">
        <v>145</v>
      </c>
      <c r="I3677" s="0" t="n">
        <v>28</v>
      </c>
      <c r="J3677" s="0" t="n">
        <f aca="false">F3677*E3677</f>
        <v>1788</v>
      </c>
      <c r="K3677" s="0" t="str">
        <f aca="false">IF(G3677&lt;1000,"1-Low",IF(G3677&lt;5000,"2-Medium","3-Bulk"))</f>
        <v>1-Low</v>
      </c>
      <c r="L3677" s="0" t="str">
        <f aca="false">IF(H3677="TRUE","Out of stock","In stock")</f>
        <v>In stock</v>
      </c>
      <c r="M3677" s="0" t="str">
        <f aca="false">IF(D3677&lt;5,"1) Under 5%",IF(D3677&lt;10,"2) 5-9%",IF(D3677&lt;15,"3) 10-14%",IF(D3677&lt;25,"4) 15-24%","5) 25%+"))))</f>
        <v>3) 10-14%</v>
      </c>
      <c r="N3677" s="0" t="str">
        <f aca="false">IF(F3677&lt;50,"1) Under Rs 50",IF(F3677&lt;100,"2) Rs 50-99",IF(F3677&lt;200,"3) Rs 100-199",IF(F3677&lt;500,"4) Rs 200-499","5) Rs 500+"))))</f>
        <v>4) Rs 200-499</v>
      </c>
      <c r="O3677" s="0" t="n">
        <f aca="false">G3677*E3677/1000</f>
        <v>0.168</v>
      </c>
    </row>
    <row r="3678" customFormat="false" ht="15" hidden="false" customHeight="false" outlineLevel="0" collapsed="false">
      <c r="A3678" s="0" t="s">
        <v>109</v>
      </c>
      <c r="B3678" s="0" t="s">
        <v>1775</v>
      </c>
      <c r="C3678" s="0" t="n">
        <v>290</v>
      </c>
      <c r="D3678" s="0" t="n">
        <v>15</v>
      </c>
      <c r="E3678" s="0" t="n">
        <v>6</v>
      </c>
      <c r="F3678" s="0" t="n">
        <v>246</v>
      </c>
      <c r="G3678" s="0" t="n">
        <v>80</v>
      </c>
      <c r="H3678" s="0" t="s">
        <v>145</v>
      </c>
      <c r="I3678" s="0" t="n">
        <v>80</v>
      </c>
      <c r="J3678" s="0" t="n">
        <f aca="false">F3678*E3678</f>
        <v>1476</v>
      </c>
      <c r="K3678" s="0" t="str">
        <f aca="false">IF(G3678&lt;1000,"1-Low",IF(G3678&lt;5000,"2-Medium","3-Bulk"))</f>
        <v>1-Low</v>
      </c>
      <c r="L3678" s="0" t="str">
        <f aca="false">IF(H3678="TRUE","Out of stock","In stock")</f>
        <v>In stock</v>
      </c>
      <c r="M3678" s="0" t="str">
        <f aca="false">IF(D3678&lt;5,"1) Under 5%",IF(D3678&lt;10,"2) 5-9%",IF(D3678&lt;15,"3) 10-14%",IF(D3678&lt;25,"4) 15-24%","5) 25%+"))))</f>
        <v>4) 15-24%</v>
      </c>
      <c r="N3678" s="0" t="str">
        <f aca="false">IF(F3678&lt;50,"1) Under Rs 50",IF(F3678&lt;100,"2) Rs 50-99",IF(F3678&lt;200,"3) Rs 100-199",IF(F3678&lt;500,"4) Rs 200-499","5) Rs 500+"))))</f>
        <v>4) Rs 200-499</v>
      </c>
      <c r="O3678" s="0" t="n">
        <f aca="false">G3678*E3678/1000</f>
        <v>0.48</v>
      </c>
    </row>
    <row r="3679" customFormat="false" ht="15" hidden="false" customHeight="false" outlineLevel="0" collapsed="false">
      <c r="A3679" s="0" t="s">
        <v>109</v>
      </c>
      <c r="B3679" s="0" t="s">
        <v>1367</v>
      </c>
      <c r="C3679" s="0" t="n">
        <v>175</v>
      </c>
      <c r="D3679" s="0" t="n">
        <v>0</v>
      </c>
      <c r="E3679" s="0" t="n">
        <v>5</v>
      </c>
      <c r="F3679" s="0" t="n">
        <v>175</v>
      </c>
      <c r="G3679" s="0" t="n">
        <v>870</v>
      </c>
      <c r="H3679" s="0" t="s">
        <v>145</v>
      </c>
      <c r="I3679" s="0" t="n">
        <v>15</v>
      </c>
      <c r="J3679" s="0" t="n">
        <f aca="false">F3679*E3679</f>
        <v>875</v>
      </c>
      <c r="K3679" s="0" t="str">
        <f aca="false">IF(G3679&lt;1000,"1-Low",IF(G3679&lt;5000,"2-Medium","3-Bulk"))</f>
        <v>1-Low</v>
      </c>
      <c r="L3679" s="0" t="str">
        <f aca="false">IF(H3679="TRUE","Out of stock","In stock")</f>
        <v>In stock</v>
      </c>
      <c r="M3679" s="0" t="str">
        <f aca="false">IF(D3679&lt;5,"1) Under 5%",IF(D3679&lt;10,"2) 5-9%",IF(D3679&lt;15,"3) 10-14%",IF(D3679&lt;25,"4) 15-24%","5) 25%+"))))</f>
        <v>1) Under 5%</v>
      </c>
      <c r="N3679" s="0" t="str">
        <f aca="false">IF(F3679&lt;50,"1) Under Rs 50",IF(F3679&lt;100,"2) Rs 50-99",IF(F3679&lt;200,"3) Rs 100-199",IF(F3679&lt;500,"4) Rs 200-499","5) Rs 500+"))))</f>
        <v>3) Rs 100-199</v>
      </c>
      <c r="O3679" s="0" t="n">
        <f aca="false">G3679*E3679/1000</f>
        <v>4.35</v>
      </c>
    </row>
    <row r="3680" customFormat="false" ht="15" hidden="false" customHeight="false" outlineLevel="0" collapsed="false">
      <c r="A3680" s="0" t="s">
        <v>109</v>
      </c>
      <c r="B3680" s="0" t="s">
        <v>1776</v>
      </c>
      <c r="C3680" s="0" t="n">
        <v>120</v>
      </c>
      <c r="D3680" s="0" t="n">
        <v>0</v>
      </c>
      <c r="E3680" s="0" t="n">
        <v>6</v>
      </c>
      <c r="F3680" s="0" t="n">
        <v>120</v>
      </c>
      <c r="G3680" s="0" t="n">
        <v>174</v>
      </c>
      <c r="H3680" s="0" t="s">
        <v>145</v>
      </c>
      <c r="I3680" s="0" t="n">
        <v>3</v>
      </c>
      <c r="J3680" s="0" t="n">
        <f aca="false">F3680*E3680</f>
        <v>720</v>
      </c>
      <c r="K3680" s="0" t="str">
        <f aca="false">IF(G3680&lt;1000,"1-Low",IF(G3680&lt;5000,"2-Medium","3-Bulk"))</f>
        <v>1-Low</v>
      </c>
      <c r="L3680" s="0" t="str">
        <f aca="false">IF(H3680="TRUE","Out of stock","In stock")</f>
        <v>In stock</v>
      </c>
      <c r="M3680" s="0" t="str">
        <f aca="false">IF(D3680&lt;5,"1) Under 5%",IF(D3680&lt;10,"2) 5-9%",IF(D3680&lt;15,"3) 10-14%",IF(D3680&lt;25,"4) 15-24%","5) 25%+"))))</f>
        <v>1) Under 5%</v>
      </c>
      <c r="N3680" s="0" t="str">
        <f aca="false">IF(F3680&lt;50,"1) Under Rs 50",IF(F3680&lt;100,"2) Rs 50-99",IF(F3680&lt;200,"3) Rs 100-199",IF(F3680&lt;500,"4) Rs 200-499","5) Rs 500+"))))</f>
        <v>3) Rs 100-199</v>
      </c>
      <c r="O3680" s="0" t="n">
        <f aca="false">G3680*E3680/1000</f>
        <v>1.044</v>
      </c>
    </row>
    <row r="3681" customFormat="false" ht="15" hidden="false" customHeight="false" outlineLevel="0" collapsed="false">
      <c r="A3681" s="0" t="s">
        <v>109</v>
      </c>
      <c r="B3681" s="0" t="s">
        <v>1777</v>
      </c>
      <c r="C3681" s="0" t="n">
        <v>228</v>
      </c>
      <c r="D3681" s="0" t="n">
        <v>10</v>
      </c>
      <c r="E3681" s="0" t="n">
        <v>6</v>
      </c>
      <c r="F3681" s="0" t="n">
        <v>205</v>
      </c>
      <c r="G3681" s="0" t="n">
        <v>580</v>
      </c>
      <c r="H3681" s="0" t="s">
        <v>145</v>
      </c>
      <c r="I3681" s="0" t="n">
        <v>10</v>
      </c>
      <c r="J3681" s="0" t="n">
        <f aca="false">F3681*E3681</f>
        <v>1230</v>
      </c>
      <c r="K3681" s="0" t="str">
        <f aca="false">IF(G3681&lt;1000,"1-Low",IF(G3681&lt;5000,"2-Medium","3-Bulk"))</f>
        <v>1-Low</v>
      </c>
      <c r="L3681" s="0" t="str">
        <f aca="false">IF(H3681="TRUE","Out of stock","In stock")</f>
        <v>In stock</v>
      </c>
      <c r="M3681" s="0" t="str">
        <f aca="false">IF(D3681&lt;5,"1) Under 5%",IF(D3681&lt;10,"2) 5-9%",IF(D3681&lt;15,"3) 10-14%",IF(D3681&lt;25,"4) 15-24%","5) 25%+"))))</f>
        <v>3) 10-14%</v>
      </c>
      <c r="N3681" s="0" t="str">
        <f aca="false">IF(F3681&lt;50,"1) Under Rs 50",IF(F3681&lt;100,"2) Rs 50-99",IF(F3681&lt;200,"3) Rs 100-199",IF(F3681&lt;500,"4) Rs 200-499","5) Rs 500+"))))</f>
        <v>4) Rs 200-499</v>
      </c>
      <c r="O3681" s="0" t="n">
        <f aca="false">G3681*E3681/1000</f>
        <v>3.48</v>
      </c>
    </row>
    <row r="3682" customFormat="false" ht="15" hidden="false" customHeight="false" outlineLevel="0" collapsed="false">
      <c r="A3682" s="0" t="s">
        <v>109</v>
      </c>
      <c r="B3682" s="0" t="s">
        <v>1778</v>
      </c>
      <c r="C3682" s="0" t="n">
        <v>45</v>
      </c>
      <c r="D3682" s="0" t="n">
        <v>8</v>
      </c>
      <c r="E3682" s="0" t="n">
        <v>6</v>
      </c>
      <c r="F3682" s="0" t="n">
        <v>41</v>
      </c>
      <c r="G3682" s="0" t="n">
        <v>8</v>
      </c>
      <c r="H3682" s="0" t="s">
        <v>145</v>
      </c>
      <c r="I3682" s="0" t="n">
        <v>8</v>
      </c>
      <c r="J3682" s="0" t="n">
        <f aca="false">F3682*E3682</f>
        <v>246</v>
      </c>
      <c r="K3682" s="0" t="str">
        <f aca="false">IF(G3682&lt;1000,"1-Low",IF(G3682&lt;5000,"2-Medium","3-Bulk"))</f>
        <v>1-Low</v>
      </c>
      <c r="L3682" s="0" t="str">
        <f aca="false">IF(H3682="TRUE","Out of stock","In stock")</f>
        <v>In stock</v>
      </c>
      <c r="M3682" s="0" t="str">
        <f aca="false">IF(D3682&lt;5,"1) Under 5%",IF(D3682&lt;10,"2) 5-9%",IF(D3682&lt;15,"3) 10-14%",IF(D3682&lt;25,"4) 15-24%","5) 25%+"))))</f>
        <v>2) 5-9%</v>
      </c>
      <c r="N3682" s="0" t="str">
        <f aca="false">IF(F3682&lt;50,"1) Under Rs 50",IF(F3682&lt;100,"2) Rs 50-99",IF(F3682&lt;200,"3) Rs 100-199",IF(F3682&lt;500,"4) Rs 200-499","5) Rs 500+"))))</f>
        <v>1) Under Rs 50</v>
      </c>
      <c r="O3682" s="0" t="n">
        <f aca="false">G3682*E3682/1000</f>
        <v>0.048</v>
      </c>
    </row>
    <row r="3683" customFormat="false" ht="15" hidden="false" customHeight="false" outlineLevel="0" collapsed="false">
      <c r="A3683" s="0" t="s">
        <v>109</v>
      </c>
      <c r="B3683" s="0" t="s">
        <v>1779</v>
      </c>
      <c r="C3683" s="0" t="n">
        <v>130</v>
      </c>
      <c r="D3683" s="0" t="n">
        <v>5</v>
      </c>
      <c r="E3683" s="0" t="n">
        <v>1</v>
      </c>
      <c r="F3683" s="0" t="n">
        <v>123</v>
      </c>
      <c r="G3683" s="0" t="n">
        <v>130</v>
      </c>
      <c r="H3683" s="0" t="s">
        <v>145</v>
      </c>
      <c r="I3683" s="0" t="n">
        <v>130</v>
      </c>
      <c r="J3683" s="0" t="n">
        <f aca="false">F3683*E3683</f>
        <v>123</v>
      </c>
      <c r="K3683" s="0" t="str">
        <f aca="false">IF(G3683&lt;1000,"1-Low",IF(G3683&lt;5000,"2-Medium","3-Bulk"))</f>
        <v>1-Low</v>
      </c>
      <c r="L3683" s="0" t="str">
        <f aca="false">IF(H3683="TRUE","Out of stock","In stock")</f>
        <v>In stock</v>
      </c>
      <c r="M3683" s="0" t="str">
        <f aca="false">IF(D3683&lt;5,"1) Under 5%",IF(D3683&lt;10,"2) 5-9%",IF(D3683&lt;15,"3) 10-14%",IF(D3683&lt;25,"4) 15-24%","5) 25%+"))))</f>
        <v>2) 5-9%</v>
      </c>
      <c r="N3683" s="0" t="str">
        <f aca="false">IF(F3683&lt;50,"1) Under Rs 50",IF(F3683&lt;100,"2) Rs 50-99",IF(F3683&lt;200,"3) Rs 100-199",IF(F3683&lt;500,"4) Rs 200-499","5) Rs 500+"))))</f>
        <v>3) Rs 100-199</v>
      </c>
      <c r="O3683" s="0" t="n">
        <f aca="false">G3683*E3683/1000</f>
        <v>0.13</v>
      </c>
    </row>
    <row r="3684" customFormat="false" ht="15" hidden="false" customHeight="false" outlineLevel="0" collapsed="false">
      <c r="A3684" s="0" t="s">
        <v>109</v>
      </c>
      <c r="B3684" s="0" t="s">
        <v>1378</v>
      </c>
      <c r="C3684" s="0" t="n">
        <v>133</v>
      </c>
      <c r="D3684" s="0" t="n">
        <v>2</v>
      </c>
      <c r="E3684" s="0" t="n">
        <v>5</v>
      </c>
      <c r="F3684" s="0" t="n">
        <v>130</v>
      </c>
      <c r="G3684" s="0" t="n">
        <v>1160</v>
      </c>
      <c r="H3684" s="0" t="s">
        <v>145</v>
      </c>
      <c r="I3684" s="0" t="n">
        <v>20</v>
      </c>
      <c r="J3684" s="0" t="n">
        <f aca="false">F3684*E3684</f>
        <v>650</v>
      </c>
      <c r="K3684" s="0" t="str">
        <f aca="false">IF(G3684&lt;1000,"1-Low",IF(G3684&lt;5000,"2-Medium","3-Bulk"))</f>
        <v>2-Medium</v>
      </c>
      <c r="L3684" s="0" t="str">
        <f aca="false">IF(H3684="TRUE","Out of stock","In stock")</f>
        <v>In stock</v>
      </c>
      <c r="M3684" s="0" t="str">
        <f aca="false">IF(D3684&lt;5,"1) Under 5%",IF(D3684&lt;10,"2) 5-9%",IF(D3684&lt;15,"3) 10-14%",IF(D3684&lt;25,"4) 15-24%","5) 25%+"))))</f>
        <v>1) Under 5%</v>
      </c>
      <c r="N3684" s="0" t="str">
        <f aca="false">IF(F3684&lt;50,"1) Under Rs 50",IF(F3684&lt;100,"2) Rs 50-99",IF(F3684&lt;200,"3) Rs 100-199",IF(F3684&lt;500,"4) Rs 200-499","5) Rs 500+"))))</f>
        <v>3) Rs 100-199</v>
      </c>
      <c r="O3684" s="0" t="n">
        <f aca="false">G3684*E3684/1000</f>
        <v>5.8</v>
      </c>
    </row>
    <row r="3685" customFormat="false" ht="15" hidden="false" customHeight="false" outlineLevel="0" collapsed="false">
      <c r="A3685" s="0" t="s">
        <v>109</v>
      </c>
      <c r="B3685" s="0" t="s">
        <v>1361</v>
      </c>
      <c r="C3685" s="0" t="n">
        <v>235</v>
      </c>
      <c r="D3685" s="0" t="n">
        <v>7</v>
      </c>
      <c r="E3685" s="0" t="n">
        <v>6</v>
      </c>
      <c r="F3685" s="0" t="n">
        <v>218</v>
      </c>
      <c r="G3685" s="0" t="n">
        <v>1160</v>
      </c>
      <c r="H3685" s="0" t="s">
        <v>145</v>
      </c>
      <c r="I3685" s="0" t="n">
        <v>20</v>
      </c>
      <c r="J3685" s="0" t="n">
        <f aca="false">F3685*E3685</f>
        <v>1308</v>
      </c>
      <c r="K3685" s="0" t="str">
        <f aca="false">IF(G3685&lt;1000,"1-Low",IF(G3685&lt;5000,"2-Medium","3-Bulk"))</f>
        <v>2-Medium</v>
      </c>
      <c r="L3685" s="0" t="str">
        <f aca="false">IF(H3685="TRUE","Out of stock","In stock")</f>
        <v>In stock</v>
      </c>
      <c r="M3685" s="0" t="str">
        <f aca="false">IF(D3685&lt;5,"1) Under 5%",IF(D3685&lt;10,"2) 5-9%",IF(D3685&lt;15,"3) 10-14%",IF(D3685&lt;25,"4) 15-24%","5) 25%+"))))</f>
        <v>2) 5-9%</v>
      </c>
      <c r="N3685" s="0" t="str">
        <f aca="false">IF(F3685&lt;50,"1) Under Rs 50",IF(F3685&lt;100,"2) Rs 50-99",IF(F3685&lt;200,"3) Rs 100-199",IF(F3685&lt;500,"4) Rs 200-499","5) Rs 500+"))))</f>
        <v>4) Rs 200-499</v>
      </c>
      <c r="O3685" s="0" t="n">
        <f aca="false">G3685*E3685/1000</f>
        <v>6.96</v>
      </c>
    </row>
    <row r="3686" customFormat="false" ht="15" hidden="false" customHeight="false" outlineLevel="0" collapsed="false">
      <c r="A3686" s="0" t="s">
        <v>109</v>
      </c>
      <c r="B3686" s="0" t="s">
        <v>1780</v>
      </c>
      <c r="C3686" s="0" t="n">
        <v>415</v>
      </c>
      <c r="D3686" s="0" t="n">
        <v>7</v>
      </c>
      <c r="E3686" s="0" t="n">
        <v>6</v>
      </c>
      <c r="F3686" s="0" t="n">
        <v>385</v>
      </c>
      <c r="G3686" s="0" t="n">
        <v>900</v>
      </c>
      <c r="H3686" s="0" t="s">
        <v>145</v>
      </c>
      <c r="I3686" s="0" t="n">
        <v>900</v>
      </c>
      <c r="J3686" s="0" t="n">
        <f aca="false">F3686*E3686</f>
        <v>2310</v>
      </c>
      <c r="K3686" s="0" t="str">
        <f aca="false">IF(G3686&lt;1000,"1-Low",IF(G3686&lt;5000,"2-Medium","3-Bulk"))</f>
        <v>1-Low</v>
      </c>
      <c r="L3686" s="0" t="str">
        <f aca="false">IF(H3686="TRUE","Out of stock","In stock")</f>
        <v>In stock</v>
      </c>
      <c r="M3686" s="0" t="str">
        <f aca="false">IF(D3686&lt;5,"1) Under 5%",IF(D3686&lt;10,"2) 5-9%",IF(D3686&lt;15,"3) 10-14%",IF(D3686&lt;25,"4) 15-24%","5) 25%+"))))</f>
        <v>2) 5-9%</v>
      </c>
      <c r="N3686" s="0" t="str">
        <f aca="false">IF(F3686&lt;50,"1) Under Rs 50",IF(F3686&lt;100,"2) Rs 50-99",IF(F3686&lt;200,"3) Rs 100-199",IF(F3686&lt;500,"4) Rs 200-499","5) Rs 500+"))))</f>
        <v>4) Rs 200-499</v>
      </c>
      <c r="O3686" s="0" t="n">
        <f aca="false">G3686*E3686/1000</f>
        <v>5.4</v>
      </c>
    </row>
    <row r="3687" customFormat="false" ht="15" hidden="false" customHeight="false" outlineLevel="0" collapsed="false">
      <c r="A3687" s="0" t="s">
        <v>109</v>
      </c>
      <c r="B3687" s="0" t="s">
        <v>1753</v>
      </c>
      <c r="C3687" s="0" t="n">
        <v>85</v>
      </c>
      <c r="D3687" s="0" t="n">
        <v>10</v>
      </c>
      <c r="E3687" s="0" t="n">
        <v>5</v>
      </c>
      <c r="F3687" s="0" t="n">
        <v>76</v>
      </c>
      <c r="G3687" s="0" t="n">
        <v>25</v>
      </c>
      <c r="H3687" s="0" t="s">
        <v>145</v>
      </c>
      <c r="I3687" s="0" t="n">
        <v>25</v>
      </c>
      <c r="J3687" s="0" t="n">
        <f aca="false">F3687*E3687</f>
        <v>380</v>
      </c>
      <c r="K3687" s="0" t="str">
        <f aca="false">IF(G3687&lt;1000,"1-Low",IF(G3687&lt;5000,"2-Medium","3-Bulk"))</f>
        <v>1-Low</v>
      </c>
      <c r="L3687" s="0" t="str">
        <f aca="false">IF(H3687="TRUE","Out of stock","In stock")</f>
        <v>In stock</v>
      </c>
      <c r="M3687" s="0" t="str">
        <f aca="false">IF(D3687&lt;5,"1) Under 5%",IF(D3687&lt;10,"2) 5-9%",IF(D3687&lt;15,"3) 10-14%",IF(D3687&lt;25,"4) 15-24%","5) 25%+"))))</f>
        <v>3) 10-14%</v>
      </c>
      <c r="N3687" s="0" t="str">
        <f aca="false">IF(F3687&lt;50,"1) Under Rs 50",IF(F3687&lt;100,"2) Rs 50-99",IF(F3687&lt;200,"3) Rs 100-199",IF(F3687&lt;500,"4) Rs 200-499","5) Rs 500+"))))</f>
        <v>2) Rs 50-99</v>
      </c>
      <c r="O3687" s="0" t="n">
        <f aca="false">G3687*E3687/1000</f>
        <v>0.125</v>
      </c>
    </row>
    <row r="3688" customFormat="false" ht="15" hidden="false" customHeight="false" outlineLevel="0" collapsed="false">
      <c r="A3688" s="0" t="s">
        <v>109</v>
      </c>
      <c r="B3688" s="0" t="s">
        <v>1781</v>
      </c>
      <c r="C3688" s="0" t="n">
        <v>125</v>
      </c>
      <c r="D3688" s="0" t="n">
        <v>9</v>
      </c>
      <c r="E3688" s="0" t="n">
        <v>6</v>
      </c>
      <c r="F3688" s="0" t="n">
        <v>113</v>
      </c>
      <c r="G3688" s="0" t="n">
        <v>45</v>
      </c>
      <c r="H3688" s="0" t="s">
        <v>145</v>
      </c>
      <c r="I3688" s="0" t="n">
        <v>45</v>
      </c>
      <c r="J3688" s="0" t="n">
        <f aca="false">F3688*E3688</f>
        <v>678</v>
      </c>
      <c r="K3688" s="0" t="str">
        <f aca="false">IF(G3688&lt;1000,"1-Low",IF(G3688&lt;5000,"2-Medium","3-Bulk"))</f>
        <v>1-Low</v>
      </c>
      <c r="L3688" s="0" t="str">
        <f aca="false">IF(H3688="TRUE","Out of stock","In stock")</f>
        <v>In stock</v>
      </c>
      <c r="M3688" s="0" t="str">
        <f aca="false">IF(D3688&lt;5,"1) Under 5%",IF(D3688&lt;10,"2) 5-9%",IF(D3688&lt;15,"3) 10-14%",IF(D3688&lt;25,"4) 15-24%","5) 25%+"))))</f>
        <v>2) 5-9%</v>
      </c>
      <c r="N3688" s="0" t="str">
        <f aca="false">IF(F3688&lt;50,"1) Under Rs 50",IF(F3688&lt;100,"2) Rs 50-99",IF(F3688&lt;200,"3) Rs 100-199",IF(F3688&lt;500,"4) Rs 200-499","5) Rs 500+"))))</f>
        <v>3) Rs 100-199</v>
      </c>
      <c r="O3688" s="0" t="n">
        <f aca="false">G3688*E3688/1000</f>
        <v>0.27</v>
      </c>
    </row>
    <row r="3689" customFormat="false" ht="15" hidden="false" customHeight="false" outlineLevel="0" collapsed="false">
      <c r="A3689" s="0" t="s">
        <v>109</v>
      </c>
      <c r="B3689" s="0" t="s">
        <v>1416</v>
      </c>
      <c r="C3689" s="0" t="n">
        <v>250</v>
      </c>
      <c r="D3689" s="0" t="n">
        <v>10</v>
      </c>
      <c r="E3689" s="0" t="n">
        <v>6</v>
      </c>
      <c r="F3689" s="0" t="n">
        <v>225</v>
      </c>
      <c r="G3689" s="0" t="n">
        <v>500</v>
      </c>
      <c r="H3689" s="0" t="s">
        <v>145</v>
      </c>
      <c r="I3689" s="0" t="n">
        <v>500</v>
      </c>
      <c r="J3689" s="0" t="n">
        <f aca="false">F3689*E3689</f>
        <v>1350</v>
      </c>
      <c r="K3689" s="0" t="str">
        <f aca="false">IF(G3689&lt;1000,"1-Low",IF(G3689&lt;5000,"2-Medium","3-Bulk"))</f>
        <v>1-Low</v>
      </c>
      <c r="L3689" s="0" t="str">
        <f aca="false">IF(H3689="TRUE","Out of stock","In stock")</f>
        <v>In stock</v>
      </c>
      <c r="M3689" s="0" t="str">
        <f aca="false">IF(D3689&lt;5,"1) Under 5%",IF(D3689&lt;10,"2) 5-9%",IF(D3689&lt;15,"3) 10-14%",IF(D3689&lt;25,"4) 15-24%","5) 25%+"))))</f>
        <v>3) 10-14%</v>
      </c>
      <c r="N3689" s="0" t="str">
        <f aca="false">IF(F3689&lt;50,"1) Under Rs 50",IF(F3689&lt;100,"2) Rs 50-99",IF(F3689&lt;200,"3) Rs 100-199",IF(F3689&lt;500,"4) Rs 200-499","5) Rs 500+"))))</f>
        <v>4) Rs 200-499</v>
      </c>
      <c r="O3689" s="0" t="n">
        <f aca="false">G3689*E3689/1000</f>
        <v>3</v>
      </c>
    </row>
    <row r="3690" customFormat="false" ht="15" hidden="false" customHeight="false" outlineLevel="0" collapsed="false">
      <c r="A3690" s="0" t="s">
        <v>109</v>
      </c>
      <c r="B3690" s="0" t="s">
        <v>1782</v>
      </c>
      <c r="C3690" s="0" t="n">
        <v>249</v>
      </c>
      <c r="D3690" s="0" t="n">
        <v>14</v>
      </c>
      <c r="E3690" s="0" t="n">
        <v>6</v>
      </c>
      <c r="F3690" s="0" t="n">
        <v>212</v>
      </c>
      <c r="G3690" s="0" t="n">
        <v>1000</v>
      </c>
      <c r="H3690" s="0" t="s">
        <v>145</v>
      </c>
      <c r="I3690" s="0" t="n">
        <v>1</v>
      </c>
      <c r="J3690" s="0" t="n">
        <f aca="false">F3690*E3690</f>
        <v>1272</v>
      </c>
      <c r="K3690" s="0" t="str">
        <f aca="false">IF(G3690&lt;1000,"1-Low",IF(G3690&lt;5000,"2-Medium","3-Bulk"))</f>
        <v>2-Medium</v>
      </c>
      <c r="L3690" s="0" t="str">
        <f aca="false">IF(H3690="TRUE","Out of stock","In stock")</f>
        <v>In stock</v>
      </c>
      <c r="M3690" s="0" t="str">
        <f aca="false">IF(D3690&lt;5,"1) Under 5%",IF(D3690&lt;10,"2) 5-9%",IF(D3690&lt;15,"3) 10-14%",IF(D3690&lt;25,"4) 15-24%","5) 25%+"))))</f>
        <v>3) 10-14%</v>
      </c>
      <c r="N3690" s="0" t="str">
        <f aca="false">IF(F3690&lt;50,"1) Under Rs 50",IF(F3690&lt;100,"2) Rs 50-99",IF(F3690&lt;200,"3) Rs 100-199",IF(F3690&lt;500,"4) Rs 200-499","5) Rs 500+"))))</f>
        <v>4) Rs 200-499</v>
      </c>
      <c r="O3690" s="0" t="n">
        <f aca="false">G3690*E3690/1000</f>
        <v>6</v>
      </c>
    </row>
    <row r="3691" customFormat="false" ht="15" hidden="false" customHeight="false" outlineLevel="0" collapsed="false">
      <c r="A3691" s="0" t="s">
        <v>109</v>
      </c>
      <c r="B3691" s="0" t="s">
        <v>1783</v>
      </c>
      <c r="C3691" s="0" t="n">
        <v>349</v>
      </c>
      <c r="D3691" s="0" t="n">
        <v>3</v>
      </c>
      <c r="E3691" s="0" t="n">
        <v>6</v>
      </c>
      <c r="F3691" s="0" t="n">
        <v>338</v>
      </c>
      <c r="G3691" s="0" t="n">
        <v>950</v>
      </c>
      <c r="H3691" s="0" t="s">
        <v>145</v>
      </c>
      <c r="I3691" s="0" t="n">
        <v>1</v>
      </c>
      <c r="J3691" s="0" t="n">
        <f aca="false">F3691*E3691</f>
        <v>2028</v>
      </c>
      <c r="K3691" s="0" t="str">
        <f aca="false">IF(G3691&lt;1000,"1-Low",IF(G3691&lt;5000,"2-Medium","3-Bulk"))</f>
        <v>1-Low</v>
      </c>
      <c r="L3691" s="0" t="str">
        <f aca="false">IF(H3691="TRUE","Out of stock","In stock")</f>
        <v>In stock</v>
      </c>
      <c r="M3691" s="0" t="str">
        <f aca="false">IF(D3691&lt;5,"1) Under 5%",IF(D3691&lt;10,"2) 5-9%",IF(D3691&lt;15,"3) 10-14%",IF(D3691&lt;25,"4) 15-24%","5) 25%+"))))</f>
        <v>1) Under 5%</v>
      </c>
      <c r="N3691" s="0" t="str">
        <f aca="false">IF(F3691&lt;50,"1) Under Rs 50",IF(F3691&lt;100,"2) Rs 50-99",IF(F3691&lt;200,"3) Rs 100-199",IF(F3691&lt;500,"4) Rs 200-499","5) Rs 500+"))))</f>
        <v>4) Rs 200-499</v>
      </c>
      <c r="O3691" s="0" t="n">
        <f aca="false">G3691*E3691/1000</f>
        <v>5.7</v>
      </c>
    </row>
    <row r="3692" customFormat="false" ht="15" hidden="false" customHeight="false" outlineLevel="0" collapsed="false">
      <c r="A3692" s="0" t="s">
        <v>109</v>
      </c>
      <c r="B3692" s="0" t="s">
        <v>1784</v>
      </c>
      <c r="C3692" s="0" t="n">
        <v>100</v>
      </c>
      <c r="D3692" s="0" t="n">
        <v>11</v>
      </c>
      <c r="E3692" s="0" t="n">
        <v>6</v>
      </c>
      <c r="F3692" s="0" t="n">
        <v>89</v>
      </c>
      <c r="G3692" s="0" t="n">
        <v>28</v>
      </c>
      <c r="H3692" s="0" t="s">
        <v>145</v>
      </c>
      <c r="I3692" s="0" t="n">
        <v>27</v>
      </c>
      <c r="J3692" s="0" t="n">
        <f aca="false">F3692*E3692</f>
        <v>534</v>
      </c>
      <c r="K3692" s="0" t="str">
        <f aca="false">IF(G3692&lt;1000,"1-Low",IF(G3692&lt;5000,"2-Medium","3-Bulk"))</f>
        <v>1-Low</v>
      </c>
      <c r="L3692" s="0" t="str">
        <f aca="false">IF(H3692="TRUE","Out of stock","In stock")</f>
        <v>In stock</v>
      </c>
      <c r="M3692" s="0" t="str">
        <f aca="false">IF(D3692&lt;5,"1) Under 5%",IF(D3692&lt;10,"2) 5-9%",IF(D3692&lt;15,"3) 10-14%",IF(D3692&lt;25,"4) 15-24%","5) 25%+"))))</f>
        <v>3) 10-14%</v>
      </c>
      <c r="N3692" s="0" t="str">
        <f aca="false">IF(F3692&lt;50,"1) Under Rs 50",IF(F3692&lt;100,"2) Rs 50-99",IF(F3692&lt;200,"3) Rs 100-199",IF(F3692&lt;500,"4) Rs 200-499","5) Rs 500+"))))</f>
        <v>2) Rs 50-99</v>
      </c>
      <c r="O3692" s="0" t="n">
        <f aca="false">G3692*E3692/1000</f>
        <v>0.168</v>
      </c>
    </row>
    <row r="3693" customFormat="false" ht="15" hidden="false" customHeight="false" outlineLevel="0" collapsed="false">
      <c r="A3693" s="0" t="s">
        <v>109</v>
      </c>
      <c r="B3693" s="0" t="s">
        <v>1426</v>
      </c>
      <c r="C3693" s="0" t="n">
        <v>90</v>
      </c>
      <c r="D3693" s="0" t="n">
        <v>10</v>
      </c>
      <c r="E3693" s="0" t="n">
        <v>6</v>
      </c>
      <c r="F3693" s="0" t="n">
        <v>81</v>
      </c>
      <c r="G3693" s="0" t="n">
        <v>406</v>
      </c>
      <c r="H3693" s="0" t="s">
        <v>145</v>
      </c>
      <c r="I3693" s="0" t="n">
        <v>7</v>
      </c>
      <c r="J3693" s="0" t="n">
        <f aca="false">F3693*E3693</f>
        <v>486</v>
      </c>
      <c r="K3693" s="0" t="str">
        <f aca="false">IF(G3693&lt;1000,"1-Low",IF(G3693&lt;5000,"2-Medium","3-Bulk"))</f>
        <v>1-Low</v>
      </c>
      <c r="L3693" s="0" t="str">
        <f aca="false">IF(H3693="TRUE","Out of stock","In stock")</f>
        <v>In stock</v>
      </c>
      <c r="M3693" s="0" t="str">
        <f aca="false">IF(D3693&lt;5,"1) Under 5%",IF(D3693&lt;10,"2) 5-9%",IF(D3693&lt;15,"3) 10-14%",IF(D3693&lt;25,"4) 15-24%","5) 25%+"))))</f>
        <v>3) 10-14%</v>
      </c>
      <c r="N3693" s="0" t="str">
        <f aca="false">IF(F3693&lt;50,"1) Under Rs 50",IF(F3693&lt;100,"2) Rs 50-99",IF(F3693&lt;200,"3) Rs 100-199",IF(F3693&lt;500,"4) Rs 200-499","5) Rs 500+"))))</f>
        <v>2) Rs 50-99</v>
      </c>
      <c r="O3693" s="0" t="n">
        <f aca="false">G3693*E3693/1000</f>
        <v>2.436</v>
      </c>
    </row>
    <row r="3694" customFormat="false" ht="15" hidden="false" customHeight="false" outlineLevel="0" collapsed="false">
      <c r="A3694" s="0" t="s">
        <v>109</v>
      </c>
      <c r="B3694" s="0" t="s">
        <v>1367</v>
      </c>
      <c r="C3694" s="0" t="n">
        <v>155</v>
      </c>
      <c r="D3694" s="0" t="n">
        <v>0</v>
      </c>
      <c r="E3694" s="0" t="n">
        <v>6</v>
      </c>
      <c r="F3694" s="0" t="n">
        <v>155</v>
      </c>
      <c r="G3694" s="0" t="n">
        <v>870</v>
      </c>
      <c r="H3694" s="0" t="s">
        <v>145</v>
      </c>
      <c r="I3694" s="0" t="n">
        <v>15</v>
      </c>
      <c r="J3694" s="0" t="n">
        <f aca="false">F3694*E3694</f>
        <v>930</v>
      </c>
      <c r="K3694" s="0" t="str">
        <f aca="false">IF(G3694&lt;1000,"1-Low",IF(G3694&lt;5000,"2-Medium","3-Bulk"))</f>
        <v>1-Low</v>
      </c>
      <c r="L3694" s="0" t="str">
        <f aca="false">IF(H3694="TRUE","Out of stock","In stock")</f>
        <v>In stock</v>
      </c>
      <c r="M3694" s="0" t="str">
        <f aca="false">IF(D3694&lt;5,"1) Under 5%",IF(D3694&lt;10,"2) 5-9%",IF(D3694&lt;15,"3) 10-14%",IF(D3694&lt;25,"4) 15-24%","5) 25%+"))))</f>
        <v>1) Under 5%</v>
      </c>
      <c r="N3694" s="0" t="str">
        <f aca="false">IF(F3694&lt;50,"1) Under Rs 50",IF(F3694&lt;100,"2) Rs 50-99",IF(F3694&lt;200,"3) Rs 100-199",IF(F3694&lt;500,"4) Rs 200-499","5) Rs 500+"))))</f>
        <v>3) Rs 100-199</v>
      </c>
      <c r="O3694" s="0" t="n">
        <f aca="false">G3694*E3694/1000</f>
        <v>5.22</v>
      </c>
    </row>
    <row r="3695" customFormat="false" ht="15" hidden="false" customHeight="false" outlineLevel="0" collapsed="false">
      <c r="A3695" s="0" t="s">
        <v>109</v>
      </c>
      <c r="B3695" s="0" t="s">
        <v>1785</v>
      </c>
      <c r="C3695" s="0" t="n">
        <v>360</v>
      </c>
      <c r="D3695" s="0" t="n">
        <v>15</v>
      </c>
      <c r="E3695" s="0" t="n">
        <v>6</v>
      </c>
      <c r="F3695" s="0" t="n">
        <v>306</v>
      </c>
      <c r="G3695" s="0" t="n">
        <v>580</v>
      </c>
      <c r="H3695" s="0" t="s">
        <v>145</v>
      </c>
      <c r="I3695" s="0" t="n">
        <v>10</v>
      </c>
      <c r="J3695" s="0" t="n">
        <f aca="false">F3695*E3695</f>
        <v>1836</v>
      </c>
      <c r="K3695" s="0" t="str">
        <f aca="false">IF(G3695&lt;1000,"1-Low",IF(G3695&lt;5000,"2-Medium","3-Bulk"))</f>
        <v>1-Low</v>
      </c>
      <c r="L3695" s="0" t="str">
        <f aca="false">IF(H3695="TRUE","Out of stock","In stock")</f>
        <v>In stock</v>
      </c>
      <c r="M3695" s="0" t="str">
        <f aca="false">IF(D3695&lt;5,"1) Under 5%",IF(D3695&lt;10,"2) 5-9%",IF(D3695&lt;15,"3) 10-14%",IF(D3695&lt;25,"4) 15-24%","5) 25%+"))))</f>
        <v>4) 15-24%</v>
      </c>
      <c r="N3695" s="0" t="str">
        <f aca="false">IF(F3695&lt;50,"1) Under Rs 50",IF(F3695&lt;100,"2) Rs 50-99",IF(F3695&lt;200,"3) Rs 100-199",IF(F3695&lt;500,"4) Rs 200-499","5) Rs 500+"))))</f>
        <v>4) Rs 200-499</v>
      </c>
      <c r="O3695" s="0" t="n">
        <f aca="false">G3695*E3695/1000</f>
        <v>3.48</v>
      </c>
    </row>
    <row r="3696" customFormat="false" ht="15" hidden="false" customHeight="false" outlineLevel="0" collapsed="false">
      <c r="A3696" s="0" t="s">
        <v>109</v>
      </c>
      <c r="B3696" s="0" t="s">
        <v>1479</v>
      </c>
      <c r="C3696" s="0" t="n">
        <v>105</v>
      </c>
      <c r="D3696" s="0" t="n">
        <v>0</v>
      </c>
      <c r="E3696" s="0" t="n">
        <v>4</v>
      </c>
      <c r="F3696" s="0" t="n">
        <v>105</v>
      </c>
      <c r="G3696" s="0" t="n">
        <v>1160</v>
      </c>
      <c r="H3696" s="0" t="s">
        <v>145</v>
      </c>
      <c r="I3696" s="0" t="n">
        <v>20</v>
      </c>
      <c r="J3696" s="0" t="n">
        <f aca="false">F3696*E3696</f>
        <v>420</v>
      </c>
      <c r="K3696" s="0" t="str">
        <f aca="false">IF(G3696&lt;1000,"1-Low",IF(G3696&lt;5000,"2-Medium","3-Bulk"))</f>
        <v>2-Medium</v>
      </c>
      <c r="L3696" s="0" t="str">
        <f aca="false">IF(H3696="TRUE","Out of stock","In stock")</f>
        <v>In stock</v>
      </c>
      <c r="M3696" s="0" t="str">
        <f aca="false">IF(D3696&lt;5,"1) Under 5%",IF(D3696&lt;10,"2) 5-9%",IF(D3696&lt;15,"3) 10-14%",IF(D3696&lt;25,"4) 15-24%","5) 25%+"))))</f>
        <v>1) Under 5%</v>
      </c>
      <c r="N3696" s="0" t="str">
        <f aca="false">IF(F3696&lt;50,"1) Under Rs 50",IF(F3696&lt;100,"2) Rs 50-99",IF(F3696&lt;200,"3) Rs 100-199",IF(F3696&lt;500,"4) Rs 200-499","5) Rs 500+"))))</f>
        <v>3) Rs 100-199</v>
      </c>
      <c r="O3696" s="0" t="n">
        <f aca="false">G3696*E3696/1000</f>
        <v>4.64</v>
      </c>
    </row>
    <row r="3697" customFormat="false" ht="15" hidden="false" customHeight="false" outlineLevel="0" collapsed="false">
      <c r="A3697" s="0" t="s">
        <v>109</v>
      </c>
      <c r="B3697" s="0" t="s">
        <v>1786</v>
      </c>
      <c r="C3697" s="0" t="n">
        <v>50</v>
      </c>
      <c r="D3697" s="0" t="n">
        <v>6</v>
      </c>
      <c r="E3697" s="0" t="n">
        <v>4</v>
      </c>
      <c r="F3697" s="0" t="n">
        <v>47</v>
      </c>
      <c r="G3697" s="0" t="n">
        <v>10</v>
      </c>
      <c r="H3697" s="0" t="s">
        <v>145</v>
      </c>
      <c r="I3697" s="0" t="n">
        <v>10</v>
      </c>
      <c r="J3697" s="0" t="n">
        <f aca="false">F3697*E3697</f>
        <v>188</v>
      </c>
      <c r="K3697" s="0" t="str">
        <f aca="false">IF(G3697&lt;1000,"1-Low",IF(G3697&lt;5000,"2-Medium","3-Bulk"))</f>
        <v>1-Low</v>
      </c>
      <c r="L3697" s="0" t="str">
        <f aca="false">IF(H3697="TRUE","Out of stock","In stock")</f>
        <v>In stock</v>
      </c>
      <c r="M3697" s="0" t="str">
        <f aca="false">IF(D3697&lt;5,"1) Under 5%",IF(D3697&lt;10,"2) 5-9%",IF(D3697&lt;15,"3) 10-14%",IF(D3697&lt;25,"4) 15-24%","5) 25%+"))))</f>
        <v>2) 5-9%</v>
      </c>
      <c r="N3697" s="0" t="str">
        <f aca="false">IF(F3697&lt;50,"1) Under Rs 50",IF(F3697&lt;100,"2) Rs 50-99",IF(F3697&lt;200,"3) Rs 100-199",IF(F3697&lt;500,"4) Rs 200-499","5) Rs 500+"))))</f>
        <v>1) Under Rs 50</v>
      </c>
      <c r="O3697" s="0" t="n">
        <f aca="false">G3697*E3697/1000</f>
        <v>0.04</v>
      </c>
    </row>
    <row r="3698" customFormat="false" ht="15" hidden="false" customHeight="false" outlineLevel="0" collapsed="false">
      <c r="A3698" s="0" t="s">
        <v>109</v>
      </c>
      <c r="B3698" s="0" t="s">
        <v>1787</v>
      </c>
      <c r="C3698" s="0" t="n">
        <v>75</v>
      </c>
      <c r="D3698" s="0" t="n">
        <v>5</v>
      </c>
      <c r="E3698" s="0" t="n">
        <v>6</v>
      </c>
      <c r="F3698" s="0" t="n">
        <v>71</v>
      </c>
      <c r="G3698" s="0" t="n">
        <v>15</v>
      </c>
      <c r="H3698" s="0" t="s">
        <v>145</v>
      </c>
      <c r="I3698" s="0" t="n">
        <v>15</v>
      </c>
      <c r="J3698" s="0" t="n">
        <f aca="false">F3698*E3698</f>
        <v>426</v>
      </c>
      <c r="K3698" s="0" t="str">
        <f aca="false">IF(G3698&lt;1000,"1-Low",IF(G3698&lt;5000,"2-Medium","3-Bulk"))</f>
        <v>1-Low</v>
      </c>
      <c r="L3698" s="0" t="str">
        <f aca="false">IF(H3698="TRUE","Out of stock","In stock")</f>
        <v>In stock</v>
      </c>
      <c r="M3698" s="0" t="str">
        <f aca="false">IF(D3698&lt;5,"1) Under 5%",IF(D3698&lt;10,"2) 5-9%",IF(D3698&lt;15,"3) 10-14%",IF(D3698&lt;25,"4) 15-24%","5) 25%+"))))</f>
        <v>2) 5-9%</v>
      </c>
      <c r="N3698" s="0" t="str">
        <f aca="false">IF(F3698&lt;50,"1) Under Rs 50",IF(F3698&lt;100,"2) Rs 50-99",IF(F3698&lt;200,"3) Rs 100-199",IF(F3698&lt;500,"4) Rs 200-499","5) Rs 500+"))))</f>
        <v>2) Rs 50-99</v>
      </c>
      <c r="O3698" s="0" t="n">
        <f aca="false">G3698*E3698/1000</f>
        <v>0.09</v>
      </c>
    </row>
    <row r="3699" customFormat="false" ht="15" hidden="false" customHeight="false" outlineLevel="0" collapsed="false">
      <c r="A3699" s="0" t="s">
        <v>109</v>
      </c>
      <c r="B3699" s="0" t="s">
        <v>1788</v>
      </c>
      <c r="C3699" s="0" t="n">
        <v>235</v>
      </c>
      <c r="D3699" s="0" t="n">
        <v>5</v>
      </c>
      <c r="E3699" s="0" t="n">
        <v>6</v>
      </c>
      <c r="F3699" s="0" t="n">
        <v>223</v>
      </c>
      <c r="G3699" s="0" t="n">
        <v>500</v>
      </c>
      <c r="H3699" s="0" t="s">
        <v>145</v>
      </c>
      <c r="I3699" s="0" t="n">
        <v>500</v>
      </c>
      <c r="J3699" s="0" t="n">
        <f aca="false">F3699*E3699</f>
        <v>1338</v>
      </c>
      <c r="K3699" s="0" t="str">
        <f aca="false">IF(G3699&lt;1000,"1-Low",IF(G3699&lt;5000,"2-Medium","3-Bulk"))</f>
        <v>1-Low</v>
      </c>
      <c r="L3699" s="0" t="str">
        <f aca="false">IF(H3699="TRUE","Out of stock","In stock")</f>
        <v>In stock</v>
      </c>
      <c r="M3699" s="0" t="str">
        <f aca="false">IF(D3699&lt;5,"1) Under 5%",IF(D3699&lt;10,"2) 5-9%",IF(D3699&lt;15,"3) 10-14%",IF(D3699&lt;25,"4) 15-24%","5) 25%+"))))</f>
        <v>2) 5-9%</v>
      </c>
      <c r="N3699" s="0" t="str">
        <f aca="false">IF(F3699&lt;50,"1) Under Rs 50",IF(F3699&lt;100,"2) Rs 50-99",IF(F3699&lt;200,"3) Rs 100-199",IF(F3699&lt;500,"4) Rs 200-499","5) Rs 500+"))))</f>
        <v>4) Rs 200-499</v>
      </c>
      <c r="O3699" s="0" t="n">
        <f aca="false">G3699*E3699/1000</f>
        <v>3</v>
      </c>
    </row>
    <row r="3700" customFormat="false" ht="15" hidden="false" customHeight="false" outlineLevel="0" collapsed="false">
      <c r="A3700" s="0" t="s">
        <v>109</v>
      </c>
      <c r="B3700" s="0" t="s">
        <v>1772</v>
      </c>
      <c r="C3700" s="0" t="n">
        <v>110</v>
      </c>
      <c r="D3700" s="0" t="n">
        <v>22</v>
      </c>
      <c r="E3700" s="0" t="n">
        <v>5</v>
      </c>
      <c r="F3700" s="0" t="n">
        <v>85</v>
      </c>
      <c r="G3700" s="0" t="n">
        <v>100</v>
      </c>
      <c r="H3700" s="0" t="s">
        <v>145</v>
      </c>
      <c r="I3700" s="0" t="n">
        <v>100</v>
      </c>
      <c r="J3700" s="0" t="n">
        <f aca="false">F3700*E3700</f>
        <v>425</v>
      </c>
      <c r="K3700" s="0" t="str">
        <f aca="false">IF(G3700&lt;1000,"1-Low",IF(G3700&lt;5000,"2-Medium","3-Bulk"))</f>
        <v>1-Low</v>
      </c>
      <c r="L3700" s="0" t="str">
        <f aca="false">IF(H3700="TRUE","Out of stock","In stock")</f>
        <v>In stock</v>
      </c>
      <c r="M3700" s="0" t="str">
        <f aca="false">IF(D3700&lt;5,"1) Under 5%",IF(D3700&lt;10,"2) 5-9%",IF(D3700&lt;15,"3) 10-14%",IF(D3700&lt;25,"4) 15-24%","5) 25%+"))))</f>
        <v>4) 15-24%</v>
      </c>
      <c r="N3700" s="0" t="str">
        <f aca="false">IF(F3700&lt;50,"1) Under Rs 50",IF(F3700&lt;100,"2) Rs 50-99",IF(F3700&lt;200,"3) Rs 100-199",IF(F3700&lt;500,"4) Rs 200-499","5) Rs 500+"))))</f>
        <v>2) Rs 50-99</v>
      </c>
      <c r="O3700" s="0" t="n">
        <f aca="false">G3700*E3700/1000</f>
        <v>0.5</v>
      </c>
    </row>
    <row r="3701" customFormat="false" ht="15" hidden="false" customHeight="false" outlineLevel="0" collapsed="false">
      <c r="A3701" s="0" t="s">
        <v>109</v>
      </c>
      <c r="B3701" s="0" t="s">
        <v>1496</v>
      </c>
      <c r="C3701" s="0" t="n">
        <v>135</v>
      </c>
      <c r="D3701" s="0" t="n">
        <v>5</v>
      </c>
      <c r="E3701" s="0" t="n">
        <v>6</v>
      </c>
      <c r="F3701" s="0" t="n">
        <v>128</v>
      </c>
      <c r="G3701" s="0" t="n">
        <v>50</v>
      </c>
      <c r="H3701" s="0" t="s">
        <v>145</v>
      </c>
      <c r="I3701" s="0" t="n">
        <v>50</v>
      </c>
      <c r="J3701" s="0" t="n">
        <f aca="false">F3701*E3701</f>
        <v>768</v>
      </c>
      <c r="K3701" s="0" t="str">
        <f aca="false">IF(G3701&lt;1000,"1-Low",IF(G3701&lt;5000,"2-Medium","3-Bulk"))</f>
        <v>1-Low</v>
      </c>
      <c r="L3701" s="0" t="str">
        <f aca="false">IF(H3701="TRUE","Out of stock","In stock")</f>
        <v>In stock</v>
      </c>
      <c r="M3701" s="0" t="str">
        <f aca="false">IF(D3701&lt;5,"1) Under 5%",IF(D3701&lt;10,"2) 5-9%",IF(D3701&lt;15,"3) 10-14%",IF(D3701&lt;25,"4) 15-24%","5) 25%+"))))</f>
        <v>2) 5-9%</v>
      </c>
      <c r="N3701" s="0" t="str">
        <f aca="false">IF(F3701&lt;50,"1) Under Rs 50",IF(F3701&lt;100,"2) Rs 50-99",IF(F3701&lt;200,"3) Rs 100-199",IF(F3701&lt;500,"4) Rs 200-499","5) Rs 500+"))))</f>
        <v>3) Rs 100-199</v>
      </c>
      <c r="O3701" s="0" t="n">
        <f aca="false">G3701*E3701/1000</f>
        <v>0.3</v>
      </c>
    </row>
    <row r="3702" customFormat="false" ht="15" hidden="false" customHeight="false" outlineLevel="0" collapsed="false">
      <c r="A3702" s="0" t="s">
        <v>109</v>
      </c>
      <c r="B3702" s="0" t="s">
        <v>1484</v>
      </c>
      <c r="C3702" s="0" t="n">
        <v>175</v>
      </c>
      <c r="D3702" s="0" t="n">
        <v>0</v>
      </c>
      <c r="E3702" s="0" t="n">
        <v>3</v>
      </c>
      <c r="F3702" s="0" t="n">
        <v>175</v>
      </c>
      <c r="G3702" s="0" t="n">
        <v>812</v>
      </c>
      <c r="H3702" s="0" t="s">
        <v>145</v>
      </c>
      <c r="I3702" s="0" t="n">
        <v>14</v>
      </c>
      <c r="J3702" s="0" t="n">
        <f aca="false">F3702*E3702</f>
        <v>525</v>
      </c>
      <c r="K3702" s="0" t="str">
        <f aca="false">IF(G3702&lt;1000,"1-Low",IF(G3702&lt;5000,"2-Medium","3-Bulk"))</f>
        <v>1-Low</v>
      </c>
      <c r="L3702" s="0" t="str">
        <f aca="false">IF(H3702="TRUE","Out of stock","In stock")</f>
        <v>In stock</v>
      </c>
      <c r="M3702" s="0" t="str">
        <f aca="false">IF(D3702&lt;5,"1) Under 5%",IF(D3702&lt;10,"2) 5-9%",IF(D3702&lt;15,"3) 10-14%",IF(D3702&lt;25,"4) 15-24%","5) 25%+"))))</f>
        <v>1) Under 5%</v>
      </c>
      <c r="N3702" s="0" t="str">
        <f aca="false">IF(F3702&lt;50,"1) Under Rs 50",IF(F3702&lt;100,"2) Rs 50-99",IF(F3702&lt;200,"3) Rs 100-199",IF(F3702&lt;500,"4) Rs 200-499","5) Rs 500+"))))</f>
        <v>3) Rs 100-199</v>
      </c>
      <c r="O3702" s="0" t="n">
        <f aca="false">G3702*E3702/1000</f>
        <v>2.436</v>
      </c>
    </row>
    <row r="3703" customFormat="false" ht="15" hidden="false" customHeight="false" outlineLevel="0" collapsed="false">
      <c r="A3703" s="0" t="s">
        <v>109</v>
      </c>
      <c r="B3703" s="0" t="s">
        <v>1789</v>
      </c>
      <c r="C3703" s="0" t="n">
        <v>175</v>
      </c>
      <c r="D3703" s="0" t="n">
        <v>10</v>
      </c>
      <c r="E3703" s="0" t="n">
        <v>6</v>
      </c>
      <c r="F3703" s="0" t="n">
        <v>157</v>
      </c>
      <c r="G3703" s="0" t="n">
        <v>230</v>
      </c>
      <c r="H3703" s="0" t="s">
        <v>145</v>
      </c>
      <c r="I3703" s="0" t="n">
        <v>230</v>
      </c>
      <c r="J3703" s="0" t="n">
        <f aca="false">F3703*E3703</f>
        <v>942</v>
      </c>
      <c r="K3703" s="0" t="str">
        <f aca="false">IF(G3703&lt;1000,"1-Low",IF(G3703&lt;5000,"2-Medium","3-Bulk"))</f>
        <v>1-Low</v>
      </c>
      <c r="L3703" s="0" t="str">
        <f aca="false">IF(H3703="TRUE","Out of stock","In stock")</f>
        <v>In stock</v>
      </c>
      <c r="M3703" s="0" t="str">
        <f aca="false">IF(D3703&lt;5,"1) Under 5%",IF(D3703&lt;10,"2) 5-9%",IF(D3703&lt;15,"3) 10-14%",IF(D3703&lt;25,"4) 15-24%","5) 25%+"))))</f>
        <v>3) 10-14%</v>
      </c>
      <c r="N3703" s="0" t="str">
        <f aca="false">IF(F3703&lt;50,"1) Under Rs 50",IF(F3703&lt;100,"2) Rs 50-99",IF(F3703&lt;200,"3) Rs 100-199",IF(F3703&lt;500,"4) Rs 200-499","5) Rs 500+"))))</f>
        <v>3) Rs 100-199</v>
      </c>
      <c r="O3703" s="0" t="n">
        <f aca="false">G3703*E3703/1000</f>
        <v>1.38</v>
      </c>
    </row>
    <row r="3704" customFormat="false" ht="15" hidden="false" customHeight="false" outlineLevel="0" collapsed="false">
      <c r="A3704" s="0" t="s">
        <v>109</v>
      </c>
      <c r="B3704" s="0" t="s">
        <v>1790</v>
      </c>
      <c r="C3704" s="0" t="n">
        <v>190</v>
      </c>
      <c r="D3704" s="0" t="n">
        <v>6</v>
      </c>
      <c r="E3704" s="0" t="n">
        <v>6</v>
      </c>
      <c r="F3704" s="0" t="n">
        <v>177</v>
      </c>
      <c r="G3704" s="0" t="n">
        <v>500</v>
      </c>
      <c r="H3704" s="0" t="s">
        <v>145</v>
      </c>
      <c r="I3704" s="0" t="n">
        <v>500</v>
      </c>
      <c r="J3704" s="0" t="n">
        <f aca="false">F3704*E3704</f>
        <v>1062</v>
      </c>
      <c r="K3704" s="0" t="str">
        <f aca="false">IF(G3704&lt;1000,"1-Low",IF(G3704&lt;5000,"2-Medium","3-Bulk"))</f>
        <v>1-Low</v>
      </c>
      <c r="L3704" s="0" t="str">
        <f aca="false">IF(H3704="TRUE","Out of stock","In stock")</f>
        <v>In stock</v>
      </c>
      <c r="M3704" s="0" t="str">
        <f aca="false">IF(D3704&lt;5,"1) Under 5%",IF(D3704&lt;10,"2) 5-9%",IF(D3704&lt;15,"3) 10-14%",IF(D3704&lt;25,"4) 15-24%","5) 25%+"))))</f>
        <v>2) 5-9%</v>
      </c>
      <c r="N3704" s="0" t="str">
        <f aca="false">IF(F3704&lt;50,"1) Under Rs 50",IF(F3704&lt;100,"2) Rs 50-99",IF(F3704&lt;200,"3) Rs 100-199",IF(F3704&lt;500,"4) Rs 200-499","5) Rs 500+"))))</f>
        <v>3) Rs 100-199</v>
      </c>
      <c r="O3704" s="0" t="n">
        <f aca="false">G3704*E3704/1000</f>
        <v>3</v>
      </c>
    </row>
    <row r="3705" customFormat="false" ht="15" hidden="false" customHeight="false" outlineLevel="0" collapsed="false">
      <c r="A3705" s="0" t="s">
        <v>109</v>
      </c>
      <c r="B3705" s="0" t="s">
        <v>1791</v>
      </c>
      <c r="C3705" s="0" t="n">
        <v>105</v>
      </c>
      <c r="D3705" s="0" t="n">
        <v>9</v>
      </c>
      <c r="E3705" s="0" t="n">
        <v>4</v>
      </c>
      <c r="F3705" s="0" t="n">
        <v>95</v>
      </c>
      <c r="G3705" s="0" t="n">
        <v>116</v>
      </c>
      <c r="H3705" s="0" t="s">
        <v>145</v>
      </c>
      <c r="I3705" s="0" t="n">
        <v>2</v>
      </c>
      <c r="J3705" s="0" t="n">
        <f aca="false">F3705*E3705</f>
        <v>380</v>
      </c>
      <c r="K3705" s="0" t="str">
        <f aca="false">IF(G3705&lt;1000,"1-Low",IF(G3705&lt;5000,"2-Medium","3-Bulk"))</f>
        <v>1-Low</v>
      </c>
      <c r="L3705" s="0" t="str">
        <f aca="false">IF(H3705="TRUE","Out of stock","In stock")</f>
        <v>In stock</v>
      </c>
      <c r="M3705" s="0" t="str">
        <f aca="false">IF(D3705&lt;5,"1) Under 5%",IF(D3705&lt;10,"2) 5-9%",IF(D3705&lt;15,"3) 10-14%",IF(D3705&lt;25,"4) 15-24%","5) 25%+"))))</f>
        <v>2) 5-9%</v>
      </c>
      <c r="N3705" s="0" t="str">
        <f aca="false">IF(F3705&lt;50,"1) Under Rs 50",IF(F3705&lt;100,"2) Rs 50-99",IF(F3705&lt;200,"3) Rs 100-199",IF(F3705&lt;500,"4) Rs 200-499","5) Rs 500+"))))</f>
        <v>2) Rs 50-99</v>
      </c>
      <c r="O3705" s="0" t="n">
        <f aca="false">G3705*E3705/1000</f>
        <v>0.464</v>
      </c>
    </row>
    <row r="3706" customFormat="false" ht="15" hidden="false" customHeight="false" outlineLevel="0" collapsed="false">
      <c r="A3706" s="0" t="s">
        <v>109</v>
      </c>
      <c r="B3706" s="0" t="s">
        <v>1504</v>
      </c>
      <c r="C3706" s="0" t="n">
        <v>115</v>
      </c>
      <c r="D3706" s="0" t="n">
        <v>0</v>
      </c>
      <c r="E3706" s="0" t="n">
        <v>5</v>
      </c>
      <c r="F3706" s="0" t="n">
        <v>115</v>
      </c>
      <c r="G3706" s="0" t="n">
        <v>1160</v>
      </c>
      <c r="H3706" s="0" t="s">
        <v>145</v>
      </c>
      <c r="I3706" s="0" t="n">
        <v>20</v>
      </c>
      <c r="J3706" s="0" t="n">
        <f aca="false">F3706*E3706</f>
        <v>575</v>
      </c>
      <c r="K3706" s="0" t="str">
        <f aca="false">IF(G3706&lt;1000,"1-Low",IF(G3706&lt;5000,"2-Medium","3-Bulk"))</f>
        <v>2-Medium</v>
      </c>
      <c r="L3706" s="0" t="str">
        <f aca="false">IF(H3706="TRUE","Out of stock","In stock")</f>
        <v>In stock</v>
      </c>
      <c r="M3706" s="0" t="str">
        <f aca="false">IF(D3706&lt;5,"1) Under 5%",IF(D3706&lt;10,"2) 5-9%",IF(D3706&lt;15,"3) 10-14%",IF(D3706&lt;25,"4) 15-24%","5) 25%+"))))</f>
        <v>1) Under 5%</v>
      </c>
      <c r="N3706" s="0" t="str">
        <f aca="false">IF(F3706&lt;50,"1) Under Rs 50",IF(F3706&lt;100,"2) Rs 50-99",IF(F3706&lt;200,"3) Rs 100-199",IF(F3706&lt;500,"4) Rs 200-499","5) Rs 500+"))))</f>
        <v>3) Rs 100-199</v>
      </c>
      <c r="O3706" s="0" t="n">
        <f aca="false">G3706*E3706/1000</f>
        <v>5.8</v>
      </c>
    </row>
    <row r="3707" customFormat="false" ht="15" hidden="false" customHeight="false" outlineLevel="0" collapsed="false">
      <c r="A3707" s="0" t="s">
        <v>109</v>
      </c>
      <c r="B3707" s="0" t="s">
        <v>1792</v>
      </c>
      <c r="C3707" s="0" t="n">
        <v>195</v>
      </c>
      <c r="D3707" s="0" t="n">
        <v>6</v>
      </c>
      <c r="E3707" s="0" t="n">
        <v>6</v>
      </c>
      <c r="F3707" s="0" t="n">
        <v>182</v>
      </c>
      <c r="G3707" s="0" t="n">
        <v>30</v>
      </c>
      <c r="H3707" s="0" t="s">
        <v>145</v>
      </c>
      <c r="I3707" s="0" t="n">
        <v>30</v>
      </c>
      <c r="J3707" s="0" t="n">
        <f aca="false">F3707*E3707</f>
        <v>1092</v>
      </c>
      <c r="K3707" s="0" t="str">
        <f aca="false">IF(G3707&lt;1000,"1-Low",IF(G3707&lt;5000,"2-Medium","3-Bulk"))</f>
        <v>1-Low</v>
      </c>
      <c r="L3707" s="0" t="str">
        <f aca="false">IF(H3707="TRUE","Out of stock","In stock")</f>
        <v>In stock</v>
      </c>
      <c r="M3707" s="0" t="str">
        <f aca="false">IF(D3707&lt;5,"1) Under 5%",IF(D3707&lt;10,"2) 5-9%",IF(D3707&lt;15,"3) 10-14%",IF(D3707&lt;25,"4) 15-24%","5) 25%+"))))</f>
        <v>2) 5-9%</v>
      </c>
      <c r="N3707" s="0" t="str">
        <f aca="false">IF(F3707&lt;50,"1) Under Rs 50",IF(F3707&lt;100,"2) Rs 50-99",IF(F3707&lt;200,"3) Rs 100-199",IF(F3707&lt;500,"4) Rs 200-499","5) Rs 500+"))))</f>
        <v>3) Rs 100-199</v>
      </c>
      <c r="O3707" s="0" t="n">
        <f aca="false">G3707*E3707/1000</f>
        <v>0.18</v>
      </c>
    </row>
    <row r="3708" customFormat="false" ht="15" hidden="false" customHeight="false" outlineLevel="0" collapsed="false">
      <c r="A3708" s="0" t="s">
        <v>109</v>
      </c>
      <c r="B3708" s="0" t="s">
        <v>1793</v>
      </c>
      <c r="C3708" s="0" t="n">
        <v>395</v>
      </c>
      <c r="D3708" s="0" t="n">
        <v>20</v>
      </c>
      <c r="E3708" s="0" t="n">
        <v>4</v>
      </c>
      <c r="F3708" s="0" t="n">
        <v>316</v>
      </c>
      <c r="G3708" s="0" t="n">
        <v>100</v>
      </c>
      <c r="H3708" s="0" t="s">
        <v>145</v>
      </c>
      <c r="I3708" s="0" t="n">
        <v>100</v>
      </c>
      <c r="J3708" s="0" t="n">
        <f aca="false">F3708*E3708</f>
        <v>1264</v>
      </c>
      <c r="K3708" s="0" t="str">
        <f aca="false">IF(G3708&lt;1000,"1-Low",IF(G3708&lt;5000,"2-Medium","3-Bulk"))</f>
        <v>1-Low</v>
      </c>
      <c r="L3708" s="0" t="str">
        <f aca="false">IF(H3708="TRUE","Out of stock","In stock")</f>
        <v>In stock</v>
      </c>
      <c r="M3708" s="0" t="str">
        <f aca="false">IF(D3708&lt;5,"1) Under 5%",IF(D3708&lt;10,"2) 5-9%",IF(D3708&lt;15,"3) 10-14%",IF(D3708&lt;25,"4) 15-24%","5) 25%+"))))</f>
        <v>4) 15-24%</v>
      </c>
      <c r="N3708" s="0" t="str">
        <f aca="false">IF(F3708&lt;50,"1) Under Rs 50",IF(F3708&lt;100,"2) Rs 50-99",IF(F3708&lt;200,"3) Rs 100-199",IF(F3708&lt;500,"4) Rs 200-499","5) Rs 500+"))))</f>
        <v>4) Rs 200-499</v>
      </c>
      <c r="O3708" s="0" t="n">
        <f aca="false">G3708*E3708/1000</f>
        <v>0.4</v>
      </c>
    </row>
    <row r="3709" customFormat="false" ht="15" hidden="false" customHeight="false" outlineLevel="0" collapsed="false">
      <c r="A3709" s="0" t="s">
        <v>109</v>
      </c>
      <c r="B3709" s="0" t="s">
        <v>1794</v>
      </c>
      <c r="C3709" s="0" t="n">
        <v>495</v>
      </c>
      <c r="D3709" s="0" t="n">
        <v>20</v>
      </c>
      <c r="E3709" s="0" t="n">
        <v>6</v>
      </c>
      <c r="F3709" s="0" t="n">
        <v>396</v>
      </c>
      <c r="G3709" s="0" t="n">
        <v>500</v>
      </c>
      <c r="H3709" s="0" t="s">
        <v>145</v>
      </c>
      <c r="I3709" s="0" t="n">
        <v>500</v>
      </c>
      <c r="J3709" s="0" t="n">
        <f aca="false">F3709*E3709</f>
        <v>2376</v>
      </c>
      <c r="K3709" s="0" t="str">
        <f aca="false">IF(G3709&lt;1000,"1-Low",IF(G3709&lt;5000,"2-Medium","3-Bulk"))</f>
        <v>1-Low</v>
      </c>
      <c r="L3709" s="0" t="str">
        <f aca="false">IF(H3709="TRUE","Out of stock","In stock")</f>
        <v>In stock</v>
      </c>
      <c r="M3709" s="0" t="str">
        <f aca="false">IF(D3709&lt;5,"1) Under 5%",IF(D3709&lt;10,"2) 5-9%",IF(D3709&lt;15,"3) 10-14%",IF(D3709&lt;25,"4) 15-24%","5) 25%+"))))</f>
        <v>4) 15-24%</v>
      </c>
      <c r="N3709" s="0" t="str">
        <f aca="false">IF(F3709&lt;50,"1) Under Rs 50",IF(F3709&lt;100,"2) Rs 50-99",IF(F3709&lt;200,"3) Rs 100-199",IF(F3709&lt;500,"4) Rs 200-499","5) Rs 500+"))))</f>
        <v>4) Rs 200-499</v>
      </c>
      <c r="O3709" s="0" t="n">
        <f aca="false">G3709*E3709/1000</f>
        <v>3</v>
      </c>
    </row>
    <row r="3710" customFormat="false" ht="15" hidden="false" customHeight="false" outlineLevel="0" collapsed="false">
      <c r="A3710" s="0" t="s">
        <v>109</v>
      </c>
      <c r="B3710" s="0" t="s">
        <v>1795</v>
      </c>
      <c r="C3710" s="0" t="n">
        <v>225</v>
      </c>
      <c r="D3710" s="0" t="n">
        <v>0</v>
      </c>
      <c r="E3710" s="0" t="n">
        <v>6</v>
      </c>
      <c r="F3710" s="0" t="n">
        <v>225</v>
      </c>
      <c r="G3710" s="0" t="n">
        <v>60</v>
      </c>
      <c r="H3710" s="0" t="s">
        <v>145</v>
      </c>
      <c r="I3710" s="0" t="n">
        <v>60</v>
      </c>
      <c r="J3710" s="0" t="n">
        <f aca="false">F3710*E3710</f>
        <v>1350</v>
      </c>
      <c r="K3710" s="0" t="str">
        <f aca="false">IF(G3710&lt;1000,"1-Low",IF(G3710&lt;5000,"2-Medium","3-Bulk"))</f>
        <v>1-Low</v>
      </c>
      <c r="L3710" s="0" t="str">
        <f aca="false">IF(H3710="TRUE","Out of stock","In stock")</f>
        <v>In stock</v>
      </c>
      <c r="M3710" s="0" t="str">
        <f aca="false">IF(D3710&lt;5,"1) Under 5%",IF(D3710&lt;10,"2) 5-9%",IF(D3710&lt;15,"3) 10-14%",IF(D3710&lt;25,"4) 15-24%","5) 25%+"))))</f>
        <v>1) Under 5%</v>
      </c>
      <c r="N3710" s="0" t="str">
        <f aca="false">IF(F3710&lt;50,"1) Under Rs 50",IF(F3710&lt;100,"2) Rs 50-99",IF(F3710&lt;200,"3) Rs 100-199",IF(F3710&lt;500,"4) Rs 200-499","5) Rs 500+"))))</f>
        <v>4) Rs 200-499</v>
      </c>
      <c r="O3710" s="0" t="n">
        <f aca="false">G3710*E3710/1000</f>
        <v>0.36</v>
      </c>
    </row>
    <row r="3711" customFormat="false" ht="15" hidden="false" customHeight="false" outlineLevel="0" collapsed="false">
      <c r="A3711" s="0" t="s">
        <v>109</v>
      </c>
      <c r="B3711" s="0" t="s">
        <v>1319</v>
      </c>
      <c r="C3711" s="0" t="n">
        <v>555</v>
      </c>
      <c r="D3711" s="0" t="n">
        <v>0</v>
      </c>
      <c r="E3711" s="0" t="n">
        <v>1</v>
      </c>
      <c r="F3711" s="0" t="n">
        <v>555</v>
      </c>
      <c r="G3711" s="0" t="n">
        <v>60</v>
      </c>
      <c r="H3711" s="0" t="s">
        <v>145</v>
      </c>
      <c r="I3711" s="0" t="n">
        <v>60</v>
      </c>
      <c r="J3711" s="0" t="n">
        <f aca="false">F3711*E3711</f>
        <v>555</v>
      </c>
      <c r="K3711" s="0" t="str">
        <f aca="false">IF(G3711&lt;1000,"1-Low",IF(G3711&lt;5000,"2-Medium","3-Bulk"))</f>
        <v>1-Low</v>
      </c>
      <c r="L3711" s="0" t="str">
        <f aca="false">IF(H3711="TRUE","Out of stock","In stock")</f>
        <v>In stock</v>
      </c>
      <c r="M3711" s="0" t="str">
        <f aca="false">IF(D3711&lt;5,"1) Under 5%",IF(D3711&lt;10,"2) 5-9%",IF(D3711&lt;15,"3) 10-14%",IF(D3711&lt;25,"4) 15-24%","5) 25%+"))))</f>
        <v>1) Under 5%</v>
      </c>
      <c r="N3711" s="0" t="str">
        <f aca="false">IF(F3711&lt;50,"1) Under Rs 50",IF(F3711&lt;100,"2) Rs 50-99",IF(F3711&lt;200,"3) Rs 100-199",IF(F3711&lt;500,"4) Rs 200-499","5) Rs 500+"))))</f>
        <v>5) Rs 500+</v>
      </c>
      <c r="O3711" s="0" t="n">
        <f aca="false">G3711*E3711/1000</f>
        <v>0.06</v>
      </c>
    </row>
    <row r="3712" customFormat="false" ht="15" hidden="false" customHeight="false" outlineLevel="0" collapsed="false">
      <c r="A3712" s="0" t="s">
        <v>109</v>
      </c>
      <c r="B3712" s="0" t="s">
        <v>1796</v>
      </c>
      <c r="C3712" s="0" t="n">
        <v>99</v>
      </c>
      <c r="D3712" s="0" t="n">
        <v>0</v>
      </c>
      <c r="E3712" s="0" t="n">
        <v>1</v>
      </c>
      <c r="F3712" s="0" t="n">
        <v>99</v>
      </c>
      <c r="G3712" s="0" t="n">
        <v>250</v>
      </c>
      <c r="H3712" s="0" t="s">
        <v>145</v>
      </c>
      <c r="I3712" s="0" t="n">
        <v>25</v>
      </c>
      <c r="J3712" s="0" t="n">
        <f aca="false">F3712*E3712</f>
        <v>99</v>
      </c>
      <c r="K3712" s="0" t="str">
        <f aca="false">IF(G3712&lt;1000,"1-Low",IF(G3712&lt;5000,"2-Medium","3-Bulk"))</f>
        <v>1-Low</v>
      </c>
      <c r="L3712" s="0" t="str">
        <f aca="false">IF(H3712="TRUE","Out of stock","In stock")</f>
        <v>In stock</v>
      </c>
      <c r="M3712" s="0" t="str">
        <f aca="false">IF(D3712&lt;5,"1) Under 5%",IF(D3712&lt;10,"2) 5-9%",IF(D3712&lt;15,"3) 10-14%",IF(D3712&lt;25,"4) 15-24%","5) 25%+"))))</f>
        <v>1) Under 5%</v>
      </c>
      <c r="N3712" s="0" t="str">
        <f aca="false">IF(F3712&lt;50,"1) Under Rs 50",IF(F3712&lt;100,"2) Rs 50-99",IF(F3712&lt;200,"3) Rs 100-199",IF(F3712&lt;500,"4) Rs 200-499","5) Rs 500+"))))</f>
        <v>2) Rs 50-99</v>
      </c>
      <c r="O3712" s="0" t="n">
        <f aca="false">G3712*E3712/1000</f>
        <v>0.25</v>
      </c>
    </row>
    <row r="3713" customFormat="false" ht="15" hidden="false" customHeight="false" outlineLevel="0" collapsed="false">
      <c r="A3713" s="0" t="s">
        <v>109</v>
      </c>
      <c r="B3713" s="0" t="s">
        <v>1797</v>
      </c>
      <c r="C3713" s="0" t="n">
        <v>105</v>
      </c>
      <c r="D3713" s="0" t="n">
        <v>11</v>
      </c>
      <c r="E3713" s="0" t="n">
        <v>6</v>
      </c>
      <c r="F3713" s="0" t="n">
        <v>93</v>
      </c>
      <c r="G3713" s="0" t="n">
        <v>25</v>
      </c>
      <c r="H3713" s="0" t="s">
        <v>145</v>
      </c>
      <c r="I3713" s="0" t="n">
        <v>25</v>
      </c>
      <c r="J3713" s="0" t="n">
        <f aca="false">F3713*E3713</f>
        <v>558</v>
      </c>
      <c r="K3713" s="0" t="str">
        <f aca="false">IF(G3713&lt;1000,"1-Low",IF(G3713&lt;5000,"2-Medium","3-Bulk"))</f>
        <v>1-Low</v>
      </c>
      <c r="L3713" s="0" t="str">
        <f aca="false">IF(H3713="TRUE","Out of stock","In stock")</f>
        <v>In stock</v>
      </c>
      <c r="M3713" s="0" t="str">
        <f aca="false">IF(D3713&lt;5,"1) Under 5%",IF(D3713&lt;10,"2) 5-9%",IF(D3713&lt;15,"3) 10-14%",IF(D3713&lt;25,"4) 15-24%","5) 25%+"))))</f>
        <v>3) 10-14%</v>
      </c>
      <c r="N3713" s="0" t="str">
        <f aca="false">IF(F3713&lt;50,"1) Under Rs 50",IF(F3713&lt;100,"2) Rs 50-99",IF(F3713&lt;200,"3) Rs 100-199",IF(F3713&lt;500,"4) Rs 200-499","5) Rs 500+"))))</f>
        <v>2) Rs 50-99</v>
      </c>
      <c r="O3713" s="0" t="n">
        <f aca="false">G3713*E3713/1000</f>
        <v>0.15</v>
      </c>
    </row>
    <row r="3714" customFormat="false" ht="15" hidden="false" customHeight="false" outlineLevel="0" collapsed="false">
      <c r="A3714" s="0" t="s">
        <v>109</v>
      </c>
      <c r="B3714" s="0" t="s">
        <v>1520</v>
      </c>
      <c r="C3714" s="0" t="n">
        <v>375</v>
      </c>
      <c r="D3714" s="0" t="n">
        <v>0</v>
      </c>
      <c r="E3714" s="0" t="n">
        <v>2</v>
      </c>
      <c r="F3714" s="0" t="n">
        <v>375</v>
      </c>
      <c r="G3714" s="0" t="n">
        <v>116</v>
      </c>
      <c r="H3714" s="0" t="s">
        <v>145</v>
      </c>
      <c r="I3714" s="0" t="n">
        <v>2</v>
      </c>
      <c r="J3714" s="0" t="n">
        <f aca="false">F3714*E3714</f>
        <v>750</v>
      </c>
      <c r="K3714" s="0" t="str">
        <f aca="false">IF(G3714&lt;1000,"1-Low",IF(G3714&lt;5000,"2-Medium","3-Bulk"))</f>
        <v>1-Low</v>
      </c>
      <c r="L3714" s="0" t="str">
        <f aca="false">IF(H3714="TRUE","Out of stock","In stock")</f>
        <v>In stock</v>
      </c>
      <c r="M3714" s="0" t="str">
        <f aca="false">IF(D3714&lt;5,"1) Under 5%",IF(D3714&lt;10,"2) 5-9%",IF(D3714&lt;15,"3) 10-14%",IF(D3714&lt;25,"4) 15-24%","5) 25%+"))))</f>
        <v>1) Under 5%</v>
      </c>
      <c r="N3714" s="0" t="str">
        <f aca="false">IF(F3714&lt;50,"1) Under Rs 50",IF(F3714&lt;100,"2) Rs 50-99",IF(F3714&lt;200,"3) Rs 100-199",IF(F3714&lt;500,"4) Rs 200-499","5) Rs 500+"))))</f>
        <v>4) Rs 200-499</v>
      </c>
      <c r="O3714" s="0" t="n">
        <f aca="false">G3714*E3714/1000</f>
        <v>0.232</v>
      </c>
    </row>
    <row r="3715" customFormat="false" ht="15" hidden="false" customHeight="false" outlineLevel="0" collapsed="false">
      <c r="A3715" s="0" t="s">
        <v>109</v>
      </c>
      <c r="B3715" s="0" t="s">
        <v>1798</v>
      </c>
      <c r="C3715" s="0" t="n">
        <v>205</v>
      </c>
      <c r="D3715" s="0" t="n">
        <v>20</v>
      </c>
      <c r="E3715" s="0" t="n">
        <v>1</v>
      </c>
      <c r="F3715" s="0" t="n">
        <v>164</v>
      </c>
      <c r="G3715" s="0" t="n">
        <v>60</v>
      </c>
      <c r="H3715" s="0" t="s">
        <v>145</v>
      </c>
      <c r="I3715" s="0" t="n">
        <v>60</v>
      </c>
      <c r="J3715" s="0" t="n">
        <f aca="false">F3715*E3715</f>
        <v>164</v>
      </c>
      <c r="K3715" s="0" t="str">
        <f aca="false">IF(G3715&lt;1000,"1-Low",IF(G3715&lt;5000,"2-Medium","3-Bulk"))</f>
        <v>1-Low</v>
      </c>
      <c r="L3715" s="0" t="str">
        <f aca="false">IF(H3715="TRUE","Out of stock","In stock")</f>
        <v>In stock</v>
      </c>
      <c r="M3715" s="0" t="str">
        <f aca="false">IF(D3715&lt;5,"1) Under 5%",IF(D3715&lt;10,"2) 5-9%",IF(D3715&lt;15,"3) 10-14%",IF(D3715&lt;25,"4) 15-24%","5) 25%+"))))</f>
        <v>4) 15-24%</v>
      </c>
      <c r="N3715" s="0" t="str">
        <f aca="false">IF(F3715&lt;50,"1) Under Rs 50",IF(F3715&lt;100,"2) Rs 50-99",IF(F3715&lt;200,"3) Rs 100-199",IF(F3715&lt;500,"4) Rs 200-499","5) Rs 500+"))))</f>
        <v>3) Rs 100-199</v>
      </c>
      <c r="O3715" s="0" t="n">
        <f aca="false">G3715*E3715/1000</f>
        <v>0.06</v>
      </c>
    </row>
    <row r="3716" customFormat="false" ht="15" hidden="false" customHeight="false" outlineLevel="0" collapsed="false">
      <c r="A3716" s="0" t="s">
        <v>109</v>
      </c>
      <c r="B3716" s="0" t="s">
        <v>1799</v>
      </c>
      <c r="C3716" s="0" t="n">
        <v>270</v>
      </c>
      <c r="D3716" s="0" t="n">
        <v>0</v>
      </c>
      <c r="E3716" s="0" t="n">
        <v>2</v>
      </c>
      <c r="F3716" s="0" t="n">
        <v>270</v>
      </c>
      <c r="G3716" s="0" t="n">
        <v>200</v>
      </c>
      <c r="H3716" s="0" t="s">
        <v>145</v>
      </c>
      <c r="I3716" s="0" t="n">
        <v>200</v>
      </c>
      <c r="J3716" s="0" t="n">
        <f aca="false">F3716*E3716</f>
        <v>540</v>
      </c>
      <c r="K3716" s="0" t="str">
        <f aca="false">IF(G3716&lt;1000,"1-Low",IF(G3716&lt;5000,"2-Medium","3-Bulk"))</f>
        <v>1-Low</v>
      </c>
      <c r="L3716" s="0" t="str">
        <f aca="false">IF(H3716="TRUE","Out of stock","In stock")</f>
        <v>In stock</v>
      </c>
      <c r="M3716" s="0" t="str">
        <f aca="false">IF(D3716&lt;5,"1) Under 5%",IF(D3716&lt;10,"2) 5-9%",IF(D3716&lt;15,"3) 10-14%",IF(D3716&lt;25,"4) 15-24%","5) 25%+"))))</f>
        <v>1) Under 5%</v>
      </c>
      <c r="N3716" s="0" t="str">
        <f aca="false">IF(F3716&lt;50,"1) Under Rs 50",IF(F3716&lt;100,"2) Rs 50-99",IF(F3716&lt;200,"3) Rs 100-199",IF(F3716&lt;500,"4) Rs 200-499","5) Rs 500+"))))</f>
        <v>4) Rs 200-499</v>
      </c>
      <c r="O3716" s="0" t="n">
        <f aca="false">G3716*E3716/1000</f>
        <v>0.4</v>
      </c>
    </row>
    <row r="3717" customFormat="false" ht="15" hidden="false" customHeight="false" outlineLevel="0" collapsed="false">
      <c r="A3717" s="0" t="s">
        <v>109</v>
      </c>
      <c r="B3717" s="0" t="s">
        <v>1800</v>
      </c>
      <c r="C3717" s="0" t="n">
        <v>140</v>
      </c>
      <c r="D3717" s="0" t="n">
        <v>5</v>
      </c>
      <c r="E3717" s="0" t="n">
        <v>6</v>
      </c>
      <c r="F3717" s="0" t="n">
        <v>133</v>
      </c>
      <c r="G3717" s="0" t="n">
        <v>100</v>
      </c>
      <c r="H3717" s="0" t="s">
        <v>145</v>
      </c>
      <c r="I3717" s="0" t="n">
        <v>100</v>
      </c>
      <c r="J3717" s="0" t="n">
        <f aca="false">F3717*E3717</f>
        <v>798</v>
      </c>
      <c r="K3717" s="0" t="str">
        <f aca="false">IF(G3717&lt;1000,"1-Low",IF(G3717&lt;5000,"2-Medium","3-Bulk"))</f>
        <v>1-Low</v>
      </c>
      <c r="L3717" s="0" t="str">
        <f aca="false">IF(H3717="TRUE","Out of stock","In stock")</f>
        <v>In stock</v>
      </c>
      <c r="M3717" s="0" t="str">
        <f aca="false">IF(D3717&lt;5,"1) Under 5%",IF(D3717&lt;10,"2) 5-9%",IF(D3717&lt;15,"3) 10-14%",IF(D3717&lt;25,"4) 15-24%","5) 25%+"))))</f>
        <v>2) 5-9%</v>
      </c>
      <c r="N3717" s="0" t="str">
        <f aca="false">IF(F3717&lt;50,"1) Under Rs 50",IF(F3717&lt;100,"2) Rs 50-99",IF(F3717&lt;200,"3) Rs 100-199",IF(F3717&lt;500,"4) Rs 200-499","5) Rs 500+"))))</f>
        <v>3) Rs 100-199</v>
      </c>
      <c r="O3717" s="0" t="n">
        <f aca="false">G3717*E3717/1000</f>
        <v>0.6</v>
      </c>
    </row>
    <row r="3718" customFormat="false" ht="15" hidden="false" customHeight="false" outlineLevel="0" collapsed="false">
      <c r="A3718" s="0" t="s">
        <v>109</v>
      </c>
      <c r="B3718" s="0" t="s">
        <v>1801</v>
      </c>
      <c r="C3718" s="0" t="n">
        <v>400</v>
      </c>
      <c r="D3718" s="0" t="n">
        <v>15</v>
      </c>
      <c r="E3718" s="0" t="n">
        <v>1</v>
      </c>
      <c r="F3718" s="0" t="n">
        <v>340</v>
      </c>
      <c r="G3718" s="0" t="n">
        <v>1000</v>
      </c>
      <c r="H3718" s="0" t="s">
        <v>145</v>
      </c>
      <c r="I3718" s="0" t="n">
        <v>1</v>
      </c>
      <c r="J3718" s="0" t="n">
        <f aca="false">F3718*E3718</f>
        <v>340</v>
      </c>
      <c r="K3718" s="0" t="str">
        <f aca="false">IF(G3718&lt;1000,"1-Low",IF(G3718&lt;5000,"2-Medium","3-Bulk"))</f>
        <v>2-Medium</v>
      </c>
      <c r="L3718" s="0" t="str">
        <f aca="false">IF(H3718="TRUE","Out of stock","In stock")</f>
        <v>In stock</v>
      </c>
      <c r="M3718" s="0" t="str">
        <f aca="false">IF(D3718&lt;5,"1) Under 5%",IF(D3718&lt;10,"2) 5-9%",IF(D3718&lt;15,"3) 10-14%",IF(D3718&lt;25,"4) 15-24%","5) 25%+"))))</f>
        <v>4) 15-24%</v>
      </c>
      <c r="N3718" s="0" t="str">
        <f aca="false">IF(F3718&lt;50,"1) Under Rs 50",IF(F3718&lt;100,"2) Rs 50-99",IF(F3718&lt;200,"3) Rs 100-199",IF(F3718&lt;500,"4) Rs 200-499","5) Rs 500+"))))</f>
        <v>4) Rs 200-499</v>
      </c>
      <c r="O3718" s="0" t="n">
        <f aca="false">G3718*E3718/1000</f>
        <v>1</v>
      </c>
    </row>
    <row r="3719" customFormat="false" ht="15" hidden="false" customHeight="false" outlineLevel="0" collapsed="false">
      <c r="A3719" s="0" t="s">
        <v>109</v>
      </c>
      <c r="B3719" s="0" t="s">
        <v>1802</v>
      </c>
      <c r="C3719" s="0" t="n">
        <v>235</v>
      </c>
      <c r="D3719" s="0" t="n">
        <v>15</v>
      </c>
      <c r="E3719" s="0" t="n">
        <v>6</v>
      </c>
      <c r="F3719" s="0" t="n">
        <v>199</v>
      </c>
      <c r="G3719" s="0" t="n">
        <v>1000</v>
      </c>
      <c r="H3719" s="0" t="s">
        <v>145</v>
      </c>
      <c r="I3719" s="0" t="n">
        <v>1</v>
      </c>
      <c r="J3719" s="0" t="n">
        <f aca="false">F3719*E3719</f>
        <v>1194</v>
      </c>
      <c r="K3719" s="0" t="str">
        <f aca="false">IF(G3719&lt;1000,"1-Low",IF(G3719&lt;5000,"2-Medium","3-Bulk"))</f>
        <v>2-Medium</v>
      </c>
      <c r="L3719" s="0" t="str">
        <f aca="false">IF(H3719="TRUE","Out of stock","In stock")</f>
        <v>In stock</v>
      </c>
      <c r="M3719" s="0" t="str">
        <f aca="false">IF(D3719&lt;5,"1) Under 5%",IF(D3719&lt;10,"2) 5-9%",IF(D3719&lt;15,"3) 10-14%",IF(D3719&lt;25,"4) 15-24%","5) 25%+"))))</f>
        <v>4) 15-24%</v>
      </c>
      <c r="N3719" s="0" t="str">
        <f aca="false">IF(F3719&lt;50,"1) Under Rs 50",IF(F3719&lt;100,"2) Rs 50-99",IF(F3719&lt;200,"3) Rs 100-199",IF(F3719&lt;500,"4) Rs 200-499","5) Rs 500+"))))</f>
        <v>3) Rs 100-199</v>
      </c>
      <c r="O3719" s="0" t="n">
        <f aca="false">G3719*E3719/1000</f>
        <v>6</v>
      </c>
    </row>
    <row r="3720" customFormat="false" ht="15" hidden="false" customHeight="false" outlineLevel="0" collapsed="false">
      <c r="A3720" s="0" t="s">
        <v>109</v>
      </c>
      <c r="B3720" s="0" t="s">
        <v>1803</v>
      </c>
      <c r="C3720" s="0" t="n">
        <v>40</v>
      </c>
      <c r="D3720" s="0" t="n">
        <v>50</v>
      </c>
      <c r="E3720" s="0" t="n">
        <v>0</v>
      </c>
      <c r="F3720" s="0" t="n">
        <v>20</v>
      </c>
      <c r="G3720" s="0" t="n">
        <v>75</v>
      </c>
      <c r="H3720" s="0" t="s">
        <v>230</v>
      </c>
      <c r="I3720" s="0" t="n">
        <v>75</v>
      </c>
      <c r="J3720" s="0" t="n">
        <f aca="false">F3720*E3720</f>
        <v>0</v>
      </c>
      <c r="K3720" s="0" t="str">
        <f aca="false">IF(G3720&lt;1000,"1-Low",IF(G3720&lt;5000,"2-Medium","3-Bulk"))</f>
        <v>1-Low</v>
      </c>
      <c r="L3720" s="0" t="str">
        <f aca="false">IF(H3720="TRUE","Out of stock","In stock")</f>
        <v>Out of stock</v>
      </c>
      <c r="M3720" s="0" t="str">
        <f aca="false">IF(D3720&lt;5,"1) Under 5%",IF(D3720&lt;10,"2) 5-9%",IF(D3720&lt;15,"3) 10-14%",IF(D3720&lt;25,"4) 15-24%","5) 25%+"))))</f>
        <v>5) 25%+</v>
      </c>
      <c r="N3720" s="0" t="str">
        <f aca="false">IF(F3720&lt;50,"1) Under Rs 50",IF(F3720&lt;100,"2) Rs 50-99",IF(F3720&lt;200,"3) Rs 100-199",IF(F3720&lt;500,"4) Rs 200-499","5) Rs 500+"))))</f>
        <v>1) Under Rs 50</v>
      </c>
      <c r="O3720" s="0" t="n">
        <f aca="false">G3720*E3720/1000</f>
        <v>0</v>
      </c>
    </row>
    <row r="3721" customFormat="false" ht="15" hidden="false" customHeight="false" outlineLevel="0" collapsed="false">
      <c r="A3721" s="0" t="s">
        <v>109</v>
      </c>
      <c r="B3721" s="0" t="s">
        <v>1732</v>
      </c>
      <c r="C3721" s="0" t="n">
        <v>116</v>
      </c>
      <c r="D3721" s="0" t="n">
        <v>0</v>
      </c>
      <c r="E3721" s="0" t="n">
        <v>0</v>
      </c>
      <c r="F3721" s="0" t="n">
        <v>116</v>
      </c>
      <c r="G3721" s="0" t="n">
        <v>250</v>
      </c>
      <c r="H3721" s="0" t="s">
        <v>230</v>
      </c>
      <c r="I3721" s="0" t="n">
        <v>250</v>
      </c>
      <c r="J3721" s="0" t="n">
        <f aca="false">F3721*E3721</f>
        <v>0</v>
      </c>
      <c r="K3721" s="0" t="str">
        <f aca="false">IF(G3721&lt;1000,"1-Low",IF(G3721&lt;5000,"2-Medium","3-Bulk"))</f>
        <v>1-Low</v>
      </c>
      <c r="L3721" s="0" t="str">
        <f aca="false">IF(H3721="TRUE","Out of stock","In stock")</f>
        <v>Out of stock</v>
      </c>
      <c r="M3721" s="0" t="str">
        <f aca="false">IF(D3721&lt;5,"1) Under 5%",IF(D3721&lt;10,"2) 5-9%",IF(D3721&lt;15,"3) 10-14%",IF(D3721&lt;25,"4) 15-24%","5) 25%+"))))</f>
        <v>1) Under 5%</v>
      </c>
      <c r="N3721" s="0" t="str">
        <f aca="false">IF(F3721&lt;50,"1) Under Rs 50",IF(F3721&lt;100,"2) Rs 50-99",IF(F3721&lt;200,"3) Rs 100-199",IF(F3721&lt;500,"4) Rs 200-499","5) Rs 500+"))))</f>
        <v>3) Rs 100-199</v>
      </c>
      <c r="O3721" s="0" t="n">
        <f aca="false">G3721*E3721/1000</f>
        <v>0</v>
      </c>
    </row>
    <row r="3722" customFormat="false" ht="15" hidden="false" customHeight="false" outlineLevel="0" collapsed="false">
      <c r="A3722" s="0" t="s">
        <v>109</v>
      </c>
      <c r="B3722" s="0" t="s">
        <v>1547</v>
      </c>
      <c r="C3722" s="0" t="n">
        <v>30</v>
      </c>
      <c r="D3722" s="0" t="n">
        <v>3</v>
      </c>
      <c r="E3722" s="0" t="n">
        <v>0</v>
      </c>
      <c r="F3722" s="0" t="n">
        <v>29</v>
      </c>
      <c r="G3722" s="0" t="n">
        <v>406</v>
      </c>
      <c r="H3722" s="0" t="s">
        <v>230</v>
      </c>
      <c r="I3722" s="0" t="n">
        <v>7</v>
      </c>
      <c r="J3722" s="0" t="n">
        <f aca="false">F3722*E3722</f>
        <v>0</v>
      </c>
      <c r="K3722" s="0" t="str">
        <f aca="false">IF(G3722&lt;1000,"1-Low",IF(G3722&lt;5000,"2-Medium","3-Bulk"))</f>
        <v>1-Low</v>
      </c>
      <c r="L3722" s="0" t="str">
        <f aca="false">IF(H3722="TRUE","Out of stock","In stock")</f>
        <v>Out of stock</v>
      </c>
      <c r="M3722" s="0" t="str">
        <f aca="false">IF(D3722&lt;5,"1) Under 5%",IF(D3722&lt;10,"2) 5-9%",IF(D3722&lt;15,"3) 10-14%",IF(D3722&lt;25,"4) 15-24%","5) 25%+"))))</f>
        <v>1) Under 5%</v>
      </c>
      <c r="N3722" s="0" t="str">
        <f aca="false">IF(F3722&lt;50,"1) Under Rs 50",IF(F3722&lt;100,"2) Rs 50-99",IF(F3722&lt;200,"3) Rs 100-199",IF(F3722&lt;500,"4) Rs 200-499","5) Rs 500+"))))</f>
        <v>1) Under Rs 50</v>
      </c>
      <c r="O3722" s="0" t="n">
        <f aca="false">G3722*E3722/1000</f>
        <v>0</v>
      </c>
    </row>
    <row r="3723" customFormat="false" ht="15" hidden="false" customHeight="false" outlineLevel="0" collapsed="false">
      <c r="A3723" s="0" t="s">
        <v>109</v>
      </c>
      <c r="B3723" s="0" t="s">
        <v>1804</v>
      </c>
      <c r="C3723" s="0" t="n">
        <v>54</v>
      </c>
      <c r="D3723" s="0" t="n">
        <v>11</v>
      </c>
      <c r="E3723" s="0" t="n">
        <v>0</v>
      </c>
      <c r="F3723" s="0" t="n">
        <v>48</v>
      </c>
      <c r="G3723" s="0" t="n">
        <v>5</v>
      </c>
      <c r="H3723" s="0" t="s">
        <v>230</v>
      </c>
      <c r="I3723" s="0" t="n">
        <v>5</v>
      </c>
      <c r="J3723" s="0" t="n">
        <f aca="false">F3723*E3723</f>
        <v>0</v>
      </c>
      <c r="K3723" s="0" t="str">
        <f aca="false">IF(G3723&lt;1000,"1-Low",IF(G3723&lt;5000,"2-Medium","3-Bulk"))</f>
        <v>1-Low</v>
      </c>
      <c r="L3723" s="0" t="str">
        <f aca="false">IF(H3723="TRUE","Out of stock","In stock")</f>
        <v>Out of stock</v>
      </c>
      <c r="M3723" s="0" t="str">
        <f aca="false">IF(D3723&lt;5,"1) Under 5%",IF(D3723&lt;10,"2) 5-9%",IF(D3723&lt;15,"3) 10-14%",IF(D3723&lt;25,"4) 15-24%","5) 25%+"))))</f>
        <v>3) 10-14%</v>
      </c>
      <c r="N3723" s="0" t="str">
        <f aca="false">IF(F3723&lt;50,"1) Under Rs 50",IF(F3723&lt;100,"2) Rs 50-99",IF(F3723&lt;200,"3) Rs 100-199",IF(F3723&lt;500,"4) Rs 200-499","5) Rs 500+"))))</f>
        <v>1) Under Rs 50</v>
      </c>
      <c r="O3723" s="0" t="n">
        <f aca="false">G3723*E3723/1000</f>
        <v>0</v>
      </c>
    </row>
    <row r="3724" customFormat="false" ht="15" hidden="false" customHeight="false" outlineLevel="0" collapsed="false">
      <c r="A3724" s="0" t="s">
        <v>109</v>
      </c>
      <c r="B3724" s="0" t="s">
        <v>1552</v>
      </c>
      <c r="C3724" s="0" t="n">
        <v>32</v>
      </c>
      <c r="D3724" s="0" t="n">
        <v>9</v>
      </c>
      <c r="E3724" s="0" t="n">
        <v>0</v>
      </c>
      <c r="F3724" s="0" t="n">
        <v>29</v>
      </c>
      <c r="G3724" s="0" t="n">
        <v>406</v>
      </c>
      <c r="H3724" s="0" t="s">
        <v>230</v>
      </c>
      <c r="I3724" s="0" t="n">
        <v>7</v>
      </c>
      <c r="J3724" s="0" t="n">
        <f aca="false">F3724*E3724</f>
        <v>0</v>
      </c>
      <c r="K3724" s="0" t="str">
        <f aca="false">IF(G3724&lt;1000,"1-Low",IF(G3724&lt;5000,"2-Medium","3-Bulk"))</f>
        <v>1-Low</v>
      </c>
      <c r="L3724" s="0" t="str">
        <f aca="false">IF(H3724="TRUE","Out of stock","In stock")</f>
        <v>Out of stock</v>
      </c>
      <c r="M3724" s="0" t="str">
        <f aca="false">IF(D3724&lt;5,"1) Under 5%",IF(D3724&lt;10,"2) 5-9%",IF(D3724&lt;15,"3) 10-14%",IF(D3724&lt;25,"4) 15-24%","5) 25%+"))))</f>
        <v>2) 5-9%</v>
      </c>
      <c r="N3724" s="0" t="str">
        <f aca="false">IF(F3724&lt;50,"1) Under Rs 50",IF(F3724&lt;100,"2) Rs 50-99",IF(F3724&lt;200,"3) Rs 100-199",IF(F3724&lt;500,"4) Rs 200-499","5) Rs 500+"))))</f>
        <v>1) Under Rs 50</v>
      </c>
      <c r="O3724" s="0" t="n">
        <f aca="false">G3724*E3724/1000</f>
        <v>0</v>
      </c>
    </row>
    <row r="3725" customFormat="false" ht="15" hidden="false" customHeight="false" outlineLevel="0" collapsed="false">
      <c r="A3725" s="0" t="s">
        <v>109</v>
      </c>
      <c r="B3725" s="0" t="s">
        <v>1551</v>
      </c>
      <c r="C3725" s="0" t="n">
        <v>90</v>
      </c>
      <c r="D3725" s="0" t="n">
        <v>0</v>
      </c>
      <c r="E3725" s="0" t="n">
        <v>0</v>
      </c>
      <c r="F3725" s="0" t="n">
        <v>90</v>
      </c>
      <c r="G3725" s="0" t="n">
        <v>406</v>
      </c>
      <c r="H3725" s="0" t="s">
        <v>230</v>
      </c>
      <c r="I3725" s="0" t="n">
        <v>7</v>
      </c>
      <c r="J3725" s="0" t="n">
        <f aca="false">F3725*E3725</f>
        <v>0</v>
      </c>
      <c r="K3725" s="0" t="str">
        <f aca="false">IF(G3725&lt;1000,"1-Low",IF(G3725&lt;5000,"2-Medium","3-Bulk"))</f>
        <v>1-Low</v>
      </c>
      <c r="L3725" s="0" t="str">
        <f aca="false">IF(H3725="TRUE","Out of stock","In stock")</f>
        <v>Out of stock</v>
      </c>
      <c r="M3725" s="0" t="str">
        <f aca="false">IF(D3725&lt;5,"1) Under 5%",IF(D3725&lt;10,"2) 5-9%",IF(D3725&lt;15,"3) 10-14%",IF(D3725&lt;25,"4) 15-24%","5) 25%+"))))</f>
        <v>1) Under 5%</v>
      </c>
      <c r="N3725" s="0" t="str">
        <f aca="false">IF(F3725&lt;50,"1) Under Rs 50",IF(F3725&lt;100,"2) Rs 50-99",IF(F3725&lt;200,"3) Rs 100-199",IF(F3725&lt;500,"4) Rs 200-499","5) Rs 500+"))))</f>
        <v>2) Rs 50-99</v>
      </c>
      <c r="O3725" s="0" t="n">
        <f aca="false">G3725*E3725/1000</f>
        <v>0</v>
      </c>
    </row>
    <row r="3726" customFormat="false" ht="15" hidden="false" customHeight="false" outlineLevel="0" collapsed="false">
      <c r="A3726" s="0" t="s">
        <v>109</v>
      </c>
      <c r="B3726" s="0" t="s">
        <v>1554</v>
      </c>
      <c r="C3726" s="0" t="n">
        <v>249</v>
      </c>
      <c r="D3726" s="0" t="n">
        <v>7</v>
      </c>
      <c r="E3726" s="0" t="n">
        <v>0</v>
      </c>
      <c r="F3726" s="0" t="n">
        <v>230</v>
      </c>
      <c r="G3726" s="0" t="n">
        <v>58</v>
      </c>
      <c r="H3726" s="0" t="s">
        <v>230</v>
      </c>
      <c r="I3726" s="0" t="n">
        <v>1</v>
      </c>
      <c r="J3726" s="0" t="n">
        <f aca="false">F3726*E3726</f>
        <v>0</v>
      </c>
      <c r="K3726" s="0" t="str">
        <f aca="false">IF(G3726&lt;1000,"1-Low",IF(G3726&lt;5000,"2-Medium","3-Bulk"))</f>
        <v>1-Low</v>
      </c>
      <c r="L3726" s="0" t="str">
        <f aca="false">IF(H3726="TRUE","Out of stock","In stock")</f>
        <v>Out of stock</v>
      </c>
      <c r="M3726" s="0" t="str">
        <f aca="false">IF(D3726&lt;5,"1) Under 5%",IF(D3726&lt;10,"2) 5-9%",IF(D3726&lt;15,"3) 10-14%",IF(D3726&lt;25,"4) 15-24%","5) 25%+"))))</f>
        <v>2) 5-9%</v>
      </c>
      <c r="N3726" s="0" t="str">
        <f aca="false">IF(F3726&lt;50,"1) Under Rs 50",IF(F3726&lt;100,"2) Rs 50-99",IF(F3726&lt;200,"3) Rs 100-199",IF(F3726&lt;500,"4) Rs 200-499","5) Rs 500+"))))</f>
        <v>4) Rs 200-499</v>
      </c>
      <c r="O3726" s="0" t="n">
        <f aca="false">G3726*E3726/1000</f>
        <v>0</v>
      </c>
    </row>
    <row r="3727" customFormat="false" ht="15" hidden="false" customHeight="false" outlineLevel="0" collapsed="false">
      <c r="A3727" s="0" t="s">
        <v>109</v>
      </c>
      <c r="B3727" s="0" t="s">
        <v>1324</v>
      </c>
      <c r="C3727" s="0" t="n">
        <v>90</v>
      </c>
      <c r="D3727" s="0" t="n">
        <v>3</v>
      </c>
      <c r="E3727" s="0" t="n">
        <v>0</v>
      </c>
      <c r="F3727" s="0" t="n">
        <v>87</v>
      </c>
      <c r="G3727" s="0" t="n">
        <v>58</v>
      </c>
      <c r="H3727" s="0" t="s">
        <v>230</v>
      </c>
      <c r="I3727" s="0" t="n">
        <v>20</v>
      </c>
      <c r="J3727" s="0" t="n">
        <f aca="false">F3727*E3727</f>
        <v>0</v>
      </c>
      <c r="K3727" s="0" t="str">
        <f aca="false">IF(G3727&lt;1000,"1-Low",IF(G3727&lt;5000,"2-Medium","3-Bulk"))</f>
        <v>1-Low</v>
      </c>
      <c r="L3727" s="0" t="str">
        <f aca="false">IF(H3727="TRUE","Out of stock","In stock")</f>
        <v>Out of stock</v>
      </c>
      <c r="M3727" s="0" t="str">
        <f aca="false">IF(D3727&lt;5,"1) Under 5%",IF(D3727&lt;10,"2) 5-9%",IF(D3727&lt;15,"3) 10-14%",IF(D3727&lt;25,"4) 15-24%","5) 25%+"))))</f>
        <v>1) Under 5%</v>
      </c>
      <c r="N3727" s="0" t="str">
        <f aca="false">IF(F3727&lt;50,"1) Under Rs 50",IF(F3727&lt;100,"2) Rs 50-99",IF(F3727&lt;200,"3) Rs 100-199",IF(F3727&lt;500,"4) Rs 200-499","5) Rs 500+"))))</f>
        <v>2) Rs 50-99</v>
      </c>
      <c r="O3727" s="0" t="n">
        <f aca="false">G3727*E3727/1000</f>
        <v>0</v>
      </c>
    </row>
    <row r="3728" customFormat="false" ht="15" hidden="false" customHeight="false" outlineLevel="0" collapsed="false">
      <c r="A3728" s="0" t="s">
        <v>109</v>
      </c>
      <c r="B3728" s="0" t="s">
        <v>1555</v>
      </c>
      <c r="C3728" s="0" t="n">
        <v>42</v>
      </c>
      <c r="D3728" s="0" t="n">
        <v>2</v>
      </c>
      <c r="E3728" s="0" t="n">
        <v>0</v>
      </c>
      <c r="F3728" s="0" t="n">
        <v>41</v>
      </c>
      <c r="G3728" s="0" t="n">
        <v>406</v>
      </c>
      <c r="H3728" s="0" t="s">
        <v>230</v>
      </c>
      <c r="I3728" s="0" t="n">
        <v>7</v>
      </c>
      <c r="J3728" s="0" t="n">
        <f aca="false">F3728*E3728</f>
        <v>0</v>
      </c>
      <c r="K3728" s="0" t="str">
        <f aca="false">IF(G3728&lt;1000,"1-Low",IF(G3728&lt;5000,"2-Medium","3-Bulk"))</f>
        <v>1-Low</v>
      </c>
      <c r="L3728" s="0" t="str">
        <f aca="false">IF(H3728="TRUE","Out of stock","In stock")</f>
        <v>Out of stock</v>
      </c>
      <c r="M3728" s="0" t="str">
        <f aca="false">IF(D3728&lt;5,"1) Under 5%",IF(D3728&lt;10,"2) 5-9%",IF(D3728&lt;15,"3) 10-14%",IF(D3728&lt;25,"4) 15-24%","5) 25%+"))))</f>
        <v>1) Under 5%</v>
      </c>
      <c r="N3728" s="0" t="str">
        <f aca="false">IF(F3728&lt;50,"1) Under Rs 50",IF(F3728&lt;100,"2) Rs 50-99",IF(F3728&lt;200,"3) Rs 100-199",IF(F3728&lt;500,"4) Rs 200-499","5) Rs 500+"))))</f>
        <v>1) Under Rs 50</v>
      </c>
      <c r="O3728" s="0" t="n">
        <f aca="false">G3728*E3728/1000</f>
        <v>0</v>
      </c>
    </row>
    <row r="3729" customFormat="false" ht="15" hidden="false" customHeight="false" outlineLevel="0" collapsed="false">
      <c r="A3729" s="0" t="s">
        <v>109</v>
      </c>
      <c r="B3729" s="0" t="s">
        <v>1805</v>
      </c>
      <c r="C3729" s="0" t="n">
        <v>105</v>
      </c>
      <c r="D3729" s="0" t="n">
        <v>15</v>
      </c>
      <c r="E3729" s="0" t="n">
        <v>0</v>
      </c>
      <c r="F3729" s="0" t="n">
        <v>89</v>
      </c>
      <c r="G3729" s="0" t="n">
        <v>100</v>
      </c>
      <c r="H3729" s="0" t="s">
        <v>230</v>
      </c>
      <c r="I3729" s="0" t="n">
        <v>100</v>
      </c>
      <c r="J3729" s="0" t="n">
        <f aca="false">F3729*E3729</f>
        <v>0</v>
      </c>
      <c r="K3729" s="0" t="str">
        <f aca="false">IF(G3729&lt;1000,"1-Low",IF(G3729&lt;5000,"2-Medium","3-Bulk"))</f>
        <v>1-Low</v>
      </c>
      <c r="L3729" s="0" t="str">
        <f aca="false">IF(H3729="TRUE","Out of stock","In stock")</f>
        <v>Out of stock</v>
      </c>
      <c r="M3729" s="0" t="str">
        <f aca="false">IF(D3729&lt;5,"1) Under 5%",IF(D3729&lt;10,"2) 5-9%",IF(D3729&lt;15,"3) 10-14%",IF(D3729&lt;25,"4) 15-24%","5) 25%+"))))</f>
        <v>4) 15-24%</v>
      </c>
      <c r="N3729" s="0" t="str">
        <f aca="false">IF(F3729&lt;50,"1) Under Rs 50",IF(F3729&lt;100,"2) Rs 50-99",IF(F3729&lt;200,"3) Rs 100-199",IF(F3729&lt;500,"4) Rs 200-499","5) Rs 500+"))))</f>
        <v>2) Rs 50-99</v>
      </c>
      <c r="O3729" s="0" t="n">
        <f aca="false">G3729*E3729/1000</f>
        <v>0</v>
      </c>
    </row>
    <row r="3730" customFormat="false" ht="15" hidden="false" customHeight="false" outlineLevel="0" collapsed="false">
      <c r="A3730" s="0" t="s">
        <v>109</v>
      </c>
      <c r="B3730" s="0" t="s">
        <v>1560</v>
      </c>
      <c r="C3730" s="0" t="n">
        <v>185</v>
      </c>
      <c r="D3730" s="0" t="n">
        <v>0</v>
      </c>
      <c r="E3730" s="0" t="n">
        <v>0</v>
      </c>
      <c r="F3730" s="0" t="n">
        <v>185</v>
      </c>
      <c r="G3730" s="0" t="n">
        <v>870</v>
      </c>
      <c r="H3730" s="0" t="s">
        <v>230</v>
      </c>
      <c r="I3730" s="0" t="n">
        <v>15</v>
      </c>
      <c r="J3730" s="0" t="n">
        <f aca="false">F3730*E3730</f>
        <v>0</v>
      </c>
      <c r="K3730" s="0" t="str">
        <f aca="false">IF(G3730&lt;1000,"1-Low",IF(G3730&lt;5000,"2-Medium","3-Bulk"))</f>
        <v>1-Low</v>
      </c>
      <c r="L3730" s="0" t="str">
        <f aca="false">IF(H3730="TRUE","Out of stock","In stock")</f>
        <v>Out of stock</v>
      </c>
      <c r="M3730" s="0" t="str">
        <f aca="false">IF(D3730&lt;5,"1) Under 5%",IF(D3730&lt;10,"2) 5-9%",IF(D3730&lt;15,"3) 10-14%",IF(D3730&lt;25,"4) 15-24%","5) 25%+"))))</f>
        <v>1) Under 5%</v>
      </c>
      <c r="N3730" s="0" t="str">
        <f aca="false">IF(F3730&lt;50,"1) Under Rs 50",IF(F3730&lt;100,"2) Rs 50-99",IF(F3730&lt;200,"3) Rs 100-199",IF(F3730&lt;500,"4) Rs 200-499","5) Rs 500+"))))</f>
        <v>3) Rs 100-199</v>
      </c>
      <c r="O3730" s="0" t="n">
        <f aca="false">G3730*E3730/1000</f>
        <v>0</v>
      </c>
    </row>
    <row r="3731" customFormat="false" ht="15" hidden="false" customHeight="false" outlineLevel="0" collapsed="false">
      <c r="A3731" s="0" t="s">
        <v>109</v>
      </c>
      <c r="B3731" s="0" t="s">
        <v>1774</v>
      </c>
      <c r="C3731" s="0" t="n">
        <v>60</v>
      </c>
      <c r="D3731" s="0" t="n">
        <v>0</v>
      </c>
      <c r="E3731" s="0" t="n">
        <v>0</v>
      </c>
      <c r="F3731" s="0" t="n">
        <v>60</v>
      </c>
      <c r="G3731" s="0" t="n">
        <v>50</v>
      </c>
      <c r="H3731" s="0" t="s">
        <v>230</v>
      </c>
      <c r="I3731" s="0" t="n">
        <v>50</v>
      </c>
      <c r="J3731" s="0" t="n">
        <f aca="false">F3731*E3731</f>
        <v>0</v>
      </c>
      <c r="K3731" s="0" t="str">
        <f aca="false">IF(G3731&lt;1000,"1-Low",IF(G3731&lt;5000,"2-Medium","3-Bulk"))</f>
        <v>1-Low</v>
      </c>
      <c r="L3731" s="0" t="str">
        <f aca="false">IF(H3731="TRUE","Out of stock","In stock")</f>
        <v>Out of stock</v>
      </c>
      <c r="M3731" s="0" t="str">
        <f aca="false">IF(D3731&lt;5,"1) Under 5%",IF(D3731&lt;10,"2) 5-9%",IF(D3731&lt;15,"3) 10-14%",IF(D3731&lt;25,"4) 15-24%","5) 25%+"))))</f>
        <v>1) Under 5%</v>
      </c>
      <c r="N3731" s="0" t="str">
        <f aca="false">IF(F3731&lt;50,"1) Under Rs 50",IF(F3731&lt;100,"2) Rs 50-99",IF(F3731&lt;200,"3) Rs 100-199",IF(F3731&lt;500,"4) Rs 200-499","5) Rs 500+"))))</f>
        <v>2) Rs 50-99</v>
      </c>
      <c r="O3731" s="0" t="n">
        <f aca="false">G3731*E3731/1000</f>
        <v>0</v>
      </c>
    </row>
    <row r="3732" customFormat="false" ht="15" hidden="false" customHeight="false" outlineLevel="0" collapsed="false">
      <c r="A3732" s="0" t="s">
        <v>109</v>
      </c>
      <c r="B3732" s="0" t="s">
        <v>1594</v>
      </c>
      <c r="C3732" s="0" t="n">
        <v>30</v>
      </c>
      <c r="D3732" s="0" t="n">
        <v>0</v>
      </c>
      <c r="E3732" s="0" t="n">
        <v>0</v>
      </c>
      <c r="F3732" s="0" t="n">
        <v>30</v>
      </c>
      <c r="G3732" s="0" t="n">
        <v>60</v>
      </c>
      <c r="H3732" s="0" t="s">
        <v>230</v>
      </c>
      <c r="I3732" s="0" t="n">
        <v>60</v>
      </c>
      <c r="J3732" s="0" t="n">
        <f aca="false">F3732*E3732</f>
        <v>0</v>
      </c>
      <c r="K3732" s="0" t="str">
        <f aca="false">IF(G3732&lt;1000,"1-Low",IF(G3732&lt;5000,"2-Medium","3-Bulk"))</f>
        <v>1-Low</v>
      </c>
      <c r="L3732" s="0" t="str">
        <f aca="false">IF(H3732="TRUE","Out of stock","In stock")</f>
        <v>Out of stock</v>
      </c>
      <c r="M3732" s="0" t="str">
        <f aca="false">IF(D3732&lt;5,"1) Under 5%",IF(D3732&lt;10,"2) 5-9%",IF(D3732&lt;15,"3) 10-14%",IF(D3732&lt;25,"4) 15-24%","5) 25%+"))))</f>
        <v>1) Under 5%</v>
      </c>
      <c r="N3732" s="0" t="str">
        <f aca="false">IF(F3732&lt;50,"1) Under Rs 50",IF(F3732&lt;100,"2) Rs 50-99",IF(F3732&lt;200,"3) Rs 100-199",IF(F3732&lt;500,"4) Rs 200-499","5) Rs 500+"))))</f>
        <v>1) Under Rs 50</v>
      </c>
      <c r="O3732" s="0" t="n">
        <f aca="false">G3732*E3732/1000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C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4"/>
  </cols>
  <sheetData>
    <row r="1" customFormat="false" ht="15" hidden="false" customHeight="false" outlineLevel="0" collapsed="false">
      <c r="A1" s="18" t="s">
        <v>1806</v>
      </c>
    </row>
    <row r="3" customFormat="false" ht="15" hidden="false" customHeight="false" outlineLevel="0" collapsed="false">
      <c r="A3" s="5" t="s">
        <v>140</v>
      </c>
      <c r="B3" s="19" t="s">
        <v>1807</v>
      </c>
    </row>
    <row r="4" customFormat="false" ht="15" hidden="false" customHeight="false" outlineLevel="0" collapsed="false">
      <c r="A4" s="5" t="s">
        <v>139</v>
      </c>
      <c r="B4" s="19" t="s">
        <v>1807</v>
      </c>
    </row>
    <row r="5" customFormat="false" ht="15" hidden="false" customHeight="false" outlineLevel="0" collapsed="false">
      <c r="A5" s="5" t="s">
        <v>141</v>
      </c>
      <c r="B5" s="19" t="s">
        <v>1807</v>
      </c>
    </row>
    <row r="7" customFormat="false" ht="15" hidden="false" customHeight="false" outlineLevel="0" collapsed="false">
      <c r="A7" s="20" t="s">
        <v>1808</v>
      </c>
      <c r="B7" s="20" t="s">
        <v>1809</v>
      </c>
      <c r="C7" s="20" t="s">
        <v>1810</v>
      </c>
    </row>
    <row r="8" customFormat="false" ht="15" hidden="false" customHeight="false" outlineLevel="0" collapsed="false">
      <c r="A8" s="19" t="s">
        <v>74</v>
      </c>
      <c r="B8" s="21" t="n">
        <v>55051</v>
      </c>
      <c r="C8" s="22" t="n">
        <v>7.15503875968992</v>
      </c>
    </row>
    <row r="9" customFormat="false" ht="15" hidden="false" customHeight="false" outlineLevel="0" collapsed="false">
      <c r="A9" s="19" t="s">
        <v>82</v>
      </c>
      <c r="B9" s="21" t="n">
        <v>25007.6</v>
      </c>
      <c r="C9" s="22" t="n">
        <v>8.24489795918367</v>
      </c>
    </row>
    <row r="10" customFormat="false" ht="15" hidden="false" customHeight="false" outlineLevel="0" collapsed="false">
      <c r="A10" s="19" t="s">
        <v>90</v>
      </c>
      <c r="B10" s="21" t="n">
        <v>224385</v>
      </c>
      <c r="C10" s="22" t="n">
        <v>8.32474226804124</v>
      </c>
    </row>
    <row r="11" customFormat="false" ht="15" hidden="false" customHeight="false" outlineLevel="0" collapsed="false">
      <c r="A11" s="19" t="s">
        <v>96</v>
      </c>
      <c r="B11" s="21" t="n">
        <v>337369</v>
      </c>
      <c r="C11" s="22" t="n">
        <v>7.16342412451362</v>
      </c>
    </row>
    <row r="12" customFormat="false" ht="15" hidden="false" customHeight="false" outlineLevel="0" collapsed="false">
      <c r="A12" s="19" t="s">
        <v>101</v>
      </c>
      <c r="B12" s="21" t="n">
        <v>55051</v>
      </c>
      <c r="C12" s="22" t="n">
        <v>7.15503875968992</v>
      </c>
    </row>
    <row r="13" customFormat="false" ht="15" hidden="false" customHeight="false" outlineLevel="0" collapsed="false">
      <c r="A13" s="19" t="s">
        <v>106</v>
      </c>
      <c r="B13" s="21" t="n">
        <v>10846</v>
      </c>
      <c r="C13" s="22" t="n">
        <v>15.4623655913979</v>
      </c>
    </row>
    <row r="14" customFormat="false" ht="15" hidden="false" customHeight="false" outlineLevel="0" collapsed="false">
      <c r="A14" s="19" t="s">
        <v>109</v>
      </c>
      <c r="B14" s="21" t="n">
        <v>64180</v>
      </c>
      <c r="C14" s="22" t="n">
        <v>8.05154639175258</v>
      </c>
    </row>
    <row r="15" customFormat="false" ht="15" hidden="false" customHeight="false" outlineLevel="0" collapsed="false">
      <c r="A15" s="19" t="s">
        <v>111</v>
      </c>
      <c r="B15" s="21" t="n">
        <v>122661</v>
      </c>
      <c r="C15" s="22" t="n">
        <v>5.70466321243523</v>
      </c>
    </row>
    <row r="16" customFormat="false" ht="15" hidden="false" customHeight="false" outlineLevel="0" collapsed="false">
      <c r="A16" s="19" t="s">
        <v>113</v>
      </c>
      <c r="B16" s="21" t="n">
        <v>224385</v>
      </c>
      <c r="C16" s="22" t="n">
        <v>8.32474226804124</v>
      </c>
    </row>
    <row r="17" customFormat="false" ht="15" hidden="false" customHeight="false" outlineLevel="0" collapsed="false">
      <c r="A17" s="19" t="s">
        <v>115</v>
      </c>
      <c r="B17" s="21" t="n">
        <v>20693</v>
      </c>
      <c r="C17" s="22" t="n">
        <v>11.031746031746</v>
      </c>
    </row>
    <row r="18" customFormat="false" ht="15" hidden="false" customHeight="false" outlineLevel="0" collapsed="false">
      <c r="A18" s="19" t="s">
        <v>117</v>
      </c>
      <c r="B18" s="21" t="n">
        <v>337369</v>
      </c>
      <c r="C18" s="22" t="n">
        <v>7.16342412451362</v>
      </c>
    </row>
    <row r="19" customFormat="false" ht="15" hidden="false" customHeight="false" outlineLevel="0" collapsed="false">
      <c r="A19" s="19" t="s">
        <v>119</v>
      </c>
      <c r="B19" s="21" t="n">
        <v>270849</v>
      </c>
      <c r="C19" s="22" t="n">
        <v>6.25</v>
      </c>
    </row>
    <row r="20" customFormat="false" ht="15" hidden="false" customHeight="false" outlineLevel="0" collapsed="false">
      <c r="A20" s="19" t="s">
        <v>121</v>
      </c>
      <c r="B20" s="21" t="n">
        <v>224385</v>
      </c>
      <c r="C20" s="22" t="n">
        <v>8.32474226804124</v>
      </c>
    </row>
    <row r="21" customFormat="false" ht="15" hidden="false" customHeight="false" outlineLevel="0" collapsed="false">
      <c r="A21" s="19" t="s">
        <v>123</v>
      </c>
      <c r="B21" s="21" t="n">
        <v>270849</v>
      </c>
      <c r="C21" s="22" t="n">
        <v>6.25</v>
      </c>
    </row>
    <row r="22" customFormat="false" ht="15" hidden="false" customHeight="false" outlineLevel="0" collapsed="false">
      <c r="A22" s="5" t="s">
        <v>1811</v>
      </c>
      <c r="B22" s="23" t="n">
        <v>2243080.6</v>
      </c>
      <c r="C22" s="24" t="n">
        <v>7.61913696060038</v>
      </c>
    </row>
    <row r="25" customFormat="false" ht="15" hidden="false" customHeight="false" outlineLevel="0" collapsed="false">
      <c r="A25" s="5" t="s">
        <v>10</v>
      </c>
      <c r="B25" s="19" t="s">
        <v>1807</v>
      </c>
    </row>
    <row r="26" customFormat="false" ht="15" hidden="false" customHeight="false" outlineLevel="0" collapsed="false">
      <c r="A26" s="5" t="s">
        <v>139</v>
      </c>
      <c r="B26" s="19" t="s">
        <v>1807</v>
      </c>
    </row>
    <row r="27" customFormat="false" ht="15" hidden="false" customHeight="false" outlineLevel="0" collapsed="false">
      <c r="A27" s="5" t="s">
        <v>141</v>
      </c>
      <c r="B27" s="19" t="s">
        <v>1807</v>
      </c>
    </row>
    <row r="29" customFormat="false" ht="15" hidden="false" customHeight="false" outlineLevel="0" collapsed="false">
      <c r="A29" s="20" t="s">
        <v>1808</v>
      </c>
      <c r="B29" s="20" t="s">
        <v>60</v>
      </c>
    </row>
    <row r="30" customFormat="false" ht="15" hidden="false" customHeight="false" outlineLevel="0" collapsed="false">
      <c r="A30" s="19" t="s">
        <v>61</v>
      </c>
      <c r="B30" s="21" t="n">
        <v>3278</v>
      </c>
    </row>
    <row r="31" customFormat="false" ht="15" hidden="false" customHeight="false" outlineLevel="0" collapsed="false">
      <c r="A31" s="19" t="s">
        <v>62</v>
      </c>
      <c r="B31" s="21" t="n">
        <v>453</v>
      </c>
    </row>
    <row r="32" customFormat="false" ht="15" hidden="false" customHeight="false" outlineLevel="0" collapsed="false">
      <c r="A32" s="5" t="s">
        <v>1811</v>
      </c>
      <c r="B32" s="23" t="n">
        <v>3731</v>
      </c>
    </row>
    <row r="35" customFormat="false" ht="15" hidden="false" customHeight="false" outlineLevel="0" collapsed="false">
      <c r="A35" s="5" t="s">
        <v>10</v>
      </c>
      <c r="B35" s="19" t="s">
        <v>1807</v>
      </c>
    </row>
    <row r="36" customFormat="false" ht="15" hidden="false" customHeight="false" outlineLevel="0" collapsed="false">
      <c r="A36" s="5" t="s">
        <v>140</v>
      </c>
      <c r="B36" s="19" t="s">
        <v>1807</v>
      </c>
    </row>
    <row r="37" customFormat="false" ht="15" hidden="false" customHeight="false" outlineLevel="0" collapsed="false">
      <c r="A37" s="5" t="s">
        <v>141</v>
      </c>
      <c r="B37" s="19" t="s">
        <v>1807</v>
      </c>
    </row>
    <row r="39" customFormat="false" ht="15" hidden="false" customHeight="false" outlineLevel="0" collapsed="false">
      <c r="A39" s="20" t="s">
        <v>1808</v>
      </c>
      <c r="B39" s="20" t="s">
        <v>1812</v>
      </c>
    </row>
    <row r="40" customFormat="false" ht="15" hidden="false" customHeight="false" outlineLevel="0" collapsed="false">
      <c r="A40" s="19" t="s">
        <v>76</v>
      </c>
      <c r="B40" s="21" t="n">
        <v>3359.749</v>
      </c>
    </row>
    <row r="41" customFormat="false" ht="15" hidden="false" customHeight="false" outlineLevel="0" collapsed="false">
      <c r="A41" s="19" t="s">
        <v>84</v>
      </c>
      <c r="B41" s="21" t="n">
        <v>1346.1</v>
      </c>
    </row>
    <row r="42" customFormat="false" ht="15" hidden="false" customHeight="false" outlineLevel="0" collapsed="false">
      <c r="A42" s="19" t="s">
        <v>92</v>
      </c>
      <c r="B42" s="21" t="n">
        <v>1300</v>
      </c>
    </row>
    <row r="43" customFormat="false" ht="15" hidden="false" customHeight="false" outlineLevel="0" collapsed="false">
      <c r="A43" s="5" t="s">
        <v>1811</v>
      </c>
      <c r="B43" s="23" t="n">
        <v>6005.849</v>
      </c>
    </row>
    <row r="46" customFormat="false" ht="15" hidden="false" customHeight="false" outlineLevel="0" collapsed="false">
      <c r="A46" s="5" t="s">
        <v>10</v>
      </c>
      <c r="B46" s="19" t="s">
        <v>1807</v>
      </c>
    </row>
    <row r="47" customFormat="false" ht="15" hidden="false" customHeight="false" outlineLevel="0" collapsed="false">
      <c r="A47" s="5" t="s">
        <v>140</v>
      </c>
      <c r="B47" s="19" t="s">
        <v>1807</v>
      </c>
    </row>
    <row r="48" customFormat="false" ht="15" hidden="false" customHeight="false" outlineLevel="0" collapsed="false">
      <c r="A48" s="5" t="s">
        <v>139</v>
      </c>
      <c r="B48" s="19" t="s">
        <v>1807</v>
      </c>
    </row>
    <row r="50" customFormat="false" ht="15" hidden="false" customHeight="false" outlineLevel="0" collapsed="false">
      <c r="A50" s="20" t="s">
        <v>1808</v>
      </c>
      <c r="B50" s="20" t="s">
        <v>60</v>
      </c>
    </row>
    <row r="51" customFormat="false" ht="15" hidden="false" customHeight="false" outlineLevel="0" collapsed="false">
      <c r="A51" s="19" t="s">
        <v>77</v>
      </c>
      <c r="B51" s="21" t="n">
        <v>1615</v>
      </c>
    </row>
    <row r="52" customFormat="false" ht="15" hidden="false" customHeight="false" outlineLevel="0" collapsed="false">
      <c r="A52" s="19" t="s">
        <v>85</v>
      </c>
      <c r="B52" s="21" t="n">
        <v>836</v>
      </c>
    </row>
    <row r="53" customFormat="false" ht="15" hidden="false" customHeight="false" outlineLevel="0" collapsed="false">
      <c r="A53" s="19" t="s">
        <v>93</v>
      </c>
      <c r="B53" s="21" t="n">
        <v>680</v>
      </c>
    </row>
    <row r="54" customFormat="false" ht="15" hidden="false" customHeight="false" outlineLevel="0" collapsed="false">
      <c r="A54" s="19" t="s">
        <v>98</v>
      </c>
      <c r="B54" s="21" t="n">
        <v>394</v>
      </c>
    </row>
    <row r="55" customFormat="false" ht="15" hidden="false" customHeight="false" outlineLevel="0" collapsed="false">
      <c r="A55" s="19" t="s">
        <v>103</v>
      </c>
      <c r="B55" s="21" t="n">
        <v>206</v>
      </c>
    </row>
    <row r="56" customFormat="false" ht="15" hidden="false" customHeight="false" outlineLevel="0" collapsed="false">
      <c r="A56" s="5" t="s">
        <v>1811</v>
      </c>
      <c r="B56" s="23" t="n">
        <v>3731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2026-10-18T12:50:06Z</dcterms:created>
  <dc:creator>openpyxl</dc:creator>
  <dc:description/>
  <dc:language>en-US</dc:language>
  <cp:lastModifiedBy/>
  <dcterms:modified xsi:type="dcterms:W3CDTF">2026-10-18T12:50:17Z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